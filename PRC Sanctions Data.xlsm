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charts/chartEx3.xml" ContentType="application/vnd.ms-office.chartex+xml"/>
  <Override PartName="/xl/charts/style7.xml" ContentType="application/vnd.ms-office.chartstyle+xml"/>
  <Override PartName="/xl/charts/colors7.xml" ContentType="application/vnd.ms-office.chartcolorstyle+xml"/>
  <Override PartName="/xl/charts/chartEx4.xml" ContentType="application/vnd.ms-office.chartex+xml"/>
  <Override PartName="/xl/charts/style8.xml" ContentType="application/vnd.ms-office.chartstyle+xml"/>
  <Override PartName="/xl/charts/colors8.xml" ContentType="application/vnd.ms-office.chartcolorstyle+xml"/>
  <Override PartName="/xl/charts/chartEx5.xml" ContentType="application/vnd.ms-office.chartex+xml"/>
  <Override PartName="/xl/charts/style9.xml" ContentType="application/vnd.ms-office.chartstyle+xml"/>
  <Override PartName="/xl/charts/colors9.xml" ContentType="application/vnd.ms-office.chartcolorstyle+xml"/>
  <Override PartName="/xl/charts/chartEx6.xml" ContentType="application/vnd.ms-office.chartex+xml"/>
  <Override PartName="/xl/charts/style10.xml" ContentType="application/vnd.ms-office.chartstyle+xml"/>
  <Override PartName="/xl/charts/colors10.xml" ContentType="application/vnd.ms-office.chartcolorstyle+xml"/>
  <Override PartName="/xl/charts/chartEx7.xml" ContentType="application/vnd.ms-office.chartex+xml"/>
  <Override PartName="/xl/charts/style11.xml" ContentType="application/vnd.ms-office.chartstyle+xml"/>
  <Override PartName="/xl/charts/colors11.xml" ContentType="application/vnd.ms-office.chartcolorstyle+xml"/>
  <Override PartName="/xl/charts/chartEx8.xml" ContentType="application/vnd.ms-office.chartex+xml"/>
  <Override PartName="/xl/charts/style12.xml" ContentType="application/vnd.ms-office.chartstyle+xml"/>
  <Override PartName="/xl/charts/colors12.xml" ContentType="application/vnd.ms-office.chartcolorstyle+xml"/>
  <Override PartName="/xl/charts/chartEx9.xml" ContentType="application/vnd.ms-office.chartex+xml"/>
  <Override PartName="/xl/charts/style13.xml" ContentType="application/vnd.ms-office.chartstyle+xml"/>
  <Override PartName="/xl/charts/colors13.xml" ContentType="application/vnd.ms-office.chartcolorstyle+xml"/>
  <Override PartName="/xl/charts/chart5.xml" ContentType="application/vnd.openxmlformats-officedocument.drawingml.chart+xml"/>
  <Override PartName="/xl/charts/style14.xml" ContentType="application/vnd.ms-office.chartstyle+xml"/>
  <Override PartName="/xl/charts/colors14.xml" ContentType="application/vnd.ms-office.chartcolorstyle+xml"/>
  <Override PartName="/xl/charts/chart6.xml" ContentType="application/vnd.openxmlformats-officedocument.drawingml.chart+xml"/>
  <Override PartName="/xl/charts/style15.xml" ContentType="application/vnd.ms-office.chartstyle+xml"/>
  <Override PartName="/xl/charts/colors15.xml" ContentType="application/vnd.ms-office.chartcolorstyle+xml"/>
  <Override PartName="/xl/charts/chart7.xml" ContentType="application/vnd.openxmlformats-officedocument.drawingml.chart+xml"/>
  <Override PartName="/xl/charts/style16.xml" ContentType="application/vnd.ms-office.chartstyle+xml"/>
  <Override PartName="/xl/charts/colors16.xml" ContentType="application/vnd.ms-office.chartcolorstyle+xml"/>
  <Override PartName="/xl/charts/chart8.xml" ContentType="application/vnd.openxmlformats-officedocument.drawingml.chart+xml"/>
  <Override PartName="/xl/charts/style17.xml" ContentType="application/vnd.ms-office.chartstyle+xml"/>
  <Override PartName="/xl/charts/colors17.xml" ContentType="application/vnd.ms-office.chartcolorstyle+xml"/>
  <Override PartName="/xl/charts/chart9.xml" ContentType="application/vnd.openxmlformats-officedocument.drawingml.chart+xml"/>
  <Override PartName="/xl/charts/style18.xml" ContentType="application/vnd.ms-office.chartstyle+xml"/>
  <Override PartName="/xl/charts/colors18.xml" ContentType="application/vnd.ms-office.chartcolorstyle+xml"/>
  <Override PartName="/xl/charts/chart10.xml" ContentType="application/vnd.openxmlformats-officedocument.drawingml.chart+xml"/>
  <Override PartName="/xl/charts/style19.xml" ContentType="application/vnd.ms-office.chartstyle+xml"/>
  <Override PartName="/xl/charts/colors19.xml" ContentType="application/vnd.ms-office.chartcolorstyle+xml"/>
  <Override PartName="/xl/charts/chart11.xml" ContentType="application/vnd.openxmlformats-officedocument.drawingml.chart+xml"/>
  <Override PartName="/xl/charts/style20.xml" ContentType="application/vnd.ms-office.chartstyle+xml"/>
  <Override PartName="/xl/charts/colors20.xml" ContentType="application/vnd.ms-office.chartcolorstyle+xml"/>
  <Override PartName="/xl/charts/chart12.xml" ContentType="application/vnd.openxmlformats-officedocument.drawingml.chart+xml"/>
  <Override PartName="/xl/charts/style21.xml" ContentType="application/vnd.ms-office.chartstyle+xml"/>
  <Override PartName="/xl/charts/colors2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5" codeName="{6A26FB3C-EA34-E94E-B44F-155022A03E17}"/>
  <workbookPr codeName="ThisWorkbook"/>
  <mc:AlternateContent xmlns:mc="http://schemas.openxmlformats.org/markup-compatibility/2006">
    <mc:Choice Requires="x15">
      <x15ac:absPath xmlns:x15ac="http://schemas.microsoft.com/office/spreadsheetml/2010/11/ac" url="/Users/vikingbohman/Library/CloudStorage/GoogleDrive-viking.bohman@tufts.edu/My Drive/Paper on PRC Sanctions/"/>
    </mc:Choice>
  </mc:AlternateContent>
  <xr:revisionPtr revIDLastSave="0" documentId="13_ncr:1_{B32A5DC7-4C10-144C-8924-F839B1639CD9}" xr6:coauthVersionLast="47" xr6:coauthVersionMax="47" xr10:uidLastSave="{00000000-0000-0000-0000-000000000000}"/>
  <bookViews>
    <workbookView xWindow="0" yWindow="760" windowWidth="30240" windowHeight="17680" xr2:uid="{00000000-000D-0000-FFFF-FFFF00000000}"/>
  </bookViews>
  <sheets>
    <sheet name="Master Sheet" sheetId="1" r:id="rId1"/>
    <sheet name="Analysis &amp; Graphs" sheetId="9" r:id="rId2"/>
    <sheet name="Dropdowns" sheetId="7" r:id="rId3"/>
    <sheet name="Threatened, Not Imposed" sheetId="3" r:id="rId4"/>
    <sheet name="Non-Sanction Measures" sheetId="4" r:id="rId5"/>
    <sheet name="Laws and Regulations" sheetId="5" r:id="rId6"/>
    <sheet name="Regulatory Updates" sheetId="6" r:id="rId7"/>
    <sheet name="Notes on Collection" sheetId="8" r:id="rId8"/>
  </sheets>
  <definedNames>
    <definedName name="_xlnm._FilterDatabase" localSheetId="5" hidden="1">'Laws and Regulations'!$A$1:$AI$28</definedName>
    <definedName name="_xlnm._FilterDatabase" localSheetId="0" hidden="1">'Master Sheet'!$A$1:$AK$164</definedName>
    <definedName name="_xlnm._FilterDatabase" localSheetId="6" hidden="1">'Regulatory Updates'!$A$1:$AI$21</definedName>
    <definedName name="_xlnm._FilterDatabase" localSheetId="3" hidden="1">'Threatened, Not Imposed'!$A$1:$AI$1</definedName>
    <definedName name="_xlchart.v1.10" hidden="1">'Analysis &amp; Graphs'!$AD$75:$AE$102</definedName>
    <definedName name="_xlchart.v1.11" hidden="1">'Analysis &amp; Graphs'!$AF$75:$AF$102</definedName>
    <definedName name="_xlchart.v1.16" hidden="1">'Analysis &amp; Graphs'!$AA$75:$AA$91</definedName>
    <definedName name="_xlchart.v1.17" hidden="1">'Analysis &amp; Graphs'!$Y$75:$Z$91</definedName>
    <definedName name="_xlchart.v1.8" hidden="1">'Analysis &amp; Graphs'!$U$75:$V$110</definedName>
    <definedName name="_xlchart.v1.9" hidden="1">'Analysis &amp; Graphs'!$W$75:$W$110</definedName>
    <definedName name="_xlchart.v2.0" hidden="1">'Analysis &amp; Graphs'!$D$14:$D$24</definedName>
    <definedName name="_xlchart.v2.1" hidden="1">'Analysis &amp; Graphs'!$G$14:$G$24</definedName>
    <definedName name="_xlchart.v2.12" hidden="1">'Analysis &amp; Graphs'!$D$14:$D$24</definedName>
    <definedName name="_xlchart.v2.13" hidden="1">'Analysis &amp; Graphs'!$I$14:$I$24</definedName>
    <definedName name="_xlchart.v2.14" hidden="1">'Analysis &amp; Graphs'!$D$28:$D$33</definedName>
    <definedName name="_xlchart.v2.15" hidden="1">'Analysis &amp; Graphs'!$G$28:$G$33</definedName>
    <definedName name="_xlchart.v2.2" hidden="1">'Analysis &amp; Graphs'!$D$14:$D$24</definedName>
    <definedName name="_xlchart.v2.3" hidden="1">'Analysis &amp; Graphs'!$E$14:$E$24</definedName>
    <definedName name="_xlchart.v2.4" hidden="1">'Analysis &amp; Graphs'!$D$28:$D$33</definedName>
    <definedName name="_xlchart.v2.5" hidden="1">'Analysis &amp; Graphs'!$E$28:$E$33</definedName>
    <definedName name="_xlchart.v2.6" hidden="1">'Analysis &amp; Graphs'!$D$28:$D$33</definedName>
    <definedName name="_xlchart.v2.7" hidden="1">'Analysis &amp; Graphs'!$I$28:$I$33</definedName>
    <definedName name="_xleta.AND">#NAME?</definedName>
    <definedName name="_xleta.SHEET" hidden="1" xlm="1">#NAME?</definedName>
    <definedName name="_xleta.SUM" hidden="1" xlm="1">#NAME?</definedName>
  </definedNames>
  <calcPr calcId="191029"/>
  <pivotCaches>
    <pivotCache cacheId="0" r:id="rId9"/>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3" roundtripDataChecksum="6vhMPpGhNLZqTvtrHnfWJ65LGtqEEZyOy+Meo/bj0dc="/>
    </ext>
  </extLst>
</workbook>
</file>

<file path=xl/calcChain.xml><?xml version="1.0" encoding="utf-8"?>
<calcChain xmlns="http://schemas.openxmlformats.org/spreadsheetml/2006/main">
  <c r="E9" i="9" l="1"/>
  <c r="E8" i="9"/>
  <c r="G9" i="9"/>
  <c r="E426" i="9"/>
  <c r="E402" i="9"/>
  <c r="F321" i="9" a="1"/>
  <c r="F321" i="9" s="1"/>
  <c r="F322" i="9" a="1"/>
  <c r="F322" i="9" s="1"/>
  <c r="F323" i="9" a="1"/>
  <c r="F323" i="9" s="1"/>
  <c r="F324" i="9" a="1"/>
  <c r="F324" i="9" s="1"/>
  <c r="F325" i="9" a="1"/>
  <c r="F325" i="9" s="1"/>
  <c r="F326" i="9" a="1"/>
  <c r="F326" i="9" s="1"/>
  <c r="F327" i="9" a="1"/>
  <c r="F327" i="9" s="1"/>
  <c r="F328" i="9" a="1"/>
  <c r="F328" i="9" s="1"/>
  <c r="F329" i="9" a="1"/>
  <c r="F329" i="9" s="1"/>
  <c r="F330" i="9" a="1"/>
  <c r="F330" i="9" s="1"/>
  <c r="F331" i="9" a="1"/>
  <c r="F331" i="9" s="1"/>
  <c r="F332" i="9" a="1"/>
  <c r="F332" i="9" s="1"/>
  <c r="F333" i="9" a="1"/>
  <c r="F333" i="9" s="1"/>
  <c r="F334" i="9" a="1"/>
  <c r="F334" i="9" s="1"/>
  <c r="F335" i="9" a="1"/>
  <c r="F335" i="9" s="1"/>
  <c r="F320" i="9" a="1"/>
  <c r="F320" i="9" s="1"/>
  <c r="E321" i="9" a="1"/>
  <c r="E321" i="9" s="1"/>
  <c r="G321" i="9" s="1"/>
  <c r="E322" i="9" a="1"/>
  <c r="E322" i="9" s="1"/>
  <c r="G322" i="9" s="1"/>
  <c r="E323" i="9" a="1"/>
  <c r="E323" i="9" s="1"/>
  <c r="G323" i="9" s="1"/>
  <c r="E324" i="9" a="1"/>
  <c r="E324" i="9" s="1"/>
  <c r="G324" i="9" s="1"/>
  <c r="E325" i="9" a="1"/>
  <c r="E325" i="9" s="1"/>
  <c r="G325" i="9" s="1"/>
  <c r="E326" i="9" a="1"/>
  <c r="E326" i="9" s="1"/>
  <c r="G326" i="9" s="1"/>
  <c r="E327" i="9" a="1"/>
  <c r="E327" i="9" s="1"/>
  <c r="G327" i="9" s="1"/>
  <c r="E328" i="9" a="1"/>
  <c r="E328" i="9" s="1"/>
  <c r="G328" i="9" s="1"/>
  <c r="E329" i="9" a="1"/>
  <c r="E329" i="9" s="1"/>
  <c r="G329" i="9" s="1"/>
  <c r="E330" i="9" a="1"/>
  <c r="E330" i="9" s="1"/>
  <c r="G330" i="9" s="1"/>
  <c r="E331" i="9" a="1"/>
  <c r="E331" i="9" s="1"/>
  <c r="G331" i="9" s="1"/>
  <c r="E332" i="9" a="1"/>
  <c r="E332" i="9" s="1"/>
  <c r="G332" i="9" s="1"/>
  <c r="E333" i="9" a="1"/>
  <c r="E333" i="9" s="1"/>
  <c r="G333" i="9" s="1"/>
  <c r="E334" i="9" a="1"/>
  <c r="E334" i="9" s="1"/>
  <c r="G334" i="9" s="1"/>
  <c r="E335" i="9" a="1"/>
  <c r="E335" i="9" s="1"/>
  <c r="G335" i="9" s="1"/>
  <c r="E320" i="9" a="1"/>
  <c r="E320" i="9" s="1"/>
  <c r="G320" i="9" s="1"/>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110" i="9"/>
  <c r="G111" i="9"/>
  <c r="G112" i="9"/>
  <c r="G113" i="9"/>
  <c r="G114" i="9"/>
  <c r="G115" i="9"/>
  <c r="G116" i="9"/>
  <c r="G117" i="9"/>
  <c r="G118" i="9"/>
  <c r="G119" i="9"/>
  <c r="G120" i="9"/>
  <c r="G121" i="9"/>
  <c r="G122" i="9"/>
  <c r="G123" i="9"/>
  <c r="G124" i="9"/>
  <c r="G125" i="9"/>
  <c r="G126" i="9"/>
  <c r="G127" i="9"/>
  <c r="G128" i="9"/>
  <c r="G129" i="9"/>
  <c r="G130" i="9"/>
  <c r="G131" i="9"/>
  <c r="G132" i="9"/>
  <c r="G133" i="9"/>
  <c r="G134" i="9"/>
  <c r="G135" i="9"/>
  <c r="G136" i="9"/>
  <c r="G137" i="9"/>
  <c r="G138" i="9"/>
  <c r="G139" i="9"/>
  <c r="G140" i="9"/>
  <c r="G141" i="9"/>
  <c r="G142" i="9"/>
  <c r="G143" i="9"/>
  <c r="G144" i="9"/>
  <c r="G145" i="9"/>
  <c r="G146" i="9"/>
  <c r="G147" i="9"/>
  <c r="G148" i="9"/>
  <c r="G149" i="9"/>
  <c r="G150" i="9"/>
  <c r="G151" i="9"/>
  <c r="G152" i="9"/>
  <c r="G153" i="9"/>
  <c r="G154" i="9"/>
  <c r="G155" i="9"/>
  <c r="G156" i="9"/>
  <c r="G157" i="9"/>
  <c r="G158" i="9"/>
  <c r="G159" i="9"/>
  <c r="G160" i="9"/>
  <c r="G161" i="9"/>
  <c r="G162" i="9"/>
  <c r="G163" i="9"/>
  <c r="G164" i="9"/>
  <c r="G165" i="9"/>
  <c r="G166" i="9"/>
  <c r="G167" i="9"/>
  <c r="G168" i="9"/>
  <c r="G169" i="9"/>
  <c r="G170" i="9"/>
  <c r="G171" i="9"/>
  <c r="G172" i="9"/>
  <c r="G173" i="9"/>
  <c r="G174" i="9"/>
  <c r="G175" i="9"/>
  <c r="G176" i="9"/>
  <c r="G177" i="9"/>
  <c r="G178" i="9"/>
  <c r="G179" i="9"/>
  <c r="G180" i="9"/>
  <c r="G181" i="9"/>
  <c r="G182" i="9"/>
  <c r="G183" i="9"/>
  <c r="G184" i="9"/>
  <c r="G185" i="9"/>
  <c r="G186" i="9"/>
  <c r="G187" i="9"/>
  <c r="G188" i="9"/>
  <c r="G189" i="9"/>
  <c r="G190" i="9"/>
  <c r="G191" i="9"/>
  <c r="G192" i="9"/>
  <c r="G193" i="9"/>
  <c r="G194" i="9"/>
  <c r="G195" i="9"/>
  <c r="G196" i="9"/>
  <c r="G197" i="9"/>
  <c r="G198" i="9"/>
  <c r="G199" i="9"/>
  <c r="G200" i="9"/>
  <c r="G201" i="9"/>
  <c r="G202" i="9"/>
  <c r="G203" i="9"/>
  <c r="G204" i="9"/>
  <c r="G205" i="9"/>
  <c r="G206" i="9"/>
  <c r="G207" i="9"/>
  <c r="G208" i="9"/>
  <c r="G209" i="9"/>
  <c r="G210" i="9"/>
  <c r="G211" i="9"/>
  <c r="G212" i="9"/>
  <c r="G213" i="9"/>
  <c r="G214" i="9"/>
  <c r="G215" i="9"/>
  <c r="G216" i="9"/>
  <c r="G217" i="9"/>
  <c r="G218" i="9"/>
  <c r="G219" i="9"/>
  <c r="G220" i="9"/>
  <c r="G221" i="9"/>
  <c r="G222" i="9"/>
  <c r="G223" i="9"/>
  <c r="G224" i="9"/>
  <c r="G225" i="9"/>
  <c r="G226" i="9"/>
  <c r="G227" i="9"/>
  <c r="G228" i="9"/>
  <c r="G229" i="9"/>
  <c r="G230" i="9"/>
  <c r="G231" i="9"/>
  <c r="G232" i="9"/>
  <c r="G233" i="9"/>
  <c r="G234" i="9"/>
  <c r="G235" i="9"/>
  <c r="G236" i="9"/>
  <c r="G237" i="9"/>
  <c r="G238" i="9"/>
  <c r="G239" i="9"/>
  <c r="G240" i="9"/>
  <c r="G241" i="9"/>
  <c r="G242" i="9"/>
  <c r="G243" i="9"/>
  <c r="G244" i="9"/>
  <c r="G245" i="9"/>
  <c r="G246" i="9"/>
  <c r="G247" i="9"/>
  <c r="G248" i="9"/>
  <c r="G249" i="9"/>
  <c r="G250" i="9"/>
  <c r="G251" i="9"/>
  <c r="G252" i="9"/>
  <c r="G253" i="9"/>
  <c r="G254" i="9"/>
  <c r="G255" i="9"/>
  <c r="G256" i="9"/>
  <c r="G257" i="9"/>
  <c r="G258" i="9"/>
  <c r="G259" i="9"/>
  <c r="G260" i="9"/>
  <c r="G261" i="9"/>
  <c r="G262" i="9"/>
  <c r="G263" i="9"/>
  <c r="G264" i="9"/>
  <c r="G265" i="9"/>
  <c r="G266" i="9"/>
  <c r="G267" i="9"/>
  <c r="G268" i="9"/>
  <c r="G269" i="9"/>
  <c r="G270" i="9"/>
  <c r="G271" i="9"/>
  <c r="G272" i="9"/>
  <c r="G273" i="9"/>
  <c r="G274" i="9"/>
  <c r="G275" i="9"/>
  <c r="G276" i="9"/>
  <c r="G76" i="9"/>
  <c r="I51" i="9"/>
  <c r="I52" i="9"/>
  <c r="I53" i="9"/>
  <c r="I54" i="9"/>
  <c r="I55" i="9"/>
  <c r="I56" i="9"/>
  <c r="I57" i="9"/>
  <c r="I58" i="9"/>
  <c r="I59" i="9"/>
  <c r="I60" i="9"/>
  <c r="I61" i="9"/>
  <c r="I62" i="9"/>
  <c r="I63" i="9"/>
  <c r="I64" i="9"/>
  <c r="I65" i="9"/>
  <c r="I66" i="9"/>
  <c r="I67" i="9"/>
  <c r="I68" i="9"/>
  <c r="I69" i="9"/>
  <c r="I70" i="9"/>
  <c r="I71" i="9"/>
  <c r="I50" i="9"/>
  <c r="G51" i="9"/>
  <c r="G52" i="9"/>
  <c r="G53" i="9"/>
  <c r="G54" i="9"/>
  <c r="G55" i="9"/>
  <c r="G56" i="9"/>
  <c r="G57" i="9"/>
  <c r="G58" i="9"/>
  <c r="G59" i="9"/>
  <c r="G60" i="9"/>
  <c r="G61" i="9"/>
  <c r="G62" i="9"/>
  <c r="G63" i="9"/>
  <c r="G64" i="9"/>
  <c r="G65" i="9"/>
  <c r="G66" i="9"/>
  <c r="G67" i="9"/>
  <c r="G68" i="9"/>
  <c r="G69" i="9"/>
  <c r="G70" i="9"/>
  <c r="G71" i="9"/>
  <c r="G50" i="9"/>
  <c r="I29" i="9"/>
  <c r="I30" i="9"/>
  <c r="I31" i="9"/>
  <c r="I32" i="9"/>
  <c r="I33" i="9"/>
  <c r="I28" i="9"/>
  <c r="G29" i="9"/>
  <c r="G30" i="9"/>
  <c r="G31" i="9"/>
  <c r="G32" i="9"/>
  <c r="G33" i="9"/>
  <c r="G28" i="9"/>
  <c r="I15" i="9"/>
  <c r="I16" i="9"/>
  <c r="I17" i="9"/>
  <c r="I18" i="9"/>
  <c r="I19" i="9"/>
  <c r="I20" i="9"/>
  <c r="I21" i="9"/>
  <c r="I22" i="9"/>
  <c r="I23" i="9"/>
  <c r="I24" i="9"/>
  <c r="I14" i="9"/>
  <c r="G15" i="9"/>
  <c r="G16" i="9"/>
  <c r="G17" i="9"/>
  <c r="G18" i="9"/>
  <c r="G19" i="9"/>
  <c r="G20" i="9"/>
  <c r="G21" i="9"/>
  <c r="G22" i="9"/>
  <c r="G23" i="9"/>
  <c r="G24" i="9"/>
  <c r="G14" i="9"/>
  <c r="I9" i="9"/>
  <c r="I8" i="9"/>
  <c r="G8" i="9"/>
  <c r="E20" i="9"/>
  <c r="E21" i="9"/>
  <c r="E22" i="9"/>
  <c r="E23" i="9"/>
  <c r="E24" i="9"/>
  <c r="E317" i="9" a="1"/>
  <c r="E317" i="9" s="1"/>
  <c r="E297" i="9" a="1"/>
  <c r="E297" i="9" s="1"/>
  <c r="E301" i="9" a="1"/>
  <c r="E301" i="9" s="1"/>
  <c r="E302" i="9" a="1"/>
  <c r="E302" i="9" s="1"/>
  <c r="E303" i="9" a="1"/>
  <c r="E303" i="9" s="1"/>
  <c r="E304" i="9" a="1"/>
  <c r="E304" i="9" s="1"/>
  <c r="E305" i="9" a="1"/>
  <c r="E305" i="9" s="1"/>
  <c r="E306" i="9" a="1"/>
  <c r="E306" i="9" s="1"/>
  <c r="E307" i="9" a="1"/>
  <c r="E307" i="9" s="1"/>
  <c r="E308" i="9" a="1"/>
  <c r="E308" i="9" s="1"/>
  <c r="E309" i="9" a="1"/>
  <c r="E309" i="9" s="1"/>
  <c r="E310" i="9" a="1"/>
  <c r="E310" i="9" s="1"/>
  <c r="E311" i="9" a="1"/>
  <c r="E311" i="9" s="1"/>
  <c r="E312" i="9" a="1"/>
  <c r="E312" i="9" s="1"/>
  <c r="E313" i="9" a="1"/>
  <c r="E313" i="9" s="1"/>
  <c r="E314" i="9" a="1"/>
  <c r="E314" i="9" s="1"/>
  <c r="E315" i="9" a="1"/>
  <c r="E315" i="9" s="1"/>
  <c r="E300" i="9" a="1"/>
  <c r="E300" i="9" s="1"/>
  <c r="E77" i="9"/>
  <c r="E78" i="9"/>
  <c r="E79" i="9"/>
  <c r="E80" i="9"/>
  <c r="E81" i="9"/>
  <c r="E82" i="9"/>
  <c r="E83" i="9"/>
  <c r="E84" i="9"/>
  <c r="E85" i="9"/>
  <c r="E86" i="9"/>
  <c r="E87" i="9"/>
  <c r="E88" i="9"/>
  <c r="E89" i="9"/>
  <c r="E90" i="9"/>
  <c r="E91" i="9"/>
  <c r="E92" i="9"/>
  <c r="E93" i="9"/>
  <c r="E94" i="9"/>
  <c r="E95" i="9"/>
  <c r="E96" i="9"/>
  <c r="E97" i="9"/>
  <c r="E98" i="9"/>
  <c r="E99" i="9"/>
  <c r="E100" i="9"/>
  <c r="E101" i="9"/>
  <c r="E102" i="9"/>
  <c r="E103" i="9"/>
  <c r="E104" i="9"/>
  <c r="E105" i="9"/>
  <c r="E106" i="9"/>
  <c r="E107" i="9"/>
  <c r="E108" i="9"/>
  <c r="E109" i="9"/>
  <c r="E110" i="9"/>
  <c r="E111" i="9"/>
  <c r="E112" i="9"/>
  <c r="E113" i="9"/>
  <c r="E114" i="9"/>
  <c r="E115" i="9"/>
  <c r="E116" i="9"/>
  <c r="E117" i="9"/>
  <c r="E118" i="9"/>
  <c r="E119" i="9"/>
  <c r="E120" i="9"/>
  <c r="E121" i="9"/>
  <c r="E122" i="9"/>
  <c r="E123" i="9"/>
  <c r="E124" i="9"/>
  <c r="E125" i="9"/>
  <c r="E126" i="9"/>
  <c r="E127" i="9"/>
  <c r="E128" i="9"/>
  <c r="E129" i="9"/>
  <c r="E130" i="9"/>
  <c r="E131" i="9"/>
  <c r="E132" i="9"/>
  <c r="E133" i="9"/>
  <c r="E134" i="9"/>
  <c r="E135" i="9"/>
  <c r="E136" i="9"/>
  <c r="E137" i="9"/>
  <c r="E138" i="9"/>
  <c r="E139" i="9"/>
  <c r="E140" i="9"/>
  <c r="E141" i="9"/>
  <c r="E142" i="9"/>
  <c r="E143" i="9"/>
  <c r="E144" i="9"/>
  <c r="E145" i="9"/>
  <c r="E146" i="9"/>
  <c r="E147" i="9"/>
  <c r="E148" i="9"/>
  <c r="E149" i="9"/>
  <c r="E150" i="9"/>
  <c r="E151" i="9"/>
  <c r="E152" i="9"/>
  <c r="E153" i="9"/>
  <c r="E154" i="9"/>
  <c r="E155" i="9"/>
  <c r="E156" i="9"/>
  <c r="E157" i="9"/>
  <c r="E158" i="9"/>
  <c r="E159" i="9"/>
  <c r="E160" i="9"/>
  <c r="E161" i="9"/>
  <c r="E162" i="9"/>
  <c r="E163" i="9"/>
  <c r="E164" i="9"/>
  <c r="E165" i="9"/>
  <c r="E166" i="9"/>
  <c r="E167" i="9"/>
  <c r="E168" i="9"/>
  <c r="E169" i="9"/>
  <c r="E170" i="9"/>
  <c r="E171" i="9"/>
  <c r="E172" i="9"/>
  <c r="E173" i="9"/>
  <c r="E174" i="9"/>
  <c r="E175" i="9"/>
  <c r="E176" i="9"/>
  <c r="E177" i="9"/>
  <c r="E178" i="9"/>
  <c r="E179" i="9"/>
  <c r="E180" i="9"/>
  <c r="E181" i="9"/>
  <c r="E182" i="9"/>
  <c r="E183" i="9"/>
  <c r="E184" i="9"/>
  <c r="E185" i="9"/>
  <c r="E186" i="9"/>
  <c r="E187" i="9"/>
  <c r="E188" i="9"/>
  <c r="E189" i="9"/>
  <c r="E190" i="9"/>
  <c r="E191" i="9"/>
  <c r="E192" i="9"/>
  <c r="E193" i="9"/>
  <c r="E194" i="9"/>
  <c r="E195" i="9"/>
  <c r="E196" i="9"/>
  <c r="E197" i="9"/>
  <c r="E198" i="9"/>
  <c r="E199" i="9"/>
  <c r="E200" i="9"/>
  <c r="E201" i="9"/>
  <c r="E202" i="9"/>
  <c r="E203" i="9"/>
  <c r="E204" i="9"/>
  <c r="E205" i="9"/>
  <c r="E206" i="9"/>
  <c r="E207" i="9"/>
  <c r="E208" i="9"/>
  <c r="E209" i="9"/>
  <c r="E210" i="9"/>
  <c r="E211" i="9"/>
  <c r="E212" i="9"/>
  <c r="E213" i="9"/>
  <c r="E214" i="9"/>
  <c r="E215" i="9"/>
  <c r="E216" i="9"/>
  <c r="E217" i="9"/>
  <c r="E218" i="9"/>
  <c r="E219" i="9"/>
  <c r="E220" i="9"/>
  <c r="E221" i="9"/>
  <c r="E222" i="9"/>
  <c r="E223" i="9"/>
  <c r="E224" i="9"/>
  <c r="E225" i="9"/>
  <c r="E226" i="9"/>
  <c r="E227" i="9"/>
  <c r="E228" i="9"/>
  <c r="E229" i="9"/>
  <c r="E230" i="9"/>
  <c r="E231" i="9"/>
  <c r="E232" i="9"/>
  <c r="E233" i="9"/>
  <c r="E234" i="9"/>
  <c r="E235" i="9"/>
  <c r="E236" i="9"/>
  <c r="E237" i="9"/>
  <c r="E238" i="9"/>
  <c r="E239" i="9"/>
  <c r="E240" i="9"/>
  <c r="E241" i="9"/>
  <c r="E242" i="9"/>
  <c r="E243" i="9"/>
  <c r="E244" i="9"/>
  <c r="E245" i="9"/>
  <c r="E246" i="9"/>
  <c r="E247" i="9"/>
  <c r="E248" i="9"/>
  <c r="E249" i="9"/>
  <c r="E250" i="9"/>
  <c r="E251" i="9"/>
  <c r="E252" i="9"/>
  <c r="E253" i="9"/>
  <c r="E254" i="9"/>
  <c r="E255" i="9"/>
  <c r="E256" i="9"/>
  <c r="E257" i="9"/>
  <c r="E258" i="9"/>
  <c r="E259" i="9"/>
  <c r="E260" i="9"/>
  <c r="E261" i="9"/>
  <c r="E262" i="9"/>
  <c r="E263" i="9"/>
  <c r="E264" i="9"/>
  <c r="E265" i="9"/>
  <c r="E266" i="9"/>
  <c r="E267" i="9"/>
  <c r="E268" i="9"/>
  <c r="E269" i="9"/>
  <c r="E270" i="9"/>
  <c r="E271" i="9"/>
  <c r="E272" i="9"/>
  <c r="E273" i="9"/>
  <c r="E274" i="9"/>
  <c r="E275" i="9"/>
  <c r="E276" i="9"/>
  <c r="E76" i="9"/>
  <c r="E51" i="9"/>
  <c r="E52" i="9"/>
  <c r="E53" i="9"/>
  <c r="E54" i="9"/>
  <c r="E55" i="9"/>
  <c r="E56" i="9"/>
  <c r="E57" i="9"/>
  <c r="E58" i="9"/>
  <c r="E59" i="9"/>
  <c r="E60" i="9"/>
  <c r="E61" i="9"/>
  <c r="E62" i="9"/>
  <c r="E63" i="9"/>
  <c r="E64" i="9"/>
  <c r="E65" i="9"/>
  <c r="E66" i="9"/>
  <c r="E67" i="9"/>
  <c r="E68" i="9"/>
  <c r="E69" i="9"/>
  <c r="E70" i="9"/>
  <c r="E71" i="9"/>
  <c r="E50" i="9"/>
  <c r="E46" i="9"/>
  <c r="E45" i="9"/>
  <c r="E29" i="9"/>
  <c r="E30" i="9"/>
  <c r="E31" i="9"/>
  <c r="E32" i="9"/>
  <c r="E33" i="9"/>
  <c r="E28" i="9"/>
  <c r="E38" i="9"/>
  <c r="E39" i="9"/>
  <c r="E40" i="9"/>
  <c r="E41" i="9"/>
  <c r="E37" i="9"/>
  <c r="E15" i="9"/>
  <c r="E16" i="9"/>
  <c r="E17" i="9"/>
  <c r="E18" i="9"/>
  <c r="E19" i="9"/>
  <c r="E14" i="9"/>
  <c r="E5" i="9"/>
  <c r="E10" i="9" l="1"/>
  <c r="G277" i="9"/>
  <c r="AA113" i="9" s="1"/>
  <c r="I277" i="9"/>
  <c r="AF113" i="9" s="1"/>
  <c r="J9" i="9"/>
  <c r="G25" i="9"/>
  <c r="F14" i="9" a="1"/>
  <c r="F14" i="9" s="1"/>
  <c r="I34" i="9"/>
  <c r="I25" i="9"/>
  <c r="G34" i="9"/>
  <c r="Z116" i="9" s="1"/>
  <c r="I10" i="9"/>
  <c r="J76" i="9" s="1" a="1"/>
  <c r="J76" i="9" s="1"/>
  <c r="J8" i="9"/>
  <c r="H9" i="9"/>
  <c r="G10" i="9"/>
  <c r="H8" i="9"/>
  <c r="E277" i="9"/>
  <c r="V113" i="9" s="1"/>
  <c r="E316" i="9"/>
  <c r="E282" i="9" a="1"/>
  <c r="E282" i="9" s="1"/>
  <c r="E293" i="9" a="1"/>
  <c r="E293" i="9" s="1"/>
  <c r="E286" i="9" a="1"/>
  <c r="E286" i="9" s="1"/>
  <c r="E294" i="9" a="1"/>
  <c r="E294" i="9" s="1"/>
  <c r="E280" i="9" a="1"/>
  <c r="E280" i="9" s="1"/>
  <c r="E287" i="9" a="1"/>
  <c r="E287" i="9" s="1"/>
  <c r="E292" i="9" a="1"/>
  <c r="E292" i="9" s="1"/>
  <c r="E295" i="9" a="1"/>
  <c r="E295" i="9" s="1"/>
  <c r="E283" i="9" a="1"/>
  <c r="E283" i="9" s="1"/>
  <c r="E288" i="9" a="1"/>
  <c r="E288" i="9" s="1"/>
  <c r="E284" i="9" a="1"/>
  <c r="E284" i="9" s="1"/>
  <c r="E289" i="9" a="1"/>
  <c r="E289" i="9" s="1"/>
  <c r="E285" i="9" a="1"/>
  <c r="E285" i="9" s="1"/>
  <c r="E290" i="9" a="1"/>
  <c r="E290" i="9" s="1"/>
  <c r="E281" i="9" a="1"/>
  <c r="E281" i="9" s="1"/>
  <c r="E291" i="9" a="1"/>
  <c r="E291" i="9" s="1"/>
  <c r="F76" i="9" a="1"/>
  <c r="F76" i="9" s="1"/>
  <c r="F50" i="9" a="1"/>
  <c r="F50" i="9" s="1"/>
  <c r="E72" i="9"/>
  <c r="E47" i="9"/>
  <c r="F45" i="9" s="1" a="1"/>
  <c r="F45" i="9" s="1"/>
  <c r="E42" i="9"/>
  <c r="E34" i="9"/>
  <c r="F28" i="9" s="1" a="1"/>
  <c r="F28" i="9" s="1"/>
  <c r="F37" i="9" a="1"/>
  <c r="F37" i="9" s="1"/>
  <c r="F8" i="9"/>
  <c r="E25" i="9"/>
  <c r="F9" i="9"/>
  <c r="H76" i="9" l="1" a="1"/>
  <c r="H76" i="9" s="1"/>
  <c r="Z118" i="9"/>
  <c r="Z117" i="9"/>
  <c r="J50" i="9" a="1"/>
  <c r="J50" i="9" s="1"/>
  <c r="H50" i="9" a="1"/>
  <c r="H50" i="9" s="1"/>
  <c r="H28" i="9" a="1"/>
  <c r="H28" i="9" s="1"/>
  <c r="H14" i="9" a="1"/>
  <c r="H14" i="9" s="1"/>
  <c r="J28" i="9" a="1"/>
  <c r="J28" i="9" s="1"/>
  <c r="J14" i="9" a="1"/>
  <c r="J14" i="9" s="1"/>
  <c r="E296"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U75" authorId="0" shapeId="0" xr:uid="{8216B466-A262-0140-ACD4-C10D9E64DF5D}">
      <text>
        <r>
          <rPr>
            <b/>
            <sz val="10"/>
            <color rgb="FF000000"/>
            <rFont val="Tahoma"/>
            <family val="2"/>
          </rPr>
          <t>Microsoft Office User:</t>
        </r>
        <r>
          <rPr>
            <sz val="10"/>
            <color rgb="FF000000"/>
            <rFont val="Tahoma"/>
            <family val="2"/>
          </rPr>
          <t xml:space="preserve">
</t>
        </r>
        <r>
          <rPr>
            <sz val="10"/>
            <color rgb="FF000000"/>
            <rFont val="Tahoma"/>
            <family val="2"/>
          </rPr>
          <t>*=TRIM(LEFT(A1, FIND("(", A1) - 1))</t>
        </r>
      </text>
    </comment>
    <comment ref="V75" authorId="0" shapeId="0" xr:uid="{046AE1BF-5CA7-154D-B3B6-4679F414507A}">
      <text>
        <r>
          <rPr>
            <b/>
            <sz val="10"/>
            <color rgb="FF000000"/>
            <rFont val="Tahoma"/>
            <family val="2"/>
          </rPr>
          <t>Microsoft Office User:</t>
        </r>
        <r>
          <rPr>
            <sz val="10"/>
            <color rgb="FF000000"/>
            <rFont val="Tahoma"/>
            <family val="2"/>
          </rPr>
          <t xml:space="preserve">
</t>
        </r>
        <r>
          <rPr>
            <sz val="10"/>
            <color rgb="FF000000"/>
            <rFont val="Tahoma"/>
            <family val="2"/>
          </rPr>
          <t>*=TRIM(MID(T75, FIND("(", T75) + 1, FIND(")", T75) - FIND("(", T75) - 1))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BE13805-226C-F742-990C-4DC6D09C7E76}" keepAlive="1" name="Query - Master Sheet" description="Connection to the 'Master Sheet' query in the workbook." type="5" refreshedVersion="0" background="1">
    <dbPr connection="Provider=Microsoft.Mashup.OleDb.1;Data Source=$Workbook$;Location=&quot;Master Sheet&quot;;Extended Properties=&quot;&quot;" command="SELECT * FROM [Master Sheet]"/>
  </connection>
  <connection id="2" xr16:uid="{A59E1C4D-DA3E-6745-85DA-71857ECE3174}" keepAlive="1" name="Query - Master Sheet (2)" description="Connection to the 'Master Sheet (2)' query in the workbook." type="5" refreshedVersion="8" background="1" saveData="1">
    <dbPr connection="Provider=Microsoft.Mashup.OleDb.1;Data Source=$Workbook$;Location=&quot;Master Sheet (2)&quot;;Extended Properties=&quot;&quot;" command="SELECT * FROM [Master Sheet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<sst xmlns="http://schemas.openxmlformats.org/spreadsheetml/2006/main" count="4308" uniqueCount="1383">
  <si>
    <t>Start Date</t>
  </si>
  <si>
    <t>Title</t>
  </si>
  <si>
    <t>Form of Restriction</t>
  </si>
  <si>
    <t>Restriction Specifications</t>
  </si>
  <si>
    <t>Mechanism</t>
  </si>
  <si>
    <t>Formality</t>
  </si>
  <si>
    <t>Legal Basis</t>
  </si>
  <si>
    <t>Targeted Individuals</t>
  </si>
  <si>
    <t>Targeted Entities</t>
  </si>
  <si>
    <t>Nationality of Targets</t>
  </si>
  <si>
    <t>Sector</t>
  </si>
  <si>
    <t>Targeted Product Categories</t>
  </si>
  <si>
    <t>Comment</t>
  </si>
  <si>
    <t>Full Text Chinese</t>
  </si>
  <si>
    <t>Full Text English</t>
  </si>
  <si>
    <t>Link</t>
  </si>
  <si>
    <t>Link2</t>
  </si>
  <si>
    <t>Link3</t>
  </si>
  <si>
    <t>Link 4</t>
  </si>
  <si>
    <t>Link 5</t>
  </si>
  <si>
    <t>Link 6</t>
  </si>
  <si>
    <t>Link 7</t>
  </si>
  <si>
    <t>Link 8</t>
  </si>
  <si>
    <t>Customs obstruction of exports of rare earth elements to Japan following Japanese arrest of Chinese fishing trawler crew in waters near Senkaku/Diaoyu Islands</t>
  </si>
  <si>
    <t>Export Control</t>
  </si>
  <si>
    <t>Informal—Bureaucratic obstruction [1]: Two cargoes reported to have been stopped, and Chinese authorities to have
communicated a ban on all REE exports to Japan to customs officials.75 This caused delays, with several sources reporting
exports slowed during the period.76
Informal—Conversion (TBT) [1]: Export license procedures were reportedly changed, with the effect that Japanese trading
companies were unable to make new applications.78</t>
  </si>
  <si>
    <t>Bureaucratic Obstruction</t>
  </si>
  <si>
    <t>Informal</t>
  </si>
  <si>
    <t>N/A</t>
  </si>
  <si>
    <t>Raw Materials</t>
  </si>
  <si>
    <t>Rare earth elements</t>
  </si>
  <si>
    <t>Explanation: Chinese officials denied any restrictions were imposed on exports to Japan.79 On 26 September, Commerce Minister Chen Deming suggested that, if any shipments had been halted, it was due to the personal feelings towards Japan of domestic actors in the REE industry.80 Japanese officials and journalists have suggested that there was a verbal direction from Chinese authorities, as no evidence of written instructions were discovered.81</t>
  </si>
  <si>
    <t>Victor's data</t>
  </si>
  <si>
    <t xml:space="preserve">Warnings to Chinese rare earth elements mining companies not to increase shipments to countries that might redirect trade to Japan, circumventing the export restrictions imposed after the Japanese arrest of Chinese fishing trawler crew in waters near Senkaku/Diaoyu Islands
</t>
  </si>
  <si>
    <t>Informal—Blacklist [1]: Presidents of Chinese REE mining companies reportedly summoned to meeting in Beijing where
they were warned not to increase shipments to other countries that might redirect REEs to Japan, and not to discuss the ban
with media. Cautioned that failure to comply would result in their export licenses being cancelled.77</t>
  </si>
  <si>
    <t>Blacklist</t>
  </si>
  <si>
    <t>Restriction on issuance of import licenses and intensified inspection and quarantine requirements for Norwegian salmon, including reduced permit volumes and heightened sanitation and veterinary testing, following the selection of Liu Xiaobo for the 2010 Nobel Peace Prize</t>
  </si>
  <si>
    <t>Import Control</t>
  </si>
  <si>
    <t>• Informal—Conversion [1]:
o SPS: Between at least 2011-2014, Chinese officials stopped issuing salmon importers necessary de facto import
licenses (‘Animal and Plant Inspection and Quarantine Permits’ (动植物检验检疫许可证)) for regular volumes – only 10-30 tonnes, rather than up to ~300 tonnes which had been ordinary in the past (and which continued to be issued for exporters from other states).83
• Informal—Bureaucratic obstruction [3]:
o Salmon: One regional order issued by Beijing Capital Airport Entry–Exit Inspection and Quarantine requiring
‘stricter and more thorough checks’ on Norwegian fresh aquaculture (8 December 2010). The Central Office of Quality Supervision, Inspection and Quarantine of the People’s Republic of China also issued ‘General Notice on
Strengthening Inspection and Quarantine of Imported Salmon’ (关于加强进口三文⻥检验检疫的公告)
requiring more stringent sanitation and veterinary testing of imports of chilled farmed salmon from all markets (28 January 2011). In practice, testing focused on Norwegian salmon. Exporters reported that all Norwegian exports were tested, resulting in lengthy delays.84
o Other: China-Norway FTA negotiations were delayed (did not resume until 2016).85</t>
  </si>
  <si>
    <t>Norway (Europe)</t>
  </si>
  <si>
    <t>Food &amp; Beverage</t>
  </si>
  <si>
    <t>Salmon</t>
  </si>
  <si>
    <t>Explanation: Chinese officials repeatedly denied the restrictions were sanctions nor specifically directed at Norway when Norwegian representatives raised concerns at the WTO repeatedly in June and October 2011; March, July, and October 2012, and March, June, and October 2013.86
Annotation(s): Norway government declined to meet Dalai Lama in May 2014. However, in September 2014 and March 2015, citing SPS concerns about Infectious Salmon Anemia, Chinese authorities banned imports from Norwegian counties of South Tronderlag, Nordland and Troms (which represented approximately 1/5 of exports at the time).87 This case of conversion (via SPS rules) is more speculative.</t>
  </si>
  <si>
    <t>Delayed Estonian access to the Chinese dairy market following Dalai Lama’s visit and meeting with President Toomas Hendrik Ilves</t>
  </si>
  <si>
    <t>Trigger: Dalai Lama visit and meeting with President Toomas Hendrick Ilves.88
Sanction:
• Informal—Bureaucratic obstruction (?) [1]: Some sources report that the meeting resulted in delayed Estonian access to the Chinese dairy market.89 In a 2014 interview, Estonian Minister for Foreign Trade and Entrepreneurship, Anne Sulling stated: “Estonia and Finland have a different export strategy [for dairy products]. They are concentrating on China, but we don't because their market is currently closed for us. There is no point to develop business contacts if the access to Estonian products is not granted. We have not been successful in the Chinese market since the Estonian officials welcomed the Dalai Lama here.”90
Explanation: None identified.
Annotation(s):
• The case for retaliation rests on the fact that agricultural talks remained on hold until the Estonian government apparently conveyed its support for China’s position on Tibet in late 2014,91 after which talks resumed and Estonia eventually secured export approval in 2016.92
• PRC also reported to have cancelled diplomatic exchanges.93</t>
  </si>
  <si>
    <t>Estonia (Europe)</t>
  </si>
  <si>
    <t>Dairy</t>
  </si>
  <si>
    <t>Rejection of Philippine fruit exports, including bananas, papayas, pineapples, and mangoes, by Chinese customs, citing pest and quarantine concerns, following tensions over Scarborough Shoal</t>
  </si>
  <si>
    <t>• Informal—Conversion (SPS) [2]: Philippine exports of a variety of fruit were rejected by Chinese customs. Most notably were bananas (due to apparent scale insects, such as Aonidiella comperei McKenzie,95 and other ‘quarantine concerns’)96 and papaya (due to apparent presence of mealybugs).97 Other affected fruits reported to include pineapple and mango.</t>
  </si>
  <si>
    <t>Conversion</t>
  </si>
  <si>
    <t>Bananas, papayas, pineapples, and mangoes</t>
  </si>
  <si>
    <t>Trigger: Tensions regarding Scarborough Shoal in the South China Sea.94
Sanctions:
• Informal—Conversion (SPS) [2]: Philippine exports of a variety of fruit were rejected by Chinese customs. Most notably were bananas (due to apparent scale insects, such as Aonidiella comperei McKenzie,95 and other ‘quarantine concerns’)96 and papaya (due to apparent presence of mealybugs).97 Other affected fruits reported to include pineapple and mango.
• Informal—Blacklist [1] / Boycott fomentation [1]: Citing a planned protest outside the Chinese embassy in Manila, the China National Tourism Association issued a travel warning [boycott] and instructed travel agencies to cancel group tours [blacklist].98 At least two major travel agencies halted organised tours and some Chinese airlines cancelled flights.99
Explanations:
• Chinese officials denied any of the restrictions were related to the political dispute.100 The Philippine Bureau of Plant Industry believed the SPS restrictions were ‘politically motivated’.101 Industry were similarly sceptical, with the executive director of the Pilipino Banana Growers and Exporters Association, Stephen Antig, quipping: ‘they [Chinese officials] just went on the Internet and found a list of all the diseases that attack bananas’.102 A team of Philippine quarantine inspectors which was dispatched to China to investigate the issue failed to find any pests.103
Annotation(s):
• Prior issues: Chinese officials had warned the Philippines about potential SPS issues several weeks earlier (in March),
however the warning only concerned one Japanese conglomerate (Sumifru Corporation, operating in Mindanao) and no
restrictions were imposed at the time.104
• Whether or not the restrictions on fruit were retaliatory has been debated by many. Most notably, Angela Poh has argued it
is a ‘myth’ that they were retaliatory,105 while Ketian Zhang has sought show they were indeed sanctions.106</t>
  </si>
  <si>
    <t xml:space="preserve">China National Tourism Administration orders cancellation of Chinese group tours and issues travel warning for the Philippines following tensions over Scarborough Shoal </t>
  </si>
  <si>
    <t>Outbound Tourism Restriction</t>
  </si>
  <si>
    <t>• Informal—Blacklist [1] / Boycott fomentation [1]: Citing a planned protest outside the Chinese embassy in Manila, the China National Tourism Association issued a travel warning [boycott] and instructed travel agencies to cancel group tours [blacklist].98 At least two major travel agencies halted organised tours and some Chinese airlines cancelled flights.99</t>
  </si>
  <si>
    <t>Hospitality &amp; Travel</t>
  </si>
  <si>
    <r>
      <rPr>
        <b/>
        <sz val="14"/>
        <color theme="1"/>
        <rFont val="Calibri"/>
        <family val="2"/>
      </rPr>
      <t>Could also be classified as boycott</t>
    </r>
    <r>
      <rPr>
        <sz val="14"/>
        <color theme="1"/>
        <rFont val="Calibri"/>
        <family val="2"/>
      </rPr>
      <t xml:space="preserve">
Trigger: Tensions regarding Scarborough Shoal in the South China Sea.94
Sanctions:
• Informal—Conversion (SPS) [2]: Philippine exports of a variety of fruit were rejected by Chinese customs. Most notably were bananas (due to apparent scale insects, such as Aonidiella comperei McKenzie,95 and other ‘quarantine concerns’)96 and papaya (due to apparent presence of mealybugs).97 Other affected fruits reported to include pineapple and mango.
• Informal—Blacklist [1] / Boycott fomentation [1]: Citing a planned protest outside the Chinese embassy in Manila, the China National Tourism Association issued a travel warning [boycott] and instructed travel agencies to cancel group tours [blacklist].98 At least two major travel agencies halted organised tours and some Chinese airlines cancelled flights.99
Explanations:
• Chinese officials denied any of the restrictions were related to the political dispute.100 The Philippine Bureau of Plant Industry believed the SPS restrictions were ‘politically motivated’.101 Industry were similarly sceptical, with the executive director of the Pilipino Banana Growers and Exporters Association, Stephen Antig, quipping: ‘they [Chinese officials] just went on the Internet and found a list of all the diseases that attack bananas’.102 A team of Philippine quarantine inspectors which was dispatched to China to investigate the issue failed to find any pests.103
Annotation(s):
• Prior issues: Chinese officials had warned the Philippines about potential SPS issues several weeks earlier (in March),
however the warning only concerned one Japanese conglomerate (Sumifru Corporation, operating in Mindanao) and no
restrictions were imposed at the time.104
• Whether or not the restrictions on fruit were retaliatory has been debated by many. Most notably, Angela Poh has argued it
is a ‘myth’ that they were retaliatory,105 while Ketian Zhang has sought show they were indeed sanctions.106</t>
    </r>
  </si>
  <si>
    <t>Intensified inspections of imports from Japan at ports such as Shanghai and Qingdao and at Beijing Capital International Airport following Japan’s purchase of disputed Senkaku/Diaoyu Islands</t>
  </si>
  <si>
    <t>o Stepped up inspection of raw materials for optical products at Shanghai port (previously 10% of exports to Japan
inspected, increase to 100% inspected).108 In some cases, such as the port of Qingdao109 and Beijing Capital
International Airport,110 all Japanese products reportedly subject to 100% inspection.111</t>
  </si>
  <si>
    <t xml:space="preserve">
Annotation(s): Reports suggested customs experience varied from product to product, and from one customs officer to another.120</t>
  </si>
  <si>
    <t>Delayed M&amp;A approvals, visa processing, and exclusion of Japanese firms from business events, along with restrictions on Japan-related books and cultural events in Beijing, following Japan’s purchase of disputed Senkaku/Diaoyu Islands</t>
  </si>
  <si>
    <t>Obstruction of Foreign Business in China</t>
  </si>
  <si>
    <t>o There were also reports of delayed M&amp;A approvals by Chinese antitrust authorities, and Japanese firms
experiencing other difficulties such as delayed visa approvals and exclusion from business events.112</t>
  </si>
  <si>
    <t>(bureaucratic obstruction / blacklist). Book ban is blacklist. • Informal—Bureaucratic obstruction [2]:
o Stepped up inspection of raw materials for optical products at Shanghai port (previously 10% of exports to Japan
inspected, increase to 100% inspected).108 In some cases, such as the port of Qingdao109 and Beijing Capital
International Airport,110 all Japanese products reportedly subject to 100% inspection.111
o There were also reports of delayed M&amp;A approvals by Chinese antitrust authorities, and Japanese firms
experiencing other difficulties such as delayed visa approvals and exclusion from business events.112
• Informal—Blacklist [1]: Beijing municipal authorities reported to have ordered publishers not to sell books related to Japan,
nor organize or promote cultural events involving Japanese participants.113</t>
  </si>
  <si>
    <t>Launch of anti-dumping investigation into Japanese (and Indian) pyridine following Japan’s purchase of disputed Senkaku/Diaoyu Islands</t>
  </si>
  <si>
    <t>• Informal—Conversion (AD) [1]: Anti-dumping investigation into Japanese (and Indian) pyridine launched on 21 Sept.114</t>
  </si>
  <si>
    <t>Anti-Dumping Regulations</t>
  </si>
  <si>
    <t>Chemicals</t>
  </si>
  <si>
    <t>Pyridine</t>
  </si>
  <si>
    <t>Boycotts against Japanese brands following Japan’s purchase of disputed Senkaku/Diaoyu Islands</t>
  </si>
  <si>
    <t>Boycott</t>
  </si>
  <si>
    <t>o Goods: State-media gave significant coverage of consumer boycotts,115 which targeted highly visible Japanese consumer brands such as Canon, Toyota and Uniqlo.116 Although the government did not directly endorse them, researchers emphasise boycotts were ‘implicitly supported’,117 and certainly tolerated before they began to escalate.118</t>
  </si>
  <si>
    <t>Boycott Fomentation</t>
  </si>
  <si>
    <t>Canon; Toyota; Uniqlo</t>
  </si>
  <si>
    <t>Consumer Goods; Transportation</t>
  </si>
  <si>
    <t>Travel warning and discouragement of trips to Japan by state media and state-owned enterprises following Japan’s purchase of disputed Senkaku/Diaoyu Islands</t>
  </si>
  <si>
    <t>Travel: CNTA issued a travel warning about ‘safety risks’ in Japan, state media discouraged travel to Japan, and some state-owned companies reportedly advised their employees against travel to Japan.119</t>
  </si>
  <si>
    <t>Unofficial suspension of oil exports to North Korea in February, June, and July following North Korea’s long-range rocket launch and nuclear tests</t>
  </si>
  <si>
    <t>• Informal—Blacklist [1]: China reported to have unofficially ceased exports of oil in three different months (February, June and July).122</t>
  </si>
  <si>
    <t>Energy</t>
  </si>
  <si>
    <t>Oil</t>
  </si>
  <si>
    <t>Trigger: North Korea carried out a long-range rocket launch (December 2012), threatened another nuclear test (January 2013) and carried out the third nuclear test in February 2013.121
Explanation: CNPC explained the oil supply disruption was due to ‘technical problems’.124 No explanation identified for tourism.
Annotation(s): China support and took steps to implement formal multilateral sanctions during this period as well.
• UNSCR 2087: China voted in favour of the resolution, which expanded travel bans and asset freezes against specific DPRK
entities, and some implementation was reported (such as increased customs inspections in Dandong and Dalian).125
• UNSCR 2094: In April 2013, the Transportation Ministry issued a public notice directing firms to enforce the UN sanctions. MOFCOM also issued a 236-page list of potential dual-use items forbidden from export.126 Bank accounts linked to the DPRK were closed with at least four state-owned banks, and customs inspections were tightened (especially in areas known
for smuggling activity, such as Dalian).127</t>
  </si>
  <si>
    <t>Discouragement of travel to North Korea by the National Tourism Administration and cancellation of Chinese group tours following North Korea’s long-range rocket launch and nuclear tests</t>
  </si>
  <si>
    <t xml:space="preserve"> Informal—Boycott fomentation(?) [1]: Although tourism was not formally banned (nor required to be under the UNSC resolutions), the National Tourism Administration discouraged travel and reports indicate Chinese tourist agencies cancelled group tours to the country.123</t>
  </si>
  <si>
    <t>Reported restrictions on crude oil exports to North Korea from January to September following the execution of Kim Jong-un’s uncle, Chang Song-thaek, and North Korean missile tests</t>
  </si>
  <si>
    <t>Informal—Blacklist(?) [1]: Crude oil supplies reported to be cut from approximately January to September.147 However, later sources suggest the trade continued but was no longer reported in Chinese trade statistics.148</t>
  </si>
  <si>
    <t>Trigger: Execution of Chang Song Taek in December 2013 and short-range ballistic missile tests in March 2014.146
Explanation: None identified. MFA Spokeswoman Hua Chunying sidestepped questions about whether crude oil supplies had been disrupted.149</t>
  </si>
  <si>
    <t>Increased customs scrutiny on imports from Vietnam, reportedly affecting perishable goods such as lychees, following Vietnamese objections to China’s deployment of the Hai Yang Shi You 981 oil rig in waters near the disputed Paracel Islands and subsequent anti-China protests in several Vietnamese cities</t>
  </si>
  <si>
    <t>• Informal—Bureaucratic obstruction(?) [1]: Several sources report that Vietnamese exports were also subjected to enhanced scrutiny by Chinese customs officers following the oil rig dispute.141 As a result, it has particularly been suggested that an unspecified volume of lychees (a major Vietnamese export to China at the time) were spoilt,142 and that exports of the fruit generally decreased during the period.143 No major news wire services reported on this at the time, and some scholarly research suggests there was not, in fact, any disruption at the border.144</t>
  </si>
  <si>
    <t>Lychees</t>
  </si>
  <si>
    <t>Trigger: Vietnamese objection to Chinese deployment of Hai Yang Shi You 981 (HYSY-981) oil rig in waters near the disputed Paracel Islands in the South China Sea in May 2014, and subsequent anti-China protests in several Vietnamese cities.
Explanation: Travel warnings were justified by reference to the (not insignificant) anti-China protests that occurred in May, during which several Chinese nationals were killed and many others injured.145 None identified for apparent border scrutiny.</t>
  </si>
  <si>
    <t>Prolonged travel warning issued for Vietnam, seen by some as a form of punishment for Vietnamese objections to China’s deployment of the Hai Yang Shi You 981 oil rig in waters near the disputed Paracel Islands and subsequent anti-China protests in several Vietnamese cities</t>
  </si>
  <si>
    <t>• Informal—Boycott fomentation(?) [1]: Following attacks on Chinese citizens and businesses, the Chinese government issued a travel warning for Vietnam in mid-May.139 The travel warning remained in place for several months after the situation had settled, prompting some to speculate that tourism was being deliberately suppressed as a form of punishment.140</t>
  </si>
  <si>
    <t>Antitrust investigations into Microsoft and Qualcomm following US indictment of PLA members for cyberattacks</t>
  </si>
  <si>
    <t>Informal—Conversion (Domestic law) (?) [2]: Anti-trust investigations (under China’s 2007 Anti-Monopoly Law) targeting
US firms Microsoft and Qualcomm. Several outlets and researchers speculated that the investigations were retaliatory due to their timing.129</t>
  </si>
  <si>
    <t>Microsoft; Qualcomm</t>
  </si>
  <si>
    <t>United States (North America)</t>
  </si>
  <si>
    <t>ICT; Semiconductors</t>
  </si>
  <si>
    <t>Trigger: US Justice Department’s indictment of five members of the People’s Liberation Army for cyberattacks targeting US firms, and revelations about US technology companies being complicit in NSA cyber espionage.128
Explanation: Chinese authorities maintained the investigations were routine anti-trust actions. Some experts confirmed the investigations had some legal merit.130 Given the limited evidence that these actions were retaliatory, coded as speculative.</t>
  </si>
  <si>
    <t>Travel warning issued for the Philippines, leading to cancellation of tour packages and charter flights, following Manila’s escalation of the South China Sea dispute to the Permanent Court of Arbitration</t>
  </si>
  <si>
    <t>Informal—Boycott fomentation [1]: Chinese officials issued a travel warning advising Chinese citizens to avoid all travel to the Philippines. Prompted travel agencies to cease offering tour packages,131 the cancellation of charter flights,132 and accordingly a decrease in outbound tourism to the Philippines.133</t>
  </si>
  <si>
    <t>Trigger: Ongoing tensions related to South China Sea dispute (most directly, Manila’s decision to escalate the dispute to the Permanent Court of Arbitration despite Chinese opposition).
Explanation: Chinese officials cited a series of events, including reported kidnappings of Chinese nationals and an alleged bomb plot which, among other places, allegedly targeted the Chinese embassy in Manila. “Given that the safety situation in the Philippines is deteriorating, the consular service of the foreign ministry is asking Chinese nationals not to travel to the Philippines for the time being”.134 One official explicitly denied it was a ‘travel ban’: “It’s a travel warning only, not a travel ban. It’s a result of the number of Chinese who either got robbed or kidnapped in the Philippines”.135
Annotation(s): Borderline speculative case. Widely interpreted as coercive,136 but Chinese concerns generally acknowledged as somewhat legitimate.137 Notable, however, that China’s warnings applied to the whole of the Philippines rather than specific regions where threats were deemed to exist (while some other governments had warnings in place for southern parts of the Philippines at the time, no other countries had ‘blanket advisories’ for the entire country).138</t>
  </si>
  <si>
    <t>Boycott of JYP Entertainment after Chou Tzuyu, a Taiwanese member of the girl music-group TWICE, waved a Taiwanese flag on national TV</t>
  </si>
  <si>
    <t>"After the singer appeared on a broadcast holding a Taiwanese flag to symbolize her nationality, Chinese netizens and broadcasting stations exploded in uproar, accusing the 16 year old singer of treason against the People’s Republic of China. The issue has since escalated dramatically, with broadcasting stations in China banning TWICE and Chinese netizens spreading the hashtag #boycottJYP on Chinese social media platform Weibo."</t>
  </si>
  <si>
    <t>JYP Entertainment</t>
  </si>
  <si>
    <t>Entertainment</t>
  </si>
  <si>
    <t>Seemingly state-supported: Broadcasting stations in China allegedly banned TWICE.
Apology issued.
With all of this uproar, JYP Entertainment released an official statement clarifying that Tzuyu had no ill intentions against the communist Chinese government, and even allegedly changed Tzuyu’s profile birthplace to “China Taiwan,” a move that many have deemed as appeasing to China. However, Chinese netizens and broadcasting stations alike have refused to change their stance on the issue. Instead, Tzuyu and JYP Entertainment have found themselves gaining the support of netizens who are pro-Taiwanese independence, who have publicly shown their support for TWICE and JYP Entertainment through social media</t>
  </si>
  <si>
    <t>Reporting (KoreaBoo)</t>
  </si>
  <si>
    <t>Reporting (Korea Herald)</t>
  </si>
  <si>
    <t>Informal order to Chinese travel agents to reduce Taiwan-bound tourism, including an 80% cut in group tour packages and reduced quotas, following Tsai Ing-wen’s election and refusal to endorse the ‘one-China’ principle of the 1992 Consensus</t>
  </si>
  <si>
    <t xml:space="preserve"> Informal—Blacklist [1]: Taiwan’s Travel Quality Assurance Association reported that Chinese authorities unofficially ordered Chinese travel agents to cut the number of Taiwan-bound tourists as well as cut group tour packages to Taiwan by 80 - percent. Actors inside the Chinese tourism ecosystem also reported travel agents were given instructions to enforce a reduced monthly quota of 37,500 (it had previously been 150,000).151</t>
  </si>
  <si>
    <t>Trigger: Election of Tsai Ing-wen and her unwillingness to endorse the ‘one-China’ principle of the ‘1992 Consensus’.150
Explanation: State media denied there were restrictions in place, suggesting that ‘political uncertainty’ and a sense of feeling ‘unwelcome’ among Chinese nationals were the factors behind the reduction in outbound travel to Taiwan.152</t>
  </si>
  <si>
    <t>Non-renewal of charter permits for Philippine carriers, flight cancellations, and travel warnings following the Permanent Court of Arbitration ruling in favor of the Philippines’ claim in the South China Sea</t>
  </si>
  <si>
    <t>• Informal—Bureaucratic obstruction [1]: It was reported that Chinese authorities had declined to renew charter permits of Philippine carriers, resulting in flight and thus tour cancellations. At least 19 charter flights cancelled due to this permit issue.153
• Informal—Boycott fomentation [1]: Chinese officials were said to be imposing an ‘informal ban on travel to the Philippines’ by media outlets.154 Travel warnings were issued. The travel warning from 2014 (see case 2.12) remained in place, and another was introduced by the Chinese embassy in the Philippines in September 2016 after an explosion at a night market in Davao City.155</t>
  </si>
  <si>
    <t>Trigger: Permanent Court of Arbitration ruled in favour of the Philippines’ claim in the South China Sea (July 12 2016).
Explanation: None identified. Some Chinese travel agents criticised the Philippine Bureau of Immigration for being discriminatory towards Chinese nationals, citing instances in which immigration officers had turned travellers from China away.156
Annotation(s): Some evidence of Chinese netizens appealing for popular boycott of Philippine products and travel.157</t>
  </si>
  <si>
    <t>Calls for boycott of Philippine products and travel following the Permanent Court of Arbitration ruling in favor of the Philippines’ claim in the South China Sea</t>
  </si>
  <si>
    <t>Annotation(s): Some evidence of Chinese netizens appealing for popular boycott of Philippine products and travel.157</t>
  </si>
  <si>
    <t>Consumer Goods; Hospitality &amp; Travel</t>
  </si>
  <si>
    <t>KFC and Apple targeted in protests against international ruling against Chinese territorial claims in the South China Sea</t>
  </si>
  <si>
    <r>
      <rPr>
        <b/>
        <sz val="14"/>
        <color theme="1"/>
        <rFont val="Calibri"/>
        <family val="2"/>
      </rPr>
      <t>KFC:</t>
    </r>
    <r>
      <rPr>
        <sz val="14"/>
        <color theme="1"/>
        <rFont val="Calibri"/>
        <family val="2"/>
      </rPr>
      <t xml:space="preserve"> KFC outlets in about a dozen cities, including Hangzhou, in Zhejiang Province; Changsha, in Hunan Province; and Yangzhou, in Jiangsu Province, were targeted by protests and calls for a boycott on Monday, according to a report from Sohu News, a Chinese online news outlet. But the campaign was far smaller than previous nationalist boycotts, and state media outlets warned protesters to avoid any illegal behavior.
</t>
    </r>
    <r>
      <rPr>
        <b/>
        <sz val="14"/>
        <color theme="1"/>
        <rFont val="Calibri"/>
        <family val="2"/>
      </rPr>
      <t xml:space="preserve">Apple: </t>
    </r>
    <r>
      <rPr>
        <sz val="14"/>
        <color theme="1"/>
        <rFont val="Calibri"/>
        <family val="2"/>
      </rPr>
      <t>HONG KONG (Reuters) - Apple Inc found itself on the receiving end of a small, short-lived anti-U.S. protest this week in China, the tech firm's biggest overseas market and a country where foreign firms have suffered damaging boycotts following international spats.
A handful of unofficial Apple stores were picketed and social media users encouraged each other to destroy their Apple goods, in a rare instance of the tech firm being targeted as a symbol of perceived injustice following an international ruling against Chinese territorial claims.</t>
    </r>
  </si>
  <si>
    <t>KFC; Apple</t>
  </si>
  <si>
    <t>Food &amp; Beverage; Other Electronics; Consumer Goods</t>
  </si>
  <si>
    <t xml:space="preserve">No identified state support. No apology. </t>
  </si>
  <si>
    <t>Reporting (NYT)</t>
  </si>
  <si>
    <t>Reporting (Reuters)</t>
  </si>
  <si>
    <t>Rejection of imports of diary products from Australia and suspension of import licenses following Australian criticism of Chinese actions in the South China Sea and rejection of large Chinese investment proposals</t>
  </si>
  <si>
    <t>• Informal—Conversion [3]:
o Exports rejected (TBT): 3.8 tonnes of viplus formula rejected due to incorrect labelling (June).
o Exports rejected and license suspended (SPS): Fresh milk exports (from Camperdown Dairy Company) rejected
due to apparent presence of harmful bacteria, and the company had its license suspended.170 Chinese authorities
also announced they had “strengthened supervision” for all other Australian dairy exporters.171
o License suspension (TBT): Certification and Accreditation Administration of China suspended the import license
of Viplus Dairy, without providing a reason.172</t>
  </si>
  <si>
    <t>Trigger: Australian criticism of Chinese actions in the South China Sea and rejection of large Chinese investment proposals.169
Explanation: None identified.
Annotation(s): Notable that the SPS rejections coincided with then-PM Malcolm Turnbull attending a G20 meeting in Hanzhou.</t>
  </si>
  <si>
    <t>Verbal ban on South Korean entertainment content by State Administration of Radio, Film and Television, and delays in licensing approvals for South Korean video games, reportedly in response to South Korea’s THAAD deployment</t>
  </si>
  <si>
    <t>o Cultural products: State Administration of Radio, Film and Television alleged to have issued a verbal ban prohibiting the distribution of Korean entertainment content (including music, TV dramas, and films) in November 2016.
• Informal—Bureaucratic obstruction [1]: Korean video games not given decisions for applications for licenses beginning in March 2017.193 Decisions continued to be delayed well after the dispute appeared to be resolved, with the first decision being made in December 2020.194</t>
  </si>
  <si>
    <t>Blacklist; Bureaucratic Obstruction</t>
  </si>
  <si>
    <t>Music, TV dramas, and films, video games</t>
  </si>
  <si>
    <t>Trigger: South Korean government’s decision to jointly deploy THAAD missile defence system with the US.173
Explanation: Throughout the dispute, Chinese officials denied any restrictions were in place.195 Irregularities were said to be a consequence of: the (offended) feelings of patriotic Chinese nationals,196 or the failure of ROK companies to comply with Chinese laws and regulations.197</t>
  </si>
  <si>
    <t>New fees for trade at border crossings and a tariff on mining products from Mongolia following the Dalai Lama’s visit to Ulaanbaatar</t>
  </si>
  <si>
    <t>• Informal—Conversion(?) (TBT) [2]:
o Variety of new fees (for maintenance, processing, sanitation, documentation, et cetera) charged at Chinese border
crossings with Mongolia.159
o A new two percent tariff on mining products with a value exceeding 10,000 RMB also introduced at the Manjuur
(Manzhouli), Ereen and Gantsmod crossings.160 This prompted a short interruption to copper concentrate exports
from the Oyu Tolgoi mine as new logistical arrangements had to be put in place.161</t>
  </si>
  <si>
    <t>Mining products, copper concentrate</t>
  </si>
  <si>
    <t>Trigger: Dalai Lama visit to Ulaanbaatar.158
Explanations: Chinese Foreign Ministry spokesman Geng Shuang said he was not aware of the situation – neither confirming nor
denying any link to the Dalai Lama’s visit.165
Annotation(s): At a press conference led by the head of the Border Department of Mongolia’s Ministry of Foreign Affairs, it was emphasised that the new fees were not only being imposed on Mongolia but on Russia as well.166 Some reports also indicate that the Mongolian government had been advised of the new rates on November 4, weeks before they were introduced.167 Documents accompanying the announcement on that date suggest the fees were motivated by the provincial government (Chinese Inner Mongolia)’s desire to offset infrastructural loan repayments: ““mainly for the repayment of principal and interest of bank loans taken out for port infrastructure construction as well as port facilities maintenance, management and other normal operating costs”.168</t>
  </si>
  <si>
    <t>Forced re-routing of imports from Mongolia such as copper and coal via specific border crossings, causing delays, following the Dalai Lama’s visit to Ulaanbaatar</t>
  </si>
  <si>
    <t>• Informal—Bureaucratic obstruction(?) [2]:
o Forced re-routing of certain Mongolian exports via specific crossings: copper,162 and coal.163 This led to delays as logistical solutions were crafted.
o Loan negotiations also reported to be suspended.164</t>
  </si>
  <si>
    <t>Copper, coal</t>
  </si>
  <si>
    <t>Restrictions on Lotte following South Korea’s decision to jointly deploy the THAAD missile defense system with the U.S., including tax probe affecting over 150 offices, sudden audits, closures of Lotte businesses—including retail stores, factories, and a major development project—citing safety and fire code violations</t>
  </si>
  <si>
    <t>§ Approximately 600kg of Lotte candy confiscated and incinerated by quarantine officials in Qingdao
because the “products contained additives prohibited under food safety regulations”.174
§ Tax:Awide-rangingtaxprobewasconductedofLotte,affectingmorethan150ofitsoffices.Anumber
of the conglomerates businesses also faced sudden audits.178
§ Healthandsafety:
• Numerous Lotte businesses – including at least 87 Lotte Mart stores, a Lotte Advanced Materials factory, and Lotte chocolate factory – closed for violating fire safety rules.179 In one example, the alleged violations included “lack of proper fire alarm system functions, lack of proper sprinkler functions, partial damage to fire exits, and lack of a safety exit in the firefighting pump room”.180
• Lotte development project including shopping mall, hotel, movie theatre, apartments and amusement park in Shenyang suspended due to violations of safety regulations.</t>
  </si>
  <si>
    <t>Fire safety regulations, safety standards</t>
  </si>
  <si>
    <t>Lotte</t>
  </si>
  <si>
    <t>Consumer Goods; Food &amp; Beverage</t>
  </si>
  <si>
    <t>Candy</t>
  </si>
  <si>
    <t>Rejection of South Korean goods, including cosmetics, food products, air purifiers, and electronic bidets following South Korea’s decision to jointly deploy the THAAD missile defense system with the U.S.</t>
  </si>
  <si>
    <t xml:space="preserve">Informal—Conversion [13]:
o SPS:
o TBT:
§ Cosmetic and food products rejected in January due to insufficient documentation. While some
interpreted this as retaliation, South Korean officials reported it was plausible they were genuine violations.175
§ The rejection of ROK air purifiers and electronic bidets for failing to meet labelling requirements for Chinese safety standards were also reported as a potential form of retaliation.176
</t>
  </si>
  <si>
    <t>Food safety regulations, safety standards</t>
  </si>
  <si>
    <t>Cosmetics, air purifiers, electronic bidets</t>
  </si>
  <si>
    <t xml:space="preserve">Boycott of APA Hotel Group following allegations that one of its videos contained revisionist history books denying the Nanking massacre </t>
  </si>
  <si>
    <t>China has ordered tour agencies and online travel bookers to boycott a Japanese hotel chain after it placed books in guest rooms denying the Nanjing Massacre took place.
A spokesman for the China National Tourism Administration said the actions of hotel chain APA Group were “an open provocation to Chinese tourists.”
“We demand that all operators with international tours and online platforms completely stop all cooperation with this hotel,” Zhang said.</t>
  </si>
  <si>
    <t>APA Group</t>
  </si>
  <si>
    <t xml:space="preserve">Visible state support. No apology. </t>
  </si>
  <si>
    <t>Reporting (BBC)</t>
  </si>
  <si>
    <t>China Daily Support</t>
  </si>
  <si>
    <t>Instructions to travel agents by China National Tourism Association (CNTA) to halt South Korea-bound tourism services, following South Korea’s decision to jointly deploy the THAAD missile defense system with the U.S.</t>
  </si>
  <si>
    <t>• Informal—Blacklists [2]:
o Travel: China National Tourism Association (CNTA) allegedly verbally instructed travel agents to cease offering
any South Korea-bound tourism services in March 2017. The ban remained in place until October 2017, and was then gradually wound back.185 When travel partially resumed in early 2018, travel agency executives were instructed to not include Lotte businesses on new group tours.186</t>
  </si>
  <si>
    <t>Boycott calls against South Korean products and services, including Lotte, travel, motor vehicles, and cultural exports, following South Korea’s decision to jointly deploy the THAAD missile defense system with the U.S.</t>
  </si>
  <si>
    <t>• Informal—Boycott fomentation [4]:
o State media encouraged boycotts of numerous Korean products and services,187 including:
§ Lotte.188
§ Travel. This was done both via state media,189 and official travel warnings from CNTA.190 § Motorvehicles.191
§ Culturalexports(films,music,TVdramas,etc).192</t>
  </si>
  <si>
    <t>Transportation; Consumer Goods; Entertainment; Hospitality &amp; Travel</t>
  </si>
  <si>
    <t>Recall of South Korean motor vehicles by Chinese authorities citing ‘potential safety risks’ and exclusion of South Korean electric vehicle batteries from a key subsidy program, following South Korea’s decision to jointly deploy the THAAD missile defense system with the U.S.</t>
  </si>
  <si>
    <t>§ GeneralAdministrationofQualitySupervision,InspectionandQuarantineorderedtherecallofseveral ROK motor vehicles due to ‘potential safety risks’ – including Kia Borrego (‘loose wheel nuts’), Hyundai Santa Fe (‘a defect that can cause the engine to fail’) and Kia Sorento (‘defective engine pipe that can leak and catch fire’).177
§ Subsidy scheme: Vehicles using South Korean electric vehicle batteries were consistently excluded from a subsidy regime managed by the Ministry of Industry and Information Technology. Approval for the subsidy was considered a ‘prerequisite’ for competing in the Chinese EV market, and there is some evidence to suggest that exclusion from the list was retaliatory.181</t>
  </si>
  <si>
    <t>Safety regulations</t>
  </si>
  <si>
    <t>Kia; Hyundai</t>
  </si>
  <si>
    <t>Transportation</t>
  </si>
  <si>
    <t>Cars, EV batteries</t>
  </si>
  <si>
    <t>Ban on meat exports from six Australian abattoirs, citing labelling and paperwork discrepancies, reportedly in response to Australian Foreign Minister Julie Bishop’s comments on freedom of navigation in the South China Sea</t>
  </si>
  <si>
    <t>• Informal—Conversion (TBT) [1]: AQSIQ placed a ban on meat exports from six Australian abattoirs, representing approximately 50 percent of Australian exports to China, due to apparent discrepancies with labelling and paperwork.218 The ban was imposed in July and not lifted until November.219</t>
  </si>
  <si>
    <t>Trigger: Speculation that the customs issues were retaliation for comments made by Australian Foreign Minister Julie Bishop about freedom of navigation in the South China Sea.217
Explanation: AQSIQ cited the fact that labels failed to comply with Chinese regulations and the provisions of the China-Australia Free Trade Agreement.220 Australian reports quoted industry sources who confirmed the issue related to “minor discrepancies, especially over labels — or labels coming off a couple of boxes out of, for instance, 200 in a container — and over paperwork”.221
Annotation(s): The link between political tensions and the export restrictions in this case is not well established. It is particularly notable that AQSIQ had also raised concerns about labelling for beef and lamb products from six Australian abattoirs—including three of those facing the new ban—earlier in the year (May).222 There was also speculation that the restrictions may have been related to trade tensions, rather than political ones, after Australia had banned imports of fresh and cooked prawns from China (and Vietnam) from January-July 2017.223 Given the uncertainty, this is coded as a speculative case.</t>
  </si>
  <si>
    <t>Anti-dumping investigations and duties on various petrochemical products, and duties on acrylic
fabrics following South Korea’s decision to jointly deploy the THAAD missile defense system with the U.S.</t>
  </si>
  <si>
    <t>Informal—Conversion [13]: o Anti-dumping:
§ New anti-dumping investigations and duties on various petrochemical products, and duties on acrylic
fabrics were interpreted by some as retaliation due to their timing.183 In the latter case, it is notable that an investigation had been launched prior to the THAAD dispute.184</t>
  </si>
  <si>
    <t>Petrochemical products, acrylic
fabrics</t>
  </si>
  <si>
    <t>Reported restrictions on tourism to North Korea, including instructions to tour companies in Dandong to halt all trips to Pyongyang, following North Korea’s missile tests, nuclear tests, and the assassination of Kim Jong-nam</t>
  </si>
  <si>
    <t>• Informal—Blacklist (?) [1]: Restrictions on travel during 2017 have been interpreted as part of China’s retaliation,202 however these were never formally introduced. Tour companies in Dandong reported receiving instructions to halt all trips to Pyongyang (day trips to Sinuiju, opposite Dandong, were still permitted).203</t>
  </si>
  <si>
    <t xml:space="preserve">Trigger(s): The assassination of Kim Jong-un’s half-brother Kim Jong-nam (February), ballistic missile tests in February, April, May June, July and August, the sixth nuclear test (September 3) and further ballistic missile tests (September and November).
Explanation: Restrictions were not acknowledged as sanctions. Air China reported that it had indefinitely suspended flights between Beijing and Pyongyang in November, citing the fact that “business was not good”.204
Annotation(s): Note that this occurred alongside formal implementation of multilateral UN sanctions. China endorsed a raft of new UNSC resolutions—UNSCR 2371 (August) UNSCR 2375 (September) and UNSCR 2397 (December)—with incrementally expanded sanctions to include annual caps on exports of refined petroleum, natural gas and crude oil, a ban on imports of DPRK iron, coal, seafood and textile and apparel products, a ban on joint ventures with DPRK entities, and further asset freezes. Beijing took additional steps to implement the new (and old) resolutions throughout the year, including:
• On January 25 MOFCOM issued a public list of dual-use items subject to UN export controls.205
• Officially banning coal purchases in February via a public notice released by MOFCOM.206
• Placed official limits on refined petroleum and natural gas exports to the DPRK via a public notice from MOFCOM.207
• MOFCOM and GACC, via ‘Announcement No. 4’ (January 2018), prohibited or capped a wide range of exports (such as
crude oil, industrial machinery and iron) and imports (including agricultural products and electrical equipment) pursuant to
UNSCR 2397.208
• Revoking the business licenses of some companies with links to the DPRK in accordance with UNSCR 2375.209
• These implementation efforts were subsequently reflected in customs statistics.210
Multilateral sanctions had also been enforced in 2016 following the DPRK’s fourth and fifth nuclear tests that year. China endorsed UNSCRs 2270 (March) and 2321 (November) and took steps to implement sanctions contained in each. The resolutions broadened sanctions in a number of ways, including—perhaps most notably—to cover the import of minerals from DPRK (in particular 2321 imposed a quantitative cap on coal imports, which was especially relevant to China as the biggest buyer, and banning imports of copper, nickel, silver, and zinc). MOFCOM issued public statements instructing firms to comply with UNSCR 2270,211 and MOFCOM and GACC also issued detailed list of all embargoed minerals on April 5 2016.212 In December, Beijing announced it had order firms to cease imports of coal for the remainder of the year,213 and issued new instructions (Announcement No. 81) regarding implementation of UNSCR 2321 sanctions to businesses.214 Statements from Chinese officials explicitly acknowledge implementation of the UN sanctions. In March, for example, Foreign Minister Wang Yi told reporters: “We have the obligation and capability to implement all the resolutions passed by the Security Council, including Resolution 2270”.215 Chinese enforcement of UNSCR 2270 was, however, criticised for taking advantage of an exemption for transactions for “livelihood purposes” to continue importing coal.216
</t>
  </si>
  <si>
    <t>Warning to travel agents against advertising group tours to Palau, citing its lack of ‘approved destination status,’ leading to a decline in Chinese tourism, following Palau’s ongoing diplomatic recognition of Taiwan (salient in wake of Tsai Ing-wen’s election)</t>
  </si>
  <si>
    <t>Sanction:
• Informal—Blacklist (?) [1]: Chinese officials reminded travel agents that Palau did not have ‘approved destination status’ and that, accordingly, they could be punished for advertising group tour services to the country.198 It prompted a sudden, sharp and ongoing drop in tourist flows. The ADS law does not technically seem to have been enforced. Rather, reports indicate Chinese officials instructed travel agencies to cease offering the services and threatened enforcement.199
One of just 20 nations keeping formal diplomatic ties with Taiwan, Palau was named in a notice issued by Chinese officials last month warning travel agencies that it was illegal to advertise group tours to destinations not on China’s approved list</t>
  </si>
  <si>
    <t>Trigger: Palau’s ongoing diplomatic recognition of Taiwan (salient in wake of Tsai Ing-wen’s election).
Explanation: When asked whether the restrictions were related to Palau’s recognition of Taiwan, China’s Foreign Ministry responded: ‘The one China principle is the pre-condition and political foundation for China to maintain and develop friendly cooperative relations with all countries around the world’.200
Annotation(s): Notable that this comes close to enforcement of an existing formal legal mechanism. The ADS regime has historically not been strictly enforced, and tour operators had been offering packages to Palau for several years (China was Palau’s largest source of inbound tourists at the time of this case). Palau had declined to switch diplomatic recognition in exchange for ADS in 1999, but tourism had nevertheless increased dramatically in the 2010s.201</t>
  </si>
  <si>
    <t>Boycott of Marriott and website shutdown following a customer questionnaire listing Hong Kong and Taiwan as separate from China</t>
  </si>
  <si>
    <t>China’s internet regulator has accused hotel group Marriott International of breaking Chinese law and ordered it to close its Chinese website and online booking applications for a week after the company listed Taiwan as a country in some online forms.
The Shanghai office of China’s cyberspace administration, the internet regulator, said in an online post on Thursday that Marriott’s listing of Taiwan as a country had “seriously violated national laws and hurt the feelings of the Chinese people”.</t>
  </si>
  <si>
    <t>Marriott International</t>
  </si>
  <si>
    <r>
      <rPr>
        <sz val="14"/>
        <color theme="1"/>
        <rFont val="Calibri"/>
        <family val="2"/>
      </rPr>
      <t xml:space="preserve">Visible </t>
    </r>
    <r>
      <rPr>
        <b/>
        <sz val="14"/>
        <color theme="1"/>
        <rFont val="Calibri"/>
        <family val="2"/>
      </rPr>
      <t>state support</t>
    </r>
    <r>
      <rPr>
        <sz val="14"/>
        <color theme="1"/>
        <rFont val="Calibri"/>
        <family val="2"/>
      </rPr>
      <t xml:space="preserve"> from the cyberspace administration. Also the website of Marriott seems to have been shut down, so, technically, this could be classified as a case of bureaucratic obstruction, but I think it is primarily a boycott as this response followed on from calls from netizens, and also seems rather minor compared to the actual boycott. 
Marriott apologized</t>
    </r>
  </si>
  <si>
    <t>Reporting (FT)</t>
  </si>
  <si>
    <t>Reporting (Guardian)</t>
  </si>
  <si>
    <t>Boycott calls against Mercedes-Benz following Dalai Lama quote</t>
  </si>
  <si>
    <t>The post on the Mercedes-Benz Instagram account, which was widely viewed before being deleted, carried the hashtag “#MondayMotivation” and showed a white Mercedes car on a beach. It featured a quote popularly attributed to the Dalai Lama: “Look at the situations from all angles, and you will become more open.”
The Instagram post provoked an outcry from Chinese internet users, many of whom pledged to boycott the Mercedes brand. Though China blocks Instagram, a photo-sharing social network owned by Facebook, many users circumvent those controls by using virtual private networks.</t>
  </si>
  <si>
    <t>Mercedes-Benz</t>
  </si>
  <si>
    <t>Germany (Europe)</t>
  </si>
  <si>
    <t>No identified state support
Mercedes-Benz issued an apology on Chinese social media that said it would “promptly take steps to deepen our understanding of Chinese culture and values”</t>
  </si>
  <si>
    <t>Apology (Weibo)</t>
  </si>
  <si>
    <t xml:space="preserve">Boycott calls against Audi following the use of a map of China that left off Taiwan, South Tibet, and part of the northwestern Xinjiang region </t>
  </si>
  <si>
    <t>Audi AG was one of the first companies to be targeted in a new wave of political crackdowns on foreign companies.</t>
  </si>
  <si>
    <t>Audi</t>
  </si>
  <si>
    <r>
      <rPr>
        <sz val="14"/>
        <color theme="1"/>
        <rFont val="Calibri"/>
        <family val="2"/>
      </rPr>
      <t>No identified state support</t>
    </r>
    <r>
      <rPr>
        <b/>
        <sz val="14"/>
        <color theme="1"/>
        <rFont val="Calibri"/>
        <family val="2"/>
      </rPr>
      <t xml:space="preserve">
Apology: </t>
    </r>
    <r>
      <rPr>
        <sz val="14"/>
        <color theme="1"/>
        <rFont val="Calibri"/>
        <family val="2"/>
      </rPr>
      <t>Audi said: “The map offended Chinese people. It was a serious mistake for which Audi wants to sincerely apologize.</t>
    </r>
  </si>
  <si>
    <t>Reporting (Business Insider)</t>
  </si>
  <si>
    <t xml:space="preserve">Boycott calls against Walmart following listing of Taiwan as the country of origin on its products </t>
  </si>
  <si>
    <t>In a viral video uploaded to Weibo last Friday, a customer at a Beijing Walmart shows how imported products from South Korea and the United Kingdom give their “place of origin” (原产地), while a sign for those products from Taiwan reads “country of origin” (原产国).
The footage quickly stirred up a storm on Chinese social media, resulting in Walmart issuing a grovelling apology on its official Weibo account.</t>
  </si>
  <si>
    <t>Walmart</t>
  </si>
  <si>
    <t>Food &amp; Beverage; Consumer Goods</t>
  </si>
  <si>
    <t>No identified state support
Walmart issued its “sincere apologies” and said that it had always “respected and supported” China’s sovereignty and territorial integrity…”</t>
  </si>
  <si>
    <t>Reporting (Medium)</t>
  </si>
  <si>
    <t>Delays in customs clearance for Australian wine exports due to new ‘verification’ requirements following Australia’s foreign interference legislation targeting Chinese influence</t>
  </si>
  <si>
    <t>Informal—Bureaucratic obstruction [1]: Due to apparently new ‘verification’ requirements introduced in April, Australian wine shipments faced significant delays in being cleared by GACC during April and May.233 The verification requirements were reported to only apply to Australian wines.234 At least six different Australian winemakers experienced the delays.235 Some wine companies reported clearance taking up to two months (compared to 10 days for other countries).236 No companies appear to have been charged with violating any rules or regulations. Rather, in the words of John Casella—chief executive of Casella Wines—it was a “go-slow, a slowdown on the port documentation, that sort of thing”.237 Some exporters told reporters that they had noticed slower clearance times since late 2017.238</t>
  </si>
  <si>
    <t>Wine</t>
  </si>
  <si>
    <t>Trigger: Australian initiatives to address foreign (in particular, apparent Chinese) interference in domestic political system. New legislation introduced to Parliament in 2017 and details from the primary report underpinning the new laws began to be revealed in May 2018.231 Disruption attributed to deterioration in China-Australia relations prompted by foreign interference legislation saga.232
Explanation: GACC did not appear to respond to requests from comments from journalists about the delays.239 Chinese officials denied any link between the delays and the political disagreements between Beijing and Canberra. In response to questions about the delays, Foreign Ministry spokeswoman Hua Chunying ‘defended the right of the country’s customs officials to inspect imported products’ and suggested that reports of delays might be speculation: “You say that it’s delayed ... I wonder if this is a fact or merely speculation by certain people and companies from Australia”.240
Annotation(s): Journalists on a 2017 study tour of China reported being warned that Australian trade might be affected by the deterioration in relations sparked by the foreign interference debate.241</t>
  </si>
  <si>
    <t xml:space="preserve">First of five rounds of retaliatory tariffs on 128 U.S. products worth approximately $3 billion, including pork, fruits, nuts, and wine, following U.S. Section 232 tariffs on steel and aluminum </t>
  </si>
  <si>
    <t>o After the implementation of US tariffs, China imposed five rounds of retaliatory tariffs (under Article 14 of the
Regulations of the People’s Republic of China on Import and Export Duties) between July 2018 and January 2020, ranging from 10-25%, and affecting $185 billion of US trade from a broad range of sectors, including agricultural, pharmaceuticals and consumer goods.257 I code these as a type of sanction because they were imposed not merely for reasons of political economy, but to generate coercive leverage.258 They were implemented in accordance with the Foreign Trade Law of the People's Republic of China.259</t>
  </si>
  <si>
    <t>Formal</t>
  </si>
  <si>
    <t>Foreign Trade Law;
Regulations of the People’s Republic of China on Import and Export Duties (Article 14)</t>
  </si>
  <si>
    <t>Agriculture; Food &amp; Beverage; Chemicals; Raw Materials</t>
  </si>
  <si>
    <t>Trigger: US imposition of unilateral tariffs (2018) and subsequent tit-for-tat retaliations.242
After the implementation of US tariffs, China imposed five rounds of retaliatory tariffs (under Article 14 of the
Regulations of the People’s Republic of China on Import and Export Duties) between July 2018 and January 2020, ranging from 10-25%, and affecting $185 billion of US trade from a broad range of sectors, including agricultural, pharmaceuticals and consumer goods.257 I code these as a type of sanction because they were imposed not merely for reasons of political economy, but to generate coercive leverage.258 They were implemented in accordance with the Foreign Trade Law of the People's Republic of China.259
Explanations: None of the informal sanctions were linked to trade war tensions. The tariffs, however, were explicitly acknowledged as retaliatory measures.260</t>
  </si>
  <si>
    <t>Announcement</t>
  </si>
  <si>
    <t>List</t>
  </si>
  <si>
    <t>Boycott calls and fines by Shanghai Administration for Industry and Commerce against Muji following listing of Taiwan as the country of origin of products</t>
  </si>
  <si>
    <t>A subsidiary of the Japanese household goods, apparel and food company Ryohin Keikaku Co was fined 200,000 yuan ($31,000) by a Shanghai bureau for not checking imported packaging that listed the island of Taiwan as a country, according to media reports on Wednesday.
Muji (Shanghai) Co Ltd was fined by Shanghai Administration for Industry and Commerce for 119 clothes hangars imported from Japan that "wrongly marked Taiwan as the country of some items' origin," China Industry &amp; Commerce News reported on Wednesday.
In January, Muji was warned by China's mapping authorities "wrongly marking Taiwan" in an advertising flier. Muji could not be reached before press time.
Internet users swarmed onto the company's official Sina Weibo microblog account this week demanding apologies.</t>
  </si>
  <si>
    <t>Muji</t>
  </si>
  <si>
    <t>Consumer Goods</t>
  </si>
  <si>
    <t>No identified state support. No apology.
The fine could potentially be seen as bureaucratic obstruction, but as with the Marriott case, official state action came after the boycott rather than before it.</t>
  </si>
  <si>
    <t>Reporting (Global Times)</t>
  </si>
  <si>
    <t>Stepped-up quarantine checks and customs inspections on U.S. imports including fruit, meat, and Ford vehicles, following U.S. imposition of unilateral tariffs and subsequent tit-for-tat retaliations</t>
  </si>
  <si>
    <t xml:space="preserve"> Informal—Bureaucratic obstruction [3]:
o Stepped up quarantine checks by Chinese customs. Affected products included apple and timber logs,243 pork,244
navel oranges, lemons and cherries,245 pet food,246 and at least one shipment of calf skins.247
o Ford cars were delayed after Chinese officials began inspecting individual components within the emission
systems of the vehicles.248</t>
  </si>
  <si>
    <t>Food &amp; Beverage; Agriculture; Transportation</t>
  </si>
  <si>
    <t>Apple, timber logs, pork, navel oranges, lemons, cherries, pet food, calf skins, cars</t>
  </si>
  <si>
    <t>Trigger: US imposition of unilateral tariffs (2018) and subsequent tit-for-tat retaliations.242
Explanations: None of the informal sanctions were linked to trade war tensions. The tariffs, however, were explicitly acknowledged as retaliatory measures.260</t>
  </si>
  <si>
    <t xml:space="preserve">Boycott calls against GAP Gap after omitting of Taiwan from T-shirt design </t>
  </si>
  <si>
    <t>The American clothing giant Gap has apologised following a social media backlash for selling T-shirts that sported a map of China which omitted contested territories such as south Tibet, Taiwan and the South China Sea islands.
Pictures of the T-shirt surfaced online after a user on the Chinese social media network Weibo noticed it was on sale in Canada. The post sparked hundreds of complaints, leading Gap to issue a statement saying it would implement “rigorous reviews” to prevent such an incident happening again.
“Gap Inc. respects the sovereignty and territorial integrity of China. We’ve learned that a Gap brand T-shirt sold in some overseas markets failed to reflect the correct map of China. We sincerely apologise for this unintentional error,” it said in a statement posted on its Weibo account on Monday evening.</t>
  </si>
  <si>
    <t>Gap</t>
  </si>
  <si>
    <t xml:space="preserve">No identified state support. Apology. </t>
  </si>
  <si>
    <t>Reporting (Independent)</t>
  </si>
  <si>
    <t>Second of five rounds of retaliatory tariffs on approximately $34 billion worth of U.S. products, primarily targeting agricultural products, automobiles, and seafood, following U.S. Section 301 tariffs on $50 billion worth of Chinese goods</t>
  </si>
  <si>
    <t>Foreign Trade Law;
Regulations of the People’s Republic of China on Import and Export Duties</t>
  </si>
  <si>
    <t>Agriculture; Food &amp; Beverage; Transportation</t>
  </si>
  <si>
    <t>Trigger: US imposition of unilateral tariffs (2018) and subsequent tit-for-tat retaliations.242
After the implementation of US tariffs, China imposed five rounds of retaliatory tariffs (under Article 14 of the
Regulations of the People’s Republic of China on Import and Export Duties) between July 2018 and January 2020, ranging from 10-25%, and affecting $185 billion of US trade from a broad range of sectors, including agricultural, pharmaceuticals and consumer goods.257 I code these as a type of sanction because they were imposed not merely for reasons of political economy, but to generate coercive leverage.258 They were implemented in accordance with the Foreign Trade Law of the People's Republic of China.259
Explanations: None of the informal sanctions were linked to trade war tensions. The tariffs, however, were explicitly acknowledged as retaliatory measures.261</t>
  </si>
  <si>
    <t>Non-approval of Qualcomm’s acquisition of NXP and reported greater than usual regulatory scrutiny of US firms in China, following U.S. imposition of unilateral tariffs and subsequent tit-for-tat retaliations</t>
  </si>
  <si>
    <t>Chinese anti-trust authorities (State Administration for Market Regulation) did not approve Qualcomm’s
acquisition of NXP before the deadline for the transaction. The deal had been approved in eight other jurisdictions. Technically they did not block the deal, but in not acting (to approve or not approve) it had the same effect.249
• Notable that two other major M&amp;As did go through during this period – Walt Disney’s purchase of 21st Century Fox’s entertainment assets,250 and United Technologies Corp.’s takeover of airplane-parts maker Rockwell Collins Inc.251</t>
  </si>
  <si>
    <t>Bureaucratic Obstruction; Conversion</t>
  </si>
  <si>
    <t>Qualcomm</t>
  </si>
  <si>
    <t>Semiconductors</t>
  </si>
  <si>
    <t>Boycott calls against IKEA following listing of Taiwan and Hong Kong as separate from China on packaging</t>
  </si>
  <si>
    <t>Ikea has become the latest foreign company to fall foul of Beijing’s demand that Taiwan be referred to as part of China, with the Swedish furniture giant coming under fire from state media and mainland internet users over its packaging.
On Tuesday, a report in state-run nationalist tabloid Global Times said Ikea had violated the “one China” principle by treating Taiwan and semi-autonomous Hong Kong as countries on its packaging.</t>
  </si>
  <si>
    <t>IKEA</t>
  </si>
  <si>
    <t>Sweden (Europe)</t>
  </si>
  <si>
    <t xml:space="preserve">State support by Global Times. No identified apology. </t>
  </si>
  <si>
    <t>Reporting (SCMP)</t>
  </si>
  <si>
    <t>Boycott against 85 C following gift to Taiwanese president</t>
  </si>
  <si>
    <t xml:space="preserve">The LA branch of Taiwanese-owned 85C Bakery Cafe gave the coffee, along with an enthusiastic welcome, to Tsai Ing-wen when she dropped in last Sunday.
But many Chinese customers - who visit the chain's branches in mainland China - were furious, calling for a boycott.
"85C is a 'Taiwan independence' two-faced company," said one post on social media. "We mainland Chinese should boycott this kind of garbage company."
Several food delivery services dropped the chain from their apps and shares in Gourmet Master, the bakery's parent company, fell 7.5%, Bloomberg said this cost the company $120m (£94m).
</t>
  </si>
  <si>
    <t>85 C</t>
  </si>
  <si>
    <t>No identified state support.
85 C Bakery  issued an apology on Chinese social media that said it firmly supports the “One-China policy”.</t>
  </si>
  <si>
    <t>Third of five rounds of retaliatory tariffs on approximately $16 billion worth of U.S. products, including chemicals, fuel, and medical equipment, following U.S. imposition of tariffs on $16 billion worth of Chinese goods</t>
  </si>
  <si>
    <t>Foreign Trade Law; Customs Law;
Regulations of the People’s Republic of China on Import and Export Duties</t>
  </si>
  <si>
    <t>Chemicals; Energy; Health</t>
  </si>
  <si>
    <t>Trigger: US imposition of unilateral tariffs (2018) and subsequent tit-for-tat retaliations.242
After the implementation of US tariffs, China imposed five rounds of retaliatory tariffs (under Article 14 of the
Regulations of the People’s Republic of China on Import and Export Duties) between July 2018 and January 2020, ranging from 10-25%, and affecting $185 billion of US trade from a broad range of sectors, including agricultural, pharmaceuticals and consumer goods.257 I code these as a type of sanction because they were imposed not merely for reasons of political economy, but to generate coercive leverage.258 They were implemented in accordance with the Foreign Trade Law of the People's Republic of China.259
Explanations: None of the informal sanctions were linked to trade war tensions. The tariffs, however, were explicitly acknowledged as retaliatory measures.262</t>
  </si>
  <si>
    <t>Travel warnings issued for Sweden, following a Dalai Lama visit to the country and Swedish criticism of China's human rights record</t>
  </si>
  <si>
    <t>• Informal—Boycott fomentation(?) [2]: Chinese embassy in Sweden issued safety alerts for Chinese travellers in the country (14 September), and China’s Foreign Ministry published separate travel alerts shortly afterwards (23 September).228</t>
  </si>
  <si>
    <t>Trigger: Dalai Lama visit (speculated).227
Explanation: The travel warnings were not linked to the Dalai Lama’s visit. They were premised on the alleged treatment of a Chinese family by a hostel in Stockholm and the Swedish police (after the family apparently arrived at the hostel a day early and refused to leave).229
Annotation(s): The link in this case rests on timing. The hostel incident occurred on 2 September, the Dalai Lama visited on 11 September, and the earliest report of official travel warnings (from the Chinese embassy in Sweden) was 14 September.230</t>
  </si>
  <si>
    <t>Fourth of five rounds of retaliatory tariffs on approximately $60 billion worth of U.S. products, including liquefied natural gas and agricultural products, following U.S. imposition of 10% tariffs on $200 billion worth of Chinese goods</t>
  </si>
  <si>
    <t>Agriculture; Energy</t>
  </si>
  <si>
    <t>Trigger: US imposition of unilateral tariffs (2018) and subsequent tit-for-tat retaliations.242
After the implementation of US tariffs, China imposed five rounds of retaliatory tariffs (under Article 14 of the
Regulations of the People’s Republic of China on Import and Export Duties) between July 2018 and January 2020, ranging from 10-25%, and affecting $185 billion of US trade from a broad range of sectors, including agricultural, pharmaceuticals and consumer goods.257 I code these as a type of sanction because they were imposed not merely for reasons of political economy, but to generate coercive leverage.258 They were implemented in accordance with the Foreign Trade Law of the People's Republic of China.259
Explanations: None of the informal sanctions were linked to trade war tensions. The tariffs, however, were explicitly acknowledged as retaliatory measures.263</t>
  </si>
  <si>
    <t>Boycott calls against Canada Goose following Canada's arrest of Huawei CFO Meng Wanzhou</t>
  </si>
  <si>
    <t xml:space="preserve">Canada Goose shares have fallen for five days in a row after the outdoor apparel maker has become a target of Chinese consumers upset by the arrest of a high-ranking technology executive in Canada.
The company has lost 20 per cent of its value since word emerged that Meng Wanzhou, the CFO of Chinese technology giant Huawei Inc. has been detained in Vancouver at the request of U.S. authorities.
But that growth has seemingly hit at least a temporary rough patch this week as users on the Chinese social media website Weibo have proposed boycotting the company's products as payback for Meng's detention in Canada.
The movement gained steam after Chinese state-run newspaper Global Times reported on the boycott proposal.
"They're governed by the state," retail consultant Bruce Winder of the Retail Adviser's Network said, "and the state is going to use whatever it can from an [influence] standpoint to get its citizenry mobilized."
</t>
  </si>
  <si>
    <t>Canada Goose</t>
  </si>
  <si>
    <t>Canada (North America)</t>
  </si>
  <si>
    <t xml:space="preserve">State support by Global Times. 
No identified apology. </t>
  </si>
  <si>
    <t>Reporting (CBC)</t>
  </si>
  <si>
    <t xml:space="preserve">Boycott calls against McDonalds following advertisement including a student identification card listing Taiwan as a separate country </t>
  </si>
  <si>
    <t>McDonald’s China yesterday expressed regret over an advertisement posted on YouTube by McDonald’s Taiwan that sparked an outcry among Chinese netizens, who said the ad supported Taiwanese independence.</t>
  </si>
  <si>
    <t>McDonalds</t>
  </si>
  <si>
    <t xml:space="preserve">No identified state support. 
Apology issued. </t>
  </si>
  <si>
    <t>Reporting (Taipei Times)</t>
  </si>
  <si>
    <t>Travel warning for Canada cautioning about risk of arbitrary detention, with a significant decrease in visa applications and travel numbers over the year, following the arrest of Huawei CFO Meng Wanzhou</t>
  </si>
  <si>
    <t>• Informal—Boycott fomentation [1]: Travel warning also issued for Canada in mid-January, with the Chinese foreign ministry cautioning travellers that they could be “arbitrarily detained at the request of a third nation” if they visit the country and “fully assess the risks”.289 Visa applications and travel numbers decreased significantly over the year.290</t>
  </si>
  <si>
    <t>Trigger: Arrest of the Huawei CFO Meng Wanzhou.
Explanation(s):
• Canola: Foreign Ministry spokesperson Lu Kang claimed the suspension of the first company was “in accordance with laws and regulations and international practice” and due to the presence of “harmful organisms” and China’s need “to protect the health and safety of its own people”.291 Canadian foreign affairs minister Chrystia Freeland reported to have stated that officials in Ottawa “do not believe there’s any scientific basis” for the restrictions.292
• Meat shipments: China’s Ambassador to Canada, Lu Shaye, denied the inspections were retaliatory, noting “competent authorities take measures always according to (the) law and on (the) basis of (a) scientific approach”.293 MFA spokesperson Geng Shuang also denied it, noting “It is the responsibility of the Chinese government to ensure the safety of Chinese consumers and safeguard food safety in China. The relevant Chinese authorities are acting totally in accordance with law”.294
• Customs delays for other agricultural products: Foreign Ministry spokesperson Geng Shuang denied Canadian goods were being deliberately targeted, and emphasised that “All relevant measures taken by the Chinese Customs Administration are normal quarantine measures, and are compliant with relevant laws and regulations, as well as international practice”.295
Annotation(s): The travel warnings may have been a tit-for-tat, after the Canadian government issued their own travel warning cautioning travellers about the “risk of arbitrary enforcement of local laws” in China.296 Numerous reports link the travel warnings directly to political tensions.297</t>
  </si>
  <si>
    <t>Ramped-up enforcement of labeling requirements for Taiwanese products, leading to the destruction of entire shipments over minor infractions, following Taiwan’s upcoming presidential elections and Tsai administration’s support for Hong Kong protesters</t>
  </si>
  <si>
    <t>• Informal—Conversion [1]:
o TBT: Ramped up enforcement of labelling requirements for Taiwanese products by GACC. Reports indicate
entire shipments of food products were destroyed because of minor infringements that had not caused issues in the past, such as labels reading “Taiwan, China” (中國台灣) instead of the requested “Taiwan Area, China” (中 國台灣地區).267</t>
  </si>
  <si>
    <t>Trigger: Upcoming presidential elections and Tsai administration’s support for Hong Kong protesters.264
Explanation: The stated reason for the suspension of individual tourist permits to Taiwan was the state of “current cross-strait relations” (China’s Ministry of Culture and Tourism).268 The following day, Taiwan Affairs Office spokesperson Ma Xiaoguang cited the DPP’s push for independence under Tsai as the issue in cross-strait relations.269</t>
  </si>
  <si>
    <t>Boycott against Red Candle Games following reference to Xi Jinping as Winnie the Pooh in Devotion, a video game</t>
  </si>
  <si>
    <t xml:space="preserve">The new horror video game called “Devotion” created an uproar among Chinese netizens when a poster in the game was discovered to mock Chinese leader Xi Jinping, by referring to him as “Winnie the Pooh.”
In only a few short days, the game has been review bombed, boycotted, and finally removed from the Steam video game platform, due to efforts of enraged Chinese gamers, leading the game’s developer, Red Candle Games (赤燭), to issue a formal apology.
</t>
  </si>
  <si>
    <t>Red Candle Games</t>
  </si>
  <si>
    <t>Included as an entry because the state has long encouraged censorship of criticism against Xi.
No identified state support. The company apologized.</t>
  </si>
  <si>
    <t>Reporting (Taiwan News)</t>
  </si>
  <si>
    <t>Travel warning for Turkey by Chinese embassy in Ankara, cautioning Chinese nationals about personal safety, following Turkish criticism of China’s policies in Xinjiang</t>
  </si>
  <si>
    <t>Informal—Boycott fomentation [1]: On 12 February, the Chinese embassy in Ankara issued travel warning cautioning Chinese nationals to “be wary and pay attention to their personal safety” in Turkey.262 This was interpreted as retaliation.263</t>
  </si>
  <si>
    <t>Trigger: Turkish foreign ministry spokesperson, Hami Aksoy, criticised Chinese policies in Xinjiang – labelling the “systematic assimilation” of the Uighurs a “great shame for humanity” and calling for Beijing to close the camps.261
Explanation: None identified.</t>
  </si>
  <si>
    <t>State-media reports of decline in Chinese tourism to New Zealand and postponement of the launch of the 2019 China-New Zealand Year of Tourism, following New Zealand’s restrictions on Huawei</t>
  </si>
  <si>
    <t>New Zealand has become the latest target of a propaganda campaign in China’s state-run media, with the English language Global Times newspaper claiming that tourists are cancelling their holidays in retaliation for the country banning Huawei from being involved in the 5G rollout.
In November national telecommunications company Spark was temporarily banned from using Huawei equipment in the rollout after New Zealand’s spy agency warned it would pose “significant national security risks”.
A report in the English-language Global Times newspaper, a tabloid arm of the Communist party’s official newspaper group, quoted a Beijing resident identified as “Li”, saying that as a result he planned to cancel his holiday to the country and go elsewhere instead.
“Is it a kind of robbery? New Zealand stabbed us in the back but asks for our money? This is double-faced,” the paper quoted him as saying.
New Zealand Prime Minister Jacinda Ardern has denied any diplomatic rift with China despite the postponement of a joint tourism event and media reports that her planned visit to Beijing is in limbo.
Simon Bridges, leader of the opposition National Party, asked Ardern in Parliament if five government ministers were still waiting for China to approve visits.
New Zealand Prime Minister Jacinda Ardern has denied any diplomatic rift with China despite the postponement of a joint tourism event and media reports that her planned visit to Beijing is in limbo.
The New Zealand Herald reported on Tuesday that the launch, at Wellington’s Te Papa museum, of the 2019 China-New Zealand Year of Tourism had been postponed after a “change of schedule” on the Chinese side.</t>
  </si>
  <si>
    <t>Reporting (CNN)</t>
  </si>
  <si>
    <t>Reporting (New Zealand Herald)</t>
  </si>
  <si>
    <t>Boycott calls against FedEx following suspected collusion with the US government to suppress shipping of Huawei products</t>
  </si>
  <si>
    <t>"However, its short statement, without further explaining why misrouting parcels happened, failed to calm the widespread anger of Chinese netizens on the issue, particularly when many of them showed strong support for Huawei amid a US clampdown." (Global Times)</t>
  </si>
  <si>
    <t>FedEx</t>
  </si>
  <si>
    <t>Other</t>
  </si>
  <si>
    <t>State-support: Global Times Tweeted that FedEx was likely to be added to Chinas forthcoming unreliable entity list. The extent to which netizens were actually calling for a boycott is not documented beyond Global Times saying so. 
No identified apology.</t>
  </si>
  <si>
    <t>Boycott encouragement (Global Times)</t>
  </si>
  <si>
    <t>Revocation of permits, stricter inspections, and customs delays targeting Canadian agricultural exports, following the arrest of Huawei CFO Meng Wanzhou</t>
  </si>
  <si>
    <t>• Informal—Conversion [3]:
o SPS: Beginning in March, permits of Canadian Canola exporters revoked due to alleged presence of “harmful
organisms”.278 In late March the Canola Council of Canada announced that Chinese buyers had ceased purchasing canola from all Canadian processors.279
§ NB: China challenged these restrictions on canola within the WTO dispute settlement system.280 The dispute was suspended in 2022 when China announced it would remove the restrictions.281
o TBT/SPS: Citing labelling issues, Chinese authorities suspended the export permits of a number of Canadian pork facilities. 282 Later, in June 2019, Chinese authorities blocked all Canadian meat shipments due to the alleged discovery of forged veterinary health certificates.283
• Informal—Bureaucratic obstruction [4]: In March it was reported that Canadian agricultural products would be targeted for stricter inspection and face delays at Chinese customs.284 Products reported to be affected included:
o Canola.285
o Soybeans.286
o Peas.287
o Pork shipments, with Reuters reporting that the Canadian Embassy in Beijing was told that all containers of
Canadian meat and meat products would be opened and “in some cases 100% of the contents would be inspected”.288</t>
  </si>
  <si>
    <t>Agriculture; Food &amp; Beverage</t>
  </si>
  <si>
    <t>Canola, soybeans, peas, pork</t>
  </si>
  <si>
    <t>Boycott calls against MAC Cosmetics following email that failed to include Taiwan in a map of China</t>
  </si>
  <si>
    <t>MAC Cosmetics</t>
  </si>
  <si>
    <t>No identified state support.
Apology: MAC said it respected and supported the “One China policy” and corrected the email.</t>
  </si>
  <si>
    <t xml:space="preserve">Delays in customs clearance for Australian coal, with processing times doubling at some locations and selective targeting of Australian shipments, following deterioration of relations and Australian Defence Minister’s comments on Chinese conduct in the South China Sea </t>
  </si>
  <si>
    <t>• Informal—Bureaucratic obstruction [1]: Early February, reports that customs clearance times for Australian coking coal doubled to approximately 40 days (and sometimes as long as three months) at major Chinese ports – initially in Liaoning province, but later spreading to southern ports.271 A variety of industry sources claimed that only Australian coal (both thermal and coking) was being targeted for lengthier than usual inspections.272 Later reports indicated that Chinese traders were avoiding ordering Australian coal due to concerns about long wait times at customs.273</t>
  </si>
  <si>
    <t>Coal</t>
  </si>
  <si>
    <t>Trigger: Occurred in context of gradual deterioration of bilateral relations (following August 2018 ban on Huawei/ZTE participating in Australia’s 5G network), but specific trigger reported to be comments made by the Australian Defence Minister during a speech made in Singapore in January regarding Chinese conduct in the South China Sea – including calling for China “to act with great responsibility”. 270
Explanation: Chinese Foreign Ministry spokesperson Geng Shuang claimed the inspections were necessary due to quality issues with Australian coal, noting authorities had “encountered many cases of substandard coals coming in during risk monitoring and analysis on the safety of imported coals ... Therefore, in accordance with relevant laws and regulations, we have strengthened testing and inspection on imported coals on whether their quality is safe enough and up to environmental standards ... The purpose is to better protect the lawful rights and interests of Chinese enterprises and consumers on the receiving end of these imported coals and to protect China’s ecological environment.”274
• Reports indicate at least one shipment of Australian coal was flagged for having high levels of fluorine (although this was said to be “because of the high level of fluoride in the water in China, which had been used to wash down the coal when it arrived”).275
• Some comments from actors within China suggest a link between political tensions and trade issues. Cui Pijiang, the director of the China Coking Industry Association, was quoted as saying: "You can't earn Chinese money and then politically make irresponsible comments about China and become unfriendly" during at a conference in Beijing.276
Annotation(s): Case for retaliation typically made based on timing (relative to political tensions) and the fact that non-Australian coal (particularly from Russia and Indonesia) was not disrupted.277</t>
  </si>
  <si>
    <t>Boycott calls against Leica following promotional video featuring famous Tiananmen square photo</t>
  </si>
  <si>
    <t>A promotional video for camera company Leica has sparked backlash in China for featuring a famous Tiananmen Square image.
The video depicts photographers working in conflicts around the world, including a photographer covering the 1989 protests.
People on Chinese social media site Weibo have called for a boycott of the camera brand.
Leica has distanced itself from the video.</t>
  </si>
  <si>
    <t>Leica</t>
  </si>
  <si>
    <t>Other Electronics; Consumer Goods</t>
  </si>
  <si>
    <t>No identified state support.
Apology: A Leica spokesperson said the film was not an officially sanctioned marketing film and added that the company “regrets any misunderstanding of false conclusions that may have been drawn”.</t>
  </si>
  <si>
    <t>June–July boycott movement against companies criticised for showing support for the pro-democracy protests in Hong Kong</t>
  </si>
  <si>
    <r>
      <rPr>
        <sz val="14"/>
        <color theme="1"/>
        <rFont val="Calibri"/>
        <family val="2"/>
      </rPr>
      <t xml:space="preserve">Multiple companies faced criticism and boycotts from Chinese citizens during the peak of the pro-democracy protests in Hong Kong in mid to late 2019. 
</t>
    </r>
    <r>
      <rPr>
        <b/>
        <sz val="14"/>
        <color theme="1"/>
        <rFont val="Calibri"/>
        <family val="2"/>
      </rPr>
      <t>Lancome</t>
    </r>
    <r>
      <rPr>
        <sz val="14"/>
        <color theme="1"/>
        <rFont val="Calibri"/>
        <family val="2"/>
      </rPr>
      <t xml:space="preserve"> announced the concert last week and Ms Ho said on her Facebook page that she would be performing. Lancome cancelled the event citing "possible safety reasons" without clarifying if she was set to perform. Then on Saturday, Beijing newspaper Global Times questioned her appearance, calling her a supporter of Hong Kong independence in a post on micro-blogging site Weibo.
Chinese retailers halted sales of the trainers designed by </t>
    </r>
    <r>
      <rPr>
        <b/>
        <sz val="14"/>
        <color theme="1"/>
        <rFont val="Calibri"/>
        <family val="2"/>
      </rPr>
      <t>Undercover</t>
    </r>
    <r>
      <rPr>
        <sz val="14"/>
        <color theme="1"/>
        <rFont val="Calibri"/>
        <family val="2"/>
      </rPr>
      <t xml:space="preserve">, the studio of Japanese designer Jun Takahashi, after it posted a picture of protesters with the slogan “no extradition to China” — in reference to Hong Kong’s proposed extradition bill — on its Instagram account this month.
The receipt, dated June 16, started making its rounds on Chinese social media on August 6. Many take it as a sign that </t>
    </r>
    <r>
      <rPr>
        <b/>
        <sz val="14"/>
        <color theme="1"/>
        <rFont val="Calibri"/>
        <family val="2"/>
      </rPr>
      <t xml:space="preserve">CoCo </t>
    </r>
    <r>
      <rPr>
        <sz val="14"/>
        <color theme="1"/>
        <rFont val="Calibri"/>
        <family val="2"/>
      </rPr>
      <t>supports Hong Kong’s pro-democracy movement. CoCo also triggered controversy for supposedly listing ‘Taiwan’ as a country in its website’s list of countries where the brand operates, separate from ‘China’. Some netizens are now vowing to boycott the brand for allegedly supporting both Hong Kong protesters and Taiwan independence.</t>
    </r>
  </si>
  <si>
    <t xml:space="preserve">Lancôme; Undercover; CoCo; Tempo; Pocari Sweat; </t>
  </si>
  <si>
    <t>Anti-Hong Kong protests divided up in two sanctions. One from June–July (see entry 2019-06-01), one from August–October (see entry 2019-08-01).
Some of them were encouraged by the state, others weren't.
Some companies apologized, others didn't.</t>
  </si>
  <si>
    <t>Lancome Reporting (BBC)</t>
  </si>
  <si>
    <t>Undercover Reporting (FT)</t>
  </si>
  <si>
    <t>Pocari Sweat, Yoshinoya, Pizza Hut, Tempo Reporting (SCMP)</t>
  </si>
  <si>
    <t>CoCo Reporting (Weibo)</t>
  </si>
  <si>
    <t>Travel warnings cautioning against safety risks of traveling to the U.S., citing law enforcement agencies harassment of Chinese citizens, following U.S. imposition of unilateral tariffs and subsequent tit-for-tat retaliations</t>
  </si>
  <si>
    <t>Travel warning: Several warnings cautioning against safety risks of travelling to the US were issued in early June
2019.255 Foreign Ministry spokesman Geng Shuang: "For some time, US law enforcement agencies have been harassing Chinese citizens with interrogation upon entry or exit, and on-site interviews, among other forms... Therefore the Ministry of Culture and Tourism issued the tourism reminder, and the Ministry of Foreign Affairs and the Chinese Embassy and consulates in the US decided to issue the safety reminder to raise safety awareness.”256</t>
  </si>
  <si>
    <t>Suspension of program allowing solo travelers from 47 Chinese cities to visit Taiwan, restricting travel to group tours, following Taiwan’s upcoming presidential elections and Tsai administration’s support for Hong Kong protesters</t>
  </si>
  <si>
    <t>o Suspension of domestic program that had allowed solo (free independent) travellers from 47 Chinese cities to travel to Taiwan since 2011. The effect of this was that Chinese nationals could only travel to Taiwan as part of group tours,265 and it prompted a significant drop in total outbound tourism.266</t>
  </si>
  <si>
    <t>August–October boycott movement against companies criticised for showing support for the pro-democracy protests in Hong Kong</t>
  </si>
  <si>
    <r>
      <rPr>
        <sz val="14"/>
        <color theme="1"/>
        <rFont val="Calibri"/>
        <family val="2"/>
      </rPr>
      <t xml:space="preserve">Multiple companies faced criticism and boycotts from Chinese citizens during the peak of the pro-democracy protests in Hong Kong in mid to late 2019. 
</t>
    </r>
    <r>
      <rPr>
        <b/>
        <sz val="14"/>
        <color theme="1"/>
        <rFont val="Calibri"/>
        <family val="2"/>
      </rPr>
      <t>Amazon:</t>
    </r>
    <r>
      <rPr>
        <sz val="14"/>
        <color theme="1"/>
        <rFont val="Calibri"/>
        <family val="2"/>
      </rPr>
      <t xml:space="preserve"> Chinese social media users directed their fury at online marketplace Amazon.com on Thursday, after discovering T-shirts on its website sporting slogans that support anti-government protesters in Hong Kong. The hashtag "Amazon T-Shirts" became the fourth-top trending topic on China's Twitter-like Weibo on Wednesday in the latest backlash for an overseas company that broached matters regarding Hong Kong's territorial status.
</t>
    </r>
    <r>
      <rPr>
        <b/>
        <sz val="14"/>
        <color theme="1"/>
        <rFont val="Calibri"/>
        <family val="2"/>
      </rPr>
      <t xml:space="preserve">BNP Paribas: </t>
    </r>
    <r>
      <rPr>
        <sz val="14"/>
        <color theme="1"/>
        <rFont val="Calibri"/>
        <family val="2"/>
      </rPr>
      <t xml:space="preserve">Internet users in China are calling for a boycott of French bank BNP Paribas after discovering that one of its employees in Hong Kong apparently supports the city’s anti-government protesters, and noticing that the company refers to Hong Kong and Taiwan as locations on its website. Since last week, China’s Twitter-like service Weibo has been flooded with accusations that the unidentified worker posted messages on Facebook calling for independence for Hong Kong. Many said the bank should take action against the person.
</t>
    </r>
    <r>
      <rPr>
        <b/>
        <sz val="14"/>
        <color theme="1"/>
        <rFont val="Calibri"/>
        <family val="2"/>
      </rPr>
      <t>Zara:</t>
    </r>
    <r>
      <rPr>
        <sz val="14"/>
        <color theme="1"/>
        <rFont val="Calibri"/>
        <family val="2"/>
      </rPr>
      <t xml:space="preserve"> Spanish retailer Zara has found itself embroiled in controversy in China after some of its stores were closed on a day Hong Kong was expected to see widespread strike action. Thousands of Chinese social media are calling for a boycott, accusing the retailer of supporting employees wanting to join the strike.
</t>
    </r>
    <r>
      <rPr>
        <b/>
        <sz val="14"/>
        <color theme="1"/>
        <rFont val="Calibri"/>
        <family val="2"/>
      </rPr>
      <t>Tiffany:</t>
    </r>
    <r>
      <rPr>
        <sz val="14"/>
        <color theme="1"/>
        <rFont val="Calibri"/>
        <family val="2"/>
      </rPr>
      <t xml:space="preserve"> Tiffany &amp; Co. have removed a tweet showing a woman covering one eye after Chinese consumers accused the jeweller of supporting the Hong Kong protesters. The photo posted on Monday showed Chinese model Sun Feifei wearing a Tiffany ring on her right hand as she covers her right eye. Angry Chinese buyers believed it was a deliberate echo of the pose adopted by Hong Kong's pro-democracy demonstrators to denounce police violence in the semi-autonomous city after protesters were struck in the eye.</t>
    </r>
  </si>
  <si>
    <t>Amazon; BNP Paribas; Zara; Tiffany &amp; Co.</t>
  </si>
  <si>
    <t>United States (North America); France (Europe); Spain (Europe)</t>
  </si>
  <si>
    <t>Consumer Goods; Finance</t>
  </si>
  <si>
    <t>Amazon Reporting (Reuters)</t>
  </si>
  <si>
    <t>BNP Paribas (SCMP)</t>
  </si>
  <si>
    <t>Tiffany Reporting (Daily Mail)</t>
  </si>
  <si>
    <t>Zara Reporting (BBC)</t>
  </si>
  <si>
    <t>August boycott movement against brands criticised for listing Taiwan and/or Hong Kong as separate from China on T-shirts and/or company websites</t>
  </si>
  <si>
    <t>Multiple brands faced criticism and boycotts from Chinese citizens for showing Taiwan and/or Hong Kong as separate from China</t>
  </si>
  <si>
    <t>Coach; Calvin Klein; Samsung; Asics; Givenchy; Swarovski; Versace; Fresh; Valentino</t>
  </si>
  <si>
    <t>Consumer Goods; Other Electronics; Hospitality &amp; Travel</t>
  </si>
  <si>
    <t>Many companies apologized. State support was visible in a People’'s Daily article saying Western brands should “learn from their mistakes” and cannot disregard the “One China principle"</t>
  </si>
  <si>
    <t>Reporting on boycott movement (BBC)</t>
  </si>
  <si>
    <t>Reporting Coach, Givenchy (Reuters)</t>
  </si>
  <si>
    <t>Valentino apology (WEIBO)</t>
  </si>
  <si>
    <t>Global Blue Reporting (Global Times)</t>
  </si>
  <si>
    <t>Boycotts against Taiwanese bubble tea brands criticised for supporting Hong Kong</t>
  </si>
  <si>
    <t>Yifang Fruit Tea; Gong Cha; HeyTea; CoCo; A Little Tea</t>
  </si>
  <si>
    <t>CoCo and Yifang apologized. 
No state support identified</t>
  </si>
  <si>
    <t>Reporting (Whats on Weibo)</t>
  </si>
  <si>
    <t>Fifth of five rounds of retaliatory tariffs on approximately $75 billion worth of U.S. products, with 5-10% tariffs implemented in two phases (September 1, 2019, and December 15, 2019), along with the reinstatement of a 25% tariff on U.S. automobiles, following a new U.S. tariff plan</t>
  </si>
  <si>
    <t>Trigger: US imposition of unilateral tariffs (2018) and subsequent tit-for-tat retaliations.242
After the implementation of US tariffs, China imposed five rounds of retaliatory tariffs (under Article 14 of the
Regulations of the People’s Republic of China on Import and Export Duties) between July 2018 and January 2020, ranging from 10-25%, and affecting $185 billion of US trade from a broad range of sectors, including agricultural, pharmaceuticals and consumer goods.257 I code these as a type of sanction because they were imposed not merely for reasons of political economy, but to generate coercive leverage.258 They were implemented in accordance with the Foreign Trade Law of the People's Republic of China.259
Explanations: None of the informal sanctions were linked to trade war tensions. The tariffs, however, were explicitly acknowledged as retaliatory measures.264</t>
  </si>
  <si>
    <t>Boycott calls against FedEx following accusations of shipment of controlled knives to Hong Kong</t>
  </si>
  <si>
    <t>FedEx has vowed to handle a problematic shipment correctly, after it allegedly violated Chinese postal delivery rules, but the US delivery firm has sparked outrage across the internet, as many web users urged an explicit explanation and strict rectification. (NB: Global Times)
FedEx allegedly handled a package bound for Hong Kong that contained controlled knives, the Xinhua News Agency reported on Tuesday. It once again allegedly violated Chinese law, at a time when it is still under formal investigation for a gun delivery in China and for "misrouting" shipments intended for Huawei. (NB: Global Times)
The company's latest alleged violation of the law comes at a sensitive time, when Hong Kong has been disrupted by radical rioters for over two months. This has led to a harsh backlash and criticism of FedEx. (NB: Global Times)</t>
  </si>
  <si>
    <t>State encouragement from Global Times. 
No identified apology.</t>
  </si>
  <si>
    <t>Boycott against NBA and Houston Rockets following Daryl Morey's tweet in support for protesters in Hong Kong</t>
  </si>
  <si>
    <t xml:space="preserve">On October 4, Daryl Morey, the general manager of the Houston Rockets, tweeted out an image which voiced support for protests in Hong Kong. In the days following, Chinese leagues, streaming services, sponsors, and partners, have cut ties with the Rockets and the NBA. </t>
  </si>
  <si>
    <t>National Basketball Association (NBA); Houston Rockets</t>
  </si>
  <si>
    <t xml:space="preserve">State support: The Chinese Basketball Association decided to suspend exchanges and cooperation’s with the team. The state broadcaster, CCTV announced they would stop broadcasting Houston Rockets games. 
Apology: NBA issued an apology on Chinese social media: “We are extremely disappointed in the inappropriate remarks of Houston Rockets General Manager Daryl Morey. He has undoubtedly severely hurt the feelings of Chinese fans”.
</t>
  </si>
  <si>
    <t>Boycott calls against Apple following United States restrictions on Huawei</t>
  </si>
  <si>
    <t>People in China are calling for a boycott of Apple products after tensions between China and the US reached new heights following fresh restrictions targeting Chinese telecom giant Huawei.
Declaring a national emergency, President Donald Trump signed an executive order Wednesday that banned US telecom companies from installing foreign equipment that poses a national security threat. A separate order bans Huawei from buying US technology without government approval.
On Weibo, China’s version of Twitter, users reacted to US pressure on Huawei by rejecting Apple products. “The functions in Huawei are comparable to Apple iPhones or even better. We have such a good smartphone alternative, why are we still using Apple?” commented one user.</t>
  </si>
  <si>
    <t>Apple</t>
  </si>
  <si>
    <t>Other Electronics</t>
  </si>
  <si>
    <t xml:space="preserve">No identified state support or apology. </t>
  </si>
  <si>
    <t>Reporting (BuzzFeed)</t>
  </si>
  <si>
    <t>Boycott calls against Dior following the use of a map of China excluding Taiwan</t>
  </si>
  <si>
    <t>The French luxury brand was criticised on Chinese social media after an employee reportedly used a China map in a presentation that excluded Taiwan. Dior apologised for the "mistake in representation" made by an employee.
The row broke out after a video was posted online anonymously claiming to show a Dior employee giving a talk at a university in China and showing the map.
It sparked a huge reaction on social media, as people complained that Dior was not respecting Chinese territorial claims.</t>
  </si>
  <si>
    <t>Dior</t>
  </si>
  <si>
    <t>France (Europe)</t>
  </si>
  <si>
    <t xml:space="preserve">Apology issued. State encouragement of this type of boycott was seen during August movements. </t>
  </si>
  <si>
    <t>Restrictions on Swedish movies in China and cancellation of business trips as well as the China-Sweden Joint Committee on Economic, Industrial, and Technical Cooperation, following Swedish culture minister awarding Gui Minhai the Tucholsky Prize</t>
  </si>
  <si>
    <r>
      <rPr>
        <sz val="14"/>
        <color theme="1"/>
        <rFont val="Calibri"/>
        <family val="2"/>
      </rPr>
      <t xml:space="preserve">(NB: Global Times) The ambassador said that the Chinese side has </t>
    </r>
    <r>
      <rPr>
        <b/>
        <sz val="14"/>
        <color theme="1"/>
        <rFont val="Calibri"/>
        <family val="2"/>
      </rPr>
      <t>canceled the meeting of the China-Sweden Joint Committee on Economic, Industrial, and Technical Cooperation</t>
    </r>
    <r>
      <rPr>
        <sz val="14"/>
        <color theme="1"/>
        <rFont val="Calibri"/>
        <family val="2"/>
      </rPr>
      <t xml:space="preserve">, scheduled to be held in Stockholm on December 10, because of the gross interference of the Swedish side in China's internal affairs. </t>
    </r>
    <r>
      <rPr>
        <b/>
        <sz val="14"/>
        <color theme="1"/>
        <rFont val="Calibri"/>
        <family val="2"/>
      </rPr>
      <t>Chinese business delegations also canceled their plans to visit Sweden recently</t>
    </r>
    <r>
      <rPr>
        <sz val="14"/>
        <color theme="1"/>
        <rFont val="Calibri"/>
        <family val="2"/>
      </rPr>
      <t>.
The day after the ceremony, the embassy made a new statement on its website, referring to the ceremony as a serious mistake that will create serious difficulties for normal friendly exchanges and cooperation between China and Sweden. But for a couple of weeks nothing seemed to happen, apart from a couple of Swedish movies being banned from screening in China.
Then on December 4, during a seminar in Gothenburg on Sweden-China relations arranged by The Society of International Affairs, Gui Congyou said that no one can harm China’s interests and at the same time reap economic benefits in the country. Aside from cultural exchanges, economic and trade relations will now also be affected, Gui emphasized to an audience of some 50 students at Gothenburg University.</t>
    </r>
  </si>
  <si>
    <t>Difficult to code "form of restriction" for cancellation of business trips. I coded this as "obstruction of foreign business" due to the restrictions on movies.</t>
  </si>
  <si>
    <t>Restrictions specifications (Global Times)</t>
  </si>
  <si>
    <t>Reporting (Diplomat)</t>
  </si>
  <si>
    <t>Reporting (Epoch Times)</t>
  </si>
  <si>
    <t>Targeted Sanction</t>
  </si>
  <si>
    <t>National Endowment for Democracy; National Democratic Institute for International Affairs; International Republican Institute; Human Rights Watch; Freedom House</t>
  </si>
  <si>
    <t>Academia &amp; Civil Society</t>
  </si>
  <si>
    <t>日前，美方不顾中方坚决反对，执意将所谓“香港人权与民主法案”签署成法，这严重违反国际法和国际关系基本准则，严重干涉中国内政，中方已就此表明坚决态度。针对美方无理行为，中国政府决定自即日起暂停审批美军舰机赴港休整的申请，同时对“美国国家民主基金会”、“美国国际事务民主协会”、“美国国际共和研究所”、“人权观察”、“自由之家”等在香港修例风波中表现恶劣的非政府组织实施制裁。中方敦促美方纠正错误，停止任何插手香港事务、干涉中国内政的言行，中方将根据形势发展采取进一步必要行动，坚定捍卫香港稳定繁荣，坚定捍卫中国主权、安全、发展利益。
　　问：中方为何对美国有关非政府组织实施制裁？
　　答：大量事实和证据表明，有关非政府组织通过各种方式支持反中乱港分子，极力教唆他们从事极端暴力犯罪行为，煽动“港独”分裂活动，对当前香港乱局负有重大责任。这些组织理应受到制裁，必须付出应有代价。
　　问：今天你宣布中方将对美国有关非政府组织实施制裁。能否提供更多细节？
　　答：我刚才已经说了，中国政府决定自即日起暂停审批美军舰机赴港休整的申请，同时对我刚才列名的“美国国家民主基金会”等在香港修例风波中表现恶劣的非政府组织实施制裁。
　　理由非常简单，已经有大量事实和证据表明，这些非政府组织通过各种方式支持反中乱港分子，极力教唆他们从事极端暴力犯罪行为，煽动“港独”分裂活动，对当前香港乱局负有重大责任。这些组织理应受到制裁，必须付出应有代价。这也是中方维护国家主权、安全、发展利益的应有之举。</t>
  </si>
  <si>
    <t>Full Text Chinese (MFA)</t>
  </si>
  <si>
    <t xml:space="preserve">Boycott calls against Arsenal following player Mesut Ozil expressing support for Uighurs in Xinjiang </t>
  </si>
  <si>
    <t>Chinese state broadcaster CCTV has pulled a game between Arsenal and Manchester City from its programme after Gunners midfielder Mesut Ozil expressed support for Uighurs in Xinjiang.
Ozil’s comments drew anger online, with some users on Weibo calling for a ban on his games.
Nationalist tabloid Global Times called Ozil’s comments “false” and said in a tweet on Sunday that he had “disappointed Chinese fans and football governing authorities”.
Arsenal is the latest foreign team to face the ire of Chinese broadcasters and audiences due to a player’s political stance.</t>
  </si>
  <si>
    <t>Arsenal</t>
  </si>
  <si>
    <t>United Kingdom (Europe)</t>
  </si>
  <si>
    <r>
      <rPr>
        <b/>
        <sz val="14"/>
        <color theme="1"/>
        <rFont val="Calibri"/>
        <family val="2"/>
      </rPr>
      <t>State support:</t>
    </r>
    <r>
      <rPr>
        <sz val="14"/>
        <color theme="1"/>
        <rFont val="Calibri"/>
        <family val="2"/>
      </rPr>
      <t xml:space="preserve"> Chinese state broadcaster CCTV cancelled a game between Arsenal and Manchester City from its program; Nationalist tabloid Global Times called Ozil’s comments “false” and said in a tweet on Sunday that he had “disappointed Chinese fans and football governing authorities”.
No identified apology</t>
    </r>
  </si>
  <si>
    <t>Reporting (Al Jazeera)</t>
  </si>
  <si>
    <t>Cessation of Licenses to Export Graphite to Sweden</t>
  </si>
  <si>
    <t>Undefined</t>
  </si>
  <si>
    <t>Graphite</t>
  </si>
  <si>
    <t>The process of granting export licenses presumably has a legal basis. However, this has not been publicly disclosed.</t>
  </si>
  <si>
    <t>European Commission</t>
  </si>
  <si>
    <t>Investigation by Swedish Public Radio</t>
  </si>
  <si>
    <t>Boycott movement against companies associated with messages that the coronavirus originated in China</t>
  </si>
  <si>
    <t>Several companies were targeted with criticism following being associated with views that the coronavirus originated in China</t>
  </si>
  <si>
    <t>Amazon; Deutz; Burger King; Bottega Spa</t>
  </si>
  <si>
    <t>United States (North America); France (Europe); Italy (Europe)</t>
  </si>
  <si>
    <t>State support by Global Times asking for an apology from Amazon
Some companies like Bottega Spa apologized</t>
  </si>
  <si>
    <t xml:space="preserve">Deutz Reporting </t>
  </si>
  <si>
    <t>Bottega Spa Reporting (SCMP)</t>
  </si>
  <si>
    <t>Burger King Reporting (Daily Mail)</t>
  </si>
  <si>
    <t>Boycott movement against the TV show "2gether: The Series" following controversy regarding representations of Hong Kong as a separate country and the coronavirus originating in China</t>
  </si>
  <si>
    <t xml:space="preserve">Following the incident, Chinese netizens expressed their opposition to Nnevvy's retweet about COVID-19 and the Instagram comment separating Taiwan from China by boycotting the show. Related hashtags for the boycott have earned more than 4.64 billion views and over 1.44 million posts on China's Twitter-like Sina Weibo.
On Saturday night, one of the translation groups announced on Sina Weibo that they will no longer produce subtitles for the show nor promote it.  (NB: Global Times)
</t>
  </si>
  <si>
    <t>2gether: The Series</t>
  </si>
  <si>
    <t>State support through Global Times. 
Apologies issued by individuals</t>
  </si>
  <si>
    <t>Anti-dumping and countervailing duties imposed on Australian barley and wine, following Australia’s calls for an independent investigation into COVID-19</t>
  </si>
  <si>
    <t>o Anti-dumping:
§ Barley:Anti-dumpingandcountervailingdutiesofacombined80.5%imposedinMay.Initial
investigation pre-dated the dispute, but imposition widely interpreted as retaliation.309
§ Wine:Anti-dumpingandcountervailingdutieswhencombinedrangingbetween107.1and212%.310</t>
  </si>
  <si>
    <t>Barley, wine</t>
  </si>
  <si>
    <t>Trigger: Occurred in context of gradual deterioration of bilateral relations, but specific trigger reported to be Australian calls for an independent investigation into origins of COVID-19.298
Explanations: Chinese officials consistently denied restrictions were retaliatory and linked them to violations of Chinese and international laws and regulations.316</t>
  </si>
  <si>
    <t>Sanctions in response to the US imposition of sanctions over Xinjiang</t>
  </si>
  <si>
    <r>
      <rPr>
        <sz val="14"/>
        <color theme="1"/>
        <rFont val="Calibri"/>
        <family val="2"/>
      </rPr>
      <t xml:space="preserve">China has decided to </t>
    </r>
    <r>
      <rPr>
        <b/>
        <sz val="14"/>
        <color theme="1"/>
        <rFont val="Calibri"/>
        <family val="2"/>
      </rPr>
      <t>impose corresponding sanctions on</t>
    </r>
    <r>
      <rPr>
        <sz val="14"/>
        <color theme="1"/>
        <rFont val="Calibri"/>
        <family val="2"/>
      </rPr>
      <t xml:space="preserve"> the U.S. Congressional-Executive Commission on China, as well as the U.S. State Department's Ambassador-at-Large for International Religious Freedom Brownback, Senators Rubio and Cruz, and Congressman Smith from today.</t>
    </r>
  </si>
  <si>
    <t>Sam Brownback; Marco Rubio; Ted Cruz; Chris Smith</t>
  </si>
  <si>
    <t>United States Congressional-Executive Commission on China</t>
  </si>
  <si>
    <t>Public Sector</t>
  </si>
  <si>
    <t>Overlap in targets with 2020-08-10 sanctions (Marco Rubio; Ted Cruz; Chris Smith).</t>
  </si>
  <si>
    <t>　　环球时报记者：7月9日，美国国务院和财政部分别宣布根据美国内法对一家中国新疆政府机构和4名官员实施制裁。中方对此表示，将对在涉疆问题上表现恶劣的有关美国机构和个人采取对等措施。请问你是否有进一步的信息？
　　华春莹：美方上述行径严重干涉中国内政，严重违反国际关系基本准则，严重损害中美关系，中方对此坚决反对、予以强烈谴责。
　　针对美方错误行径，中方决定自即日起对美国“国会-行政部门中国委员会”以及美国务院国际宗教自由无任所大使布朗巴克、联邦参议员鲁比欧、克鲁兹、联邦众议员史密斯实施相应制裁。
　　必须指出，新疆事务纯属中国内政，美方没有权利、没有资格横加干涉。中国政府捍卫国家主权安全发展利益的决心坚定不移，打击暴恐势力、分裂势力、宗教极端势力的决心坚定不移，反对任何外部势力干涉新疆事务和中国内政的决心坚定不移。
　　我们敦促美方立即撤销有关错误决定，停止任何干涉中国内政、损害中方利益的言行。中方将根据形势发展作出进一步反应。</t>
  </si>
  <si>
    <t>Sanctions in response to the US imposition of sanctions over Hong Kong</t>
  </si>
  <si>
    <t>China has decided to impose sanctions on the following individuals with egregious behaviors on Hong Kong-related issues, effective today: US Senators Marco Rubio, Ted Cruz, Josh Hawley, Tom Cotton and Pat Toomey, Representative Chris Smith, and Carl Gershman, President of the National Endowment for Democracy, Derek Mitchell, President of the National Democratic Institute, Daniel Twining, President of the International Republican Institute, Kenneth Roth, Executive Director of Human Rights Watch, and Michael J. Abramowitz, President of Freedom House.</t>
  </si>
  <si>
    <t>Marco Rubio; Ted Cruz; Josh Hawley; Tom Cotton; Pat Toomey; Chris Smith; Carl Gershman; Derek Mitchell; Daniel Twining; Kenneth Roth; Michael J. Abramowitz</t>
  </si>
  <si>
    <t>Overlap in targets with 2020-07-13 sanctions (Marco Rubio; Ted Cruz; Chris Smith).</t>
  </si>
  <si>
    <t>CCTV: On August 7, the US State Department and Department of the Treasury announced sanctions on 11 officials of the Central Government and the Hong Kong SAR under the pretext of undermining Hong Kong's autonomy. What is China's response?
Zhao Lijian: Such behavior openly meddles with Hong Kong affairs, blatantly interferes in China's internal affairs, and gravely violates international law and basic norms governing international relations. China firmly rejects and condemns it.
Reacting to the erroneous move by the US side, China has decided to impose sanctions on the following individuals with egregious behaviors on Hong Kong-related issues, effective today: US Senators Marco Rubio, Ted Cruz, Josh Hawley, Tom Cotton and Pat Toomey, Representative Chris Smith, and Carl Gershman, President of the National Endowment for Democracy, Derek Mitchell, President of the National Democratic Institute, Daniel Twining, President of the International Republican Institute, Kenneth Roth, Executive Director of Human Rights Watch, and Michael J. Abramowitz, President of Freedom House.
I must stress again that since Hong Kong's return to the motherland, "one country, two systems" has achieved enormous success. Hong Kong residents enjoy unprecedented democratic rights and freedoms in accordance with law. This is an objective fact no unbiased people will deny. In the meantime, there are new risks and challenges in the implementation of "one country, two systems", the most prominent of which is the heightened national security risk. When national security in Hong Kong is undermined and confronted with real threats and the SAR government had difficulty in completing national security legislation on its own, the Central Government took decisive measures to establish and improve at the state level a legal system and enforcement mechanisms to safeguard the Hong Kong SAR's national security. The Law on Safeguarding National Security in Hong Kong targets a very small number of criminals who gravely jeopardize national security and protects the law-abiding Hong Kong residents, who represent the vast majority.
Hong Kong is part of China and its affairs are entirely China's internal affairs which allow no foreign interference. We urge the US to grasp the situation, correct its mistake, and immediately stop meddling in Hong Kong affairs and China's internal affairs.
The Paper: A follow-up question on US sanctions on Hong Kong. We noted that Hong Kong officials including Chief Executive Carrie Lam and officials in charge of the HKSAR's departments of administration, finance and justice all responded, calling the US sanctions shameless and despicable, and blatant and barbaric interference in Hong Kong affairs. Some pointed out that the US falsely accused Chinese companies of data leak, but the US Treasury is disclosing personal information of 11 officials in the name of sanctions, which violates respect for privacy as the US claims to champion. According to the Hong Kong Social Sciences Research Centre's statistics, 65.7% of the surveyed Hong Kong residents expressed opposition to any sanctions by the US. Do you have any comment?
Zhao Lijian: The US gross interference in China's internal affairs and unscrupulous sanctions have met with unanimous strong opposition and condemnation from the Chinese people, including those in Hong Kong. The egregious and hegemonic behavior of the US has been denounced by all. Relevant officials have publicly stated their "fear nothing" position in the face of the sanctions, which speaks volumes of the character of the Chinese people.
Intimidation will never work on the Chinese people. The so-called sanctions by the US will only further expose their hegemonic bullying and double standards and give the international community another laughingstock and farce to mock at.
Let me share with you some of the responses made by Chief Executive Carrie Lam and others. Carrie said that according to the information released by the US side, she is supposed to live in Victoria House, but that is the official residence of the Chief Secretary for Administration's Office. Who can imagine that the US side cannot even get the Chief Executive's address right? Teresa Cheng, HKSAR Secretary for Justice said that it is an honor to serve the country and personal interest pales in front of the motherland and the people. With the strong backing of the country, she fears nothing at all. US sanctions are wasted efforts.
I want to give them a big "Thumb Up" on behalf of the Chinese people.
Reuters: First question, you just announced some sanctions against US officials. Are they effective today? Second question, Hong Kong media tycoon Jimmy Lai was arrested today in Hong Kong under the national security law for suspected collusion with foreign forces. Can the foreign ministry specify in what ways did Lai collude with foreign forces? Third question, Chinese fighter jets crossed the median line of the Taiwan Strait this morning. Is this China's countermeasure for the visit by US health chief Azar to Taiwan?
Zhao Lijian: On your first question, these sanctions take effect as of today.
On your second question, Hong Kong is governed by rule of law. We support SAR law enforcement authorities in discharging their duties in accordance with law.
On your third question, I would refer you to the defense department.</t>
  </si>
  <si>
    <t>Full Text English (MFA)</t>
  </si>
  <si>
    <t>the Ministry of Commerce and the Ministry of Science and Technology have made some adjustments to the Catalogue of Technologies Prohibited or Restricted from Export from China</t>
  </si>
  <si>
    <t>Foreign Trade Law;
Regulations on the Administration of Technology Import and Export</t>
  </si>
  <si>
    <t>Drones; Other Electronics; Chemicals; Health; Aerospace; AI; Energy; Transportation; Agriculture</t>
  </si>
  <si>
    <t xml:space="preserve"> 23 areas of innovation – ranging from space materials to 3D printing, encryption and large-scale high-speed wind tunnel design</t>
  </si>
  <si>
    <t xml:space="preserve">
China has added drone technology to its list of restricted exports. 
Drones and lasers are among the nearly two dozen technologies added to China’s restricted export list in the first major overhaul of the rules in more than a decade.
As tensions with the United States grow over trade and tech, China’s Ministry of Commerce said on Friday that 23 areas of innovation – ranging from space materials to 3D printing, encryption and large-scale high-speed wind tunnel design – had been added to the restricted export list.
“The main purpose is to regulate technology exports, promote scientific and technological progress and economic and technological cooperation, and maintain national economic security,” the ministry said. 
It is the first time the list has been overhauled since 2008 and means that any exports of technology in those 23 fields will require government approval.
The overhaul follows a tightening of regulations in the US. In June, the US Commerce Department’s Bureau of Industry and Security expanded licence requirements for exports of technologies intended for military end users and military end use in China.
China also revised details for 21 technologies that are already either restricted or banned, including crop breeding, chemical raw material production, biological pesticide production and spacecraft measurement and control.
Iris Pang, chief economist for Greater China from ING Wholesale Banking, said the revisions were in retaliation for “the US ban on Chinese tech companies”.</t>
  </si>
  <si>
    <t>商务部 科技部公告2020年第38号 关于调整发布《中国禁止出口限制出口技术目录》的公告【已废止】
根据《中华人民共和国对外贸易法》和《中华人民共和国技术进出口管理条例》，商务部、科技部对《中国禁止出口限制出口技术目录》（商务部 科技部令2008年第12号附件）内容作部分调整，现予以公布。属于军民两用技术的，纳入出口管制管理。
商务部 科技部
2020年8月28日
《中国禁止出口限制出口技术目录》调整内容.pdf</t>
  </si>
  <si>
    <t>Full Text Chinese (MOFCOM)</t>
  </si>
  <si>
    <t>Broad import restrictions on Australian goods, including customs delays, suspended export licenses, and state instructions to Chinese firms to cease imports, following Australia’s calls for an independent investigation into COVID-19</t>
  </si>
  <si>
    <t>• Bureaucratic obstruction [3]:
o Lobster: Cited concerns about the presence of minerals and heavy metals, Chinese customs officials held up
Australian lobster exports for lengthy inspections leading them to perish on tarmacs.299
o Wine: In November 2020 reports emerged that the few remaining exports to China were experiencing
significant delays in Chinese customs due to increased testing and closer scrutiny of documentation.300
o Table grapes,301 citrus fruit,302 and wheat303 may also have experienced customs delays due to stepped up
inspection however these products do not appear to have been targeted systematically. • Conversion [7]:
o SPS:
§ Barley:ExportlicensesofmajorAustralianexportersCBHandEmeraldsuspendedinSeptember
2020 after apparent discovery of pest and weed contamination.304
§ Forages:GACCdeclinedtorenewlapsedexportlicensesof25of28Australianfodderexportersin
February 2021, citing the need for SPS testing at facilities which was impossible due to COVD-19
travel restrictions.305
§ Beef:Sixabattoirs,representingapproximatelyonefifthoftotalAustralianexports,hadexport
licenses suspended – one due to the apparent discovery of residues of cat and dog eye ointment in a
shipment.306
§ Timberlogs:ImportsoflogsfromseveralAustralianjurisdictionsbannedduetoapparentdiscovery
o TBT:
§ Beef:Sixabattoirs,representingapproximatelyonefifthoftotalAustralianexports,hadexport licenses suspended – four due to apparent ‘inconsistencies with labelling and consignment certificates’.308
• Blacklists [4]:
o Coal: State-owned utilities and steel mills reportedly received verbal notice from authorities to stop importing
Australian coal (thermal and coking) in October.311
o Cotton: State-owned mills, importers and storage companies reportedly instructed by China’s Ministry of
Commerce and National Development and Reform Commission to cease importing Australian cotton in October
2020.312
o Copper ore: Chinese importers allegedly given ‘verbal’ instructions to cease imports in November 2020.313
o Other: Reports in November 2020 suggested that Chinese importers had also been instructed to cease imports of
other Australian products—barley, sugar, red wine, timber and lobster—and cite ‘commercial reasons’ for doing so.314 However, wine, lobster, barley and timber were subsequently restricted via conversion and bureaucratic obstruction, suggesting that importers either ignored directions or that these other forms of implementation were prioritised for other reasons. It is unclear whether sugar experienced disruption.315</t>
  </si>
  <si>
    <t>Bureaucratic Obstruction; Conversion; Blacklist</t>
  </si>
  <si>
    <t>Food &amp; Beverage; Agriculture</t>
  </si>
  <si>
    <t>Barley, beef, wine, lobster, timber, coal, cotton, copper ore, table grapes, citrus fruit, wheat, forages</t>
  </si>
  <si>
    <t>Boycott of Czech pianos following senate speaker's visit to Taiwan</t>
  </si>
  <si>
    <t>(NB: Global Times) According to the article, many netizens suggested to impose sanctions, or even cut economic or diplomatic ties with the Czech Republic. So far, in protest of Vystrčil’s visit to Taiwan China canceled a 5 million CZK order from Petrof Pianos.
Czech businesses will be hurt by deteriorating relations between China and the Czech Republic due to the provocation of the Czech senate speaker's visit to China's Taiwan in August. Experts said that the cancelation of piano orders by Chinese importers is a natural business response that may signal a broader impact.
The remarks came after a Chinese piano trader canceled an order valued at $23.8 million from leading Czech piano producer Petrof amid bilateral tensions triggered by Czech senate speaker Milos Vystrcil's Taiwan visit, a blatant move that sparked a nationwide outcry in China, which is the second-largest export destination for Czech pianos.
A manager of Fuda Music, a Beijing-based piano company and an official partner of Petrof, told the Global Times on Sunday that it temporarily suspended new orders to the Czech supplier in early September in light of the huge impact of the Czech official's visit.
Data that the China Chamber of Commerce for Import and Export of Light Industrial Products and Arts-Crafts sent to the Global Times on Monday showed that imports of pianos from the Czech Republic fell 55.8 percent from January to July to $1.33 million. Logistics disruptions caused by the pandemic were among the reasons, experts said.
China is the second-largest export market for Czech pianos - including automatic pianos, harpsichords and other keyboard stringed instruments - which took a share of 20 percent in 2019, after Germany's 23 percent, the UN Comtrade Database showed.</t>
  </si>
  <si>
    <t>Petrof</t>
  </si>
  <si>
    <t>Czech Republic (Europe)</t>
  </si>
  <si>
    <t>State support by Global Times. 
No apology issued</t>
  </si>
  <si>
    <t>Reporting (CEIAS)</t>
  </si>
  <si>
    <t>Foreign Ministry Spokesperson Announces Sanctions on Pompeo and Others</t>
  </si>
  <si>
    <t>Michael R. Pompeo; Peter K. Navarro; Robert C. O'Brien; David R. Stilwell; Matthew Pottinger; Alex M. Azar II; Keith J. Krach; Kelly D. K. Craft; John R. Bolton; Stephen K. Bannon</t>
  </si>
  <si>
    <t>Only 10 out of 28 people are mentioned. The remaining people are presumably the family members of names people.</t>
  </si>
  <si>
    <t xml:space="preserve">
外交部发言人宣布中方对蓬佩奥等人实施制裁
2021-01-21 01:01
【中大小】 打印 
　　过去几年，美国一些反华政客出于一己政治私利和对华偏见仇恨，罔顾中美两国人民的利益，策划、推动实施了一系列疯狂的行径，严重干涉中国内政、损害了中国的利益、伤害了中国人民的感情，也严重破坏了中美关系。中国政府捍卫国家主权安全发展利益的决心坚定不移。中方决定对在涉华问题上严重侵犯中国主权、负有主要责任的28名人员实施制裁，包括特朗普政府中的蓬佩奥、纳瓦罗、奥布莱恩、史达伟、波廷杰、阿扎、克拉奇、克拉夫特以及博尔顿、班农等。这些人及其家属被禁止入境中国内地和香港、澳门，他们及其关联企业、机构也已被限制与中国打交道、做生意。</t>
  </si>
  <si>
    <t>Foreign Ministry Spokesperson Announces Sanctions on Pompeo and Others
2021/01/20
Over the past few years, some anti-China politicians in the United States, out of their selfish political interests and prejudice and hatred against China and showing no regard for the interests of the Chinese and American people, have planned, promoted and executed a series of crazy moves which have gravely interfered in China's internal affairs, undermined China's interests, offended the Chinese people, and seriously disrupted China-U.S. relations. The Chinese government is firmly resolved to defend China's national sovereignty, security and development interests. China has decided to sanction 28 persons who have seriously violated China's sovereignty and who have been mainly responsible for such U.S. moves on China-related issues. They include Michael R. Pompeo, Peter K. Navarro, Robert C. O'Brien, David R. Stilwell, Matthew Pottinger, Alex M. Azar II, Keith J. Krach, and Kelly D. K. Craft of the Trump administration as well as John R. Bolton and Stephen K. Bannon. These individuals and their immediate family members are prohibited from entering the mainland, Hong Kong and Macao of China. They and companies and institutions associated with them are also restricted from doing business with China.</t>
  </si>
  <si>
    <t>Suspension of Taiwanese pineapple imports, citing pest concerns, following ongoing tensions regarding the orientation of Taiwanese policy under Tsai Ing-wen, including efforts to strengthen relations with the U.S., Japan, and European states such as Lithuania</t>
  </si>
  <si>
    <t>o SPS: Pineapples: In late February 2021 GACC announced the suspension of pineapple imports from Taiwan.
Officials cited concerns about the presence of pests: “The mainland's customs has intercepted quarantine pests
among pineapples from Taiwan since 2020” (Taiwan Affairs Office of China's State Council Ma Xiaoguang).328</t>
  </si>
  <si>
    <t>Food safety regulations</t>
  </si>
  <si>
    <t>Trigger: Ongoing tensions regarding the orientation of Taiwanese policy under Tsai-ing Wen, including efforts to strengthen relations with the US, Japan and European states (such as Lithuania).327
Explanation: Officials denied the measures were retaliatory. The pineapple restriction was described as “a normal biosafety precaution in line with China's laws, regulations and standards”.339 The sugar and wax apple restrictions were also said to be in accordance with ‘laws, regulations and standards’ and necessary for phytosanitary protection.340 Zhu Fenglian, spokesperson for the Taiwan Affairs Office of the State Council, rejected allegations the treatment of Far Eastern Group companies was politically motivated and emphasised they were “punished in accordance with the law” and “based on the facts”, although curiously added that "Taiwan independence’ stubborn elements...affiliates and financial backers must be punished.”.341</t>
  </si>
  <si>
    <t>Boycott movement starting in March against H&amp;M and other clothing brands for voicing concern over human rights violations in Xinjiang or ending sourcing from the region</t>
  </si>
  <si>
    <t>In early 2021, Western companies were coming under pressure to stop sourcing cotton from Xinjiang due to human rights violations in the region. Simultaneously, especially from March 2021 onwards, they faced Chinese consumer boycotts for voicing concerns about such human rights violations or withdrawing from relationships with producers in the region. 
Many of the targeted firms were members of the Better Cotton Initiative (BCI)</t>
  </si>
  <si>
    <t>H&amp;M; Hugo Boss; Puma; Adidas; Asics; ZARA; Burberry; Nike</t>
  </si>
  <si>
    <t xml:space="preserve">Visibly large economic effect on the concerned businesses. See reporting. 
State support visible in the encouragement by the youth leauge of the boycott against H&amp;M (and possibly other state media encouragement)
Asics and Hugo Boss apologized. 
</t>
  </si>
  <si>
    <t>Reporting (CNBC)</t>
  </si>
  <si>
    <t>Reporting (Forbes)</t>
  </si>
  <si>
    <t>Reporting (Bloomberg)</t>
  </si>
  <si>
    <t>Foreign Ministry Spokesperson Announces Sanctions on Relevant EU Entities and Personnel</t>
  </si>
  <si>
    <t>Reinhard Butikofer; Michael Gahler; Raphaël Glucksmann; Ilhan Kyuchyuk; Miriam Lexmann; Sjoerd Wiemer Sjoerdsma; Samuel Cogolati; Dovile Sakaliene; Adrian Zenz; Björn Jerdén</t>
  </si>
  <si>
    <t>Political and Security Committee of the Council of the European Union; Subcommittee on Human Rights of the European Parliament; the Mercator Institute for China Studies in Germany; the Alliance of Democracies Foundation in Denmark</t>
  </si>
  <si>
    <t>Germany (Europe); France (Europe); Bulgaria (Europe); Slovakia (Europe); Netherlands (Europe); Belgium (Europe); Lithuania (Europe); Sweden (Europe); European Union (Europe); Denmark (Europe)</t>
  </si>
  <si>
    <t>Public Sector; Academia &amp; Civil Society</t>
  </si>
  <si>
    <t>Significant step (escalation) in China's formal use of sanctions.
Imposed together with sanctions against the US and Canada (2021-03-27)</t>
  </si>
  <si>
    <t>外交部发言人宣布中方对欧盟有关机构和人员实施制裁
2021-03-22 20:26
【中大小】 打印 
　　3月22日，欧盟基于谎言和虚假信息，以所谓新疆人权问题为借口对中国有关个人和实体实施单边制裁。欧方此举罔顾事实、颠倒黑白，粗暴干涉中国内政，公然违反国际法和国际关系基本准则，严重损害中欧关系。中方对此表示坚决反对和强烈谴责。中国政府捍卫国家主权、安全、发展利益的决心坚定不移。中方决定对欧方严重损害中方主权和利益、恶意传播谎言和虚假信息的10名人员和4个实体实施制裁，包括：欧洲议会议员彼蒂科菲尔、盖勒、格鲁克斯曼、库楚克、莱克斯曼，荷兰议会议员舍尔茨玛，比利时议会议员科格拉蒂，立陶宛议会议员萨卡利埃内，德国学者郑国恩，瑞典学者叶必扬，欧盟理事会政治与安全委员会，欧洲议会人权分委会，德国墨卡托中国研究中心，丹麦民主联盟基金会。相关人员及其家属被禁止入境中国内地及香港、澳门特别行政区，他们及其关联企业、机构也已被限制同中国进行往来。
　　中方敦促欧方认识到错误的严重性，反躬自省，纠正错误，不要再以“人权教师爷”自居，不要再玩弄虚伪的双重标准，不要再四处干涉别国内政，不要在错误的道路上越走越远。否则，中方将做出进一步坚决的反应。</t>
  </si>
  <si>
    <t>Foreign Ministry Spokesperson Announces Sanctions on Relevant EU Entities and Personnel
2021/03/22
The European Union (EU) imposed unilateral sanctions on relevant Chinese individuals and entity on March 22, citing the so-called human rights issues in Xinjiang. This move, based on nothing but lies and disinformation, disregards and distorts facts, grossly interferes in China's internal affairs, flagrantly breaches international law and basic norms governing international relations, and severely undermines China-EU relations. China firmly opposes and strongly condemns this. The Chinese government is firmly determined to safeguard national sovereignty, security and development interests. The Chinese side decides to sanction the following ten individuals and four entities on the EU side that severely harm China's sovereignty and interests and maliciously spread lies and disinformation: Reinhard Butikofer, Michael Gahler, Raphaël Glucksmann, Ilhan Kyuchyuk and Miriam Lexmann of the European Parliament, Sjoerd Wiemer Sjoerdsma of the Dutch Parliament, Samuel Cogolati of the Belgian Federal Parliament, Dovile Sakaliene of the Seimas of the Republic of Lithuania, German scholar Adrian Zenz, Swedish scholar Björn Jerdén, Political and Security Committee of the Council of the European Union, Subcommittee on Human Rights of the European Parliament, the Mercator Institute for China Studies in Germany, and the Alliance of Democracies Foundation in Denmark. The individuals concerned and their families are prohibited from entering the mainland, Hong Kong and Macao of China. They and companies and institutions associated with them are also restricted from doing business with China.
The Chinese side urges the EU side to reflect on itself, face squarely the severity of its mistake and redress it. It must stop lecturing others on human rights and interfering in their internal affairs. It must end the hypocritical practice of double standards and stop going further down the wrong path. Otherwise, China will resolutely make further reactions.</t>
  </si>
  <si>
    <t>Foreign Ministry Spokesperson: China imposes sanctions on relevant British individuals and entities</t>
  </si>
  <si>
    <t>China has decided to impose sanctions on nine British individuals and four entities who maliciously spread lies and false information, including: Tugendhat, Duncan-Smith, O'Brien, Alton, Loughton, Ghani, Kennedy, Nice, Finley, as well as the "China Research Group", the Conservative Party Human Rights Commission, the "Uyghur Independent Tribunal", and Essex Garden Chambers. From now on, the relevant personnel and their immediate family members are prohibited from entering (including Hong Kong and Macao), their assets in China are frozen, and Chinese citizens and institutions are prohibited from trading with them. China reserves the right to take further measures.</t>
  </si>
  <si>
    <t>David Alton; Geoffrey Nice; Helena Kennedy; Iain Duncan Smith; Joanne Nicola Smith Finley; Neil O'Brien; Nusrat Ghani; Tim Loughton; Tom Tugendhat</t>
  </si>
  <si>
    <t>China Research Group; Conservative Party Human Rights Commission; Essex Court Chambers; Uyghur Tribunal</t>
  </si>
  <si>
    <t>外交部发言人宣布中方对英国有关人员和实体实施制裁
日前，英方基于谎言和虚假信息，以所谓新疆人权问题为借口对中国有关个人和实体实施单边制裁，公然违反国际法和国际关系基本准则，粗暴干涉中国内政，严重损害中英关系。外交部负责人已召见英国驻华大使提出严正抗议，表示坚决反对和强烈谴责。中方决定对恶意传播谎言和虚假信息的英方9名人员和4个实体实施制裁，包括：图根哈特、邓肯—史密斯、奥布莱恩、奥尔顿、劳顿、加尼、肯尼迪、尼斯、芬利以及“中国研究小组”、保守党人权委员会、“维吾尔独立法庭”、埃塞克斯园大律师事务所。自即日起禁止有关人员及其直系家属入境（包括香港、澳门），冻结其在华财产，禁止中国公民及机构同其交易。中方保留采取进一步措施的权利。
中方维护国家主权、安全、发展利益的决心坚定不移，正告英方不要在错误的道路上越走越远。否则，中方将做出进一步坚决的反应。</t>
  </si>
  <si>
    <r>
      <rPr>
        <sz val="14"/>
        <color theme="1"/>
        <rFont val="Calibri"/>
        <family val="2"/>
      </rPr>
      <t xml:space="preserve">prohibiting the above-mentioned individuals from </t>
    </r>
    <r>
      <rPr>
        <b/>
        <sz val="14"/>
        <color theme="1"/>
        <rFont val="Calibri (Body)"/>
      </rPr>
      <t>entering the Chinese mainland</t>
    </r>
    <r>
      <rPr>
        <sz val="14"/>
        <color theme="1"/>
        <rFont val="Calibri (Body)"/>
      </rPr>
      <t xml:space="preserve"> and the Hong Kong and Macao Special Administrative Regions, and prohibiting Chinese citizens and institutions from </t>
    </r>
    <r>
      <rPr>
        <b/>
        <sz val="14"/>
        <color theme="1"/>
        <rFont val="Calibri (Body)"/>
      </rPr>
      <t>trading with the above-mentioned individuals or dealing with</t>
    </r>
    <r>
      <rPr>
        <sz val="14"/>
        <color theme="1"/>
        <rFont val="Calibri (Body)"/>
      </rPr>
      <t xml:space="preserve"> the above-mentioned entities</t>
    </r>
  </si>
  <si>
    <t>Gayle Manchin; Tony Perkins; Michael Chong</t>
  </si>
  <si>
    <t>United States Commission on International Religious Freedom (USCIRF); Subcommittee on International Human Rights of the Standing Committee on Foreign Affairs and International Development of the House of Commons of Canada</t>
  </si>
  <si>
    <t>United States (North America); Canada (North America)</t>
  </si>
  <si>
    <t>Imposed together with sanctions against the EU (2021-03-22)</t>
  </si>
  <si>
    <t>外交部发言人宣布对美国、加拿大有关人员和实体实施制裁
2021-03-27 21:36 来源： 外交部网站字号：默认 大 超大|打印|     
针对美国、加拿大基于谎言和虚假信息于3月22日对中国新疆有关人员和实体实施单边制裁的行径，中方决定对美国国际宗教自由委员会主席曼钦、副主席伯金斯，加拿大联邦众议员庄文浩、众议院外委会国际人权小组委员会实施制裁，禁止上述人员入境中国内地及香港、澳门特别行政区，禁止中国公民及机构同上述人员交易或同上述实体往来。同时，此前中方对美方在涉疆问题上严重损害中方主权和利益人员的制裁仍然有效。
中国政府捍卫国家主权、安全和发展利益的决心坚定不移。中方敦促有关方面认清形势，纠正错误，停止在涉疆问题上搞政治操弄，停止以任何方式干涉中国内政，不要在错误的道路上越走越远，否则必将玩火自焚。</t>
  </si>
  <si>
    <t>Foreign Ministry Spokesperson Announces Sanctions on Relevant US and Canadian Individuals and Entity
Updated: March 27, 2021 20:51
The United States (US) and Canada imposed unilateral sanctions on relevant individuals and entity in Xinjiang on March 22 based on rumors and disinformation. In response, the Chinese side decides to sanction Chair of the United States Commission on International Religious Freedom (USCIRF) Gayle Manchin, Vice Chair of the USCIRF Tony Perkins, Member of Parliament of Canada Michael Chong, and the Subcommittee on International Human Rights of the Standing Committee on Foreign Affairs and International Development of the House of Commons of Canada. The individuals concerned are prohibited from entering the mainland, Hong Kong and Macao of China, and Chinese citizens and institutions are prohibited from doing business with the relevant individuals and having exchanges with the relevant entity. In the meantime, China's previous sanctions on US individuals who have seriously undermined China's sovereignty and interests on Xinjiang-related issues remain effective.
The Chinese government is firmly determined to safeguard its national sovereignty, security and development interests, and urges the relevant parties to clearly understand the situation and redress their mistakes. They must stop political manipulation on Xinjiang-related issues, stop interfering in China's internal affairs in any form and refrain from going further down the wrong path. Otherwise,they will get their fingers burnt.</t>
  </si>
  <si>
    <t>Jónas Haraldsson</t>
  </si>
  <si>
    <t>Iceland (Europe)</t>
  </si>
  <si>
    <t>Likely for the Xinjiang March sanctions Iceland was set to participate in with the EU, the US and other western countries.
He had been writing op-eds critical of China.</t>
  </si>
  <si>
    <t>Reporting (Icelandic)</t>
  </si>
  <si>
    <t>Foreign Ministry Spokesperson's Remarks on China's Decision to Impose Sanctions on Relevant US Individuals and Entity</t>
  </si>
  <si>
    <t>China has decided to take reciprocal countermeasures, and impose sanctions on seven US individuals and entity according to the Anti-Foreign Sanctions Law, including former US Secretary of Commerce Wilbur Louis Ross, Chairman of US-China Economic and Security Review Commission (USCC) Carolyn Bartholomew, former Staff Director of Congressional-Executive Commission on China (CECC) Jonathan Stivers, DoYun Kim at National Democratic Institute for International Affairs, senior program manager of the International Republican Institute (IRI) Adam Joseph King, China Director at Human Rights Watch Sophie Richardson, and Hong Kong Democratic Council.</t>
  </si>
  <si>
    <t>Anti-Foreign Sanctions Law</t>
  </si>
  <si>
    <t>Wilbur Louis Ross; Carolyn Bartholomew; Jonathan Stivers; DoYun Kim; Adam Joseph King; Sophie Richardson</t>
  </si>
  <si>
    <t>Hong Kong Democratic Council</t>
  </si>
  <si>
    <t>Foreign Ministry Spokesperson's Remarks on China's Decision to Impose Sanctions on Relevant US Individuals and Entity
2021-07-23 23:01
Q: On July 16, the US Department of State, the US Department of the Treasury, the US Department of Commerce, and the US Department of Homeland Security, issued the so-called "Hong Kong Business Advisory". The US Treasury Department's Office of Foreign Assets Control (OFAC) imposed financial sanctions on seven deputy directors of the Liaison Office of the Central People's Government in HKSAR by adding them to its list of Specially Designated Nationals. In response, China has stated its determination to take all measures necessary in accordance with law to defend itssovereignty, security and development interests. What specific measures will China take?
A: The US has concocted the so-called "Hong Kong Business Advisory" to groundlessly smear Hong Kong's business environment, and illegally imposed sanctions on several officials of the Liaison Office of the Central People's Government in the Hong Kong SAR. These acts gravely violate international law and basic norms governing international relations, and severely interfere in China's internal affairs. China firmly opposes and strongly condemns this.
In response to the erroneous practice of the US side, China has decided to take reciprocal countermeasures, and impose sanctions on seven US individuals and entity according to the Anti-Foreign Sanctions Law, including former US Secretary of Commerce Wilbur Louis Ross, Chairman of US-China Economic and Security Review Commission (USCC) Carolyn Bartholomew, former Staff Director of Congressional-Executive Commission on China (CECC) Jonathan Stivers, DoYun Kim at National Democratic Institute for International Affairs, senior program manager of the International Republican Institute (IRI) Adam Joseph King, China Director at Human Rights Watch Sophie Richardson, and Hong Kong Democratic Council.
I would like to stress once again that Hong Kong is China's Special Administrative Region and its affairs are an integral part of China's internal affairs. Any attempt by external forces to interfere in Hong Kong's affairs would be as futile as an ant trying to shake a big tree.</t>
  </si>
  <si>
    <t>Broad import restrictions on Lithuanian goods, including removal of Lithuania as a country of origin in customs system, customs delays, halted freight train connections, and revoked export licenses, following Lithuania’s deepening ties with Taiwan, including the opening of a Taiwanese Representative Office in Lithuania</t>
  </si>
  <si>
    <t>• Informal—Bureaucratic obstruction [4]:
o Lithuania removed as country of origin in Chinese customs clearance system, which made it impossible for Lithuanian products to be cleared or for import applications to be processed.343 This problem apparently only lasted for four days.344 Subsequently, a wide range of Lithuanian actors reported extensive delays in customs processing.345 In its WTO request for consultations, the EU described the delays as “novel, numerous, recurrent, persisting and strongly correlated in temporal and substantive terms”.346 Export permits for different products, such as foods, also stopped being issued to Lithuanian firms by Chinese authorities.347
o Freight trains between China and Lithuania reportedly stopped for a brief period.350
Informal—Conversion [5]:
o TBT: Licenses for Lithuanian grain exports to China were revoked in December 2021.351
o TBT: In February 2022, GACC suspended Lithuanian exports of beef, dairy products and beer due to a “lack of
documentation”.352 More specifically, for beef and dairy, GACC claimed had not submitted any ‘materials’ since August 2019, and “that there was a problem of tampering with the production date and expiry date of Lithuanian beer exported to China”.353 Rosvaldas Gorbačiovas, spokesman for Lithuania's State Food and Veterinary Service told reporters they had “not received any note on any lack of documents or information from [China] before”.354
o SPS: GACC suspended imports of Lithuanian timber logs in February 2022, citing the apparent presence of pests (“sirex noctilio, monochamus impluviatus and pissodes validirostris”).355</t>
  </si>
  <si>
    <t>Customs labelling requirements</t>
  </si>
  <si>
    <t>Lithuania (Europe)</t>
  </si>
  <si>
    <t>Grain, beef, dairy products, beer, timber</t>
  </si>
  <si>
    <t>Trigger: Lithuania’s departure from the 17+1 ‘Cooperation between China and Central and Eastern European Countries’ initiative (May 2021) and opening of Taiwanese Representative Office in Lithuania (November 2021).
Explanation: Chinese officials denied occurrence of trade disruption and any links between irregularities and the state of China- Lithuania relations.363 For example, FMA spokesman Zhao Lijian on 22 December 2021: “The Lithuanian side bears the sole responsibility for the severe difficulties in China-Lithuania relations. The claim that China’s authorities “are not clearing Lithuanian shipments” and that “they are rejecting import applications from Lithuania” is not true. If companies face technical problems in exporting certain products to China, they can report to competent Chinese authorities through normal channels ... China doesn’t bully or wantonly sanction others, wield long-arm jurisdiction or suppress foreign businesses. How can anyone accuse it of coercion?”.364
Annotation(s): Restrictions were initially only imposed via blacklists and bureaucratic obstruction. After the EU filed a case in the WTO, conversion began. Some have interpreted this as an effort “to strengthen [China’s] very thin legal basis for actions taken against Vilnius”.365</t>
  </si>
  <si>
    <t>Ban on Taiwanese wax and sugar apple imports, citing repeated pest detections, following ongoing tensions regarding the orientation of Taiwanese policy under Tsai Ing-wen, including efforts to strengthen relations with the U.S., Japan, and European states such as Lithuania</t>
  </si>
  <si>
    <t>o SPS: Wax and sugar apples: On 19 September, citing repeated discoveries of pests (Planococcus minor, a
mealybug), GACC announced a sudden ban on Taiwanese wax and sugar apple imports.329</t>
  </si>
  <si>
    <t>Restrictions on exports to Lithuania, with Chinese suppliers refusing to fulfill orders for materials such as glass and electronic components, citing "power cuts," following Lithuania’s deepening ties with Taiwan, including the opening of a Taiwanese Representative Office in Lithuania</t>
  </si>
  <si>
    <t>o Lithuanian entities also reported disruptions to their imports from Chinese entities.357 Chinese entities sent ‘nearly identical letters’ blaming ‘power cuts’ for their inability to fulfil orders for different materials (such as glass and electronic components).358</t>
  </si>
  <si>
    <t>Punitive Measures Imposed on Staunch "Taiwan Independence" Separatists Su Tseng-chang, You Si-kun, and Joseph Wu</t>
  </si>
  <si>
    <t>Su Tseng-chang (苏贞昌); You Si-kun (游锡堃); Joseph Wu (吴钊燮)</t>
  </si>
  <si>
    <t>国台办：依法对苏贞昌、游锡堃、吴钊燮等极少数“台独”顽固分子实施惩戒
2021-11-05 20:42 来源：新华网
　　新华社北京11月5日电 国台办发言人朱凤莲5日应询表示，一段时期以来，苏贞昌、游锡堃、吴钊燮等极少数“台独”顽固分子极力煽动两岸对立、恶意攻击诬蔑大陆、谋“独”言行恶劣、勾连外部势力分裂国家，严重破坏两岸关系，严重危害台海和平稳定，严重损害两岸同胞共同利益和中华民族根本利益。大陆方面依法对清单在列的上述“台独”顽固分子实施惩戒，禁止其本人及家属进入大陆和香港、澳门特别行政区，限制其关联机构与大陆有关组织、个人进行合作，绝不允许其关联企业和金主在大陆谋利，以及采取其它必要的惩戒措施。
　　有记者问，有媒体报道称，大陆方面正在研究针对“台独”顽固分子的惩戒措施，请问是否属实？朱凤莲在答问时作上述表示。
　　她指出，我们正告此类“台独”顽固分子，凡是数典忘祖、背叛祖国、分裂国家的人，从来没有好下场，必将遭到人民的唾弃和历史的审判。大陆方面将依法对“台独”顽固分子追究刑事责任，终身有效。</t>
  </si>
  <si>
    <t>Full Text Chinese (Taiwan Affairs Office)</t>
  </si>
  <si>
    <t>Fines on Taiwanese conglomerate Far Eastern Group, known as major donor to Taiwan’s Democratic Progressive Party, for alleged violations of tax, environmental, and safety regulations, following tensions regarding the orientation of Taiwanese policy under Tsai Ing-wen, including efforts to strengthen relations with the U.S., Japan, and European states such as Lithuania</t>
  </si>
  <si>
    <t>o Domestic law: Mainland authorities charged companies owned by Taiwanese conglomerate Far Eastern Group
numerous fines, totalling approximately $US 75 million, for alleged violations of different domestic laws at their factories in China, including tax rules, environmental protection laws, and fire safety and other employee safety regulations.330 Far Eastern Group known to be a major donor to Taiwan’s Democratic Progressive Party.331 Shortly afterwards, Far Eastern Chairman Douglas Hsu penned a letter to Taiwan’s United Daily News in which he wrote “I have always opposed Taiwan independence”.332</t>
  </si>
  <si>
    <t>Tax rules, environmental protection laws, and fire safety and other employee safety regulations</t>
  </si>
  <si>
    <t>Cancellation of Lithuanian cultural events in China, suspension of visa issuance to Lithuanians due to “technical reasons,” and difficulties for Lithuanian entities in obtaining financial services from Chinese institutions, following Lithuania’s deepening ties with Taiwan, including the opening of a Taiwanese Representative Office in Lithuania</t>
  </si>
  <si>
    <t>o Cancellation of Lithuanian cultural events within China.348
o Suspension of visa issuance to Lithuanians due to ‘technical reasons’.349
o Lithuanian entities also reported to experience difficulty obtaining financial services (such as credit insurance
for trading) from entities in China.356</t>
  </si>
  <si>
    <t>Entertainment; Finance</t>
  </si>
  <si>
    <t>Boycott movement against Intel and Walmart for ending sourcing from Xinjiang</t>
  </si>
  <si>
    <t>On Friday, CCDI accused H&amp;M, Intel, and Sam’s Club of collaborating with “western anti-China forces” to destabilize Xinjiang by suppressing and boycotting products from the region.
“These Western companies, which once boasted that they were free from political interference, have slapped themselves in the face with their own actions.”
China’s anti-graft agency on Friday accused Walmart of “stupidity and shorted-sightedness” after reports that its membership-based chain Sam’s Club had removed Xinjiang-sourced products from stores.
Last week, Sam’s Club came under fire in China after several news outlets shared videos and screenshots on the Weibo social media platform that they said showed products from the far-western Chinese region of Xinjiang had been removed from the store’s online app.
The social media row erupted after U.S. President Joe Biden signed into law on Dec. 23 legislation banning imports from Xinjiang over concern about forced labor there.</t>
  </si>
  <si>
    <t>Intel; Walmart</t>
  </si>
  <si>
    <t xml:space="preserve">Food &amp; Beverage; Consumer Goods; Semiconductors </t>
  </si>
  <si>
    <t>State encouragement from the CCDI against Intel, H&amp;M and Sam's Club (Walmart).</t>
  </si>
  <si>
    <t>Pressure on multinational firms to exclude Lithuanian inputs from supply chains or face exclusion from the Chinese market, targeting industries such as automotive components, textiles, and telecommunications, following Lithuania’s deepening ties with Taiwan, including the opening of a Taiwanese Representative Office in Lithuania</t>
  </si>
  <si>
    <t>"But I can reveal that the pressure on Lithuania is much worse than reported. Thermo Fisher Scientific, the country’s flagship foreign investor, has been told that its operations in mainland China are at risk if the government in Vilnius does not back down. Together with other Chinese sanctions, this could potentially cost Lithuania 2.5% of GDP, or more than €1billion," (Edward Lucas)
"Lithuanian officials told me that, in addition to widely reported steps to halt rail traffic and eliminate food export permits, China had closed a facility that grants Lithuanian importers interest-free three-month credits and closed the Hong Kong bank accounts of a leading Lithuanian telecommunications firm." (Noah Barkin, Watching China in Europe)
o Reports indicate Chinese officials told multinational firms359 to ‘sever ties’ with Lithuanian suppliers, or be excluded from the mainland market.360 This initiative appears to have targeted firms that produced goods that included Lithuanian inputs (such as automotive components) and then exported them to the Chinese market,361 as well as firms that had goods (eg, textiles) manufactured in Lithuania before selling them to third markets.362</t>
  </si>
  <si>
    <t>Continental; Thermo Fisher Scientific</t>
  </si>
  <si>
    <t>Transportation; Consumer Goods</t>
  </si>
  <si>
    <t>Automotive components, textiles, telecommunications</t>
  </si>
  <si>
    <t>Reporting (Edward Lucas)</t>
  </si>
  <si>
    <t>Reporting (Noah Barkin)</t>
  </si>
  <si>
    <t>Sanctions on Officials of the United States Commission on International Religious Freedom (USCIRF) in Response to US Xinjiang Sanctions</t>
  </si>
  <si>
    <r>
      <rPr>
        <sz val="14"/>
        <color theme="1"/>
        <rFont val="Calibri"/>
        <family val="2"/>
      </rPr>
      <t xml:space="preserve">China has decided to take reciprocal countermeasures in accordance with the </t>
    </r>
    <r>
      <rPr>
        <b/>
        <sz val="14"/>
        <color theme="1"/>
        <rFont val="Calibri"/>
        <family val="2"/>
      </rPr>
      <t>Anti-Foreign Sanctions Law</t>
    </r>
    <r>
      <rPr>
        <sz val="14"/>
        <color theme="1"/>
        <rFont val="Calibri"/>
        <family val="2"/>
      </rPr>
      <t xml:space="preserve"> of the People’s Republic of China. Effective today, China will take countermeasures against Chair Nadine Maenza, Vice Chair Nury Turkel, Commissioner Anurima Bhargava and Commissioner James W. Carr of the United States Commission on International Religious Freedom (USCIRF). These individuals are </t>
    </r>
    <r>
      <rPr>
        <b/>
        <sz val="14"/>
        <color theme="1"/>
        <rFont val="Calibri"/>
        <family val="2"/>
      </rPr>
      <t xml:space="preserve">prohibited from entering </t>
    </r>
    <r>
      <rPr>
        <sz val="14"/>
        <color theme="1"/>
        <rFont val="Calibri"/>
        <family val="2"/>
      </rPr>
      <t xml:space="preserve">the mainland, Hong Kong and Macao of China. Their </t>
    </r>
    <r>
      <rPr>
        <b/>
        <sz val="14"/>
        <color theme="1"/>
        <rFont val="Calibri"/>
        <family val="2"/>
      </rPr>
      <t>assets in China will be frozen</t>
    </r>
    <r>
      <rPr>
        <sz val="14"/>
        <color theme="1"/>
        <rFont val="Calibri"/>
        <family val="2"/>
      </rPr>
      <t xml:space="preserve">, and Chinese citizens and institutions will be </t>
    </r>
    <r>
      <rPr>
        <b/>
        <sz val="14"/>
        <color theme="1"/>
        <rFont val="Calibri"/>
        <family val="2"/>
      </rPr>
      <t>prohibited from doing business with them.</t>
    </r>
    <r>
      <rPr>
        <sz val="14"/>
        <color theme="1"/>
        <rFont val="Calibri"/>
        <family val="2"/>
      </rPr>
      <t> </t>
    </r>
  </si>
  <si>
    <t>Nadine Maenza; Nury Turkel; Anurima Bhargava; James W. Carr</t>
  </si>
  <si>
    <t>CCTV: On December 10, the US Department of State and Department of the Treasury announced sanctions on four Chinese officials citing “human rights abuse” in Xinjiang pursuant to its domestic law. Does China have any comment on that?
Zhao Lijian: The US imposed illegal sanctions on Chinese officials under the pretext of so-called human rights issue in Xinjiang in accordance with its domestic law. Such action seriously interferes in China’s internal affairs, seriously violates basic norms governing international relations and seriously undermines China-US relations. China firmly opposes and strongly condemns this.
In response to the above-mentioned erroneous practice of the US side, China has decided to take reciprocal countermeasures in accordance with the Anti-Foreign Sanctions Law of the People’s Republic of China. Effective today, China will take countermeasures against Chair Nadine Maenza, Vice Chair Nury Turkel, Commissioner Anurima Bhargava and Commissioner James W. Carr of the United States Commission on International Religious Freedom (USCIRF). These individuals are prohibited from entering the mainland, Hong Kong and Macao of China. Their assets in China will be frozen, and Chinese citizens and institutions will be prohibited from doing business with them. 
It must be pointed out that Xinjiang affairs are purely China’s internal affairs and the US has no right and is in no position to interfere. The US should lift the so-called sanctions and stop interfering in Xinjiang affairs and China’s other internal affairs. China will make further response as the situation evolves.</t>
  </si>
  <si>
    <t>Restrictions on Taiwanese fish imports and destruction of mango shipments, citing chemical contamination and COVID-19 concerns, following ongoing tensions regarding the orientation of Taiwanese policy under Tsai Ing-wen, including efforts to strengthen relations with the U.S., Japan, and European states such as Lithuania</t>
  </si>
  <si>
    <t>o SPS: Grouper: In early January 2022 the export licenses (for all fish) of two Taiwanese companies were suspended after Xiamen Customs allegedly detected banned substances (leucomalachite green and leuco crystal violet) in their shipments of grouper.333 Taiwanese authorities were unable to detect any issues during investigations of the affected companies.334 On June 13 2022 Chinese officials suspended all grouper imports, citing “repeated detection of banned chemicals and excessive levels of oxytetracycline in the fish”.335
o SPS: Frozen white ribbon fish: On June 10 2022 Chinese officials banned imports from one Taiwanese company for a week, citing the detection of COVID-19 on the packaging of their ribbon fish.336
o SPS: Frozen horse mackerel: In late June 2022, Chinese officials banned imports from another Taiwanese company for a week, citing the detection of COVID-19 on the packaging of their horse mackerel.337
o SPS: Mango: On 29 June 2022 Chinese officials destroyed 20 shipments containing 100 kilograms of mango after allegedly discovering traces of COVID-19.338</t>
  </si>
  <si>
    <r>
      <rPr>
        <sz val="14"/>
        <color theme="1"/>
        <rFont val="Calibri"/>
        <family val="2"/>
      </rPr>
      <t xml:space="preserve">China decides to </t>
    </r>
    <r>
      <rPr>
        <b/>
        <sz val="14"/>
        <color theme="1"/>
        <rFont val="Calibri (Body)"/>
      </rPr>
      <t>adopt sanctions on</t>
    </r>
    <r>
      <rPr>
        <sz val="14"/>
        <color theme="1"/>
        <rFont val="Calibri (Body)"/>
      </rPr>
      <t xml:space="preserve"> Vaiciukevičiūtė, to </t>
    </r>
    <r>
      <rPr>
        <b/>
        <sz val="14"/>
        <color theme="1"/>
        <rFont val="Calibri (Body)"/>
      </rPr>
      <t>suspend all forms of exchange with</t>
    </r>
    <r>
      <rPr>
        <sz val="14"/>
        <color theme="1"/>
        <rFont val="Calibri (Body)"/>
      </rPr>
      <t xml:space="preserve"> the Ministry of Transport and Communications of Lithuania, and to</t>
    </r>
    <r>
      <rPr>
        <b/>
        <sz val="14"/>
        <color theme="1"/>
        <rFont val="Calibri (Body)"/>
      </rPr>
      <t xml:space="preserve"> suspend exchange and cooperation with</t>
    </r>
    <r>
      <rPr>
        <sz val="14"/>
        <color theme="1"/>
        <rFont val="Calibri (Body)"/>
      </rPr>
      <t xml:space="preserve"> Lithuania in the field of international road transport.</t>
    </r>
  </si>
  <si>
    <t>Agnė Vaiciukevičiūtė</t>
  </si>
  <si>
    <t>Ministry of Transport and Communications of Lithuania</t>
  </si>
  <si>
    <t>Public Sector; Transportation</t>
  </si>
  <si>
    <t>Lithuania's international road transport activities</t>
  </si>
  <si>
    <t>外交部发言人宣布中方针对立陶宛交通与通讯部副部长瓦伊丘凯维丘特实施制裁
2022-08-12 19:20
立陶宛交通与通讯部副部长瓦伊丘凯维丘特窜访中国台湾地区，践踏一个中国原则，严重干涉中国内政，损害中国主权和领土完整。针对瓦伊丘凯维丘特恶劣挑衅行径，中方决定：对瓦伊丘凯维丘特采取制裁措施；暂停同立交通与通讯部任何形式的交往，暂停同立国际道路运输领域交流合作。</t>
  </si>
  <si>
    <t>Foreign Ministry Spokesperson Announces China’s Sanctions on Lithuanian Deputy Minister of Transport and Communications Agnė Vaiciukevičiūtė
2022/08/12 19:26
Deputy Minister of Transport and Communications of Lithuania Agnė Vaiciukevičiūtė visited China’s Taiwan region. The visit tramples on the one-China principle, seriously interferes in China’s internal affairs, and undermines China’s sovereignty and territorial integrity. In response to the egregious and provocative act of Vaiciukevičiūtė, China decides to adopt sanctions on Vaiciukevičiūtė, to suspend all forms of exchange with the Ministry of Transport and Communications of Lithuania, and to suspend exchange and cooperation with Lithuania in the field of international road transport.</t>
  </si>
  <si>
    <t>Suspension of natural sand exports to Taiwan following U.S. Speaker of the House Nancy Pelosi’s visit to Taiwan</t>
  </si>
  <si>
    <t>The Ministry of Commerce (MOC) has decided to suspend the export of natural sand to Taiwan in accordance with relevant laws and regulations, a spokesperson said on Wednesday. The relevant measures will take effect from August 3, 2022.</t>
  </si>
  <si>
    <t>"relevant laws and regulations"</t>
  </si>
  <si>
    <t>Sand</t>
  </si>
  <si>
    <t>Announcement made the day Pelosi visited Taiwan.</t>
  </si>
  <si>
    <t>商务部回应暂停天然砂对台湾地区出口
2022-08-03 17:02 来源：新华网
　　新华社北京8月3日电 商务部新闻发言人3日表示，根据相关法律规定，决定暂停天然砂对台湾地区出口。相关措施自2022年8月3日起实施。
　　商务部新闻发言人在回答关于对台湾地区出口天然砂政策是否有调整的记者提问时作出上述回应。</t>
  </si>
  <si>
    <t>Broad restrictions on imports from Taiwan, including suspensions of food and beverage products, seafood, and citrus fruits, citing regulatory and labeling issues, following U.S. Speaker of the House Nancy Pelosi’s visit to Taiwan</t>
  </si>
  <si>
    <t>"in accordance with relevant mainland laws, regulations and standards"</t>
  </si>
  <si>
    <t>Biscuits, pastries, bread, citrus fruits (grapefruit, lemons, oranges), chilled white striped hairtail, frozen horse mackerel, seafood (squid, fourfinger threadfin, Pacific saury, skipjack tuna), alcoholic beverages (Taiwan Beer, Kinmen Kaoliang), other beverages</t>
  </si>
  <si>
    <t>海关总署动植物检疫司 进出口食品安全局关于暂停台湾地区柑橘类水果和冰鲜白带鱼、冻竹荚鱼输入大陆的通知
动植检函〔2022〕34号
广东分署，各直属海关：
　　去年以来，大陆海关多次从台湾地区输大陆柑橘类水果中检出检疫性有害生物——大洋臀纹粉蚧Planococcus minor，以及倍硫磷和乐果残留超标；今年6月，从台湾地区输大陆冰鲜白带鱼和冻竹荚鱼包装上检出新冠病毒核酸阳性。为防范风险，依据大陆相关法律法规和标准，兹决定自2022年8月3日起暂停台湾地区柑橘类水果和冰鲜白带鱼、冻竹荚鱼输入大陆。
　　各海关自2022年8月3日起暂停受理台湾地区柑橘类水果和冰鲜白带鱼、冻竹荚鱼报关，并及时将上述情况通知辖区内相关企业。
　　特此通知。
　　动植检司
　　2022年8月3日</t>
  </si>
  <si>
    <t>Full Text Chinese (Customs)</t>
  </si>
  <si>
    <t>Taiwan Foundation for Democracy (台湾民主基金会); Taiwan International Cooperation and Development Fund (国际合作发展基金会); Speedtech Energy (宣德能源); Hyweb Technology (凌网科技); Skyla Corporation (天亮医疗); SkyEyes GPS Technology (天眼卫星科技)</t>
  </si>
  <si>
    <t>Academia &amp; Civil Society; Energy; ICT; Health; Other Electronics</t>
  </si>
  <si>
    <r>
      <rPr>
        <b/>
        <u/>
        <sz val="14"/>
        <color theme="1"/>
        <rFont val="Calibri"/>
        <family val="2"/>
      </rPr>
      <t>Hints at extraterritoriality:</t>
    </r>
    <r>
      <rPr>
        <sz val="14"/>
        <color theme="1"/>
        <rFont val="Calibri"/>
        <family val="2"/>
      </rPr>
      <t xml:space="preserve"> "The mainland has decided to take disciplinary measures against the above-mentioned foundations, ... and </t>
    </r>
    <r>
      <rPr>
        <b/>
        <sz val="14"/>
        <color theme="1"/>
        <rFont val="Calibri"/>
        <family val="2"/>
      </rPr>
      <t>punishing organizations, enterprises, and individuals that provide funding or services to the above-mentioned foundations</t>
    </r>
    <r>
      <rPr>
        <sz val="14"/>
        <color theme="1"/>
        <rFont val="Calibri"/>
        <family val="2"/>
      </rPr>
      <t xml:space="preserve"> in accordance with the law, and taking other necessary measures."
Sanctions on Skyla ended 2023-07-13, according to OpenSanctions.</t>
    </r>
  </si>
  <si>
    <t>国台办宣布对“台独”顽固分子关联机构予以惩戒
2022-08-03 09:06 来源：新华网
　　新华社北京8月3日电 国台办发言人马晓光8月3日表示，“台独”顽固分子关联机构“台湾民主基金会”、“国际合作发展基金会”打着“民主”和“合作发展”的幌子，在国际上大肆从事“台独”分裂活动，极力拉拢贴靠外部反华势力，攻击抹黑大陆，以金钱等为诱饵拓展台所谓“国际空间”，企图破坏国际社会一个中国格局。大陆方面决定对上述基金会采取惩戒措施，禁止其与大陆组织、企业、个人合作，依法惩治为上述基金会提供资助或服务的组织、企业、个人，以及采取其他必要措施。禁止大陆组织、企业、个人与为上述基金会捐款的宣德能源、凌网科技、天亮医疗、天眼卫星科技等企业进行任何交易、合作，禁止有关企业负责人入境。</t>
  </si>
  <si>
    <t>Foreign Ministry Spokesperson Announces China's Sanctions on U.S. House Speaker Pelosi</t>
  </si>
  <si>
    <t>In response to Pelosi's vile provocative behavior, China has decided to impose sanctions on Pelosi and her immediate family members in accordance with the relevant laws of the People's Republic of China.</t>
  </si>
  <si>
    <t>"in accordance with the relevant laws"</t>
  </si>
  <si>
    <t>Nancy Pelosi</t>
  </si>
  <si>
    <t>外交部发言人宣布中方对美国国会众议长佩洛西实施制裁
2022-08-05 16:15
【中大小】 打印 
美国国会众议长佩洛西不顾中方严重关切和坚决反对执意窜台，严重干涉中国内政，严重损害中国主权和领土完整，严重践踏一个中国原则，严重威胁台海和平稳定。针对佩洛西恶劣挑衅行径，中方决定，根据中华人民共和国有关法律，对佩洛西及其直系亲属采取制裁措施。</t>
  </si>
  <si>
    <t>Taiwan Affairs Office Announces Sanctions on Staunch 'Taiwan Independence' Separatists and Related Individuals</t>
  </si>
  <si>
    <t>The spokesperson said that in order to safeguard the peaceful development of cross-strait relations and the vital interests of compatriots on both sides of the strait and resolutely crack down on "Taiwan independence" diehards, it has been decided to announce Hsiao Mei-chin, Gu Li-hsiung, Tsai Chi-chang, Ke Jian-ming, Lin Fei-fan, Chen Jia-hua, Wang Ding-yu and others as "Taiwan independence" diehards on the list, and take the following disciplinary measures against them and the previously announced Su Zhen-chang, You Si-kun and Wu Zhaoxie: prohibiting them and their families from entering the mainland and the Hong Kong and Macao Special Administrative Regions, restricting their affiliated institutions from cooperating with relevant organizations and individuals on the mainland, and never allowing their affiliated companies and financiers to make profits on the mainland, and taking other necessary disciplinary measures, and holding them accountable for life in accordance with the law. It has been decided to impose sanctions on the CEO of the "Taiwan Foundation for Democracy" chaired by You Si-kun and the Secretary-General of the "International Cooperation and Development Foundation" chaired by Wu Zhaoxie, prohibiting them from entering the mainland and the Hong Kong and Macao Special Administrative Regions.
　　The spokesperson pointed out that reunification is the general trend of history and the right path. "Taiwan independence" is a historical countercurrent and a dead end. The list of "Taiwan independence" diehards announced today is not the entire list. We warn the "Taiwan independence" diehards to stop before it is too late. If they dare to test the law, they will be severely punished.</t>
  </si>
  <si>
    <t>Hsiao Bi-khim (萧美琴); Koo Li-hsiung (顾立雄); Tsai Chi-chang (蔡其昌); Ker Chien-ming (柯建铭); Lin Fei-fan (林飞帆); Chen Jiau-hua (陈椒华); Wang Ting-yu (王定宇); Su Tseng-chang (苏贞昌); You Si-kun (游锡堃); Joseph Wu (吴钊燮); CEO of the Taiwan Foundation for Democracy; Secretary-General of the Taiwan International Cooperation and Development Foundation</t>
  </si>
  <si>
    <t>Reiterates sanctions against Joseph Wu and two others. Also imposes sanctions specifically on CEO and general-secretary position of Taiwan Democracy Foundation and development agency.</t>
  </si>
  <si>
    <t>中共中央台办发言人受权宣布对列入清单的一批“台独”顽固分子等人员实施制裁
2022-08-16 10:23 来源：新华网
　　新华社北京8月16日电 中共中央台办发言人16日受权宣布对列入清单的一批“台独”顽固分子等人员实施制裁。
　　发言人指出，“台独”分裂是祖国统一的最大障碍，是民族复兴的严重隐患。一段时期以来，少数“台独”顽固分子为一己之私，极力勾连外部势力进行谋“独”挑衅，蓄意挑动两岸对立，肆意破坏台海和平稳定，在佩洛西窜台期间表现尤为恶劣，进一步暴露其冥顽不化的谋“独”本性。大陆方面绝不容忍任何分裂国家的行径，绝不容任何外部势力干涉祖国统一进程，绝不为任何形式的“台独”分裂活动留下任何空间。
　　发言人说，为维护两岸关系和平发展和两岸同胞切身利益、坚决打击“台独”顽固分子，决定公布萧美琴、顾立雄、蔡其昌、柯建铭、林飞帆、陈椒华、王定宇等为列入清单的“台独”顽固分子，对他们及前已公布的苏贞昌、游锡堃、吴钊燮采取以下惩戒措施：禁止其本人及家属进入大陆和香港、澳门特别行政区，限制其关联机构与大陆有关组织、个人进行合作，绝不允许其关联企业和金主在大陆谋利，以及采取其它必要的惩戒措施，依法终身追责。决定对游锡堃担任董事长的“台湾民主基金会”的执行长、吴钊燮担任董事长的“国际合作发展基金会”的秘书长实施制裁，禁止其进入大陆和香港、澳门特别行政区。
　　发言人指出，统一是历史大势，是正道。“台独”是历史逆流，是绝路。今天公布的“台独”顽固分子名单，不是清单的全部。我们正告“台独”顽固分子必须悬崖勒马，胆敢以身试法，必将遭受严厉惩罚。任何人不要低估我们捍卫国家主权和领土完整的坚强决心、坚定意志、强大能力！我们希望广大台湾同胞认清极少数“台独”分裂分子的害台本性，看清自身利益福祉所系，自觉与“台独”分裂分子划清界线，坚决抵制、反对“台独”分裂活动，与大陆同胞携手推动两岸关系和平发展，推进祖国统一进程。</t>
  </si>
  <si>
    <t>Decision on taking counter-sanctions against Yu Maochun and Todd Stein</t>
  </si>
  <si>
    <t>China has decided to take the following counter-sanction measures against Yu Maochun, Todd Stein and other individuals listed in the attached "Counter-Sanctions List":
　　1. Freeze movable property, immovable property and other types of property within the territory of my country;
　　2. Prohibit organizations and individuals within the territory of my country from engaging in relevant transactions with them;
　　3. Visas will not be issued to the person and his/her immediate family members, and entry will not be permitted.</t>
  </si>
  <si>
    <t>Anti-Foreign Sanctions Law (Articles 4, 5 and 6)</t>
  </si>
  <si>
    <t>Yu Maochun; Todd Stein</t>
  </si>
  <si>
    <t>关于对余茂春、托德·斯坦恩采取反制裁措施的决定
2022-12-23 08:00
【中大小】 打印 
中华人民共和国外交部令
第 4 号
　　现公布《关于对余茂春、托德·斯坦恩采取反制裁措施的决定》，自2022年12月23日起施行。
部  长　王  毅
2022年12月23日
关于对余茂春、托德·斯坦恩采取反制裁措施的决定
　　12月9日，美方借口所谓“西藏人权”问题，对两名中方官员进行非法制裁。依据《中华人民共和国反外国制裁法》第四条、第五条、第六条规定，中方决定对余茂春、托德·斯坦恩等后附《反制裁清单》列明的个人采取以下反制裁措施：
　　一、冻结在我国境内的动产、不动产和其他各类财产；
　　二、禁止我国境内的组织、个人与其进行有关交易活动；
　　三、对其本人及直系亲属不予签发签证、不准入境。
　　本决定自2022年12月23日起施行。
　　附件：反制裁清单
外交部
2022年12月23日
附件
反制裁清单
　　一、余茂春，男
　　二、托德·斯坦恩（Todd Stein），男</t>
  </si>
  <si>
    <r>
      <rPr>
        <sz val="14"/>
        <color theme="1"/>
        <rFont val="Calibri"/>
        <family val="2"/>
      </rPr>
      <t xml:space="preserve">
1. The above-mentioned enterprises are </t>
    </r>
    <r>
      <rPr>
        <b/>
        <sz val="14"/>
        <color theme="1"/>
        <rFont val="Calibri"/>
        <family val="2"/>
      </rPr>
      <t>prohibited from engaging in import and export</t>
    </r>
    <r>
      <rPr>
        <sz val="14"/>
        <color theme="1"/>
        <rFont val="Calibri"/>
        <family val="2"/>
      </rPr>
      <t xml:space="preserve"> activities related to China;
2. Prohibit the above-mentioned enterprises from </t>
    </r>
    <r>
      <rPr>
        <b/>
        <sz val="14"/>
        <color theme="1"/>
        <rFont val="Calibri"/>
        <family val="2"/>
      </rPr>
      <t xml:space="preserve">making new investments </t>
    </r>
    <r>
      <rPr>
        <sz val="14"/>
        <color theme="1"/>
        <rFont val="Calibri"/>
        <family val="2"/>
      </rPr>
      <t xml:space="preserve">in China;
3. </t>
    </r>
    <r>
      <rPr>
        <b/>
        <sz val="14"/>
        <color theme="1"/>
        <rFont val="Calibri"/>
        <family val="2"/>
      </rPr>
      <t>Prohibit entry</t>
    </r>
    <r>
      <rPr>
        <sz val="14"/>
        <color theme="1"/>
        <rFont val="Calibri"/>
        <family val="2"/>
      </rPr>
      <t xml:space="preserve"> of senior management personnel of the above-mentioned enterprises;
4. Not approving and canceling the </t>
    </r>
    <r>
      <rPr>
        <b/>
        <sz val="14"/>
        <color theme="1"/>
        <rFont val="Calibri"/>
        <family val="2"/>
      </rPr>
      <t xml:space="preserve">work permit, stay and residence qualification </t>
    </r>
    <r>
      <rPr>
        <sz val="14"/>
        <color theme="1"/>
        <rFont val="Calibri"/>
        <family val="2"/>
      </rPr>
      <t xml:space="preserve">in China of the above-mentioned senior executives of the enterprises;
5. The above-mentioned enterprises </t>
    </r>
    <r>
      <rPr>
        <b/>
        <sz val="14"/>
        <color theme="1"/>
        <rFont val="Calibri"/>
        <family val="2"/>
      </rPr>
      <t>shall be fined</t>
    </r>
    <r>
      <rPr>
        <sz val="14"/>
        <color theme="1"/>
        <rFont val="Calibri"/>
        <family val="2"/>
      </rPr>
      <t xml:space="preserve"> twice the amount of their arms sales contracts to Taiwan since the implementation of the "Regulations on the Unreliable Entity List". The above-mentioned enterprises shall pay the fines in accordance with relevant laws and regulations within 15 days from the date of publication of this announcement. If they fail to comply with this decision within the time limit, the Unreliable Entity List Working Mechanism will take measures such as additional fines in accordance with the law.</t>
    </r>
  </si>
  <si>
    <t>Unreliable Entity List
Foreign Trade Law;
National Security Law;
Article 2, Article 8 and Article 10 of the Unreliable Entity List Regulations</t>
  </si>
  <si>
    <t>Lockheed Martin; Raytheon Missiles &amp; Defense</t>
  </si>
  <si>
    <t>Defense</t>
  </si>
  <si>
    <t>Is this a "sanction" or "restriction on foreign business in China"? It is a peculiar set of restrictions: 
- Prohibition of Import and Export Activities
- Investment Restrictions
- Entry Ban for Senior Executives
- Revocation of Work and Residence Permits
- Financial Penalties
Seems intended to hit their business in China, so possibly best characterized as "restriction on foreign business in China". 
Raytheon apparently had some partnerships in China in the commercial aerospace sector</t>
  </si>
  <si>
    <t>不可靠实体清单工作机制关于将洛克希德·马丁公司、雷神导弹与防务公司列入不可靠实体清单的公告
【发布单位】安全与管制局
【发布文号】不可靠实体清单工作机制公告〔2023〕1号
【发文日期】2023年02月16日
不 可 靠 实 体 清 单 工 作 机 制
公　 告
2023年 第1号
为维护国家主权、安全和发展利益，根据《中华人民共和国对外贸易法》《中华人民共和国国家安全法》等有关法律，不可靠实体清单工作机制依据《不可靠实体清单规定》第二条、第八条和第十条等有关规定，决定将参与对台湾地区军售的洛克希德·马丁公司（Lockheed Martin Corporation）、雷神导弹与防务公司（Raytheon Missiles &amp; Defense）列入不可靠实体清单，并采取以下处理措施：
一、禁止上述企业从事与中国有关的进出口活动；
二、禁止上述企业在中国境内新增投资；
三、禁止上述企业高级管理人员入境；
四、不批准并取消上述企业高级管理人员在中国境内工作许可、停留以及居留资格；
五、对上述企业分别处以罚款，金额为《不可靠实体清单规定》实施以来各企业对台军售合同金额的两倍。上述企业应当自本公告公布之日起15日内，按照相关法律法规办理缴款。若逾期不履行本决定，不可靠实体清单工作机制将依法采取加处罚款等措施。
本公告未尽事宜，按《不可靠实体清单规定》执行。
本公告自公布之日起实施。
不可靠实体清单工作机制
（商务部代章）
2023年2月16日</t>
  </si>
  <si>
    <t>Unreliable Entity List
Anti-Foreign Sanctions Law;
Foreign Trade Law;
National Security Law;  "other relevant laws"</t>
  </si>
  <si>
    <t>James Donald Taiclet; Frank Andrew St. John; Jesus Malave; Wesley D. Kremer; Agnes Soeder; Chander Nijhon</t>
  </si>
  <si>
    <t>Lockheed Martin Corporation; Raytheon Missiles &amp; Defense</t>
  </si>
  <si>
    <r>
      <rPr>
        <b/>
        <u/>
        <sz val="14"/>
        <color theme="1"/>
        <rFont val="Calibri"/>
        <family val="2"/>
      </rPr>
      <t>Asks Chinese companies to carry out due diligence</t>
    </r>
    <r>
      <rPr>
        <sz val="14"/>
        <color theme="1"/>
        <rFont val="Calibri"/>
        <family val="2"/>
      </rPr>
      <t>: "In their business activities, our companies should strengthen due diligence and compliance system construction and</t>
    </r>
    <r>
      <rPr>
        <b/>
        <sz val="14"/>
        <color theme="1"/>
        <rFont val="Calibri"/>
        <family val="2"/>
      </rPr>
      <t xml:space="preserve"> verify transaction information</t>
    </r>
    <r>
      <rPr>
        <sz val="14"/>
        <color theme="1"/>
        <rFont val="Calibri"/>
        <family val="2"/>
      </rPr>
      <t xml:space="preserve">. When our companies engage in export, transit, transshipment, and transportation activities, </t>
    </r>
    <r>
      <rPr>
        <b/>
        <sz val="14"/>
        <color theme="1"/>
        <rFont val="Calibri"/>
        <family val="2"/>
      </rPr>
      <t xml:space="preserve">if they know that the actual importer or user is the above two US companies, they shall not carry out related import and export activities. </t>
    </r>
    <r>
      <rPr>
        <sz val="14"/>
        <color theme="1"/>
        <rFont val="Calibri"/>
        <family val="2"/>
      </rPr>
      <t>For those who violate relevant regulations, the relevant departments will hold them accountable in accordance with the law."</t>
    </r>
  </si>
  <si>
    <t>商务部新闻发言人就不可靠实体清单实施有关问题答记者问
问：2月16日发布的不可靠实体清单公告中禁止企业高级管理人员入境，请问有何具体措施？
答：为维护国家主权、安全和发展利益，根据《中华人民共和国反外国制裁法》《中华人民共和国对外贸易法》《中华人民共和国国家安全法》等有关法律，不可靠实体清单工作机制依据《不可靠实体清单规定》，决定自2023年2月16日起，禁止洛克希德·马丁公司的詹姆斯·唐纳德·泰克里特（James Donald Taiclet）、弗兰克·安德鲁·圣约翰（Frank Andrew St. John）、杰西·马莱夫（Jesus Malave），雷神导弹与防务公司的韦斯利·克雷默（Wesley D. Kremer）、阿格内斯·苏德（Agnes Soeder）、钱德尔·尼赫恩（Chander Nijhon）以及上述2家企业的其他高级管理人员入境、在华工作、停留以及居留。
问：公告中明确禁止2家企业从事与中国有关的进出口活动，我国有关企业应当如何准确理解和执行该规定？
答：洛克希德·马丁公司、雷神导弹与防务公司长期参与对台军售，性质恶劣。此次我决定禁止2家美企从事与中国有关的进出口活动，旨在防范中国产品用于其军工业务。我企业在经营活动中，应加强尽职调查和合规体系建设，核实交易信息。我企业从事出口、过境、转运、通运等活动时，明知实际进口商或用户为上述2家美企的，不得开展相关进出口活动。对于违反相关规定的，有关部门将依法依规追究责任。</t>
  </si>
  <si>
    <t>Restrictions on Micron</t>
  </si>
  <si>
    <t>National Security Law;
Cybersecurity Law</t>
  </si>
  <si>
    <t>Micron</t>
  </si>
  <si>
    <t xml:space="preserve">Semiconductors </t>
  </si>
  <si>
    <t>Investigation led to restriction of purchases from Micron.</t>
  </si>
  <si>
    <t>为保障关键信息基础设施供应链安全，防范产品问题隐患造成网络安全风险，维护国家安全，依据《中华人民共和国国家安全法》《中华人民共和国网络安全法》，网络安全审查办公室按照《网络安全审查办法》，对美光公司（Micron）在华销售的产品实施网络安全审查。
特此公告。
网络安全审查办公室
2023年3月31日
美光公司在华销售的产品未通过网络安全审查
2023年05月21日 20:00来源： 中国网信网
【打印】【纠错】
日前，网络安全审查办公室依法对美光公司在华销售产品进行了网络安全审查。
审查发现，美光公司产品存在较严重网络安全问题隐患，对我国关键信息基础设施供应链造成重大安全风险，影响我国国家安全。为此，网络安全审查办公室依法作出不予通过网络安全审查的结论。按照《网络安全法》等法律法规，我国内关键信息基础设施的运营者应停止采购美光公司产品。
此次对美光公司产品进行网络安全审查，目的是防范产品网络安全问题危害国家关键信息基础设施安全，是维护国家安全的必要措施。中国坚定推进高水平对外开放，只要遵守中国法律法规要求，欢迎各国企业、各类平台产品服务进入中国市场。</t>
  </si>
  <si>
    <t>Full Text Chinese Investgation Launch (CAC)</t>
  </si>
  <si>
    <t>Full Text Chinese Investgation Result (CAC)</t>
  </si>
  <si>
    <t>China has decided to take the following countermeasures against the Hudson Institute, the Ronald Reagan Library and its leaders, and other institutions and individuals listed in the attached Countermeasures List:
　　1. To the Hudson Institute and the Ronald Reagan Library:
　　Strictly restrict universities, institutions and other organizations and individuals within my country from engaging in transactions, exchanges, cooperation and other activities with them.
　　Second, four individuals, including Sarah Stern, chairwoman of the Hudson Institute Board of Directors, John Watters, director of the Hudson Institute, John Hibschy, former executive director of the Reagan Foundation who is responsible for the daily maintenance of the Reagan Library, and Joanne Drake, chief administrative officer:
　　(1) Freeze movable property, immovable property and other types of property within the territory of my country;
　　(2) Prohibit organizations and individuals within the territory of my country from engaging in relevant transactions, cooperation and other activities with them;
　　(3) Denying the person a visa or entry into the country.</t>
  </si>
  <si>
    <t>Anti-Foreign Sanctions Law (Articles 4, 5, 6 and 15)</t>
  </si>
  <si>
    <t>Sarah May Stern; John P. Walters; John Heubusch; Joanne M. Drake</t>
  </si>
  <si>
    <t>Hudson Institute; Ronald Reagan Library</t>
  </si>
  <si>
    <t>关于对美国哈德逊研究所、里根图书馆及其负责人采取反制措施的决定
2023-04-07 10:55
【中大小】 打印 
中华人民共和国外交部令
第 1 号
　　现公布《关于对美国哈德逊研究所、里根图书馆及其负责人采取反制措施的决定》，自2023年4月7日起施行。
部  长  秦  刚
2023年4月7日
关于对美国哈德逊研究所、里根图书馆及其负责人采取反制措施的决定
　　美方不顾中方反复交涉和坚决反对，执意允许台湾地区领导人蔡英文于2023年3月29日至31日和4月4日至6日“过境”窜美从事政治活动。美国哈德逊研究所、里根图书馆为蔡英文在美从事“台独”分裂活动提供平台和便利，严重违反一个中国原则和中美三个联合公报规定，严重损害中方主权和领土完整。
　　依据《中华人民共和国反外国制裁法》第四条、第五条、第六条、第十五条规定，中方决定对美国哈德逊研究所、里根图书馆及其负责人等后附《反制清单》列明的机构和个人采取以下反制措施：
　　一、对哈德逊研究所、里根图书馆等2家机构：
　　严格限制我国境内的高校、机构等组织和个人与其进行有关交易、交流、合作等活动。
　　二、对哈德逊研究所董事会主席萨拉·斯特恩、所长约翰·瓦特斯，负责里根图书馆日常维护的里根基金会前执行主任约翰·希布斯奇、首席行政官乔安妮·德雷克等4名个人：
　　（一）冻结在我国境内的动产、不动产和其他各类财产；
　　（二）禁止我国境内的组织、个人与其进行有关交易、合作等活动；
　　（三）对其本人不予签发签证、不准入境。
　　本决定自2023年4月7日起施行。
　　附件：反制清单
外交部    
2023年4月7日
附件
反制清单
　　一、哈德逊研究所
　　二、里根图书馆
　　三、哈德逊研究所董事会主席萨拉·斯特恩（Sarah May Stern），女
　　四、哈德逊研究所所长约翰·瓦特斯（John P. Walters），男
　　五、里根基金会前执行主任约翰·希布斯奇（John Heubusch），男
　　六、里根基金会首席行政官乔安妮·德雷克（Joanne M. Drake），女</t>
  </si>
  <si>
    <t>Taiwan Affairs Office Announces Sanctions on Institutions Promoting 'Taiwan Independence'</t>
  </si>
  <si>
    <t>国台办宣布对宣扬“台独”的有关机构予以惩戒
2023-04-07 09:11 来源：新华网
　　新华社北京4月7日电 国台办发言人朱凤莲4月7日表示，台湾“远景基金会”、“亚洲自由民主联盟”在民进党当局指使下，以“民主”、“自由”、“合作”为借口，打着“学术交流”、“研讨”等旗号，在国际上大肆兜售“台独”主张，极力拉拢贴靠反华势力，制造“一中一台”、“两个中国”等违反一个中国原则的事件，拓展台所谓“国际空间”。大陆方面决定对上述2家机构采取惩戒措施，禁止其负责人进入大陆和香港、澳门特别行政区，禁止大陆有关组织和个人与其进行合作。</t>
  </si>
  <si>
    <t>The spokesperson of the Taiwan Affairs Office of the CPC Central Committee was authorized to announce sanctions against the diehard "Taiwan independence" activist Hsiao Bi-khim</t>
  </si>
  <si>
    <t>The mainland has decided to impose further sanctions on Hsiao Bi-khim, strictly prohibiting Hsiao and her family from entering the mainland and the Hong Kong and Macao Special Administrative Regions, prohibiting her financial backers and affiliated companies from cooperating with mainland organizations and individuals, and taking all other necessary disciplinary measures to hold her accountable for life in accordance with the law.</t>
  </si>
  <si>
    <t>Hsiao Bi-khim</t>
  </si>
  <si>
    <t>In accordance with Articles 3, 4, 6 and 15 of the Anti-Foreign Sanctions Law of the People's Republic of China, China has decided to take the following countermeasures against McCaul:
1. Freeze movable property, immovable property and other types of property within the territory of my country;
2. Prohibit organizations and individuals within the territory of my country from engaging in transactions, cooperation and other activities with them;
3. Deny the person a visa and deny entry.
This decision shall come into force on April 13, 2023.</t>
  </si>
  <si>
    <t>Michael McCaul</t>
  </si>
  <si>
    <t>关于对美国反华议员迈克·麦考尔采取反制措施的决定
2023-04-13 17:36
【中大小】 打印 
美国得克萨斯州共和党联邦众议员迈克·麦考尔（Michael McCaul）近年来频繁采取干涉中国内政、损害中方利益的言行，并于近期率团窜访中国台湾地区，严重违反一个中国原则和中美三个联合公报规定，严重损害中国主权和领土完整，向“台独”分裂势力发出严重错误信号。
依据《中华人民共和国反外国制裁法》第三条、第四条、第六条、第十五条规定，中方决定对麦考尔采取以下反制措施：
一、冻结在我国境内的动产、不动产和其他各类财产；
二、禁止我国境内的组织、个人与其进行有关交易、合作等活动；
三、对其本人不予签发签证、不准入境。
本决定自2023年4月13日起施行。
附件：反制清单
外交部
2023年4月13日
附件
反制清单
美国得克萨斯州共和党联邦众议员迈克·麦考尔（Michael McCaul），男</t>
  </si>
  <si>
    <t>Export Control Law;
Foreign Trade Law;
Customs Law</t>
  </si>
  <si>
    <t>Gallium and germanium</t>
  </si>
  <si>
    <r>
      <rPr>
        <sz val="14"/>
        <color theme="1"/>
        <rFont val="Calibri"/>
        <family val="2"/>
      </rPr>
      <t xml:space="preserve">Introduces export license requirements for gallium- and germanium-related items.
Very similar to graphite controls (2024-10-20).
Application requires information on exporter, importer, </t>
    </r>
    <r>
      <rPr>
        <b/>
        <sz val="14"/>
        <color theme="1"/>
        <rFont val="Calibri (Body)"/>
      </rPr>
      <t>end-user</t>
    </r>
    <r>
      <rPr>
        <sz val="14"/>
        <color theme="1"/>
        <rFont val="Calibri (Body)"/>
      </rPr>
      <t xml:space="preserve">, and end-use.
According to Hendrix (PIIE), these license requirements have as of October 2024 not led to any significant drop in exports. However, it may have served as an </t>
    </r>
    <r>
      <rPr>
        <b/>
        <sz val="14"/>
        <color theme="1"/>
        <rFont val="Calibri (Body)"/>
      </rPr>
      <t>information gathering mechanism</t>
    </r>
    <r>
      <rPr>
        <sz val="14"/>
        <color theme="1"/>
        <rFont val="Calibri (Body)"/>
      </rPr>
      <t>. With information on exporters and users, China can impose more costly and targeted sanctions in the future. This may serve as a useful deterrent.
"Following the implementation of gallium restrictions in July 2023, exports flatlined for several months before slowly creeping back up. Still, a year after the export controls were implemented, gallium exports are significantly below pre-restriction levels."</t>
    </r>
  </si>
  <si>
    <t>商务部 海关总署公告2023年第23号 关于对镓、锗相关物项实施出口管制的公告
【发布单位】安全与管制局
【发布文号】商务部公告2023年第23号
【发文日期】2023年07月03日
根据《中华人民共和国出口管制法》《中华人民共和国对外贸易法》《中华人民共和国海关法》有关规定，为维护国家安全和利益，经国务院批准，决定对镓、锗相关物项实施出口管制。有关事项公告如下：
一、满足以下特性的物项，未经许可，不得出口：
（一）镓相关物项。
1.金属镓（单质）（参考海关商品编号：8112929010、8112929090、8112999000）。
2.氮化镓（包括但不限于晶片、粉末、碎料等形态）（参考海关商品编号：2850001901、3818009001、3825690001）。
3.氧化镓（包括但不限于多晶、单晶、晶片、外延片、粉末、碎料等形态）（参考海关商品编号：2825909001、3818009002、3825690002）。
4.磷化镓（包括但不限于多晶、单晶、晶片、外延片等形态）（参考海关商品编号：2853904030、3818009003、3825690003）。
5.砷化镓（包括但不限于多晶、单晶、晶片、外延片、粉末、碎料等形态）（参考海关商品编号：2853909026、3818009004、3825690004）。
6.铟镓砷（参考海关商品编号：2853909028、3818009005、3825690005）。
7.硒化镓（包括但不限于多晶、单晶、晶片、外延片、粉末、碎料等形态）（参考海关商品编号：2842909024、3818009006、3825690006）。
8.锑化镓（包括但不限于多晶、单晶、晶片、外延片、粉末、碎料等形态）（参考海关商品编号：2853909029、3818009007、3825690007）。
（二）锗相关物项。
1.金属锗（单质，包括但不限于晶体、粉末、碎料等形态）（参考海关商品编号：8112921010、8112921090、8112991000）。
2.区熔锗锭（参考海关商品编号：8112921090）。
3.磷锗锌（包括但不限于晶体、粉末、碎料等形态）（参考海关商品编号：2853904040、3818009008、3825690008）。
4.锗外延生长衬底（参考海关商品编号：8112921090）。
5.二氧化锗（参考海关商品编号：2825600002、3818009009、3825690009）。
6.四氯化锗（参考海关商品编号：2827399001、3818009010、3825690010）。
二、出口经营者应按照相关规定办理出口许可手续，通过省级商务主管部门向商务部提出申请，填写两用物项和技术出口申请表并提交下列文件：
（一）出口合同、协议的原件或者与原件一致的复印件、扫描件；
（二）拟出口物项的技术说明或者检测报告；
（三）最终用户和最终用途证明；
（四）进口商和最终用户情况介绍；
（五）申请人的法定代表人、主要经营管理人以及经办人的身份证明。
三、商务部应当自收到出口申请文件之日起进行审查，或者会同有关部门进行审查，并在法定时限内作出准予或者不予许可的决定。
对国家安全有重大影响的本公告所列物项的出口，商务部会同有关部门报国务院批准。
四、经审查准予许可的，由商务部颁发两用物项和技术出口许可证件（以下简称出口许可证件）。
五、出口许可证件申领和签发程序、特殊情况处理、文件资料保存年限等，依照商务部、海关总署令2005年第29号（《两用物项和技术进出口许可证管理办法》）的相关规定执行。
六、出口经营者应当向海关出具出口许可证件，依照《中华人民共和国海关法》的规定办理海关手续，并接受海关监管。海关凭商务部签发的出口许可证件办理验放手续。
七、出口经营者未经许可出口、超出许可范围出口或有其他违法情形的，由商务部或者海关等部门依照有关法律法规的规定给予行政处罚。构成犯罪的，依法追究刑事责任。
八、本公告自2023年8月1日起正式实施。
                                                                     商务部 海关总署
                                                                       2023年7月3日</t>
  </si>
  <si>
    <t>Analysis (PIIE)</t>
  </si>
  <si>
    <t>Analysis (IFRI)</t>
  </si>
  <si>
    <t>Boycott calls against Bulgari following listing of Taiwan as separate from China</t>
  </si>
  <si>
    <t>Italian luxury brand Bulgari has landed in hot water for appearing to list Taiwan as independent from China on an overseas website.
On Tuesday, July 11, netizens discovered that a page about Bulgari’s store locations had added the word “China” before Hong Kong and Macau, but not before Taiwan.
This prompted them to suspect the LVMH-owned brand of classifying Taiwan as an independent country, with the related hashtag on Weibo, which translates to “Bulgari's official website suspected of listing Taiwan as a country” (#宝格丽官网疑将台湾列为国家), attracting over 830 million views as of writing.
Bulgari has since issued an apology on the platform, stating that the incident was caused by a lack of oversight. “Bulgari’s position of respecting China’s sovereignty and territorial integrity remains firm as always,” it said.</t>
  </si>
  <si>
    <t>Bulgari</t>
  </si>
  <si>
    <t>Italy (Europe)</t>
  </si>
  <si>
    <t xml:space="preserve">State support by People's Daily. 
Apology issued. </t>
  </si>
  <si>
    <t>Reporting (Jing Daily)</t>
  </si>
  <si>
    <t>Export Control Law;
 Foreign Trade Law;
 Customs Law</t>
  </si>
  <si>
    <t>Drones</t>
  </si>
  <si>
    <t>Lower-end drones – extended flight time, payload capacity, basic sensors, wireless controls.</t>
  </si>
  <si>
    <t>Seems designed to accomodate western accusations of Chinese drones used by Russia in Ukraine.
Included on account of being a sanction against Russia.
See decision from same day.</t>
  </si>
  <si>
    <t>商务部 海关总署 国家国防科工局 中央军委装备发展部公告2023年第28号 关于对部分无人机实施临时出口管制的公告
【发布单位】安全与管制局
【发布文号】商务部公告2023年第28号
【发文日期】2023年07月31日
根据《中华人民共和国出口管制法》《中华人民共和国对外贸易法》《中华人民共和国海关法》有关规定，为维护国家安全和利益，经国务院、中央军委批准，决定对特定无人驾驶航空飞行器实施临时出口管制。有关事项公告如下：
一、性能指标未达到现有管制指标，但已达到下述指标的无人驾驶航空飞行器（参考海关商品编号：8806100010、8806221011、8806229010、8806231011、8806239010、8806241011、8806249010、8806291011、8806299010、8806921011、8806929010、8806931011、8806939010、8806941011、8806949010、8806990010），未经许可，不得出口：
在操作人员自然视距以外能够可控飞行，最大续航时间大于等于30分钟，且最大起飞重量大于7千克（kg）或空机重量大于4千克（kg），并具有下述任一特性的无人驾驶航空飞行器或无人驾驶飞艇：
（一）机载无线电设备功率超过国际民用无线电产品核准认证的功率限制值；
（二）携带具有抛投功能的载荷或者自带抛投器；
（三）携带高光谱相机，或者携带支持560纳米（nm）、650纳米（nm）、730纳米（nm）、860纳米（nm）以外波段的多光谱相机；
（四）携带的红外相机噪声等效温差（NETD）小于40毫开尔文（mK）；
（五）携带的激光测距定位模块符合以下任一要求的：
1.携带的激光测距定位模块属于GB7247.1-2012规定的3R类、3B类或4类激光产品；
2.携带的激光测距定位模块属于GB7247.1-2012规定的1类激光产品，同时可达发射极限（AEL）大于等于263.89纳焦（nJ），参考口径大于22毫米（mm），在5纳秒的时间内激光脉冲最大发射功率大于52.78瓦（W）；
3.携带的激光测距定位模块属于GB7247.1-2012规定的1M类激光产品，同时可达发射极限（AEL）大于等于339.03纳焦（nJ），参考口径大于19毫米（mm），在5纳秒的时间内激光脉冲最大发射功率大于67.81瓦（W）。
（六）可支持非认证载荷。
“现有管制指标”指的是商务部、海关总署、国家国防科工局、中央军委装备发展部公告2015年第20号（《关于对军民两用无人驾驶航空飞行器实施临时出口管制的公告》）所规定的技术指标，以及商务部、海关总署公告2015年第31号（《关于加强部分两用物项出口管制的公告》）所规定的技术指标。达到这两类指标的无人机出口应当按照上述公告的要求取得出口许可。
二、在临时管制期间，对指标未达到现有管制指标和第一条规定指标的所有无人驾驶航空飞行器，出口经营者明知或者应当知道出口将用于大规模杀伤性武器扩散、恐怖主义活动或者军事目的的，不得出口。
三、出口经营者应按照相关规定办理出口许可手续，通过省级商务主管部门向商务部提出申请，填写两用物项和技术出口申请表并提交下列文件：
（一）出口合同、协议的原件或者与原件一致的复印件、扫描件；
（二）拟出口物项的技术说明或者检测报告；
（三）最终用户和最终用途证明；
（四）进口商和最终用户情况介绍；
（五）申请人的法定代表人、主要经营管理人以及经办人的身份证明。
四、商务部应当自收到出口申请文件之日起进行审查，或者会同有关部门进行审查，并在法定时限内作出准予或者不予许可的决定。
对国家安全有重大影响的本公告所列物项的出口，商务部会同有关部门报国务院批准。
五、经审查准予许可的，由商务部颁发两用物项和技术出口许可证件（以下简称出口许可证件）。
六、出口许可证件申领和签发程序、特殊情况处理、文件资料保存年限等，依照商务部、海关总署令2005年第29号（《两用物项和技术进出口许可证管理办法》）的相关规定执行。
七、出口经营者应当向海关出具出口许可证件，依照《中华人民共和国海关法》的规定办理海关手续，并接受海关监管。海关凭商务部签发的出口许可证件办理验放手续。
八、出口经营者未经许可出口、超出许可范围出口或有其他违法情形的，由商务部或者海关等部门依照有关法律法规的规定给予行政处罚。构成犯罪的，依法追究刑事责任。
九、本公告自2023年9月1日起正式实施。临时管制的实施期限不超过二年。
                     商务部 海关总署 国家国防科工局 中央军委装备发展部
                                    2023年7月31日</t>
  </si>
  <si>
    <t>Analysis (Geopolitechs)</t>
  </si>
  <si>
    <t>High-end components – engines, advanced sensors, lasers, anti-drone systems.</t>
  </si>
  <si>
    <t>商务部 海关总署 国家国防科工局 中央军委装备发展部公告2023年第27号 关于对无人机相关物项实施出口管制的公告
【发布单位】安全与管制局
【发布文号】商务部公告2023年第27号
【发文日期】2023年07月31日
根据《中华人民共和国出口管制法》《中华人民共和国对外贸易法》《中华人民共和国海关法》有关规定，为维护国家安全和利益，经国务院、中央军委批准，决定对特定无人驾驶航空飞行器或无人驾驶飞艇相关物项实施出口管制。有关事项公告如下：
一、满足以下特性的物项，未经许可，不得出口：
（一）最大持续功率超过16千瓦（kW）的专门用于特定无人驾驶航空飞行器或无人驾驶飞艇的航空发动机（参考海关商品编号：8501200010、8501320010、8501330010、8501340010、8501400010、8501520010、8501530010、8407101010、8407102010、8408909230、8408909320、8411111010、8411119010、8411121010、8411129020、8411210010、8411221010、8411222010、8411223010、8411810002）。
（二）满足一定技术指标的专门用于特定无人驾驶航空飞行器或无人驾驶飞艇的载荷，包括红外成像设备、合成孔径雷达和用于目标指示的激光器。
1.具有下述任一特性的红外成像设备（参考海关商品编号：8525891110、8525892110、8525893110）：
（1）波长范围在780纳米（nm）至30000纳米（nm）之间；
（2）瞬时视场角（IFOV）小于2.5毫弧度（mrad）。
2.作用距离大于5千米（km），且具有下述任一特性的合成孔径雷达（SAR）（参考海关商品编号：8526109011）：
（1）条带模式分辨率优于0.3米（m）；
（2）聚束模式分辨率优于0.1米（m）。
3.可在高于55摄氏度（℃）环境中稳定工作，且具有下述任一特性的用于目标指示的激光器（参考海关商品编号：9013200093）：
（1）免温控型；
（2）能量大于80毫焦（mJ）；
（3）稳定度优于15%；
（4）光束发散角小于0.3毫弧度（mrad）。
（三）专门用于特定无人驾驶航空飞行器或无人驾驶飞艇，且具有下述任一特性的无线电通信设备（参考海关商品编号：8517629910、8517691002、8526920010）：
1.无线电视距传输距离大于50千米（km）；
2.一站控多机能力大于10架。
（四）民用反无人机系统：
1.干扰范围大于5千米（km）的反无人机电子干扰设备（参考海关商品编号：8543709960）；
2.专门用于反无人机系统的输出功率大于1.5千瓦（kW）的高功率激光器（参考海关商品编号：9013200093）。
技术说明：“特定无人驾驶航空飞行器或无人驾驶飞艇”是指满足商务部、海关总署公告2015年第31号（《关于加强部分两用物项出口管制的公告》）中1.1款所列条件的无人驾驶航空飞行器或无人驾驶飞艇。
二、出口经营者应按照相关规定办理出口许可手续，通过省级商务主管部门向商务部提出申请，填写两用物项和技术出口申请表并提交下列文件：
（一）出口合同、协议的原件或者与原件一致的复印件、扫描件；
（二）拟出口物项的技术说明或者检测报告；
（三）最终用户和最终用途证明；
（四）进口商和最终用户情况介绍；
（五）申请人的法定代表人、主要经营管理人以及经办人的身份证明。
三、商务部应当自收到出口申请文件之日起进行审查，或者会同有关部门进行审查，并在法定时限内作出准予或者不予许可的决定。
对国家安全有重大影响的本公告所列物项的出口，商务部会同有关部门报国务院批准。
四、经审查准予许可的，由商务部颁发两用物项和技术出口许可证件（以下简称出口许可证件）。
五、出口许可证件申领和签发程序、特殊情况处理、文件资料保存年限等，依照商务部、海关总署令2005年第29号（《两用物项和技术进出口许可证管理办法》）的相关规定执行。
六、出口经营者应当向海关出具出口许可证件，依照《中华人民共和国海关法》的规定办理海关手续，并接受海关监管。海关凭商务部签发的出口许可证件办理验放手续。
七、出口经营者未经许可出口、超出许可范围出口或有其他违法情形的，由商务部或者海关等部门依照有关法律法规的规定给予行政处罚。构成犯罪的，依法追究刑事责任。
八、本公告自2023年9月1日起正式实施。
                      商务部 海关总署 国家国防科工局 中央军委装备发展部
                                          2023年7月31日</t>
  </si>
  <si>
    <t>Preliminary anti-dumping tariffs of 16.9 to 22.4 percent imposed on Taiwanese polycarbonate, following DPP presidential candidate Lai Ching-te’s transit via the United States</t>
  </si>
  <si>
    <t>Informal—Conversion (AD) [1]: On the back of an investigation launched in November 2022, China imposed preliminary anti-dumping tariffs of 16.9 to 22.4 percent on Taiwanese polycarbonate. China announced the restrictions one day after Lai’s passage through New York City.424</t>
  </si>
  <si>
    <t>Formosa Chemicals &amp; Fibre Corp. (台湾化学纤维股份有限公司); Idemitsu Chemicals Taiwan Corporation (台湾出光石油化学股份有限公司); CHIMEI Corporation (奇美实业股份有限公司); Chilin Technology Co., Ltd. (奇菱科技股份有限公司)</t>
  </si>
  <si>
    <t>Polycarbonate</t>
  </si>
  <si>
    <t>Trigger: DPP Presidential Candidate Lai Ching-te’s transit via the United States.423
Explanation(s): Anti-dumping tariffs described as the result of a “normal anti-dumping investigation case” in which “the authorities are committed to conducting further investigation in a fair and just manner”.427
Investigation launch in August 2023, following Lai visit to US, and results in April 2024, one month before Lai's inauguration</t>
  </si>
  <si>
    <t>商务部公告2024年第13号 关于原产于台湾地区的进口聚碳酸酯反倾销调查最终裁定的公告
【发布单位】贸易救济局
【发布文号】商务部公告2024年第13号
【发文日期】2024年04月19日
根据《中华人民共和国反倾销条例》（以下简称《反倾销条例》）的规定，2022年11月30日，商务部（以下称调查机关）发布2022年第35号公告，决定对原产于台湾地区的进口聚碳酸酯（以下称被调查产品）进行反倾销立案调查。
调查机关对被调查产品是否存在倾销和倾销幅度、被调查产品是否对大陆聚碳酸酯产业造成损害及损害程度以及倾销与损害之间的因果关系进行了调查。根据调查结果和《反倾销条例》第二十四条的规定，2023年8月14日，调查机关发布初裁公告，初步认定被调查产品存在倾销，大陆聚碳酸酯产业受到实质损害，而且倾销与实质损害之间存在因果关系。
初步裁定后，调查机关对倾销和倾销幅度、损害及损害程度以及倾销与损害之间的因果关系进行了继续调查。现本案调查结束，根据《反倾销条例》第二十五条的规定，调查机关作出最终裁定（见附件）。现将有关事项公告如下：
一、最终裁定
调查机关最终认定，被调查产品存在倾销，大陆聚碳酸酯产业受到实质损害，而且倾销与实质损害之间存在因果关系。
二、征收反倾销税
根据《反倾销条例》第三十八条的规定，商务部向国务院关税税则委员会提出征收反倾销税的建议，国务院关税税则委员会根据商务部的建议作出决定，自2024年4月20日起，对被调查产品征收反倾销税。
被调查产品的具体描述如下：
调查范围：原产于台湾地区的进口聚碳酸酯。
被调查产品名称：聚碳酸酯。
英文名称：Polycarbonate，简称PC。
结构式：
物化特性：被调查产品是分子主链含双酚A型碳酸酯基结构的高分子聚合物，外观通常为透明的圆柱状或球形粒子或固体粉末，具有抗冲击强度高、加工性能好、透光率高、耐热及耐寒性好等性能。
主要用途：聚碳酸酯可用于电子电器、板材/薄膜、汽车、光学、包装、医疗器械、安全防护等诸多领域。
该产品归在《中华人民共和国进出口税则》：39074000。该税则号项下双酚A型聚碳酸酯按重量计含量小于99%的产品不在本次被调查产品范围内。
对台湾地区公司征收的反倾销税税率如下：
1. 台湾化学纤维股份有限公司 　　　　 9.0%
(FORMOSA CHEMICALS &amp; FIBRE CORP.)
2. 台湾出光石油化学股份有限公司 　　 9.0%
(IDEMITSU CHEMICALS TAIWAN CORPORATION)
3. 奇美实业股份有限公司 　　　　　　 12.2%　
(CHIMEI CORPORATION)
4. 奇菱科技股份有限公司 　　　　　　 12.2%
(CHILIN TECHNOLOGY CO.,LTD.)
5. 其他台湾地区公司 　　　　　　　　 22.4%
三、征收反倾销税的方法
自2024年4月20日起，进口经营者在进口被调查产品时，应向中华人民共和国海关缴纳相应的反倾销税。反倾销税以海关审定的完税价格从价计征，计算公式为：反倾销税额=海关审定的完税价格×反倾销税税率。进口环节增值税以海关审定的完税价格加上关税和反倾销税作为计税价格从价计征。
四、反倾销税的追溯征收
对自2023年8月15日至2023年12月14日有关进口经营者依初裁公告向中华人民共和国海关所提供的保证金，按终裁所确定的征收反倾销税的产品范围和反倾销税税率计征并转为反倾销税，并按相应的增值税税率计征进口环节增值税。在此期间有关进口经营者所提供的保证金超出反倾销税的部分，以及由此多征的进口环节增值税部分，海关予以退还，少征部分则不再征收。对自2023年12月15日至2024年4月19日有关进口经营者依初裁公告向中华人民共和国海关所提供的相关保证金，海关予以退还。
对2023年8月15日之前进口的被调查产品不追溯征收反倾销税。
五、征收反倾销税的期限
对被调查产品征收反倾销税的实施期限自2024年4月20日起5年。
六、新出口商复审
对于台湾地区未在调查期内向中华人民共和国出口被调查产品的新出口经营者，符合条件的，可依据《反倾销条例》第四十七条的规定，向调查机关书面申请新出口商复审。
七、期间复审
在征收反倾销税期间，有关利害关系方可以根据《反倾销条例》第四十九条的规定，向调查机关书面申请期间复审。
八、行政复议和行政诉讼
对本案终裁决定及征收反倾销税的决定不服的，根据《反倾销条例》第五十三条的规定，可以依法申请行政复议，也可以依法向人民法院提起诉讼。
九、本公告自2024年4月20日起执行
附件：中华人民共和国商务部关于原产于台湾地区的进口聚碳酸酯反倾销调查的最终裁定
                                     　　　　　　商务部
                         　　　　　　　  2024年4月19日</t>
  </si>
  <si>
    <t>Final results (MOFCOM)</t>
  </si>
  <si>
    <t>Suspension of Taiwanese mango imports, citing pest concerns, following DPP presidential candidate Lai Ching-te’s transit via the United States</t>
  </si>
  <si>
    <t>• Informal—Conversion (SPS) [1]: On Monday 21 August, the week following Lai’s transit through the USA, GACC announced China would be suspending the import of mangoes from Taiwan due to concerns about pest detection.425</t>
  </si>
  <si>
    <t>Agriculture</t>
  </si>
  <si>
    <t>Mangoes</t>
  </si>
  <si>
    <t>Trigger: DPP Presidential Candidate Lai Ching-te’s transit via the United States.423
Explanation(s): Mango ban described as “normal, scientific and reasonable biosecurity precaution” that is “in line with the mainland's laws, regulations and standards”.426 Anti-dumping tariffs described as the result of a “normal anti-dumping investigation case” in which “the authorities are committed to conducting further investigation in a fair and just manner”.427</t>
  </si>
  <si>
    <t>Report (CD)</t>
  </si>
  <si>
    <t>Ban on Japanese seafood products following Fukushima water discharge</t>
  </si>
  <si>
    <t>• Informal—Conversion (SPS) [1]: On August 24 the China’s customs agency announced the suspension of all imports of aquatic products originating from Japan. Citing China’s domestic Food Safety Law, and the WTO agreement on SPS measures, the announcement stated the restrictions were motivated by the need to protect domestic consumers.429
the General Administration of Customs has decided to suspend the import of aquatic products (including edible aquatic animals) originating from Japan from August 24, 2023 (inclusive).</t>
  </si>
  <si>
    <t>Food Safety Law</t>
  </si>
  <si>
    <t>Seafood products</t>
  </si>
  <si>
    <t xml:space="preserve">Trigger: Japan’s commencement of the release of treated water from the Fukushima Daiichi nuclear plant into the Pacific Ocean.428
Sanction:
• Informal—Conversion (SPS) [1]: On August 24 the China’s customs agency announced the suspension of all imports of aquatic products originating from Japan. Citing China’s domestic Food Safety Law, and the WTO agreement on SPS measures, the announcement stated the restrictions were motivated by the need to protect domestic consumers.429
Explanation: Chinese officials framed the ban as “necessary to safeguard food safety and the health of our people”.430 The Japanese government, and many of its supporters,431 rejected this explanation as unscientific given the International Atomic Energy Agency had concluded Japan’s plans were safe.432
Annotation(s): While Japanese officials began by describing the seafood ban as ‘economic coercion’,433 the use of that language decreased over time. Nevertheless, the Japanese government and its supporters (notably the United States, and in particular Ambassador to Japan Rahm Emmanuel)434 continued to object to the restriction as being a politically motivated barrier to trade.
No evidence that the ban had something to do with Japan meeting with South Korea and the United States at Camp David, so we assume the objective is the stated one: reversing Japan's Fukushima water discharge decision. </t>
  </si>
  <si>
    <t>海关总署公告
2023年第103号
为全面防范日本福岛核污染水排海对食品安全造成的放射性污染风险，保护中国消费者健康，确保进口食品安全，依据《中华人民共和国食品安全法》及其实施条例、《中华人民共和国进出口食品安全管理办法》有关规定，以及世界贸易组织《实施卫生与植物卫生措施协定》有关规定，海关总署决定自2023年8月24日（含）起全面暂停进口原产地为日本的水产品（含食用水生动物）。
特此公告。
海关总署
2023年8月24日</t>
  </si>
  <si>
    <t>Analysis (The Interpreter)</t>
  </si>
  <si>
    <t>Boycott calls against Japanese beauty brands and several firms following Fukushima water discharge</t>
  </si>
  <si>
    <t xml:space="preserve">According to the boycott list of Japanese products circulated online, the brands cover clothing, food, housing and transportation, from MUJI, UNIQLO, AEON to Yoshinoya, Nikon, Canon, etc., among which Shiseido and Yoshinoya are the first to be affected. Some mainland consumers said that they have returned all the cosmetics they had. About 30% of Shiseido's revenue comes from China. If the boycott continues, similar Japanese companies will suffer heavy losses.
</t>
  </si>
  <si>
    <t>Shiseido; Kosé; Uniqlo; MUJI; FamilyMart; Lawson; 7-Eleven; Yoshinoya; Glico; Kao; Panasonic; Canon; Sony; Nikon; Takashimaya; Yamaha; Nintendo; Pola Orbis Holdings</t>
  </si>
  <si>
    <t>Consumer Goods; Food &amp; Beverage; Other Electronics; Entertainment</t>
  </si>
  <si>
    <t>Beauty products</t>
  </si>
  <si>
    <t>See image of all companies shared, as reported by Yahoo.</t>
  </si>
  <si>
    <t>Reporting (Yahoo)</t>
  </si>
  <si>
    <t>Sanctions on Lockheed Martin and Northrop Grumman Over Arms Sales to Taiwan</t>
  </si>
  <si>
    <t>Lockheed Martin Corporation, St. Louis, MO directly participated in the US arms sale to Taiwan announced on August 24 as the principal contractor. Northrop Grumman participated in several US arms sales to Taiwan. In accordance with the Anti-Foreign Sanctions Law of the People’s Republic of China, China decides to impose sanctions on these two above-mentioned US defense corporations.</t>
  </si>
  <si>
    <t>Lockheed Martin Corporation; Northrop Grumman</t>
  </si>
  <si>
    <t>China Daily: Lately the US has provided advanced weaponry to China’s Taiwan region through arms sales, military assistance and loans. China’s foreign ministry spokesperson said earlier that China would take strong measures to defend its sovereignty and territorial integrity. I wonder if you have anything new on that?
Mao Ning: In disregard of China’s firm opposition, the US government deliberately supplies weapons to China’s Taiwan region. This seriously violates the one-China principle and the stipulations of the three China-US joint communiqués, contravenes international law and basic norms governing international relations, and undermines China’s sovereignty and security interests. The US is going further down the wrong and dangerous path of arming Taiwan.
Lockheed Martin Corporation, St. Louis, MO directly participated in the US arms sale to Taiwan announced on August 24 as the principal contractor. Northrop Grumman participated in several US arms sales to Taiwan. In accordance with the Anti-Foreign Sanctions Law of the People’s Republic of China, China decides to impose sanctions on these two above-mentioned US defense corporations.
Let me stress, the Chinese government never wavers in its resolve of safeguarding national sovereignty and territorial integrity. We call on the US to earnestly abide by the one-China principle and the stipulations of the three China-US joint communiqués, stop arms sales to Taiwan, stop military collusion with Taiwan, and stop arming Taiwan, otherwise it will be met with China’s resolute response.</t>
  </si>
  <si>
    <t>商务部 海关总署公告2023年第39号 关于优化调整石墨物项临时出口管制措施的公告
【发布单位】 安全与管制局
【发布文号】 商务部 海关总署公告2023年第39号
【发文日期】 2023年10月20日
根据《中华人民共和国出口管制法》《中华人民共和国对外贸易法》《中华人民共和国海关法》有关规定，为维护国家安全和利益，经国务院批准，决定对商务部、国家国防科工委、海关总署公告2006年第50号（《决定对石墨类相关制品实施临时出口管制措施》）中所列的物项范围进行优化调整，对部分物项实施出口管制。有关事项公告如下：
一、满足以下特性的物项，未经许可，不得出口：
（一）高纯度（纯度&gt;99.9%)、高强度（抗折强度&gt;30Mpa）、高密度（密度&gt;1.73克/立方厘米）的人造石墨材料及其制品（参考海关商品编号：3801100030、3801909010、6815190020）。
（二）天然鳞片石墨及其制品（包含球化石墨、膨胀石墨等）（参考海关商品编号：2504101000、2504109100、3801901000、3801909010、3824999940、6815190020）。
二、除上述物项外，商务部、国家国防科工委、海关总署公告2006年第50号（《决定对石墨类相关制品实施临时出口管制措施》）中其他物项取消临时出口管制。
三、出口经营者应按照相关规定办理出口许可手续，通过省级商务主管部门向商务部提出申请，填写两用物项和技术出口申请表并提交下列文件：
（一）出口合同、协议的原件或者与原件一致的复印件、扫描件；
（二）拟出口物项的技术说明或者检测报告；
（三）最终用户和最终用途证明；
（四）进口商和最终用户情况介绍；
（五）申请人的法定代表人、主要经营管理人以及经办人的身份证明。
四、商务部应当自收到出口申请文件之日起进行审查，或者会同有关部门进行审查，并在法定时限内作出准予或者不予许可的决定。
对国家安全有重大影响的本公告所列物项的出口，商务部会同有关部门报国务院批准。
五、经审查准予许可的，由商务部颁发两用物项和技术出口许可证件（以下简称出口许可证件）。
六、出口许可证件申领和签发程序、特殊情况处理、文件资料保存年限等，依照商务部、海关总署令2005年第29号（《两用物项和技术进出口许可证管理办法》）的相关规定执行。
七、出口经营者应当向海关出具出口许可证件，依照《中华人民共和国海关法》的规定办理海关手续，并接受海关监管。海关凭商务部签发的出口许可证件办理验放手续。
八、出口经营者未经许可出口、超出许可范围出口或有其他违法情形的，由商务部或者海关等部门依照有关法律法规的规定给予行政处罚。构成犯罪的，依法追究刑事责任。
九、本公告自2023年12月1日起正式实施，商务部、国家国防科工委、海关总署公告2006年第50号（《决定对石墨类相关制品实施临时出口管制措施》）同时废止。
商务部 海关总署  
2023年10月20日</t>
  </si>
  <si>
    <t xml:space="preserve">In accordance with the Cross-Strait Economic Cooperation Framework Agreement, the State Council Tariff Commission has decided to suspend tariff concessions on some products in the Cross-Strait Economic Cooperation Framework Agreement in accordance with regulations and procedures. ... From January 1, 2024, the application of the agreed tariff rates of the Cross-Strait Economic Cooperation Framework Agreement will be terminated for imported products originating in Taiwan, including propylene and paraxylene, listed in the appendix, and the current relevant regulations will be followed. </t>
  </si>
  <si>
    <t>Cross-Strait Economic Cooperation Framework Agreement</t>
  </si>
  <si>
    <t>Propylene; butadiene; isoprene; mixed xylene isomers; orthoxylene; metaxylene; paraxylene; dodecylbenzene; chloroform; vinyl chloride; ethylene propylene copolymer; other olefin polymers in primary form</t>
  </si>
  <si>
    <t>Imposed ahead of Taiwanese elections. A second batch came in May 2024 after the inauguration speech.</t>
  </si>
  <si>
    <t>国务院关税税则委员会关于中止《海峡两岸经济合作框架协议》
部分产品关税减让的公告
发布日期：2023年12月21日 
税委会公告2023年第9号
　　台湾地区单方面对大陆产品出口采取歧视性的禁止、限制等措施，违反了《海峡两岸经济合作框架协议》规定。根据《海峡两岸经济合作框架协议》，国务院关税税则委员会按规定和程序决定，中止《海峡两岸经济合作框架协议》部分产品关税减让。希望台湾地区采取有效措施，取消对大陆的贸易限制。现将有关事项公告如下：
　　自2024年1月1日起，对原产于台湾地区的附件所列丙烯、对二甲苯等12个税目进口产品，中止适用《海峡两岸经济合作框架协议》协定税率，按现行有关规定执行。 
　　附件：中止《海峡两岸经济合作框架协议》关税减让产品清单
　　国务院关税税则委员会
　　2023年12月20日
附件下载：
附件：中止《海峡两岸经济合作框架协议》关税减让产品清单.pdf
相关文章：
国务院关税税则委员会发布公告决定中止《海峡两岸经济合作框架协议》部分产品关税减让</t>
  </si>
  <si>
    <t>Full Text Chinese (Ministry of Finance)</t>
  </si>
  <si>
    <t>Investigation (MOFCOM)</t>
  </si>
  <si>
    <t>Sanctions on US Firm Kharon and Two Researchers Over Xinjiang-Related Allegations</t>
  </si>
  <si>
    <t>In accordance with China’s Anti-Foreign Sanctions Law, we will take countermeasures against American intelligence data company Kharon, which has long collected Xinjiang-related sensitive information and provided so-called evidence for America’s illegal sanctions related to Xinjiang, Edmund Xu, director of investigations of Kharon, and Nicole Morgret, former researcher of the Center for Advanced Defense Studies. The two persons will be prohibited from entering China (including China’s mainland, the Hong Kong SAR and the Macau SAR). China will freeze the property of Kharon and the two persons in China, including their movable and immovable property, and prohibit organizations and individuals in China from transactions and cooperation with them.</t>
  </si>
  <si>
    <t>Edmund Xu; Nicole Morgret</t>
  </si>
  <si>
    <t>Kharon</t>
  </si>
  <si>
    <t>Xinhua News Agency: The US issued an annual human rights report related to Xinjiang and sanctioned China’s two officials and three companies. China said it will take resolute countermeasures. What are these specific measures?
Mao Ning: By issuing the report, the US once again spread false stories on Xinjiang and illegally sanctioned Chinese officials and companies citing so-called human rights issues. This move constitutes grave interference in China’s internal affairs and violates the international law and the basic norms of international relations. The move is designed to vilify China and harmful to the lawful rights and interests of relevant Chinese officials and companies. We firmly oppose and strongly condemn the move and have made serious démarches to the US over this. 
In accordance with China’s Anti-Foreign Sanctions Law, we will take countermeasures against American intelligence data company Kharon, which has long collected Xinjiang-related sensitive information and provided so-called evidence for America’s illegal sanctions related to Xinjiang, Edmund Xu, director of investigations of Kharon, and Nicole Morgret, former researcher of the Center for Advanced Defense Studies. The two persons will be prohibited from entering China (including China’s mainland, the Hong Kong SAR and the Macau SAR). China will freeze the property of Kharon and the two persons in China, including their movable and immovable property, and prohibit organizations and individuals in China from transactions and cooperation with them.
We again urge the US to stop smearing China, cancel the illegal unilateral sanctions on Chinese officials and companies, and stop implementing wrongful acts such as the Uyghur Forced Labor Prevention Act. If the US refuses to change course, China will not flinch and will respond in kind.</t>
  </si>
  <si>
    <t>In response to these gravely wrong actions taken by the US and in accordance with China’s Anti-Foreign Sanctions Law, China has decided to sanction five US defense industry companies, namely BAE Systems Land and Armament, Alliant Techsystems Operation, AeroVironment, ViaSat and Data Link Solutions. The countermeasures consist of freezing the properties of those companies in China, including their movable and immovable property, and prohibiting organizations and individuals in China from transactions and cooperation with them.</t>
  </si>
  <si>
    <t>BAE Systems Land and Armament; Alliant Techsystems Operation; AeroVironment; ViaSat; Data Link Solutions</t>
  </si>
  <si>
    <t>Foreign Ministry Spokesperson’s Remarks on Countermeasures on US Arms Sales to China’s Taiwan Region and Sanctions on Chinese Entities
2024-01-07 09:00
Q: The US recently announced new arms sales to Taiwan and sanctioned Chinese businesses and individuals under various pretexts. China said it would take countermeasures. Could you tell us specifically what those measures are?
A: The US arms sales to China’s Taiwan region in blatant violation of the one-China principle and the stipulations of the three China-US joint communiqués, particularly the August 17 joint communiqué of 1982, and the illegal unilateral sanctions the US has imposed on Chinese companies and individuals under various false pretexts seriously harm China’s sovereignty and security interests, undermine the peace and stability across the Taiwan Strait, and violate the legitimate and lawful rights and interests of Chinese companies and individuals. China strongly deplores and firmly opposes this and has made solemn démarches to the US. 
In response to these gravely wrong actions taken by the US and in accordance with China’s Anti-Foreign Sanctions Law, China has decided to sanction five US defense industry companies, namely BAE Systems Land and Armament, Alliant Techsystems Operation, AeroVironment, ViaSat and Data Link Solutions. The countermeasures consist of freezing the properties of those companies in China, including their movable and immovable property, and prohibiting organizations and individuals in China from transactions and cooperation with them.
I would like to stress that the Chinese government remains unwavering in our resolve to safeguard national sovereignty, security and territorial integrity and protect the lawful rights and interests of Chinese companies and citizens. We urge the United States to abide by the one-China principle and the three China-US joint communiqués, observe international law and the basic norms governing international relations, stop arming Taiwan, and stop targeting China with illegal unilateral sanctions. Otherwise there will be strong and resolute response from China.</t>
  </si>
  <si>
    <t>China has decided to take the following countermeasures against General Atomics Aeronautical Systems, General Dynamics Land Systems and other companies listed in the attached "Countermeasure List" that are involved in selling weapons to the Taiwan region of China:
1. Freeze movable property, immovable property and other types of property within the territory of my country;
2. Visas will not be issued to senior management personnel and they will not be allowed to enter the country.</t>
  </si>
  <si>
    <t>Anti-Foreign Sanctions Law (Articles 3, 4, 5, 6, 9 and 15)</t>
  </si>
  <si>
    <t>General Atomics Aeronautical Systems; General Dynamics Land Systems</t>
  </si>
  <si>
    <t>Defense; Drones</t>
  </si>
  <si>
    <t>关于对美国通用原子航空系统公司、通用动力陆地系统公司采取反制措施的决定
2024-04-11 17:00
【中大小】 打印 
（2024年4月11日中华人民共和国外交部令第5号公布，自2024年4月11日起施行）
美国持续向中国台湾地区出售武器，严重违反一个中国原则和中美三个联合公报规定，严重干涉中国内政，严重损害中国主权和领土完整。依据《中华人民共和国反外国制裁法》第三条、第四条、第五条、第六条、第九条、第十五条规定，中方决定对参与向中国台湾地区出售武器的美国通用原子航空系统公司、通用动力陆地系统公司等后附《反制清单》列明的企业采取以下反制措施：
一、冻结在我国境内的动产、不动产和其他各类财产；
二、对高级管理人员不予签发签证、不准入境。
本决定自2024年4月11日起施行。
附件：反制清单
   外交部   
2024年4月11日
附件
反制清单
一、通用原子航空系统公司（General Atomics Aeronautical Systems)
二、通用动力陆地系统公司（General Dynamics Land Systems)</t>
  </si>
  <si>
    <r>
      <rPr>
        <sz val="14"/>
        <color theme="1"/>
        <rFont val="Calibri"/>
        <family val="2"/>
      </rPr>
      <t xml:space="preserve">To safeguard national sovereignty, security and development interests, in accordance with the Foreign Trade Law of the People's Republic of China, the National Security Law of the People's Republic of China and other relevant laws, the Unreliable Entity List Working Mechanism has decided to include General Atomics Aeronautical Systems and General Dynamics Land Systems of the United States, which are involved in arms sales to Taiwan, in the Unreliable Entity List in accordance with Articles 2, 8 and 10 of the Unreliable Entity List Regulations, and to take the following measures:
(1) </t>
    </r>
    <r>
      <rPr>
        <b/>
        <sz val="14"/>
        <color theme="1"/>
        <rFont val="Calibri"/>
        <family val="2"/>
      </rPr>
      <t>Prohibit</t>
    </r>
    <r>
      <rPr>
        <sz val="14"/>
        <color theme="1"/>
        <rFont val="Calibri"/>
        <family val="2"/>
      </rPr>
      <t xml:space="preserve"> the above-mentioned enterprises from engaging in </t>
    </r>
    <r>
      <rPr>
        <b/>
        <sz val="14"/>
        <color theme="1"/>
        <rFont val="Calibri"/>
        <family val="2"/>
      </rPr>
      <t xml:space="preserve">import and export </t>
    </r>
    <r>
      <rPr>
        <sz val="14"/>
        <color theme="1"/>
        <rFont val="Calibri"/>
        <family val="2"/>
      </rPr>
      <t xml:space="preserve">activities related to China;
(2) </t>
    </r>
    <r>
      <rPr>
        <b/>
        <sz val="14"/>
        <color theme="1"/>
        <rFont val="Calibri"/>
        <family val="2"/>
      </rPr>
      <t>Prohibit</t>
    </r>
    <r>
      <rPr>
        <sz val="14"/>
        <color theme="1"/>
        <rFont val="Calibri"/>
        <family val="2"/>
      </rPr>
      <t xml:space="preserve"> the above-mentioned enterprises from making </t>
    </r>
    <r>
      <rPr>
        <b/>
        <sz val="14"/>
        <color theme="1"/>
        <rFont val="Calibri"/>
        <family val="2"/>
      </rPr>
      <t>new investments</t>
    </r>
    <r>
      <rPr>
        <sz val="14"/>
        <color theme="1"/>
        <rFont val="Calibri"/>
        <family val="2"/>
      </rPr>
      <t xml:space="preserve"> within the territory of China;
(3) </t>
    </r>
    <r>
      <rPr>
        <b/>
        <sz val="14"/>
        <color theme="1"/>
        <rFont val="Calibri"/>
        <family val="2"/>
      </rPr>
      <t>Prohibit the entry</t>
    </r>
    <r>
      <rPr>
        <sz val="14"/>
        <color theme="1"/>
        <rFont val="Calibri"/>
        <family val="2"/>
      </rPr>
      <t xml:space="preserve"> of senior management personnel of the above-mentioned enterprises;
(iv) Not approving and cancelling the </t>
    </r>
    <r>
      <rPr>
        <b/>
        <sz val="14"/>
        <color theme="1"/>
        <rFont val="Calibri"/>
        <family val="2"/>
      </rPr>
      <t xml:space="preserve">work permit, stay or residence permit </t>
    </r>
    <r>
      <rPr>
        <sz val="14"/>
        <color theme="1"/>
        <rFont val="Calibri"/>
        <family val="2"/>
      </rPr>
      <t>of the above-mentioned senior management personnel in China.</t>
    </r>
  </si>
  <si>
    <t>Unreliable Entity List (Article 2, Article 8 and Article 10 of the Unreliable Entity List Regulations)
Foreign Trade Law;
National Security Law;
"other relevant laws"</t>
  </si>
  <si>
    <r>
      <rPr>
        <b/>
        <sz val="14"/>
        <color theme="1"/>
        <rFont val="Calibri"/>
        <family val="2"/>
      </rPr>
      <t>Step towards extraterritoriality</t>
    </r>
    <r>
      <rPr>
        <sz val="14"/>
        <color theme="1"/>
        <rFont val="Calibri"/>
        <family val="2"/>
      </rPr>
      <t>.
In addition to sanctions against two US defense companies, this decision claims that Caplugs has circumvented previous UEL sanctions against Lockheed and Raytheon. It issues a threat against Caplugs; requesting Chinese companies to exercise due diligence when selling to Caplugs and asks Caplugs for documentation.
Caplugs thus not officially under sanctions.</t>
    </r>
  </si>
  <si>
    <t>不可靠实体清单工作机制关于对通用原子航空系统公司等三家美国企业采取不可靠实体清单措施的公告
【发布单位】安全与管制局
【发布文号】不可靠实体清单工作机制公告〔2024〕1号
【发文日期】2024年05月20日
不 可 靠 实 体 清 单 工 作 机 制
公   告
2024年 第1号
一、为维护国家主权、安全和发展利益，根据《中华人民共和国对外贸易法》《中华人民共和国国家安全法》等有关法律，不可靠实体清单工作机制依据《不可靠实体清单规定》第二条、第八条和第十条等有关规定，决定将参与对台湾地区军售的美国通用原子航空系统公司（General Atomics Aeronautical Systems）、美国通用动力陆地系统公司（General Dynamics Land Systems）列入不可靠实体清单，并采取以下处理措施：
（一）禁止上述企业从事与中国有关的进出口活动；
（二）禁止上述企业在中国境内新增投资；
（三）禁止上述企业高级管理人员入境；
（四）不批准并取消上述企业高级管理人员在中国境内工作许可、停留或者居留资格。
二、2023年2月16日，不可靠实体清单工作机制将洛克希德·马丁公司（Lockheed Martin Corporation）、雷神导弹与防务公司（Raytheon Missiles &amp; Defense）列入不可靠实体清单，并采取相关处理措施（详见不可靠实体清单工作机制公告2023年第1号）。有证据显示，美国凯普拉格斯公司（Caplugs）规避《不可靠实体清单规定》等相关规定，将自中国采购的货物转移至不可靠实体清单中企业。为提示可能存在通过美国凯普拉格斯公司与不可靠实体清单中企业交易的风险，现就有关事项公告如下：
（一）境内企业与美国凯普拉格斯公司开展出口业务时，应当注意识别违规转移的风险，履行尽职调查，提升注意义务，加强贸易流向管理，采取适当方式确保相关货物、技术、服务等不被转移至不可靠实体清单中的外国实体。
（二）美国凯普拉格斯公司须尽快采取措施，确保自中国采购的相关货物、技术、服务等不向不可靠实体清单中的外国实体转移，并向不可靠实体清单工作机制办公室提交相关证明材料。否则，不可靠实体清单工作机制将依法依规对其采取相关措施。
不可靠实体清单工作机制办公室联系方式：
地址：北京市东城区东长安街2号
邮编：100731
电子邮箱：agjasc@mofcom.gov.cn
本公告未尽事宜，按《不可靠实体清单规定》执行。
本公告自公布之日起实施。
不可靠实体清单工作机制
（商务部代章）
2024年5月20日</t>
  </si>
  <si>
    <t>Announcement of the Working Mechanism of the Unreliable Entity List on the inclusion of Boeing Defense, Space &amp; Security Group in the Unreliable Entity List</t>
  </si>
  <si>
    <r>
      <rPr>
        <sz val="14"/>
        <color theme="1"/>
        <rFont val="Calibri"/>
        <family val="2"/>
      </rPr>
      <t xml:space="preserve">To safeguard national sovereignty, security and development interests, in accordance with the Foreign Trade Law of the People's Republic of China, the National Security Law of the People's Republic of China and other relevant laws, the Unreliable Entity List Working Mechanism has decided to include Boeing Defense, Space &amp; Security, a US company involved in arms sales to Taiwan, in the Unreliable Entity List in accordance with Article 2, Article 8 and Article 10 of the Unreliable Entity List Regulations, and to take the following measures:
1. The above-mentioned enterprises are </t>
    </r>
    <r>
      <rPr>
        <b/>
        <sz val="14"/>
        <color theme="1"/>
        <rFont val="Calibri"/>
        <family val="2"/>
      </rPr>
      <t xml:space="preserve">prohibited from engaging in import and export </t>
    </r>
    <r>
      <rPr>
        <sz val="14"/>
        <color theme="1"/>
        <rFont val="Calibri"/>
        <family val="2"/>
      </rPr>
      <t xml:space="preserve">activities related to China;
2. </t>
    </r>
    <r>
      <rPr>
        <b/>
        <sz val="14"/>
        <color theme="1"/>
        <rFont val="Calibri"/>
        <family val="2"/>
      </rPr>
      <t xml:space="preserve">Prohibit </t>
    </r>
    <r>
      <rPr>
        <sz val="14"/>
        <color theme="1"/>
        <rFont val="Calibri"/>
        <family val="2"/>
      </rPr>
      <t>the above-mentioned enterprises from making</t>
    </r>
    <r>
      <rPr>
        <b/>
        <sz val="14"/>
        <color theme="1"/>
        <rFont val="Calibri"/>
        <family val="2"/>
      </rPr>
      <t xml:space="preserve"> new investments</t>
    </r>
    <r>
      <rPr>
        <sz val="14"/>
        <color theme="1"/>
        <rFont val="Calibri"/>
        <family val="2"/>
      </rPr>
      <t xml:space="preserve"> in China;
3. </t>
    </r>
    <r>
      <rPr>
        <b/>
        <sz val="14"/>
        <color theme="1"/>
        <rFont val="Calibri"/>
        <family val="2"/>
      </rPr>
      <t xml:space="preserve">Prohibit the entry </t>
    </r>
    <r>
      <rPr>
        <sz val="14"/>
        <color theme="1"/>
        <rFont val="Calibri"/>
        <family val="2"/>
      </rPr>
      <t xml:space="preserve">of senior management personnel of the above-mentioned enterprises;
4. Not approving and canceling the </t>
    </r>
    <r>
      <rPr>
        <b/>
        <sz val="14"/>
        <color theme="1"/>
        <rFont val="Calibri"/>
        <family val="2"/>
      </rPr>
      <t>work permit, stay or residence</t>
    </r>
    <r>
      <rPr>
        <sz val="14"/>
        <color theme="1"/>
        <rFont val="Calibri"/>
        <family val="2"/>
      </rPr>
      <t xml:space="preserve"> qualification in China of the above-mentioned senior executives of the enterprises;
5. </t>
    </r>
    <r>
      <rPr>
        <b/>
        <sz val="14"/>
        <color theme="1"/>
        <rFont val="Calibri"/>
        <family val="2"/>
      </rPr>
      <t>A fine of twice the amount of the arms sales</t>
    </r>
    <r>
      <rPr>
        <sz val="14"/>
        <color theme="1"/>
        <rFont val="Calibri"/>
        <family val="2"/>
      </rPr>
      <t xml:space="preserve"> contract to Taiwan since the implementation of the Unreliable Entity List Regulations will be imposed on the above-mentioned enterprises. The above-mentioned enterprises shall pay the fine in accordance with relevant laws and regulations within 15 days from the date of publication of this announcement. If they fail to comply with this decision within the time limit, the Unreliable Entity List Working Mechanism will take measures such as additional fines in accordance with the law.</t>
    </r>
  </si>
  <si>
    <t>Boeing Defense, Space &amp; Security</t>
  </si>
  <si>
    <t>不可靠实体清单工作机制关于将波音防务、空间与安全集团列入不可靠实体清单的公告
【发布单位】安全与管制局
【发布文号】不可靠实体清单工作机制公告〔2024〕2号
【发文日期】2024年05月20日
不 可 靠 实 体 清 单 工 作 机 制
公  告
2024年 第2号
为维护国家主权、安全和发展利益，根据《中华人民共和国对外贸易法》《中华人民共和国国家安全法》等有关法律，不可靠实体清单工作机制依据《不可靠实体清单规定》第二条、第八条和第十条等有关规定，决定将参与对台湾地区军售的美国波音防务、空间与安全集团（Boeing Defense, Space &amp; Security）列入不可靠实体清单，并采取以下处理措施：
一、禁止上述企业从事与中国有关的进出口活动；
二、禁止上述企业在中国境内新增投资；
三、禁止上述企业高级管理人员入境；
四、不批准并取消上述企业高级管理人员在中国境内工作许可、停留或者居留资格；
五、对上述企业处以罚款，金额为《不可靠实体清单规定》实施以来对台军售合同金额的两倍。上述企业应当自本公告公布之日起15日内，按照相关法律法规办理缴款。若逾期不履行本决定，不可靠实体清单工作机制将依法采取加处罚款等措施。
本公告未尽事宜，按《不可靠实体清单规定》执行。
本公告自公布之日起实施。
不可靠实体清单工作机制
（商务部代章）
2024年5月20日</t>
  </si>
  <si>
    <t>China has decided to take the following countermeasures against Gallagher:
1. Freeze movable property, immovable property and other types of property within the territory of my country;
2. Prohibit organizations and individuals within the territory of my country from engaging in transactions, cooperation and other activities with the individual;
3. Deny the person a visa and deny entry.</t>
  </si>
  <si>
    <t>Anti-Foreign Sanctions Law (Articles 3, 4, 6, 9 and 15)</t>
  </si>
  <si>
    <t>Mike Gallagher</t>
  </si>
  <si>
    <t>关于对美国国会前议员加拉格尔采取反制措施的决定
2024-05-21 16:30
【中大小】 打印 
（2024年5月21日中华人民共和国外交部令第6号公布，自2024年5月21日起施行）
美国威斯康星州前联邦众议员麦克·加拉格尔近年来频繁采取干涉中国内政、损害中国主权和领土完整、侵犯中方利益的言行。依据《中华人民共和国反外国制裁法》第三条、第四条、第六条、第九条、第十五条规定，中方决定对加拉格尔采取以下反制措施：
一、冻结在我国境内的动产、不动产和其他各类财产；
二、禁止我国境内的组织、个人与其本人进行有关交易、合作等活动；
三、对其本人不予签发签证、不准入境。
本决定自2024年5月21日起施行。
附件：反制清单
外交部    
2024年5月21日
附件
反制清单
美国国会众议院“中国特设委”前任主席、威斯康星州前联邦众议员麦克·加拉格尔（Mike Gallagher）</t>
  </si>
  <si>
    <r>
      <rPr>
        <u/>
        <sz val="14"/>
        <color theme="1"/>
        <rFont val="Calibri (Body)"/>
      </rPr>
      <t>For the 12 companies</t>
    </r>
    <r>
      <rPr>
        <sz val="14"/>
        <color theme="1"/>
        <rFont val="Calibri (Body)"/>
      </rPr>
      <t xml:space="preserve"> as listed in the attached List of Targets of Countermeasures ...
Their movable and immovable properties, and other kinds of </t>
    </r>
    <r>
      <rPr>
        <b/>
        <sz val="14"/>
        <color theme="1"/>
        <rFont val="Calibri (Body)"/>
      </rPr>
      <t>assets within China shall be frozen</t>
    </r>
    <r>
      <rPr>
        <sz val="14"/>
        <color theme="1"/>
        <rFont val="Calibri (Body)"/>
      </rPr>
      <t xml:space="preserve">.
</t>
    </r>
    <r>
      <rPr>
        <u/>
        <sz val="14"/>
        <color theme="1"/>
        <rFont val="Calibri (Body)"/>
      </rPr>
      <t>For the 10 senior executives</t>
    </r>
    <r>
      <rPr>
        <sz val="14"/>
        <color theme="1"/>
        <rFont val="Calibri (Body)"/>
      </rPr>
      <t xml:space="preserve"> as listed in the attached List of Targets of Countermeasures ... They shall be </t>
    </r>
    <r>
      <rPr>
        <b/>
        <sz val="14"/>
        <color theme="1"/>
        <rFont val="Calibri (Body)"/>
      </rPr>
      <t>denied visas</t>
    </r>
    <r>
      <rPr>
        <sz val="14"/>
        <color theme="1"/>
        <rFont val="Calibri (Body)"/>
      </rPr>
      <t xml:space="preserve"> or entry into China (including Hong Kong and Macao).</t>
    </r>
  </si>
  <si>
    <t>Kathy J. Warden; Matthew Bromberg; Benjamin R. Davies; Thomas H. Jones; Stephen O’Bryan; Roshan Roeder; Firat H. Gezen; Jason W. Aiken; Amy Gilliland; Christopher J. Brady</t>
  </si>
  <si>
    <t>Lockheed Martin Missiles and Fire Control; Lockheed Martin Aeronautics; Raytheon/Lockheed Martin Javelin Joint Venture; Raytheon Missile Systems; General Dynamics Ordnance and Tactical Systems; General Dynamics Information Technology; General Dynamics Mission Systems; Inter-Coastal Electronics; System Studies &amp; Simulation; IronMountain Solutions; Applied Technologies Group; Axient</t>
  </si>
  <si>
    <t>Missiles, missile defense, munitions, aerospace, defense systems</t>
  </si>
  <si>
    <t>关于对美国军工企业及高级管理人员采取反制措施的决定
2024-05-22 17:00
【中大小】 打印 
（2024年5月22日中华人民共和国外交部令第7号公布，自2024年5月22日起施行）
一段时间以来，美国无视中方在乌克兰危机上的客观公正立场和建设性作用，以所谓涉俄罗斯因素为由对多家中国实体滥施非法单边制裁，大搞单边霸凌和经济胁迫，严重侵犯中方企业、机构和个人正当合法权益。同时，美国持续向中国台湾地区出售武器，严重违反一个中国原则和中美三个联合公报规定，严重干涉中国内政，严重损害中国主权和领土完整。
依据《中华人民共和国反外国制裁法》第三条、第四条、第五条、第六条、第九条、第十五条规定，中方决定对以下美国军工企业及高级管理人员采取反制措施：
一、对洛克希德·马丁导弹与火控公司、洛克希德·马丁航空公司、标枪合资公司、雷神导弹系统公司、通用动力军械与战术系统公司、通用动力信息技术公司、通用动力任务系统公司、海岸间电子公司、系统研究与模拟公司、铁山解决方案公司、应用技术集团、阿克西恩特公司等12家后附《反制清单》列明的企业，冻结在我国境内的动产、不动产和其他各类财产。
二、对凯西·沃登（诺斯罗普·格鲁曼公司董事长、首席执行官、总裁）、马修·布朗伯格（诺斯罗普·格鲁曼公司全球运营副总裁）、本杰明·戴维斯（诺斯罗普·格鲁曼公司战略威慑系统副总裁、总经理）、托马斯·琼斯（诺斯罗普·格鲁曼公司副总裁、航空系统总裁）、斯蒂芬·奥布莱恩（诺斯罗普·格鲁曼公司副总裁、全球业务发展官）、罗珊·罗德（诺斯罗普·格鲁曼公司副总裁、防务系统总裁）、菲拉特·盖曾（通用动力公司副总裁、通用动力军械与战术系统公司总裁）、贾森·艾肯（通用动力公司负责技术部门执行副总裁）、艾米·吉格兰（通用动力公司高级副总裁、通用动力信息技术公司总裁）、克里斯托弗·布雷迪（通用动力公司副总裁、通用动力任务系统公司总裁）等10名后附《反制清单》列明的企业高级管理人员，不予签发签证、不准入境（包括香港、澳门）。
本决定自2024年5月22日起施行。
附件：反制清单                      
外交部　　
2024年5月22日
附件
反制清单
一、企业
　　（一）洛克希德·马丁导弹与火控公司（Lockheed Martin Missiles and Fire Control）
　　（二）洛克希德·马丁航空公司（Lockheed Martin Aeronautics）
　　（三）标枪合资公司（Raytheon/Lockheed Martin Javelin Joint Venture）
　　（四）雷神导弹系统公司（Raytheon Missile Systems）
　　（五）通用动力军械与战术系统公司（General Dynamics Ordnance and Tactical Systems）
　　（六）通用动力信息技术公司（General Dynamics Information Technology）
　　（七）通用动力任务系统公司（General Dynamics Mission Systems）
　　（八）海岸间电子公司（Inter-Coastal Electronics）
　　（九）系统研究与模拟公司（System Studies &amp; Simulation）
　　（十）铁山解决方案公司 （IronMountain Solutions）
　　（十一）应用技术集团（Applied Technologies Group）
　　（十二）阿克西恩特公司（Axient）
二、高级管理人员
　　（一）凯西·沃登（Kathy J. Warden），女，诺斯罗普·格鲁曼公司董事长、首席执行官、总裁
　　（二）马修·布朗伯格（Matthew Bromberg），男，诺斯罗普·格鲁曼公司全球运营副总裁
　　（三）本杰明·戴维斯（Benjamin R. Davies），男，诺斯罗普·格鲁曼公司战略威慑系统副总裁、总经理
　　（四）托马斯·琼斯（Thomas H. Jones），男，诺斯罗普·格鲁曼公司副总裁、航空系统总裁
　　（五）斯蒂芬·奥布莱恩（Stephen O’Bryan），男，诺斯罗普·格鲁曼公司副总裁、全球业务发展官
　　（六）罗珊·罗德（Roshan Roeder），女，诺斯罗普·格鲁曼公司副总裁、防务系统总裁
　　（七）菲拉特·盖曾（Firat H. Gezen），男，通用动力公司副总裁、通用动力军械与战术系统公司总裁
　　（八）贾森·艾肯（Jason W. Aiken），男，通用动力公司负责技术部门执行副总裁
　　（九）艾米·吉格兰（Amy Gilliland），女，通用动力公司高级副总裁、通用动力信息技术公司总裁
　　（十）克里斯托弗·布雷迪（Christopher J. Brady），男，通用动力公司副总裁、通用动力任务系统公司总裁</t>
  </si>
  <si>
    <t>Decision on Taking Countermeasures Against
U.S. Military Companies and Senior Executives
Updated: May 27, 2024 17:28
(Issued on May 22, 2024 as Decree of the Ministry of Foreign Affairs of the People’s Republic of China No.7, effective as of May 22, 2024)
In disregard of China’s fair and objective position and constructive role on the Ukraine crisis, the United States has recently arbitrarily imposed illegal unilateral sanctions on a number of Chinese entities on the basis of so-called Russia-related factors, and engaged in unilateral acts of bullying and economic coercion. This has seriously undermined the legitimate and lawful rights and interests of Chinese companies, institutions and individuals. In the meantime, the continued U.S. arms sales to China’s Taiwan region seriously violate the one-China principle and the provisions of the three China-U.S. Joint Communiqués, interfere in China’s internal affairs, and undermine China’s sovereignty and territorial integrity.
Pursuant to Articles 3, 4, 5, 6, 9 and 15 of the Law of the People’s Republic of China on Countering Foreign Sanctions, China hereby decides to take countermeasures against the following U.S. military companies and senior executives:
For the 12 companies as listed in the attached List of Targets of Countermeasures, i.e., Lockheed Martin Missiles and Fire Control, Lockheed Martin Aeronautics, Raytheon/Lockheed Martin Javelin Joint Venture, Raytheon Missile Systems, General Dynamics Ordnance and Tactical Systems, General Dynamics Information Technology, General Dynamics Mission Systems, Inter-Coastal Electronics, System Studies &amp; Simulation, IronMountain Solutions, Applied Technologies Group, and Axient:
Their movable and immovable properties, and other kinds of assets within China shall be frozen.
For the 10 senior executives as listed in the attached List of Targets of Countermeasures, i.e., Kathy J. Warden (Chair, Chief Executive Officer and President, Northrop Grumman Corporation), Matthew Bromberg (Corporate Vice President, Global Operations, Northrop Grumman Corporation), Benjamin R. Davies (Vice President and General Manager, Strategic Deterrent Systems, Northrop Grumman Space Systems), Thomas H. Jones (Corporate Vice President and President, Northrop Grumman Aeronautics Systems), Stephen O’Bryan (Corporate Vice President and Global Business Development Officer, Northrop Grumman Corporation), Roshan Roeder (Corporate Vice President and President, Northrop Grumman Defense Systems), Firat H. Gezen (Vice President of General Dynamics, President of General Dynamics Ordnance and Tactical Systems), Jason W. Aiken (Executive Vice President of the Technologies Segment of General Dynamics), Amy Gilliland (Senior Vice President of General Dynamics, President of General Dynamics Information Technology), and Christopher J. Brady (Vice President of General Dynamics, President of General Dynamics Mission Systems):
They shall be denied visas or entry into China (including Hong Kong and Macao).
This decision shall come into force as of May 22, 2024.
Appendix: List of Targets of Countermeasures
Ministry of Foreign Affairs
May 22, 2024
Appendix
List of Targets of Countermeasures
I. Companies
1. Lockheed Martin Missiles and Fire Control
2. Lockheed Martin Aeronautics
3. Raytheon/Lockheed Martin Javelin Joint Venture
4. Raytheon Missile Systems
5. General Dynamics Ordnance and Tactical Systems
6. General Dynamics Information Technology
7. General Dynamics Mission Systems
8. Inter-Coastal Electronics
9. System Studies &amp; Simulation
10. IronMountain Solutions
11. Applied Technologies Group
12. Axient
II. Senior Executives
1. Kathy J. Warden, female, Chair, Chief Executive Officer and President, Northrop Grumman Corporation
2. Matthew Bromberg, male, Corporate Vice President, Global Operations, Northrop Grumman Corporation
3. Benjamin R. Davies, male, Vice President and General Manager, Strategic Deterrent Systems, Northrop Grumman Space Systems
4. Thomas H. Jones, male, Corporate Vice President and President, Northrop Grumman Aeronautics Systems
5. Stephen O’Bryan, male, Corporate Vice President and Global Business Development Officer, Northrop Grumman Corporation
6. Roshan Roeder, female, Corporate Vice President and President, Northrop Grumman Defense Systems
7. Firat H. Gezen, male, Vice President of General Dynamics, President of General Dynamics Ordnance and Tactical Systems
8. Jason W. Aiken, male, Executive Vice President of the Technologies Segment of General Dynamics
9. Amy Gilliland, female, Senior Vice President of General Dynamics, President of General Dynamics Information Technology
10. Christopher J. Brady, male, Vice President of General Dynamics, President of General Dynamics Mission Systems</t>
  </si>
  <si>
    <t>in order to safeguard national security and interests and fulfill international obligations such as non-proliferation, ... it is decided to implement export controls on the following items.</t>
  </si>
  <si>
    <t>Aerospace; Energy; Defense</t>
  </si>
  <si>
    <t>Aerospace manufacturing equipment and software; gas turbine manufacturing equipment and software; space suit visor manufacturing equipment and software; high-strength polyethylene fiber materials</t>
  </si>
  <si>
    <t>I checked trade data for the aerospace HS codes (2022, 2023) and China seems to make make up a big portion of world exports (25-60%) in these categories. Suggests China is trying to leverage its dominance -- i.e., it's probably a sanction.</t>
  </si>
  <si>
    <t>商务部 海关总署 中央军委装备发展部公告2024年第21号 关于对有关物项实施出口管制的公告
【发布单位】安全与管制局
【发布文号】商务部 海关总署 中央军委装备发展部公告2024年第21号
【发文日期】2024年05月30日
根据《中华人民共和国出口管制法》《中华人民共和国对外贸易法》《中华人民共和国海关法》有关规定，为维护国家安全和利益、履行防扩散等国际义务，经国务院、中央军委批准，决定对下列物项实施出口管制。有关事项公告如下：
一、满足以下特性的物项，未经许可，不得出口：
（一）航空航天结构件及发动机制造相关装备及软件、技术。
1.为制造下列任一物项而专门设计用于钛、铝及其合金超塑成形/扩散连接的工具、模具、夹具等工艺装备（参考海关商品编号：8203200010、8204110010、8204120010、8205400010、8205900010、8206000010、8480419010、7326901910）：
（1）航空器结构件或航天器结构件；
（2）航空发动机或航天发动机；
（3）为航空器结构件或航天器结构件专门设计的部件；
（4）为航空发动机或航天发动机专门设计的部件。
2.用于研发、生产或使用上述1所列物项而专门设计或改进的软件。
3.用于研发、生产或使用上述1所列物项的技术及其载体，包括设计图纸、工艺规范、工艺参数、加工程序、仿真数据等。
技术说明：
超塑成形，是指利用超塑性金属材料在特定温度和应变速率条件下表现出的超高延伸率及不易断裂的超塑性，在模具型腔内将超塑性金属板料作为被成形坯料实现成形加工，以获得各种所需形状零件的成形工艺。
扩散连接，是指相互接触的两个材料表面，在温度和压力的作用下相互靠近，局部发生塑性变形，原子间产生相互扩散，在界面接触处形成扩散层，从而实现可靠连接的成形工艺。
（二）燃气涡轮发动机/燃气轮机制造相关装备及软件、技术。
1.用于制造燃气涡轮发动机/燃气轮机叶片、导向器等涡轮构型部件所需高温合金的定向晶或单晶铸造设备（参考海关商品编号：8454301010、8454309010）。
2.专门设计用于制造燃气涡轮发动机/燃气轮机叶片、导向器、机匣等涡轮构型部件的精密铸造中间产品（包括陶瓷型芯、蜡模模组、型壳），以及专门设计用于制造上述中间产品的工具、模具、夹具等工艺装备（参考海关商品编号：6903100010、6903200010、6903900010、6909110010、6909120010、6909190010、8480490010、8205900020、8428909030、8480600010、7326901920、7616991020、9031809081）。
3.专门设计用于燃气涡轮发动机/燃气轮机的高温合金、钛合金或金属间化合物等材料的盘片固态连接所需的工具、模具、夹具等工艺装备（参考海关商品编号：8205900030、6804219010、6804229010、8207201010、8207209010、8207300030、8480419020、8466200010、7326901930、9031809082）。
4.用于研发、生产或使用上述1、2、3所列物项而专门设计或改进的软件。
5.用于研发、生产或使用上述1、2、3所列物项的技术及其载体，包括设计图纸、工艺规范、工艺参数、加工程序、仿真数据等。
技术说明：
高温合金，是指含难熔金属的镍基合金、钴基合金或铁基合金，可在600摄氏度（℃）及以上的氧化和热腐蚀条件下承受复杂应力，仍具有良好的综合性能，并能长期可靠工作的金属材料，又被称为“超合金”。
（三）航天服面窗相关装备及软件、技术。
1.专门设计用于制造航天服面窗的模具（参考海关商品编号：8480719020）。
2.用于研发、生产或使用上述1所列物项而专门设计或改进的软件。
3.用于研发、生产或使用上述1所列物项的技术及其载体，包括设计图纸、工艺规范、工艺参数、加工程序、仿真数据等。
（四）超高分子量聚乙烯纤维相关物项。
1.断裂强度≥40cN/dtex、初始模量≥1600cN/dtex且未加捻的超高分子量聚乙烯纤维（参考海关商品编号：5402491010、5501900010、5503909010）。
2.由超高分子量聚乙烯纤维制成的软质无纬布叠层（不经加压）在面密度≤5.3kg/m2的情况下，防1.1g标准模拟破片（17格令模拟破片FSP）V50≥700m/s（按照GJB4300A-2012附录B《弹道极限V50试验方法》测试）（参考海关商品编号：5806409010）。
3.生产上述1、2所列物项的技术及其载体，包括设计图纸、工艺规范、工艺参数、加工程序、仿真数据等。
二、出口经营者应按照相关规定办理出口许可手续，通过省级商务主管部门向商务部提出申请，填写两用物项和技术出口申请表并提交下列文件：
（一）出口合同、协议的原件或者与原件一致的复印件、扫描件；
（二）拟出口物项的技术说明或者检测报告；
（三）最终用户和最终用途证明；
（四）进口商和最终用户情况介绍；
（五）申请人的法定代表人、主要经营管理人以及经办人的身份证明。
三、商务部应当自收到出口申请文件之日起进行审查，或者会同有关部门进行审查，并在法定时限内作出准予或者不予许可的决定。
对国家安全有重大影响的本公告所列物项的出口，商务部会同有关部门报国务院批准。
四、经审查准予许可的，由商务部颁发两用物项和技术出口许可证件（以下简称出口许可证件）。
五、出口许可证件申领和签发程序、特殊情况处理、文件资料保存年限等，依照商务部、海关总署令2005年第29号（《两用物项和技术进出口许可证管理办法》）的相关规定执行。
六、出口经营者应当向海关出具出口许可证件，依照《中华人民共和国海关法》的规定办理海关手续，并接受海关监管。海关凭商务部签发的出口许可证件办理验放手续。
七、出口经营者未经许可出口、超出许可范围出口或有其他违法情形的，由商务部或者海关等部门依照有关法律法规的规定给予行政处罚。构成犯罪的，依法追究刑事责任。
八、由超高分子量聚乙烯纤维制成的防弹头盔、防弹衣、防弹插板、防弹板（防弹装甲板、复合防弹板）等防护装备，以及用于制作防护装备的超高分子量聚乙烯纤维无纬布靶板的出口，按照《中华人民共和国军品出口管理条例》有关规定执行。
九、本公告自2024年7月1日起正式实施。
商务部 海关总署 中央军委装备发展部     
2024年5月30日              </t>
  </si>
  <si>
    <t xml:space="preserve">Starting from June 15, 2024, the application of the agreed tariff rates of the Cross-Strait Economic Cooperation Framework Agreement will be terminated for imported products of 134 tariff items, including lubricant base oils, listed in the appendix originating in Taiwan, and the current relevant regulations will be followed. </t>
  </si>
  <si>
    <t>Chemicals; Raw Materials</t>
  </si>
  <si>
    <t>In response to Lai's inauguration speech in May 2024.</t>
  </si>
  <si>
    <t>国务院关税税则委员会关于中止《海峡两岸经济合作框架协议》
部分产品（第二批）关税减让的公告
发布日期：2024年05月31日 
税委会公告2024年第4号
　　台湾地区单方面对大陆产品出口采取歧视性的禁止、限制等措施，违反了《海峡两岸经济合作框架协议》规定。2023年12月21日，国务院关税税则委员会发布税委会公告2023年第9号，中止《海峡两岸经济合作框架协议》部分产品关税减让，但台湾地区仍未采取任何有效措施取消对大陆的贸易限制。 
　　根据《海峡两岸经济合作框架协议》，国务院关税税则委员会按规定和程序决定进一步中止《海峡两岸经济合作框架协议》部分产品关税减让。现将有关事项公告如下： 
　　自2024年6月15日起，对原产于台湾地区的附件所列润滑油基础油等134个税目进口产品，中止适用《海峡两岸经济合作框架协议》协定税率，按现行有关规定执行。 
　　附件：中止《海峡两岸经济合作框架协议》关税减让产品（第二批）清单
　　国务院关税税则委员会
　　2024年5月30日</t>
  </si>
  <si>
    <t>China has decided to take countermeasures against relevant entities and senior executives of Lockheed Martin:
1. Freeze the movable, immovable and other properties within the territory of my country of Lockheed Martin Missile System Integration Laboratory, Lockheed Martin Advanced Technology Laboratory, Lockheed Martin Venture Capital and other entities listed in the attached Countermeasure List.
2. For Lockheed Martin Chairman, President, and CEO James Taikrit, Chief Operating Officer Frank St. John, Chief Financial Officer Jesse Malef and other senior executives listed in the attached Countermeasure List, their movable, immovable and other types of property within the territory of my country will be frozen; organizations and individuals within the territory of my country will be prohibited from conducting related transactions, cooperation and other activities with them; visas will not be issued to them, and they will not be allowed to enter (including Hong Kong and Macao).</t>
  </si>
  <si>
    <t>James Donald Taiclet; Frank Andrew St. John; Jesus Malave</t>
  </si>
  <si>
    <t>Lockheed Martin Missile System Integration Lab; Lockheed Martin Advanced Technology Laboratories; Lockheed Martin Ventures</t>
  </si>
  <si>
    <t>关于对洛克希德·马丁公司实体和高级管理人员采取反制措施的决定
2024-06-21 17:00
【中大小】 打印 
（2024年6月21日中华人民共和国外交部令第8号公布，自2024年6月21日起施行）
美国近日再次宣布向中国台湾地区出售武器，严重违反一个中国原则和中美三个联合公报，严重干涉中国内政，严重损害中国主权和领土完整。依据《中华人民共和国反外国制裁法》第三条、第四条、第五条、第六条、第九条、第十五条规定，中方决定对洛克希德·马丁公司相关实体和高级管理人员采取反制措施：
一、对洛克希德·马丁导弹系统集成实验室、洛克希德·马丁先进技术实验室、洛克希德·马丁风险投资公司等后附《反制清单》列明的实体，冻结在我国境内的动产、不动产和其他各类财产。
二、对洛克希德·马丁公司董事长、总裁、首席执行官詹姆斯·泰克里特、首席运营官弗兰克·圣约翰、首席财务官杰西·马莱夫等后附《反制清单》列明的企业高级管理人员，冻结在我国境内的动产、不动产和其他各类财产；禁止我国境内的组织、个人与其本人进行有关交易、合作等活动；不予签发签证、不准入境（包括香港、澳门）。
本决定自2024年6月21日起施行。
附件：反制清单
外交部    
2024年6月21日
附件
反制清单
一、实体
（一）洛克希德·马丁导弹系统集成实验室（Lockheed Martin Missile System Integration Lab)
（二）洛克希德·马丁先进技术实验室（Lockheed Martin Advanced Technology Laboratories)
（三）洛克希德·马丁风险投资公司（Lockheed Martin Ventures)
二、高级管理人员
（一）詹姆斯·泰克里特（James Donald Taiclet），男，洛克希德·马丁公司董事长、总裁、首席执行官
（二）弗兰克·圣约翰（Frank Andrew St. John），男，洛克希德·马丁公司首席运营官
（三）杰西·马莱夫（Jesus Malave），男，洛克希德·马丁公司首席财务官</t>
  </si>
  <si>
    <r>
      <rPr>
        <u/>
        <sz val="14"/>
        <color theme="1"/>
        <rFont val="Calibri (Body)"/>
      </rPr>
      <t>For the six companies</t>
    </r>
    <r>
      <rPr>
        <sz val="14"/>
        <color theme="1"/>
        <rFont val="Calibri (Body)"/>
      </rPr>
      <t xml:space="preserve"> ...
Their movable and immovable properties, and other kinds of </t>
    </r>
    <r>
      <rPr>
        <b/>
        <sz val="14"/>
        <color theme="1"/>
        <rFont val="Calibri (Body)"/>
      </rPr>
      <t>assets within China shall be frozen</t>
    </r>
    <r>
      <rPr>
        <sz val="14"/>
        <color theme="1"/>
        <rFont val="Calibri (Body)"/>
      </rPr>
      <t xml:space="preserve">.
</t>
    </r>
    <r>
      <rPr>
        <u/>
        <sz val="14"/>
        <color theme="1"/>
        <rFont val="Calibri (Body)"/>
      </rPr>
      <t>For the five senior executives</t>
    </r>
    <r>
      <rPr>
        <sz val="14"/>
        <color theme="1"/>
        <rFont val="Calibri (Body)"/>
      </rPr>
      <t xml:space="preserve"> ...
Their movable and immovable properties, and other kinds of </t>
    </r>
    <r>
      <rPr>
        <b/>
        <sz val="14"/>
        <color theme="1"/>
        <rFont val="Calibri (Body)"/>
      </rPr>
      <t>assets within China shall be frozen</t>
    </r>
    <r>
      <rPr>
        <sz val="14"/>
        <color theme="1"/>
        <rFont val="Calibri (Body)"/>
      </rPr>
      <t xml:space="preserve">; All organizations and individuals within China shall be </t>
    </r>
    <r>
      <rPr>
        <b/>
        <sz val="14"/>
        <color theme="1"/>
        <rFont val="Calibri (Body)"/>
      </rPr>
      <t>prohibited from engaging in transaction</t>
    </r>
    <r>
      <rPr>
        <sz val="14"/>
        <color theme="1"/>
        <rFont val="Calibri (Body)"/>
      </rPr>
      <t xml:space="preserve">, cooperation and other activities with them; They shall be </t>
    </r>
    <r>
      <rPr>
        <b/>
        <sz val="14"/>
        <color theme="1"/>
        <rFont val="Calibri (Body)"/>
      </rPr>
      <t>denied visas</t>
    </r>
    <r>
      <rPr>
        <sz val="14"/>
        <color theme="1"/>
        <rFont val="Calibri (Body)"/>
      </rPr>
      <t xml:space="preserve"> or entry into China (including Hong Kong and Macao).</t>
    </r>
  </si>
  <si>
    <t>Wahid Nawabi; Kevin McDonnell; Brian William Schimpf; Matthew Marley Grimm; Gregory Michael Kausner</t>
  </si>
  <si>
    <t>Anduril Industries; Maritime Tactical Systems; Pacific Rim Defense; AEVEX Aerospace; LKD Aerospace; Summit Technologies Inc.</t>
  </si>
  <si>
    <t>Aerospace, maritime systems, defense systems</t>
  </si>
  <si>
    <t>Very similar to other sanctions decisions on US defence industry.</t>
  </si>
  <si>
    <t>关于对美国军工企业及高级管理人员采取反制措施的决定
2024-07-12 18:10
【中大小】 打印 
（2024年7月12日中华人民共和国外交部令第10号公布，自2024年7月12日起施行）
美国近日再次宣布向中国台湾地区出售武器，严重违反一个中国原则和中美三个联合公报，严重干涉中国内政，严重损害中国主权和领土完整。依据《中华人民共和国反外国制裁法》第三条、第四条、第五条、第六条、第九条、第十五条规定，中方决定对以下美国军工企业及高级管理人员采取反制措施：
一、对安杜里尔公司、海上战术系统公司、环太平洋防务公司、AEVEX航天公司、LKD航天公司、顶峰科技公司等6家后附《反制清单》列明的企业，冻结在我国境内的动产、不动产和其他各类财产。
二、对宇航环境公司董事长、总裁、首席执行官瓦希德·纳瓦比、宇航环境公司高级副总裁、首席财务官凯文·麦克唐奈、安杜里尔公司首席执行官布赖恩·申普夫、安杜里尔公司首席运营官马修·格里姆、安杜里尔公司负责全球防务的高级副总裁格雷戈里·考斯纳等5名后附《反制清单》列明的企业高级管理人员，冻结在我国境内的动产、不动产和其他各类财产；禁止我国境内的组织、个人与其本人进行有关交易、合作等活动；对其本人不予签发签证、不准入境（包括香港、澳门）。
　　本决定自2024年7月12日起施行。
　　附件：反制清单
外交部　　
2024年7月12日
　　附件
反制清单
　　一、企业
　　（一）安杜里尔公司（Anduril Industries）
　　（二）海上战术系统公司（Maritime Tactical Systems）
　　（三）环太平洋防务公司（Pacific Rim Defense）
　　（四）AEVEX航天公司（AEVEX Aerospace）
　　（五）LKD航天公司（LKD Aerospace）
　　（六）顶峰科技公司（Summit Technologies Inc.）
　　二、高级管理人员
　　（一）瓦希德·纳瓦比（Wahid Nawabi），男，宇航环境公司董事长、总裁、首席执行官
　　（二）凯文·麦克唐奈（Kevin McDonnell），男，宇航环境公司高级副总裁、首席财务官
　　（三）布赖恩·申普夫（Brian William Schimpf），男，安杜里尔公司首席执行官
　　（四）马修·格里姆（Matthew Marley Grimm），男，安杜里尔公司首席运营官
　　（五）格雷戈里·考斯纳（Gregory Michael Kausner），男，安杜里尔公司负责全球防务的高级副总裁</t>
  </si>
  <si>
    <t>Decision on Taking Countermeasures Against U.S. Military Companies and Senior Executives
Updated: July 12, 2024 18:10
(Issued on July 12, 2024 as Decree of the Ministry of Foreign Affairs of the People’s Republic of China No.10, effective as of July 12, 2024)
Recently, the U.S. announced another arms sale to China’s Taiwan region. This seriously violates the one-China principle and the three China-U.S. Joint Communiqués, interferes in China’s internal affairs, and undermines China’s sovereignty and territorial integrity. Pursuant to Articles 3, 4, 5, 6, 9 and 15 of the Law of the People’s Republic of China on Countering Foreign Sanctions, China hereby decides to take countermeasures against the following U.S. military companies and senior executives:
For the six companies as listed in the attached List of Targets of Countermeasures, i.e., Anduril Industries, Maritime Tactical Systems, Pacific Rim Defense, AEVEX Aerospace, LKD Aerospace, and Summit Technologies Inc.:
Their movable and immovable properties, and other kinds of assets within China shall be frozen.
For the five senior executives as listed in the attached List of Targets of Countermeasures, i.e., Wahid Nawabi, Chairman, President and Chief Executive Officer, AeroVironment; Kevin McDonnell, Senior Vice President and Chief Financial Officer, AeroVironment; Brian William Schimpf, Chief Executive Officer, Anduril Industries; Matthew Marley Grimm, Chief Operating Officer, Anduril Industries; and Gregory Michael Kausner, Senior Vice President of Global Defense, Anduril Industries:
Their movable and immovable properties, and other kinds of assets within China shall be frozen.
All organizations and individuals within China shall be prohibited from engaging in transaction, cooperation and other activities with them.
They shall be denied visas or entry into China (including Hong Kong and Macao).
This decision shall come into force as of July 12, 2024.
Appendix: List of Targets of Countermeasures
Ministry of Foreign Affairs
July 12, 2024
Appendix
List of Targets of Countermeasures
I. Companies
1. Anduril Industries
2. Maritime Tactical Systems
3. Pacific Rim Defense
4. AEVEX Aerospace
5. LKD Aerospace
6. Summit Technologies Inc.
II. Senior Executives
1. Wahid Nawabi, male, Chairman, President and Chief Executive Officer, AeroVironment
2. Kevin McDonnell, male, Senior Vice President and Chief Financial Officer, AeroVironment
3. Brian William Schimpf, male, Chief Executive Officer, Anduril Industries
4. Matthew Marley Grimm, male, Chief Operating Officer, Anduril Industries
5. Gregory Michael Kausner, male, Senior Vice President of Global Defense, Anduril Industries</t>
  </si>
  <si>
    <t>China has decided to take the following countermeasures against McGovern:
1. Freeze movable property, immovable property and other types of property within the territory of my country;
2. Prohibit organizations and individuals within the territory of my country from engaging in transactions, cooperation and other activities with the individual;
3. The person, his/her spouse, and children will not be issued a visa and will not be allowed to enter the country.</t>
  </si>
  <si>
    <t>Jim McGovern</t>
  </si>
  <si>
    <t>关于对美国国会议员麦戈文采取反制措施的决定
2024-07-31 18:21
【中大小】 打印 
（2024年7月31日中华人民共和国外交部令第11号公布，自2024年7月31日起施行）
美国马萨诸塞州民主党联邦众议员吉姆·麦戈文近年来频繁采取干涉中国内政、损害中国主权安全发展利益的言行。依据《中华人民共和国反外国制裁法》第三条、第四条、第五条、第六条、第九条、第十五条规定，中方决定对麦戈文采取以下反制措施：
一、冻结在我国境内的动产、不动产和其他各类财产；
二、禁止我国境内的组织、个人与其本人进行有关交易、合作等活动；
三、对其本人及其配偶、子女不予签发签证、不准入境。
本决定自2024年7月31日起施行。
附件：反制清单
外交部  
2024年7月31日
附件
反制清单
美国马萨诸塞州民主党联邦众议员吉姆·麦戈文（Jim McGovern）</t>
  </si>
  <si>
    <t>it is decided to adjust the export control measures for certain unmanned aerial vehicles and related items</t>
  </si>
  <si>
    <t>Consolidates and tightens frameworks No. 27 and 28 (2023-07-31) and makes them permanent. 
Seems designed to accomodate western accusations of Chinese drones used by Russia in Ukraine.
Included on account of being a sanction against Russia.</t>
  </si>
  <si>
    <t>商务部 海关总署 中央军委装备发展部公告2024年第31号 关于优化调整无人机出口管制措施的公告
【发布单位】安全与管制局
【发布文号】商务部公告2024年第31号
【发文日期】2024年07月31日
       根据《中华人民共和国出口管制法》《中华人民共和国对外贸易法》《中华人民共和国海关法》有关规定，为维护国家安全和利益，经国务院、中央军委批准，决定调整特定无人驾驶航空飞行器及其相关物项的出口管制措施。有关事项公告如下：
一、满足以下特性的物项，未经许可，不得出口：
（一）最大持续功率超过16千瓦（kW）的专门用于特定无人驾驶航空飞行器或无人驾驶飞艇的航空发动机（参考海关商品编号：8501200010、8501320010、8501330010、8501340010、8501400010、8501520010、8501530010、8407101010、8407102010、8408909230、8408909320、8411111010、8411119010、8411121010、8411129020、8411210010、8411221010、8411222010、8411223010、8411810002）。
（二）满足一定技术指标的专门用于特定无人驾驶航空飞行器或无人驾驶飞艇的载荷，包括红外成像设备、合成孔径雷达、用于目标指示的激光器和惯性测量设备。
1.具有以下所有特性的红外成像设备（参考海关商品编号：8525891110、8525892110、8525893110）：
（1）波长范围在780纳米（nm）至30000纳米（nm）之间；
（2）瞬时视场角（IFOV）小于2.5毫弧度（mrad）。
2.作用距离大于5千米（km），且具有以下任一特性的合成孔径雷达（SAR）（参考海关商品编号：8526109011）：
（1）条带模式分辨率优于0.3米（m）；
（2）聚束模式分辨率优于0.1米（m）。
3.可在高于55摄氏度（℃）环境中稳定工作，且具有以下所有特性的用于目标指示的激光器（参考海关商品编号：9013200093）：
（1）免温控型；
（2）能量大于80毫焦（mJ）；
（3）稳定度优于15%；
（4）光束发散角小于0.3毫弧度（mrad）。
4.具有以下所有特性的惯性测量设备（参考海关商品编号：9014209014）：
（1）航向精度小于2度（°）；
（2）姿态精度小于0.5度（°）；
（3）分辨率小于0.1度（°）。
（三）专门用于特定无人驾驶航空飞行器或无人驾驶飞艇，且具有下述任一特性的无线电通信设备（参考海关商品编号：8517629910、8517691002、8526920010）：
1.无线电视距传输距离大于50千米（km）；
2.一站控多机能力大于10架。
（四）民用反无人机系统：
1.干扰范围大于5千米（km）的反无人机电子干扰设备（参考海关商品编号：8543709960）；
2.专门用于反无人机系统的输出功率大于1.5千瓦（kW）的高功率激光器（参考海关商品编号：9013200093）。
技术说明：“特定无人驾驶航空飞行器或无人驾驶飞艇”是指满足商务部、海关总署公告2015年第31号（《关于加强部分两用物项出口管制的公告》）中1.1款所列条件的无人驾驶航空飞行器或无人驾驶飞艇。
二、对于未列入出口管制清单或者未实施临时管制的所有无人驾驶航空飞行器，出口经营者明知或者应当知道出口将用于大规模杀伤性武器扩散、恐怖主义活动或者军事目的的，不得出口。违反规定的，按照《中华人民共和国出口管制法》第三十四条处罚。
三、出口经营者应按照相关规定办理出口许可手续，通过省级商务主管部门向商务部提出申请，填写两用物项和技术出口申请表并提交下列文件：
（一）出口合同、协议的原件或者与原件一致的复印件、扫描件；
（二）拟出口物项的技术说明或者检测报告；
（三）最终用户和最终用途证明；
（四）进口商和最终用户情况介绍；
（五）申请人的法定代表人、主要经营管理人以及经办人的身份证明。
四、商务部应当自收到出口申请文件之日起进行审查，或者会同有关部门进行审查，并在法定时限内作出准予或者不予许可的决定。
对国家安全有重大影响的本公告所列物项的出口，商务部会同有关部门报国务院批准。
五、经审查准予许可的，由商务部颁发两用物项和技术出口许可证件（以下简称出口许可证件）。
六、出口许可证件申领和签发程序、特殊情况处理、文件资料保存年限等，依照商务部、海关总署令2005年第29号（《两用物项和技术进出口许可证管理办法》）的相关规定执行。
七、出口经营者应当向海关出具出口许可证件，依照《中华人民共和国海关法》的规定办理海关手续，并接受海关监管。海关凭商务部签发的出口许可证件办理验放手续。
八、出口经营者未经许可出口、超出许可范围出口或有其他违法情形的，由商务部或者海关等部门依照有关法律法规的规定给予行政处罚。构成犯罪的，依法追究刑事责任。
九、本公告自2024年9月1日起正式实施。商务部 海关总署 国家国防科工局 中央军委装备发展部公告2023年第27号和第28号同时废止。
                                                                                              商务部 海关总署 中央军委装备发展部
                                                                                     2024年7月31日</t>
  </si>
  <si>
    <t>Press Release (Xinhua)</t>
  </si>
  <si>
    <t>Introduces export license requirements for antimony-related items.
Antimony is a critical input for the defense industry … China is the world’s leading producer of antimony, accounting for 48 percent of global production and 63 percent of U.S. antimony imports. (CSIS)</t>
  </si>
  <si>
    <t>商务部 海关总署公告2024年第33号 关于对锑等物项实施出口管制的公告
【发布单位】安全与管制局
【发布文号】商务部 海关总署公告2024年第33号
【发文日期】2024年08月15日
根据《中华人民共和国出口管制法》《中华人民共和国对外贸易法》《中华人民共和国海关法》有关规定，为维护国家安全和利益、履行防扩散等国际义务，经国务院批准，决定对下列物项实施出口管制。现将有关事项公告如下：
一、满足以下特性的物项，未经许可，不得出口：
（一）锑相关物项。
1.锑矿及原料，包括但不限于块、颗粒、粉末、结晶体等形态。（参考海关商品编号：2617101000、2617109001、2617109090、2830902000）
2.金属锑及制品，包括但不限于锭、块、珠、颗粒、粉末等形态。（参考海关商品编号：8110101000、8110102000、8110200000、8110900000）
3.锑的氧化物，纯度大于等于99.99%，包括但不限于粉末形态。（参考海关商品编号：2825800010）
4.三甲基锑、三乙基锑及其他有机锑化合物，纯度（无机元素基准）大于99.999%。（参考海关商品编号：2931900032）
5.锑的氢化物，纯度大于99.999%（含在惰性气体或氢气中稀释的锑的氢化物）。（参考海关商品编号：2850009020）
6.锑化铟，具有以下所有特性：位错密度小于50个/平方厘米的单晶，以及纯度大于99.99999%的多晶，包括但不限于锭（棒）、块、片、靶材、颗粒、粉末、碎料等形态。（参考海关商品编号：2853909031）
7.金锑冶炼分离技术。
（二）超硬材料相关物项。
1.六面顶压机设备，具有以下所有特性：专门设计或制造的X/Y/Z三轴六面同步加压的大型液压机，缸径尺寸大于等于500毫米或设计使用压力大于等于5千兆帕。（参考海关商品编号：8479899956）
2.六面顶压机专用关键零部件，包括铰链梁、顶锤、合成压力大于5千兆帕的高压控制系统。（参考海关商品编号：8479909020、9032899094）
3.微波等离子体化学气相沉积法（MPCVD）设备，具有以下所有特性：专门设计或制造的MPCVD设备，微波功率在10千瓦以上，且微波频率为915兆赫或2450兆赫。（参考海关商品编号：8479899957）
4.金刚石窗口材料，包括曲面金刚石窗口材料，或具有以下全部特征的平面金刚石窗口材料：（1）直径3英寸及以上的单晶或多晶；（2）可见光透过率65%及以上。（参考海关商品编号：7104911010）
5.用六面顶压机合成人造金刚石单晶或立方氮化硼单晶工艺技术。
6.用于制造已列管的六面顶压机设备的技术。
二、出口经营者应按照相关规定办理出口许可手续，通过省级商务主管部门向商务部提出申请，填写两用物项和技术出口申请表并提交下列文件：
（一）出口合同、协议的原件或者与原件一致的复印件、扫描件；
（二）拟出口物项的技术说明或者检测报告；
（三）最终用户和最终用途证明；
（四）进口商和最终用户情况介绍；
（五）申请人的法定代表人、主要经营管理人以及经办人的身份证明。
三、商务部应当自收到出口申请文件之日起进行审查，或者会同有关部门进行审查，并在法定时限内作出准予或者不予许可的决定。
对国家安全有重大影响的本公告所列物项的出口，由商务部会同有关部门报国务院批准。
四、经审查准予许可的，由商务部颁发两用物项和技术出口许可证件（以下简称出口许可证件）。
五、出口许可证件申领和签发程序、特殊情况处理、文件资料保存年限等，依照商务部、海关总署令2005年第29号（《两用物项和技术进出口许可证管理办法》）的相关规定执行。
六、出口经营者应当向海关出具出口许可证件，依照《中华人民共和国海关法》的规定办理海关手续，并接受海关监管。海关凭商务部签发的出口许可证件办理验放手续。
七、出口经营者未经许可出口、超出许可范围出口或有其他违法情形的，由商务部或者海关等部门依照有关法律法规的规定给予行政处罚。构成犯罪的，依法追究刑事责任。
八、本公告自2024年9月15日起正式实施。
                                                             商务部 海关总署
                                                              2024年8月15日</t>
  </si>
  <si>
    <t>Analysis (CSIS)</t>
  </si>
  <si>
    <r>
      <rPr>
        <sz val="14"/>
        <color theme="1"/>
        <rFont val="Calibri"/>
        <family val="2"/>
      </rPr>
      <t xml:space="preserve">China has decided to take the following countermeasures against 9 companies ... 1. </t>
    </r>
    <r>
      <rPr>
        <b/>
        <sz val="14"/>
        <color theme="1"/>
        <rFont val="Calibri (Body)"/>
      </rPr>
      <t>Freeze movable property</t>
    </r>
    <r>
      <rPr>
        <sz val="14"/>
        <color theme="1"/>
        <rFont val="Calibri (Body)"/>
      </rPr>
      <t xml:space="preserve">, immovable property and other types of property within the territory of my country; 2. Organizations and individuals within the territory of my country are </t>
    </r>
    <r>
      <rPr>
        <b/>
        <sz val="14"/>
        <color theme="1"/>
        <rFont val="Calibri (Body)"/>
      </rPr>
      <t>prohibited from engaging in transactions</t>
    </r>
    <r>
      <rPr>
        <sz val="14"/>
        <color theme="1"/>
        <rFont val="Calibri (Body)"/>
      </rPr>
      <t>, cooperation and other activities with them.</t>
    </r>
  </si>
  <si>
    <r>
      <rPr>
        <sz val="14"/>
        <color theme="1"/>
        <rFont val="Calibri"/>
        <family val="2"/>
      </rPr>
      <t>Anti-Foreign Sanctions Law (Articles 3, 4, 6, 9 and 15) [</t>
    </r>
    <r>
      <rPr>
        <u/>
        <sz val="14"/>
        <color theme="1"/>
        <rFont val="Calibri"/>
        <family val="2"/>
      </rPr>
      <t>Note: not art. 5</t>
    </r>
    <r>
      <rPr>
        <sz val="14"/>
        <color theme="1"/>
        <rFont val="Calibri"/>
        <family val="2"/>
      </rPr>
      <t>)</t>
    </r>
  </si>
  <si>
    <t>Sierra Nevada Corporation; Stick Rudder Enterprises LLC; Cubic Corporation; S3 AeroDefense; TCOM, Limited Partnership; TextOre; Planate Management Group; ACT1 Federal; Exovera</t>
  </si>
  <si>
    <t>Aerospace, defense transport and communications, maintenance, aerial surveillance, management</t>
  </si>
  <si>
    <r>
      <rPr>
        <b/>
        <sz val="14"/>
        <color theme="1"/>
        <rFont val="Calibri (Body)"/>
      </rPr>
      <t>Does not reference article 5</t>
    </r>
    <r>
      <rPr>
        <sz val="14"/>
        <color theme="1"/>
        <rFont val="Calibri (Body)"/>
      </rPr>
      <t xml:space="preserve"> of the Anti-Foreign Sanctions Law as other sanctions on US defence industry.
Very similar to other sanctions decisions on US defence industry.</t>
    </r>
  </si>
  <si>
    <t>关于对美国军工企业采取反制措施的决定
2024-09-18 14:43
【中大小】 打印 
（2024年9月18日中华人民共和国外交部令第12号公布，自2024年9月18日起施行）
美国近日再次宣布向中国台湾地区出售武器，严重违反一个中国原则和中美三个联合公报，严重干涉中国内政，严重损害中国主权和领土完整。依据《中华人民共和国反外国制裁法》第三条、第四条、第六条、第九条、第十五条规定，中方决定对美国内华达山脉公司、摇杆舵公司、立方公司、S3航空防务公司、特科姆公司、文本矿公司、扁平地球管理公司、ACT1联邦公司、埃克索维拉公司等9家后附《反制清单》列明的企业采取以下反制措施：
一、冻结在我国境内的动产、不动产和其他各类财产；
二、禁止我国境内的组织、个人与其进行有关交易、合作等活动。
本决定自2024年9月18日起施行。
　　附件：反制清单
外交部　　
2024年9月18日
附件
反制清单
　　一、内华达山脉公司（Sierra Nevada Corporation）
　　二、摇杆舵公司（Stick Rudder Enterprises LLC）
　　三、立方公司（Cubic Corporation)
　　四、S3航空防务公司（S3 AeroDefense）
　　五、特科姆公司（TCOM, Limited Partnership）
　　六、文本矿公司（TextOre）
　　七、扁平地球管理公司（Planate Management Group）
　　八、ACT1联邦公司（ACT1 Federal）
　　九、埃克索维拉公司（Exovera）</t>
  </si>
  <si>
    <t>Decision on Taking Countermeasures Against U.S. Military Companies
Updated: September 23, 2024 15:33
(Issued on September 18, 2024 as Decree 
of the Ministry of Foreign Affairs of the People’s Republic of China
No.12, effective as of September 18, 2024)
Recently, the U.S. announced another arms sale to China’s Taiwan region. This seriously violates the one-China principle and the three China-U.S. Joint Communiqués, interferes in China’s internal affairs, and undermines China’s sovereignty and territorial integrity. Pursuant to Articles 3, 4, 6, 9 and 15 of the Law of the People’s Republic of China on Countering Foreign Sanctions, China hereby decides to take the following countermeasures against the nine U.S. companies as listed in the attached List of Targets of Countermeasures, i.e., Sierra Nevada Corporation, Stick Rudder Enterprises LLC, Cubic Corporation, S3 AeroDefense, TCOM, Limited Partnership, TextOre, Planate Management Group, ACT1 Federal and Exovera:
1. Their movable and immovable properties, and other kinds of assets within China shall be frozen.
2. All organizations and individuals within China shall be prohibited from engaging in transaction, cooperation and other activities with them.
This decision shall come into force as of September 18, 2024.
Appendix: List of Targets of Countermeasures
Ministry of Foreign Affairs
September 18, 2024
Appendix
List of Targets of Countermeasures
1. Sierra Nevada Corporation
2. Stick Rudder Enterprises LLC
3. Cubic Corporation
4. S3 AeroDefense
5. TCOM, Limited Partnership
6. TextOre
7.Planate Management Group
8.ACT1 Federal
9.Exovera</t>
  </si>
  <si>
    <r>
      <rPr>
        <sz val="14"/>
        <color theme="1"/>
        <rFont val="Calibri"/>
        <family val="2"/>
      </rPr>
      <t xml:space="preserve">In accordance with Articles 28 and 29 of the Anti-dumping Regulations, the investigating authority decides to implement </t>
    </r>
    <r>
      <rPr>
        <b/>
        <sz val="14"/>
        <color theme="1"/>
        <rFont val="Calibri"/>
        <family val="2"/>
      </rPr>
      <t>temporary anti-dumping measures in the form of a deposit or letter of guarantee.</t>
    </r>
    <r>
      <rPr>
        <sz val="14"/>
        <color theme="1"/>
        <rFont val="Calibri"/>
        <family val="2"/>
      </rPr>
      <t xml:space="preserve">
       From November 15, 2024, when importing the investigated products, import operators shall </t>
    </r>
    <r>
      <rPr>
        <b/>
        <sz val="14"/>
        <color theme="1"/>
        <rFont val="Calibri"/>
        <family val="2"/>
      </rPr>
      <t>provide the corresponding deposit or guarantee to the Customs</t>
    </r>
    <r>
      <rPr>
        <sz val="14"/>
        <color theme="1"/>
        <rFont val="Calibri"/>
        <family val="2"/>
      </rPr>
      <t xml:space="preserve"> of the People's Republic of China based on the deposit ratio of each company determined in this announcement.
 </t>
    </r>
    <r>
      <rPr>
        <b/>
        <sz val="14"/>
        <color theme="1"/>
        <rFont val="Calibri"/>
        <family val="2"/>
      </rPr>
      <t xml:space="preserve">    The deposit is levied on the basis of the dutiable price approved by the customs,</t>
    </r>
    <r>
      <rPr>
        <sz val="14"/>
        <color theme="1"/>
        <rFont val="Calibri"/>
        <family val="2"/>
      </rPr>
      <t xml:space="preserve"> and the calculation formula is: Deposit amount = (Dutiable price approved by the customs × Deposit collection rate) × (1 + Value-added tax rate at the import stage) ÷ (1 - Consumption tax rate at the import stage); the amount of the letter of guarantee should be equal to the deposit amount.</t>
    </r>
  </si>
  <si>
    <t>Anti-dumping Regulations (Articles 28 and 29)</t>
  </si>
  <si>
    <t>European Union (Europe); France (Europe)</t>
  </si>
  <si>
    <t>Brandy</t>
  </si>
  <si>
    <t>Investigation extended to April 2025
Announcement No. 42 (October 8, 2024): Introduced temporary anti-dumping measures in the form of a cash deposit.
Announcement No. 50 (November 11, 2024): Supplemented the initial measures by adding the option of a letter of guarantee as an alternative to a cash deposit and set a new effective date for implementation.
In short, Announcement No. 50 refines and expands the procedural options introduced in Announcement No. 42, providing more flexibility for importers while keeping the core anti-dumping measures intact.</t>
  </si>
  <si>
    <t>商务部公告2024年第42号 关于对原产于欧盟的进口相关白兰地实施临时反倾销措施的公告
【发布单位】贸易救济局
【发布文号】商务部公告2024年第42号
【发文日期】2024年10月08日
根据《中华人民共和国反倾销条例》（以下称《反倾销条例》）的规定和有关调查结果，2024年8月29日，商务部（以下称调查机关）发布2024年第35号公告，初步认定原产于欧盟的进口相关白兰地存在倾销，国内相关白兰地产业受到实质损害威胁，而且倾销与实质损害威胁之间存在因果关系。
　　一、征收保证金
根据《反倾销条例》第二十八条和第二十九条的规定，调查机关决定采用保证金形式实施临时反倾销措施。自2024年10月11日起，进口经营者在进口被调查产品时，应依据本公告所确定的各公司的保证金比率向中华人民共和国海关提供相应的保证金。
被调查产品的具体描述如下：
调查范围：原产于欧盟的进口装入200升以下容器的蒸馏葡萄酒制得的烈性酒。
被调查产品名称：装入200升以下容器的蒸馏葡萄酒制得的烈性酒（通常称白兰地）。
英文名称：Spirits obtained by distilling grape wine in containers holding less than 200 liters (usually called Brandy)。
产品描述：以葡萄、葡萄汁（浆）、葡萄皮渣、葡萄酒等为原料制得的烈性酒。
用途：主要作为饮料酒供人消费。
该产品归在《中华人民共和国进出口税则》：22082000。该税则号项下装入200升及以上容器的蒸馏葡萄酒制得的烈性酒不在本次调查范围之内。
对各公司征收的保证金比率在本公告附件中列明。
　　二、征收保证金的方法
自2024年10月11日起，进口经营者在进口原产于欧盟的相关白兰地时，应向中华人民共和国海关提供相应的保证金。保证金以海关审定的完税价格从价计征，计算公式为：保证金金额=（海关审定的完税价格×保证金征收比率）×（1+进口环节增值税税率）÷（1－进口环节消费税比例税率）。
附件：各公司保证金比率列表
商务部     
2024年10月8日</t>
  </si>
  <si>
    <t>Full Text Chinese (MOFCOM, Nov 11)</t>
  </si>
  <si>
    <t>Full Text Chinese (MOFCOM Oct 8)</t>
  </si>
  <si>
    <t>Extension of Investigation (MOFCOM)</t>
  </si>
  <si>
    <r>
      <rPr>
        <u/>
        <sz val="14"/>
        <color theme="1"/>
        <rFont val="Calibri (Body)"/>
      </rPr>
      <t>For the three companies</t>
    </r>
    <r>
      <rPr>
        <sz val="14"/>
        <color theme="1"/>
        <rFont val="Calibri (Body)"/>
      </rPr>
      <t xml:space="preserve"> … Their movable and immovable properties, and other kinds of </t>
    </r>
    <r>
      <rPr>
        <b/>
        <sz val="14"/>
        <color theme="1"/>
        <rFont val="Calibri (Body)"/>
      </rPr>
      <t>assets within China shall be frozen</t>
    </r>
    <r>
      <rPr>
        <sz val="14"/>
        <color theme="1"/>
        <rFont val="Calibri (Body)"/>
      </rPr>
      <t xml:space="preserve">; All organizations and individuals within China shall be </t>
    </r>
    <r>
      <rPr>
        <b/>
        <sz val="14"/>
        <color theme="1"/>
        <rFont val="Calibri (Body)"/>
      </rPr>
      <t>prohibited from engaging in transaction</t>
    </r>
    <r>
      <rPr>
        <sz val="14"/>
        <color theme="1"/>
        <rFont val="Calibri (Body)"/>
      </rPr>
      <t xml:space="preserve">, cooperation and other activities with them. 
</t>
    </r>
    <r>
      <rPr>
        <u/>
        <sz val="14"/>
        <color theme="1"/>
        <rFont val="Calibri (Body)"/>
      </rPr>
      <t>For the 10 senior executives</t>
    </r>
    <r>
      <rPr>
        <sz val="14"/>
        <color theme="1"/>
        <rFont val="Calibri (Body)"/>
      </rPr>
      <t xml:space="preserve"> ... Their movable and immovable properties, and other kinds of </t>
    </r>
    <r>
      <rPr>
        <b/>
        <sz val="14"/>
        <color theme="1"/>
        <rFont val="Calibri (Body)"/>
      </rPr>
      <t>assets within China shall be frozen</t>
    </r>
    <r>
      <rPr>
        <sz val="14"/>
        <color theme="1"/>
        <rFont val="Calibri (Body)"/>
      </rPr>
      <t xml:space="preserve">; All organizations and individuals within China shall be </t>
    </r>
    <r>
      <rPr>
        <b/>
        <sz val="14"/>
        <color theme="1"/>
        <rFont val="Calibri (Body)"/>
      </rPr>
      <t>prohibited from engaging in transaction</t>
    </r>
    <r>
      <rPr>
        <sz val="14"/>
        <color theme="1"/>
        <rFont val="Calibri (Body)"/>
      </rPr>
      <t xml:space="preserve">, cooperation and other activities with them; They shall be </t>
    </r>
    <r>
      <rPr>
        <b/>
        <sz val="14"/>
        <color theme="1"/>
        <rFont val="Calibri (Body)"/>
      </rPr>
      <t>denied visas</t>
    </r>
    <r>
      <rPr>
        <sz val="14"/>
        <color theme="1"/>
        <rFont val="Calibri (Body)"/>
      </rPr>
      <t xml:space="preserve"> or entry into China (including Hong Kong and Macao).</t>
    </r>
  </si>
  <si>
    <t>Steven Roger Rudder; James William Ickes II; David Keith Sutton; Yeong-Tae Pak; Patrick Edward Jankowski; John Purvis; Josh Brungardt; Christopher Douglas Kastner; Adam Bry; Tom Moss</t>
  </si>
  <si>
    <t>Edge Autonomy Operations LLC; Huntington Ingalls Industries Inc.; Skydio Inc.</t>
  </si>
  <si>
    <t>Ships, aerospace, defense systems</t>
  </si>
  <si>
    <t>Several media reports on impact on Skydio. 
Very similar to other sanctions decisions on US defence industry.</t>
  </si>
  <si>
    <t>关于对美国军工企业及高级管理人员采取反制措施的决定
2024-10-10 17:00
【中大小】 打印 
（2024年10月10日中华人民共和国外交部令第13号公布，自2024年10月10日起施行）
美国近日宣布向中国台湾地区提供大额武器援助，严重违反一个中国原则和中美三个联合公报，严重干涉中国内政，严重损害中国主权和领土完整。依据《中华人民共和国反外国制裁法》第三条、第四条、第五条、第六条、第九条、第十五条规定，中方决定对以下美国军工企业及高级管理人员采取反制措施：
一、对边缘自治运营公司、亨廷顿·英格尔斯工业公司、斯凯迪奥公司等3家后附《反制清单》列明的企业，冻结在我国境内的动产、不动产和其他各类财产；禁止我国境内的组织、个人与其进行有关交易、合作等活动。
二、对史蒂文·鲁德（摇杆舵公司创始人）、詹姆斯·伊克斯（内华达山脉公司副总裁）、大卫·萨顿（洛克希德·马丁公司亚洲区主任）、朴英泰（宇航环境公司副总裁）、帕特里克·扬科夫斯基（诺斯罗普·格鲁曼公司印太项目主任）、约翰·普维斯（边缘自治运营公司前首席执行官）、乔什·布伦加特（边缘自治运营公司首席运营官）、克里斯托弗·卡斯特纳（亨廷顿·英格尔斯工业公司总裁、首席执行官）、亚当·布赖（斯凯迪奥公司联合创始人、首席执行官）、汤姆·莫斯（斯凯迪奥公司亚太区总经理）等10名后附《反制清单》列明的企业高级管理人员，冻结在我国境内的动产、不动产和其他各类财产；禁止我国境内的组织、个人与其本人进行有关交易、合作等活动；对其本人不予签发签证、不准入境（包括香港、澳门）。
本决定自2024年10月10日起施行。
附件：反制清单
外交部    
2024年10月10日
附件
反制清单
一、企业
（一）边缘自治运营公司（Edge Autonomy Operations LLC）
（二）亨廷顿·英格尔斯工业公司（Huntington Ingalls Industries Inc.）
（三）斯凯迪奥公司（Skydio Inc.）
二、高级管理人员
（一）史蒂文·鲁德（Steven Roger Rudder），男，摇杆舵公司创始人
（二）詹姆斯·伊克斯（James William Ickes II），男，内华达山脉公司副总裁
（三）大卫·萨顿（David Keith Sutton），男，洛克希德·马丁公司亚洲区主任
（四）朴英泰（Yeong-Tae Pak），男，宇航环境公司副总裁
（五）帕特里克·扬科夫斯基（Patrick Edward Jankowski），男，诺斯罗普·格鲁曼公司印太项目主任
（六）约翰·普维斯（John Purvis），男，边缘自治运营公司前首席执行官
（七）乔什·布伦加特（Josh Brungardt），男，边缘自治运营公司首席运营官
（八）克里斯托弗·卡斯特纳（Christopher Douglas Kastner），男，亨廷顿·英格尔斯工业公司总裁、首席执行官
（九）亚当·布赖（Adam Bry），男，斯凯迪奥公司联合创始人、首席执行官
（十）汤姆·莫斯（Tom Moss），男，斯凯迪奥公司亚太区总经理</t>
  </si>
  <si>
    <t>Skydio Statement</t>
  </si>
  <si>
    <t>The China Association of Automobile Manufacturers, China Semiconductor Industry Association, China Internet Association, and China Communications Enterprise Association all stated that relevant U.S. chip products are no longer safe and reliable. In the future, the associations recommend that relevant companies purchase U.S. chips with caution.</t>
  </si>
  <si>
    <t xml:space="preserve">Reporting </t>
  </si>
  <si>
    <t>Export Control Law</t>
  </si>
  <si>
    <t>Gallium, germanium, antimony, superhard materials, graphite</t>
  </si>
  <si>
    <t>商务部公告2024年第46号 关于加强相关两用物项对美国出口管制的公告
【发布单位】安全与管制局
【发布文号】商务部公告2024年第46号
【发文日期】2024年12月03日
根据《中华人民共和国出口管制法》等法律法规有关规定，为维护国家安全和利益、履行防扩散等国际义务，决定加强相关两用物项对美国出口管制。现将有关事项公告如下：
一、禁止两用物项对美国军事用户或军事用途出口。
二、原则上不予许可镓、锗、锑、超硬材料相关两用物项对美国出口；对石墨两用物项对美国出口，实施更严格的最终用户和最终用途审查。
任何国家和地区的组织和个人，违反上述规定，将原产于中华人民共和国的相关两用物项转移或提供给美国的组织和个人，将依法追究法律责任。
本公告自公布之日起正式实施。
商务部       
2024年12月3日</t>
  </si>
  <si>
    <t>Ministry of Commerce Notice 2024 No. 46: Notice Concerning Strengthening Controls on Exports of Relevant Dual-Use Items to the United States
Notifying Unit:   Bureau of Industrial Security and Import and Export Controls of the Ministry of Commerce (MOFCOM)
Notice Document Number:   MOFCOM Notice 2024 No. 46
Publication Date:   December 3, 2024
In accordance with the provisions of the Export Control Law of the People’s Republic of China and other relevant laws and regulations, in order to safeguard the security and interests of the nation and to honor international obligations in areas such as nonproliferation, we have decided to strengthen controls on exports of relevant dual-use items to the United States. The notice on relevant matters is as follows:
The export of dual-use items to U.S. military users or for military uses is prohibited.
In principle, the export of the relevant dual-use items gallium, germanium, antimony, and superhard materials to the United States is not permitted; stricter end-user and end-use checks will be implemented on exports of dual-use graphite items to the United States.
Any organization or individual of any country or region that, in violation of the aforementioned provisions, transfers or provides relevant dual-use items originally produced in the People’s Republic of China to a U.S. organization or individual, shall be investigated in accordance with the law and shall be held legally responsible.
This notice is officially in force from the date on which it was promulgated.
Ministry of Commerce
December 3, 2024</t>
  </si>
  <si>
    <r>
      <rPr>
        <u/>
        <sz val="14"/>
        <color theme="1"/>
        <rFont val="Calibri (Body)"/>
      </rPr>
      <t>For the 13 companies</t>
    </r>
    <r>
      <rPr>
        <sz val="14"/>
        <color theme="1"/>
        <rFont val="Calibri (Body)"/>
      </rPr>
      <t xml:space="preserve"> … Their movable and immovable properties, and other kinds of </t>
    </r>
    <r>
      <rPr>
        <b/>
        <sz val="14"/>
        <color theme="1"/>
        <rFont val="Calibri (Body)"/>
      </rPr>
      <t>assets within China shall be frozen</t>
    </r>
    <r>
      <rPr>
        <sz val="14"/>
        <color theme="1"/>
        <rFont val="Calibri (Body)"/>
      </rPr>
      <t xml:space="preserve">.
All organizations and individuals within China shall be </t>
    </r>
    <r>
      <rPr>
        <b/>
        <sz val="14"/>
        <color theme="1"/>
        <rFont val="Calibri (Body)"/>
      </rPr>
      <t>prohibited from engaging in transaction</t>
    </r>
    <r>
      <rPr>
        <sz val="14"/>
        <color theme="1"/>
        <rFont val="Calibri (Body)"/>
      </rPr>
      <t xml:space="preserve">, cooperation and other activities with them.
</t>
    </r>
    <r>
      <rPr>
        <u/>
        <sz val="14"/>
        <color theme="1"/>
        <rFont val="Calibri (Body)"/>
      </rPr>
      <t>For the six senior executives</t>
    </r>
    <r>
      <rPr>
        <sz val="14"/>
        <color theme="1"/>
        <rFont val="Calibri (Body)"/>
      </rPr>
      <t xml:space="preserve"> ... Their movable and immovable properties, and other kinds of assets within China shall be </t>
    </r>
    <r>
      <rPr>
        <b/>
        <sz val="14"/>
        <color theme="1"/>
        <rFont val="Calibri (Body)"/>
      </rPr>
      <t>frozen</t>
    </r>
    <r>
      <rPr>
        <sz val="14"/>
        <color theme="1"/>
        <rFont val="Calibri (Body)"/>
      </rPr>
      <t xml:space="preserve">. 
All organizations and individuals within China shall be </t>
    </r>
    <r>
      <rPr>
        <b/>
        <sz val="14"/>
        <color theme="1"/>
        <rFont val="Calibri (Body)"/>
      </rPr>
      <t>prohibited from engaging in transaction</t>
    </r>
    <r>
      <rPr>
        <sz val="14"/>
        <color theme="1"/>
        <rFont val="Calibri (Body)"/>
      </rPr>
      <t xml:space="preserve">, cooperation and other activities with them. 
They shall be </t>
    </r>
    <r>
      <rPr>
        <b/>
        <sz val="14"/>
        <color theme="1"/>
        <rFont val="Calibri (Body)"/>
      </rPr>
      <t>denied visas</t>
    </r>
    <r>
      <rPr>
        <sz val="14"/>
        <color theme="1"/>
        <rFont val="Calibri (Body)"/>
      </rPr>
      <t xml:space="preserve"> or entry into China (including Hong Kong and Macao).</t>
    </r>
  </si>
  <si>
    <t>Barbara Borgonovi; Gerard Hueber; Charles Woodburn; Richard D. Crawford; Beth Edler; Blake Resnick</t>
  </si>
  <si>
    <t>Teledyne Brown Engineering, Inc.; BRINC Drones, Inc.; Rapid Flight LLC; Red Six Solutions; Shield AI, Inc.; SYNEXXUS, Inc.; Firestorm Labs, Inc.; Kratos Unmanned Aerial Systems, Inc.; HavocAI; Neros Technologies; Cyberlux Corporation; Domo Tactical Communications; Group W</t>
  </si>
  <si>
    <t>Aerospace, AI, drones, surveillance, naval</t>
  </si>
  <si>
    <t xml:space="preserve">
关于对美国军工企业及高级管理人员采取反制措施的决定
2024-12-05 15:00
【中大小】 打印 
（2024年12月5日中华人民共和国外交部令第14号公布，自2024年12月5日起施行）
美国近日再次宣布向中国台湾地区出售武器，严重违反一个中国原则和中美三个联合公报，严重干涉中国内政，严重损害中国主权和领土完整。依据《中华人民共和国反外国制裁法》第三条、第四条、第五条、第六条、第九条、第十五条规定，中方决定对以下美国军工企业及高级管理人员采取反制措施：
一、对特励达·布朗工程公司、BRINC无人机公司、急速飞行公司、红色六方案公司、护盾人工智能公司、赛尼克斯公司、火风暴实验室公司、奎托斯无人机系统公司、浩劫人工智能公司、尼罗斯科技公司、赛博勒克斯公司、多莫战术通信公司、Group W公司等13家后附《反制清单》列明的企业，冻结在我国境内的动产、不动产和其他各类财产；禁止我国境内的组织、个人与其进行有关交易、合作等活动。
二、对芭芭拉·博尔戈诺维（雷神公司海军力量战略业务部总裁）、杰拉德·许贝尔（雷神公司海军力量战略业务部副总裁）、查尔斯·伍德伯恩（贝宜陆上和武器系统公司首席执行官）、理查德·克劳福德（联合技术系统运营公司创始人、首席执行官）、贝丝·艾德勒（数据链路解决方案公司总裁）、布莱克·雷斯尼克（BRINC无人机公司创始人、首席执行官）等6名后附《反制清单》列明的企业高级管理人员，冻结在我国境内的动产、不动产和其他各类财产；禁止我国境内的组织、个人与其本人进行有关交易、合作等活动；对其本人不予签发签证、不准入境（包括香港、澳门）。
本决定自2024年12月5日起施行。
附件：反制清单
外交部    
2024年12月5日
附件
反制清单
　　一、企业
　　（一）特励达·布朗工程公司（Teledyne Brown Engineering, Inc.）
　　（二）BRINC无人机公司（BRINC Drones, Inc.）
　　（三）急速飞行公司（Rapid Flight LLC）
　　（四）红色六方案公司（Red Six Solutions）
　　（五）护盾人工智能公司（Shield AI, Inc.）
　　（六）赛尼克斯公司（SYNEXXUS, Inc.）
　　（七）火风暴实验室公司（Firestorm Labs, Inc.）
　　（八）奎托斯无人机系统公司（Kratos Unmanned Aerial Systems, Inc.）
　　（九）浩劫人工智能公司（HavocAI）
　　（十）尼罗斯科技公司（Neros Technologies）
　　（十一）赛博勒克斯公司（Cyberlux Corporation）
　　（十二）多莫战术通信公司（Domo Tactical Communications)
　　（十三）Group W公司（Group W）
　　二、高级管理人员
　　（一）芭芭拉·博尔戈诺维（Barbara Borgonovi），女，雷神公司海军力量战略业务部总裁
　　（二）杰拉德·许贝尔（Gerard Hueber），男，雷神公司海军力量战略业务部副总裁
　　（三）查尔斯·伍德伯恩（Charles Woodburn），男，贝宜陆上和武器系统公司首席执行官
　　（四）理查德·克劳福德（Richard D. Crawford），男，联合技术系统运营公司创始人、首席执行官
　　（五）贝丝·艾德勒（Beth Edler），女，数据链路解决方案公司总裁
　　（六）布莱克·雷斯尼克（Blake Resnick），男，BRINC无人机公司创始人、首席执行官</t>
  </si>
  <si>
    <t>Decision on Taking Countermeasures Against U.S. Military Companies and Senior Executives
Updated: December 05, 2024 19:45
(Issued on December 5, 2024 as Decree of the Ministry of Foreign Affairs ofthe People’s Republic of China No. 14, effective as of December 5, 2024)
Recently, the United States announced another arms sale to China’s Taiwan region. This seriously violates the one-China principle and the three China-U.S. Joint Communiqués, interferes in China’s internal affairs, and undermines China’s sovereignty and territorial integrity. Pursuant to Articles 3, 4, 5, 6, 9 and 15 of the Law of the People’s Republic of China on Countering Foreign Sanctions, China hereby decides to take countermeasures against the following U.S. military companies and senior executives:
For the 13 companies listed in the attached List of Targets of Countermeasures, i.e., Teledyne Brown Engineering, Inc., BRINC Drones, Inc., Rapid Flight LLC, Red Six Solutions, Shield AI, Inc., SYNEXXUS, Inc., Firestorm Labs, Inc., Kratos Unmanned Aerial Systems, Inc., HavocAI, Neros Technologies, Cyberlux Corporation, Domo Tactical Communications, and Group W:
Their movable and immovable properties, and other kinds of assets within China shall be frozen.
All organizations and individuals within China shall be prohibited from engaging in transaction, cooperation and other activities with them.
For the six senior executives as listed in the attached List of Targets of Countermeasures, i.e., Barbara Borgonovi, President of Naval Power strategic business unit of Raytheon, Gerard Hueber, Vice President of Naval Power strategic business unit of Raytheon, Charles Woodburn, Chief Executive Officer of BAE Systems Land and Armaments, Richard D. Crawford, Founder and Chief Executive Officer of Alliant Techsystems Operations, Beth Edler, President of Data Link Solutions, and Blake Resnick, Founder and Chief Executive Officer of BRINC Drones, Inc.:
Their movable and immovable properties, and other kinds of assets within China shall be frozen. 
All organizations and individuals within China shall be prohibited from engaging in transaction, cooperation and other activities with them. 
They shall be denied visas or entry into China (including Hong Kong and Macao).
This decision shall come into force as of December 5, 2024.
Appendix: List of Targets of Countermeasures
Ministry of Foreign Affairs
December 5, 2024
Appendix
List of Targets of Countermeasures
I. Companies
1.Teledyne Brown Engineering, Inc.
2.BRINC Drones, Inc.
3.Rapid Flight LLC
4.Red Six Solutions
5.Shield AI, Inc.
6.SYNEXXUS, Inc.
7.Firestorm Labs, Inc.
8.Kratos Unmanned Aerial Systems, Inc.
9.HavocAI
10.Neros Technologies
11.Cyberlux Corporation
12.Domo Tactical Communications
13.Group W
II. Senior Executives
1.Barbara Borgonovi, female, President of Naval Power strategic business unit of Raytheon
2.Gerard Hueber, male, Vice President of Naval Power strategic business unit of Raytheon
3.Charles Woodburn, male, Chief Executive Officer of BAE Systems Land and Armaments
4.Richard D. Crawford, male, Founder and Chief Executive Officer of Alliant Techsystems Operations
5.Beth Edler, female, President of Data Link Solutions
6.Blake Resnick, male, Founder and Chief Executive Officer of BRINC Drones, Inc.</t>
  </si>
  <si>
    <t>Boycott calls against Uniclo following CEO statement on not sourcing cotton from Xinjiang</t>
  </si>
  <si>
    <t>Uniclo</t>
  </si>
  <si>
    <t xml:space="preserve">Potential state support through statements from the industry association: "We hope international brands like Uniqlo can give Xinjiang cotton full respect and trust,” and resume its use to maintain the development of the global textile industry, the Xinjiang Uighur Autonomous Region’s Cotton Association said in a statement on its official WeChat account on Thursday. </t>
  </si>
  <si>
    <t xml:space="preserve">Decision on taking countermeasures against Canadian institutions and personnel </t>
  </si>
  <si>
    <t>Clive Ansley; Geoffrey Aharon; Justine Bernatchez; Charles Burton; Linden Dales; Yonah Diamond; Luisa Durante; Conor Healy; Jasmine Kainth; Marcus Kolga; Samphe Lhalungpa; David Matas; Margarett Mccuaig Johnston; John Packer; Scott Simon; Sarah Teich; Sherap Therchin; Mehmet Tohti; Eliza von Baeyer; Youngdoung Tenzin</t>
  </si>
  <si>
    <t>Uyghur Rights Advocacy Project in Canada; Canada-Tibet Committee</t>
  </si>
  <si>
    <t>关于对加拿大机构及人员采取反制措施的决定 2024-12-21 16:50【(2024年12月21日中华人民共和国外交部令第15号公布，自2024年12月21日起施行） 依据《中华人民共和国反外国制裁法》第三条、第四条、第五条、第六条、第九条、第十五条规定，中方决定对以下加拿大机构及人员（详见后附反制清单）采取反制措施： 一、对加拿大“维吾尔人权倡导项目”、“加拿大西藏委员会”，冻结在我国境内的动产、不动产和其他各类财产；禁止我国境内的组织、个人与其进行有关交易、合作等活动。 二、对加拿大“维吾尔人权倡导项目”、“加拿大西藏委员会”相关人员，冻结在我国境内的动产、不动产和其他各类财产；禁止我国境内的组织、个人与其本人进行有关交易、合作等活动；对其本人不予签发签证、不准入境（包括香港、澳门）。 本决定自2024年12月21日起施行。 附件：反制清单 外交部 2024年12月21日 反制清单 一、机构（共2家） （一）加拿大“维吾尔人权倡导项目”（Uyghur Rights Advocacy Project） （二）加拿大“加拿大西藏委员会”（Canada-Tibet Committee） 二、机构人员（共计20人） （一）“维吾尔人权倡导项目”相关人员，包括执行主任穆罕默德·土赫提（Mehmet Tohti），政策及宣传主任贾丝明·凯因特（Jasmine Kainth），法律顾问戴维·马塔斯（David Matas）、萨拉·泰什（Sarah Teich）、约翰·帕克（John Packer）、克莱夫·安斯利（Clive Ansley）、约纳·戴蒙德（Yonah Diamond）、贾丝廷·柏纳茨（Justine Bernatchez）、林登·达莱斯（Linden Dales），政策顾问查尔斯·伯顿（Charles Burton）、玛格丽特·麦凯格·约翰斯顿（Margarett Mccuaig Johnston）、马库斯·科尔加（Marcus Kolga）、斯科特·西蒙（Scott Simon），研究顾问康纳·希利（Conor Healy）、杰弗里·阿哈龙（Geoffrey Aharon）等，共15人 （二）“加拿大西藏委员会”相关人员，包括主席桑佩·拉隆巴（Samphe Lhalungpa），副主席路易莎·杜兰特（Luisa Durante），执行董事谢拉普·特钦（Sherap Therchin），董事艾丽莎·冯·拜尔（Eliza von Baeyer），社区活动经理永东丹增（Youngdoung Tenzin）等，共5人</t>
  </si>
  <si>
    <t>Decision on taking countermeasures against Canadian institutions and personnel 2024-12-21 16:50 (Promulgated by Order No. 15 of the Ministry of Foreign Affairs of the People's Republic of China on December 21, 2024, and effective from December 21, 2024) In accordance with Articles 3, 4, 5, 6, 9 and 15 of the Anti-Foreign Sanctions Law of the People's Republic of China, China has decided to take countermeasures against the following Canadian institutions and personnel (see the attached countermeasure list for details): 1. Freeze the movable, immovable and other properties of the Uyghur Human Rights Advocacy Project and the Canadian Tibet Committee in my country; prohibit any organization or individual in my country from engaging in related transactions or cooperation with them. 2. Freeze the movable, immovable and other properties of relevant personnel of the Uyghur Human Rights Advocacy Project and the Canadian Tibet Committee in my country; prohibit organizations and individuals in my country from conducting transactions and cooperation with them; and refuse to issue visas to them and prohibit them from entering the country (including Hong Kong and Macao). This decision shall come into force on December 21, 2024. Attachment: Countermeasures List Ministry of Foreign Affairs December 21, 2024 Countermeasures List 1. Institutions (2 in total) 1. Uyghur Rights Advocacy Project in Canada 2. Canada-Tibet Committee II. Organizational staff (20 people in total) (1) Personnel of the Uyghur Human Rights Advocacy Project, including Executive Director Mehmet Tohti, Policy and Advocacy Director Jasmine Kainth, Legal Advisors David Matas, Sarah Teich, John Packer, Clive Ansley, Yonah Diamond, Justine Bernatchez, Linden Dales, Policy Advisors Charles Burton, Margarett Mccuaig Johnston, Marcus Kolga, Scott Simon, Research Advisors Conor Healy, Geoffrey Aharon, etc., a total of 15 people 2. Personnel from the Canadian Tibet Committee, including Chairperson Samphe Lhalungpa, Vice Chairperson Luisa Durante, Executive Director Sherap Therchin, Director Eliza von Baeyer, Community Activities Manager Youngdoung Tenzin, etc., a total of 5 people</t>
  </si>
  <si>
    <t>and take the following measures:
1. The export of dual-use items to the above-mentioned 28 US entities is prohibited; any related export activities currently underway should be stopped immediately.
2. If export is really necessary under special circumstances, the export operator shall apply to the Ministry of Commerce.</t>
  </si>
  <si>
    <t>Export Control Law;
Dual-Use Regulations (2024-09-30)</t>
  </si>
  <si>
    <t>General Dynamics; L3 Harris Technologies; Intelligent Epitaxy Technology; Clear Align LLC; Boeing Defense, Space &amp; Security; Lockheed Martin Corporation; Raytheon Missiles &amp; Defense; Lockheed Martin Missiles and Fire Control; Lockheed Martin Aeronautics; Raytheon/Lockheed Martin Javelin Joint Venture; Raytheon Missile Systems; General Dynamics Ordnance and Tactical Systems; General Dynamics Information Technology; General Dynamics Mission Systems; Inter-Coastal Electronics; System Studies &amp; Simulation; IronMountain Solutions; Applied Technologies Group; Axient; Lockheed Martin Missile System Integration Lab; Lockheed Martin Advanced Technology Laboratories; Lockheed Martin Ventures; Anduril Industries; Maritime Tactical Systems; Pacific Rim Defense; AEVEX Aerospace; LKD Aerospace; Summit Technologies Inc.</t>
  </si>
  <si>
    <t>Missile systems; military aircraft; surveillance; laser; aerospace; command and control software; simulation; communication; dual-use electronics; autonomous systems.</t>
  </si>
  <si>
    <t>商务部公告2025年第1号 公布将28家美国实体列入出口管制管控名单
【发布单位】安全与管制局
【发布文号】商务部公告2025年第1号
【发文日期】2025年01月02日
       根据《中华人民共和国出口管制法》和《中华人民共和国两用物项出口管制条例》等法律法规有关规定，为维护国家安全和利益，履行防扩散等国际义务，决定将通用动力公司等28家美国实体列入出口管制管控名单（见附件），并采取以下措施：
一、禁止向上述28家美国实体出口两用物项；正在开展的相关出口活动应当立即停止。
二、特殊情况下确需出口的，出口经营者应当向商务部提出申请。
本公告自公布之日起正式实施。
附件：出口管制管控名单（2025年1月2日）
商务部      
2025年1月2日
       附件
出口管制管控名单
      （2025年1月2日）
1. 通用动力公司（General Dynamics）
2. L3哈里斯公司（L3 Harris Technologies）
3. 英特磊公司（Intelligent Epitaxy Technology）
4. 可利尔阿莱恩公司（Clear Align LLC）
5. 波音防务、空间与安全集团（Boeing Defense, Space &amp; Security）
6. 洛克希德·马丁公司（Lockheed Martin Corporation）
7. 雷神导弹与防务公司（Raytheon Missiles &amp; Defense）
8. 洛克希德·马丁导弹与火控公司（Lockheed Martin Missiles and Fire Control）
9. 洛克希德·马丁航空公司（Lockheed Martin Aeronautics）
10. 标枪合资公司（Raytheon/Lockheed Martin Javelin Joint Venture）
11. 雷神导弹系统公司（Raytheon Missile Systems）
12. 通用动力军械与战术系统公司（General Dynamics Ordnance and Tactical Systems）
13. 通用动力信息技术公司（General Dynamics Information Technology）
14. 通用动力任务系统公司（General Dynamics Mission Systems）
15. 海岸间电子公司（Inter-Coastal Electronics）
16. 系统研究与模拟公司（System Studies &amp; Simulation）
17. 铁山解决方案公司（IronMountain Solutions）
18. 应用技术集团（Applied Technologies Group）
19. 阿克西恩特公司（Axient）
20. 洛克希德·马丁导弹系统集成实验室（Lockheed Martin Missile System Integration Lab）
21. 洛克希德·马丁先进技术实验室（Lockheed Martin Advanced Technology Laboratories）
22. 洛克希德·马丁风险投资公司（Lockheed Martin Ventures）
23. 安杜里尔公司（Anduril Industries）
24. 海上战术系统公司（Maritime Tactical Systems）
25. 环太平洋防务公司（Pacific Rim Defense）
26. AEVEX航天公司（AEVEX Aerospace）
27. LKD航天公司（LKD Aerospace）
28. 顶峰科技公司（Summit Technologies Inc.）</t>
  </si>
  <si>
    <t>Q&amp;A "Export Control List" (MOFCOM)</t>
  </si>
  <si>
    <t>1. The above-mentioned enterprises are prohibited from engaging in import and export activities related to China;
2. Prohibit the above-mentioned enterprises from making new investments in China;
3. Prohibit entry of senior management personnel of the above-mentioned enterprises;
4. Do not approve and cancel the work permit, stay or residence qualification in China of the above-mentioned senior managers of the enterprises.</t>
  </si>
  <si>
    <t>Unreliable Entity List
Foreign Trade Law;
National Security Law;
Anti-Foreign Sanctions Law;
(Article 2, 8 and 10 of the Regulations on the Unreliable Entity List)</t>
  </si>
  <si>
    <t>Lockheed Martin Missiles and Fire Control; Lockheed Martin Aeronautics; Lockheed Martin Missile System Integration Lab; Lockheed Martin Advanced Technology Laboratories; Lockheed Martin Ventures; Raytheon/Lockheed Martin Javelin Joint Venture; Raytheon Missile Systems; General Dynamics Ordnance and Tactical Systems; General Dynamics Information Technology; General Dynamics Mission Systems</t>
  </si>
  <si>
    <t>Missiles; military aircraft; aerospace R&amp;D; system integration; advanced defense tech; tactical weapons; electronic warfare; command systems; military communications.</t>
  </si>
  <si>
    <r>
      <rPr>
        <b/>
        <sz val="14"/>
        <color theme="1"/>
        <rFont val="Calibri"/>
        <family val="2"/>
      </rPr>
      <t>Suggests UEL is used for most severe violations.</t>
    </r>
    <r>
      <rPr>
        <sz val="14"/>
        <color theme="1"/>
        <rFont val="Calibri"/>
        <family val="2"/>
      </rPr>
      <t xml:space="preserve">
The 10 firms listed here were also included on the "export control list" with a decision from the same day (all where Lockheed, Raytheon, General Dynamics entities). 
The UEL restrictions are more extensive than the Export Control List. Also, this formulation suggests that China reserves the UEL for what it perceives to be the most severe violations:
"10 companies including Lockheed Martin Missiles and Fire Control have participated in arms sales to Taiwan  ... China has always handled the issue of the unreliable entity list with caution, targeting only a few foreign entities that endanger China's national security. Honest and law-abiding foreign entities have nothing to worry about."</t>
    </r>
  </si>
  <si>
    <t xml:space="preserve">不可靠实体清单工作机制关于对洛克希德·马丁导弹与火控公司等10家美国企业采取不可靠实体清单措施的公告
【发布单位】安全与管制局
【发布文号】不可靠实体清单工作机制公告〔2025〕1号
【发文日期】2025年01月02日
不 可 靠 实 体 清 单 工 作 机 制
公   告
2025年 第1号
为维护国家主权、安全和发展利益，根据《中华人民共和国对外贸易法》《中华人民共和国国家安全法》《中华人民共和国反外国制裁法》等有关法律，不可靠实体清单工作机制依据《不可靠实体清单规定》第二条、第八条和第十条等有关规定，决定将参与对台湾地区军售的洛克希德·马丁导弹与火控公司（Lockheed Martin Missiles and Fire Control）、洛克希德·马丁航空公司（Lockheed Martin Aeronautics）、洛克希德·马丁导弹系统集成实验室（Lockheed Martin Missile System Integration Lab)、洛克希德·马丁先进技术实验室（Lockheed Martin Advanced Technology Laboratories)、洛克希德·马丁风险投资公司（Lockheed Martin Ventures)、标枪合资公司（Raytheon/Lockheed Martin Javelin Joint Venture）、雷神导弹系统公司（Raytheon Missile Systems）、通用动力军械与战术系统公司（General Dynamics Ordnance and Tactical Systems）、通用动力信息技术公司（General Dynamics Information Technology）、通用动力任务系统公司（General Dynamics Mission Systems）列入不可靠实体清单，并采取以下处理措施：
一、禁止上述企业从事与中国有关的进出口活动；
二、禁止上述企业在中国境内新增投资；
三、禁止上述企业高级管理人员入境；
四、不批准并取消上述企业高级管理人员在中国境内工作许可、停留或者居留资格。
本公告未尽事宜，按《不可靠实体清单规定》执行。
本公告自公布之日起实施。
不可靠实体清单工作机制
（商务部代章）      
          2025年1月2日       </t>
  </si>
  <si>
    <t>Q&amp;A on UEL (MOFCOM)</t>
  </si>
  <si>
    <t>to include … which are involved in arms sales to Taiwan, in the Unreliable Entity List, and to take the following measures: 1. The above-mentioned enterprises are prohibited from engaging in import and export activities related to China;
2. Prohibit the above-mentioned enterprises from making new investments in China;
3. Prohibit entry of senior management personnel of the above-mentioned enterprises;
4. Do not approve and cancel the work permit, stay or residence qualification in China of the above-mentioned senior managers of the enterprises.</t>
  </si>
  <si>
    <t>Unreliable Entity List
Foreign Trade Law;
National Security Law; 
Anti-Foreign Sanctions Law</t>
  </si>
  <si>
    <t>Inter-Coastal Electronics; System Studies &amp; Simulation; IronMountain Solutions; Applied Technologies Group; Axient; Anduril Industries; Maritime Tactical Systems</t>
  </si>
  <si>
    <t>Part of China's response to outgoing Biden administration's "sanctions week"</t>
  </si>
  <si>
    <t>不可靠实体清单工作机制关于对海岸间电子公司等7家美国企业采取不可靠实体清单措施的公告
【发布单位】安全与管制局
【发布文号】不可靠实体清单工作机制公告〔2025〕2号
【发文日期】2025年01月14日
不 可 靠 实 体 清 单 工 作 机 制
公    告
2025年 第2号
为维护国家主权、安全和发展利益，根据《中华人民共和国对外贸易法》《中华人民共和国国家安全法》《中华人民共和国反外国制裁法》等有关法律，不可靠实体清单工作机制依据《不可靠实体清单规定》第二条、第八条和第十条等有关规定，决定将参与对台湾地区军售的海岸间电子公司（Inter-Coastal Electronics）、系统研究与模拟公司（System Studies &amp; Simulation）、铁山解决方案公司 （IronMountain Solutions）、应用技术集团（Applied Technologies Group）、阿克西恩特公司（Axient）、安杜里尔公司（Anduril Industries）、海上战术系统公司（Maritime Tactical Systems）列入不可靠实体清单，并采取以下处理措施：
一、禁止上述企业从事与中国有关的进出口活动；
二、禁止上述企业在中国境内新增投资；
三、禁止上述企业高级管理人员入境；
四、不批准并取消上述企业高级管理人员在中国境内工作许可、停留或者居留资格。
本公告未尽事宜，按《不可靠实体清单规定》执行。
本公告自公布之日起实施。
不可靠实体清单工作机制   
（商务部代章）          
2025年1月14日</t>
  </si>
  <si>
    <t>FAQ (MOFCOM)</t>
  </si>
  <si>
    <t xml:space="preserve">
1. The above-mentioned enterprises are prohibited from engaging in import and export activities related to China;
2. Prohibit the above-mentioned enterprises from making new investments in China;
3. Prohibit entry of senior management personnel of the above-mentioned enterprises;
4. Do not approve and cancel the work permit, stay or residence qualification in China of the above-mentioned senior managers of the enterprises.</t>
  </si>
  <si>
    <t>Pacific Rim Defense; AEVEX Aerospace; LKD Aerospace; Summit Technologies Inc.</t>
  </si>
  <si>
    <t xml:space="preserve">不可靠实体清单工作机制关于对环太平洋防务公司等4家美国企业采取不可靠实体清单措施的公告
【发布单位】安全与管制局
【发布文号】不可靠实体清单工作机制公告〔2025〕3号
【发文日期】2025年01月15日
不 可 靠 实 体 清 单 工 作 机 制
公    告
2025年 第3号
为维护国家主权、安全和发展利益，根据《中华人民共和国对外贸易法》《中华人民共和国国家安全法》《中华人民共和国反外国制裁法》等有关法律，不可靠实体清单工作机制依据《不可靠实体清单规定》第二条、第八条和第十条等有关规定，决定将参与对台湾地区军售的环太平洋防务公司（Pacific Rim Defense）、AEVEX 航天公司（AEVEX Aerospace）、LKD 航天公司（LKD Aerospace）、顶峰科技公司（Summit Technologies Inc.）列入不可靠实体清单，并采取以下处理措施：
一、禁止上述企业从事与中国有关的进出口活动；
二、禁止上述企业在中国境内新增投资；
三、禁止上述企业高级管理人员入境；
四、不批准并取消上述企业高级管理人员在中国境内工作许可、停留或者居留资格。
本公告未尽事宜，按《不可靠实体清单规定》执行。
本公告自公布之日起实施。
不可靠实体清单工作机制   
（商务部代章）          
2025年1月15日          </t>
  </si>
  <si>
    <t>In accordance with Articles 28 and 29 of the Anti-dumping Regulations, the Investigation Authority has decided to implement temporary anti-dumping measures in the form of a deposit. From January 24, 2025, when importing the investigated products, import operators shall provide the Customs of the People's Republic of China with a corresponding deposit based on the deposit ratio of each company determined in this preliminary ruling.</t>
  </si>
  <si>
    <t>Anti-Dumping Regulations (Article 24)</t>
  </si>
  <si>
    <t>Ticona Polymers, Inc.; Celanese Production Germany GmbH &amp; Co. KG; POLYPLASTICS TAIWAN CO., LTD.; Formosa Plastics Corporation; POLYPLASTICS CO., LTD.; ASAHI KASEI CORPORATION</t>
  </si>
  <si>
    <t>Polyformaldehyde Copolymer; Polyoxymethylene Copolymer; Copolymer-type Acetal Resin; Acetal Copolymer</t>
  </si>
  <si>
    <t>公布原产于美国、欧盟、台湾地区和日本的进口共聚聚甲醛反倾销调查的初步裁定
【发布单位】贸易救济局
【发布文号】商务部公告2025年第5号
【发文日期】2025年01月16日
根据《中华人民共和国反倾销条例》（以下称《反倾销条例》）的规定，2024年5月19日，商务部（以下称调查机关）发布2024年第18号公告，决定对原产于美国、欧盟、台湾地区和日本的进口共聚聚甲醛（以下称被调查产品）进行反倾销立案调查。
调查机关对被调查产品是否存在倾销和倾销幅度、被调查产品是否对中国大陆共聚聚甲醛产业造成损害及损害程度以及倾销与损害之间的因果关系进行了调查。根据调查结果和《反倾销条例》第二十四条的规定，调查机关作出初步裁定（见附件）。现将有关事项公告如下：
一、初步裁定
调查机关初步认定，原产于美国、欧盟、台湾地区和日本的进口共聚聚甲醛存在倾销，中国大陆共聚聚甲醛产业受到实质损害，而且倾销与实质损害之间存在因果关系。
二、征收保证金
根据《反倾销条例》第二十八条和第二十九条的规定，调查机关决定采用保证金形式实施临时反倾销措施。自2025年1月24日起，进口经营者在进口被调查产品时，应依据本初裁决定所确定的各公司的保证金比率向中华人民共和国海关提供相应的保证金。
被调查产品的具体描述如下：
调查范围：原产于美国、欧盟、台湾地区和日本的进口共聚聚甲醛
被调查产品名称：共聚聚甲醛，又称聚氧亚甲基共聚物，或聚氧化甲烯共聚物
英文名称：Polyformaldehyde Copolymer，或Polyoxymethylene Copolymer，或Copolymer-type Acetal Resin，或Acetal Copolymer等，英文名称通常被简称为POM Copolymer
化学分子式：-[CH2-O]n-[CH2-O-CH2-CH2]m-(n&gt;m)
物理化学特性：共聚聚甲醛是由甲醛合成的，具有-CH2-O-主链及-[CH2-O-CH2-CH2]-嵌键（按重量计-CH2-O-含量大于50%）的热塑性树脂，且同时满足以下各项性能指标：
溶体质量流动速率 （190℃，2.16㎏）/（g/10 min）
≤4
4＜·≤7
7＜·≤11
11＜·≤16
16＜·≤35
35＜·≤60
＞60
熔融温度/℃
160≤·＜170
密度/（g/cm3）
1.38～1.43
屈服应力/MPa
≥58
≥60
断裂标称应变/%
≥20
≥15
拉伸弹性模量/MPa
≥2400
简支梁缺口冲击强度/（kJ/m²）
≥5.5
≥4.5
≥3.0
1.8 MPa负荷变形温度/℃
≥85
主要用途：共聚聚甲醛具有机械强度高、高耐疲劳性、高耐蠕变性等良好的力学综合性能，可以部分替代铜、锌、锡、铅等金属材料，可直接用于或经改性后用于汽车配件、电子电器、工业机械、日常用品、运动器械、医疗器具、管道管件、建筑建材等领域。
该产品归在《中华人民共和国进出口税则（2023）》：39071010、39071090。这两个税则号项下的均聚聚甲醛、改性聚甲醛等其他产品不在本次调查范围之内。
对各公司征收的保证金比率如下：
美国公司：
1.泰科纳聚合物公司              74.9%                
（Ticona Polymers, Inc.）
2.其他美国公司                      74.9%
欧盟公司：
1.塞拉尼斯生产德国有限及两合公司                    42.0%                
（Celanese Production Germany GmbH &amp; Co. KG）
2.其他欧盟公司                  42.0%
台湾地区公司：
1.台湾宝理塑胶股份有限公司       3.8%                
（POLYPLASTICS TAIWAN CO., LTD.）
2.台湾塑胶工业股份有限公司       4.0%                          
(Formosa Plastics Corporation)
3.其他台湾地区公司                      32.6%         
日本公司：
1.宝理塑料株式会社              43.7%                                             
（POLYPLASTICS CO., LTD.）
2.旭化成株式会社                  33.9%               
（ASAHI KASEI CORPORATION）
3.其他日本公司                      43.7%            
三、征收保证金的方法
自2025年1月24日起，进口经营者在进口原产于美国、欧盟、台湾地区和日本的共聚聚甲醛时，应依据本初裁决定所确定的各公司的保证金比率向中华人民共和国海关提供相应的保证金。保证金以海关审定的完税价格从价计征，计算公式为：保证金金额=（海关审定的完税价格×保证金征收比率）×（1+进口环节增值税税率）。
四、评论
各利害关系方在本公告发布之日起10天内，可向调查机关提交书面评论意见。
附件：中华人民共和国商务部关于原产于美国、欧盟、台湾地区和日本的进口共聚聚甲醛反倾销调查的初步裁定.pdf
商务部
2025年1月16日</t>
  </si>
  <si>
    <r>
      <rPr>
        <sz val="14"/>
        <color theme="1"/>
        <rFont val="Calibri"/>
        <family val="2"/>
      </rPr>
      <t xml:space="preserve"> it is decided to implement export controls on the following items … 
1. Tungsten-related items … 　
2. Tellurium-related items …
3. Bismuth-related items … 
4. Molybdenum-related items …
5. Indium-related items  …
Export operators who wish to export the above-mentioned items </t>
    </r>
    <r>
      <rPr>
        <b/>
        <sz val="14"/>
        <color theme="1"/>
        <rFont val="Calibri"/>
        <family val="2"/>
      </rPr>
      <t xml:space="preserve">shall apply for a license </t>
    </r>
    <r>
      <rPr>
        <sz val="14"/>
        <color theme="1"/>
        <rFont val="Calibri"/>
        <family val="2"/>
      </rPr>
      <t>from the State Council’s commerce department in</t>
    </r>
    <r>
      <rPr>
        <sz val="14"/>
        <color theme="1"/>
        <rFont val="Calibri"/>
        <family val="2"/>
      </rPr>
      <t xml:space="preserve"> accordance with the relevant provisions of the Export Control Law of the People’s Republic of China and the Regulations of the People’s Republic of China on Export Control of Dual-Use Items.
"On February 4, the Ministry of Commerce of China, together with the General Administration of Customs, issued an announcement on the implementation of export controls on tungsten and other related items, and implemented export controls on </t>
    </r>
    <r>
      <rPr>
        <b/>
        <sz val="14"/>
        <color theme="1"/>
        <rFont val="Calibri"/>
        <family val="2"/>
      </rPr>
      <t>25 rare metal products and technologies</t>
    </r>
    <r>
      <rPr>
        <sz val="14"/>
        <color theme="1"/>
        <rFont val="Calibri"/>
        <family val="2"/>
      </rPr>
      <t xml:space="preserve"> such as ammonium paratungstate." (MOFCOM clarifications)</t>
    </r>
  </si>
  <si>
    <t>Export Control Law;
Foreign Trade Law;
Customs Law;
Regulations on Export Control of Dual-Use Items</t>
  </si>
  <si>
    <t>Tungsten, Tellurium, Bismuth, Molybdenum, Indium</t>
  </si>
  <si>
    <t>商务部 海关总署公告2025年第10号 公布对钨、碲、铋、钼、铟相关物项 实施出口管制的决定
来源：商务部网站 类型：转载 分类：政策 发布时间：2025-02-04 13:15:02
【发布单位】安全与管制局
【发布文号】商务部公告2025年第10号
【发文日期】2025年02月04日
　　根据《中华人民共和国出口管制法》《中华人民共和国对外贸易法》《中华人民共和国海关法》《中华人民共和国两用物项出口管制条例》有关规定，为维护国家安全和利益、履行防扩散等国际义务，经国务院批准，决定对下列物项实施出口管制：
　　一、钨相关物项
　　（一）1C117.d．钨相关材料：
　　1．仲钨酸铵(参考海关商品编号：2841801000)；
　　2．氧化钨(参考海关商品编号：2825901200、2825901910、2825901920)；
　　3．非1C226项下管制的碳化钨(参考海关商品编号：2849902000)。
　　（二）1C117.c．具有下述所有特性的固态钨：
　　1．具有下述任一特性的固态钨（不含颗粒、粉末状）：
　　a．非1C226、1C241项下管制的钨及钨含量大于等于97%（按重量）的钨合金(参考海关商品编号：8101940001、8101991001、8101999001)；
　　b．钨含量大于等于80%（按重量）的钨掺铜(参考海关商品编号：8101940001、8101991001、8101999001)；
　　c．钨含量大于等于80%（按重量）的钨掺银（银含量大于等于2%）(参考海关商品编号：7106919001、7106929001)；
　　2．能被机械加工成任何下述任一产品：
　　a．直径大于等于120 mm、长度大于等于50 mm的圆柱体；
　　b．内径大于等于65 mm、壁厚大于等于25 mm且长度大于等于50 mm的管材；
　　c．尺寸大于等于120 mm×120 mm×50 mm的块状物。
　　（三）1C004 具有下述所有特性的钨镍铁合金(参考海关商品编号：8101940001、8101991001、8101999001)或钨镍铜合金(参考海关商品编号：8101940001、8101991001、8101999001)：
　　a．密度大于17.5 g/cm3；
　　b．弹性极限超过800 MPa；
　　c．极限抗拉强度大于1270 MPa；
　　d．伸长率超过8%。
　　（四）1E004、1E101.b．生产1C004、1C117.c、1C117.d项的技术及资料（含工艺规范、工艺参数、加工程序等）。
　　二、碲相关物项
　　（一）6C002.a．金属碲(参考海关商品编号：2804500001)。
　　（二）6C002.b．以下任何一种的碲化合物单晶或多晶制品（包括衬底或外延片）：
　　1．碲化镉(参考海关商品编号：2842902000、3818009021)；
　　2．碲化镉锌(参考海关商品编号：2842909025、3818009021)；
　　3．碲化镉汞(参考海关商品编号：2852100010、3818009021)。
　　（三）6E002 生产6C002项的技术及资料（含工艺规范、工艺参数、加工程序等）。
　　三、铋相关物项
　　（一）6C001.a．非1C229项下管制的金属铋及制品，包括但不限于锭、块、珠、颗粒、粉末等形态(参考海关商品编号：8106101091、8106101092、8106101099、8106109090、8106901019、8106901029、8106901099、8106909090)。
　　（二）6C001.b．锗酸铋(参考海关商品编号：2841900041)。
　　（三）6C001.c．三苯基铋(参考海关商品编号：2931900032)。
　　（四）6C001.d．三对乙氧基苯基铋(参考海关商品编号：2931900032)。
　　（五）6E001 生产6C001项的技术及资料（包括工艺规范、工艺参数、加工程序等）。
　　四、钼相关物项
　　（一）1C117.b．钼粉：用于制造导弹部件的钼含量（按重量）大于等于97%、颗粒尺寸小于等于50×10-6m（50μm）的钼及合金颗粒(参考海关商品编号：8102100001)。
　　（二）1E101.b．生产1C117.b项的技术及资料（含工艺规范、工艺参数、加工程序等）。
　　五、铟相关物项
　　（一）3C004.a．磷化铟(参考海关商品编号：2853904051)。
　　（二）3C004.b．三甲基铟(参考海关商品编号：2931900032)。
　　（三）3C004.c．三乙基铟(参考海关商品编号：2931900032)。
　　（四）3E004生产3C004项的技术及资料（含工艺规范、工艺参数、加工程序等）。
　　出口经营者出口上述物项应当依照《中华人民共和国出口管制法》《中华人民共和国两用物项出口管制条例》的相关规定向国务院商务主管部门申请许可。
　　本公告自发布之日起正式实施。《中华人民共和国两用物项出口管制清单》同步予以更新。
商务部 海关总署
2025年2月4日</t>
  </si>
  <si>
    <t>Clarifications (MOFCOM)</t>
  </si>
  <si>
    <t>Analysis (Observer Network)</t>
  </si>
  <si>
    <t>Unreliable Entity List Regulations
Foreign Trade Law;
National Security Law;
Anti-Foreign Sanctions Law;</t>
  </si>
  <si>
    <t>PVH Group; Illumina, Inc.</t>
  </si>
  <si>
    <t>Consumer Goods; Health</t>
  </si>
  <si>
    <t>PVH investigation was launches months earlier (see links). Restrictions on Illumina came without warning to my knowledge.
Frames the action as a countermeasure against the companies seemingly because they implemented western sanctions: 
"The above two entities violated normal market trading principles, interrupted normal transactions with Chinese companies, adopted discriminatory measures against Chinese companies, and seriously damaged the legitimate rights and interests of Chinese companies."
"Regarding the two U.S. companies added to the Unreliable Entity List:
PVH had already been under investigation(see here and here), which was expected. On January 16, it was stated that an investigation found that PVH indeed violated the provisions of the Unreliable Entity List and that its executives would be interviewed again. It is thus speculated that authorities may have been waiting for Trump to impose tariffs before formally announcing this decision.
Illumina is believed to be targeted in retaliation for damage caused to the Chinese biotechnology company MGI (a subsidiary of BGI), resulting from Illumina’s lobbying in the U.S. to crack down on MGI (similar to Micron and Fujian Jinhua)." (Geopolitechs)</t>
  </si>
  <si>
    <t>不可靠实体清单工作机制关于将美国PVH集团和因美纳公司列入不可靠实体清单的公告
来源：商务部网站 类型：转载 分类：新闻 发布时间：2025-02-04 13:15:59
【发布单位】安全与管制局
【发布文号】不可实体清单工作机制〔2025〕4号
【发文日期】2025年02月04日
不可靠实体清单工作机制
公    告
2025年第4号
　　为维护国家主权、安全和发展利益，根据《中华人民共和国对外贸易法》《中华人民共和国国家安全法》《中华人民共和国反外国制裁法》等有关法律，依据《不可靠实体清单规定》有关规定，不可靠实体清单工作机制决定将美国PVH集团、因美纳公司（Illumina, Inc.）列入不可靠实体清单。
　　上述两家实体违反正常的市场交易原则，中断与中国企业的正常交易，对中国企业采取歧视性措施，严重损害中国企业合法权益。不可靠实体清单工作机制将依据相关法律法规，对上述实体采取相应措施。
　　本公告未尽事宜，按《不可靠实体清单规定》执行。
　　本公告自公布之日起实施。
不可靠实体清单工作机制
（商务部代章）
2025年2月4日</t>
  </si>
  <si>
    <t>Results of Investigation (MOFCOM)</t>
  </si>
  <si>
    <t>Reporting (Xinhua)</t>
  </si>
  <si>
    <t xml:space="preserve">On February 1, 2025, the US government announced that it would impose a 10% tariff on all Chinese goods exported to the US on the grounds of fentanyl and other issues. … 
additional tariffs will be imposed on some imported goods originating from the United States starting from February 10, 2025. The relevant matters are as follows: 
　　1. A 15% tariff will be imposed on coal and liquefied natural gas. For the specific commodity range, please see Appendix 1. 
　　2. A 10% tariff will be imposed on crude oil, agricultural machinery, large-displacement cars and pickup trucks. See Appendix 2 for the specific range of goods. 
　　3. For the imported goods listed in the appendix originating from the United States, corresponding tariffs will be levied on the basis of the current applicable tariff rates. The current bonded and tax reduction and exemption policies remain unchanged, and the additional tariffs will not be reduced or exempted. </t>
  </si>
  <si>
    <t>Tariff Law;
Customs Law;
Foreign Trade Law</t>
  </si>
  <si>
    <t>Energy; Agriculture; Transportation</t>
  </si>
  <si>
    <t>Coal, liquefied natural gas, crude oil, agricultural machinery, large-displacement cars and pickup trucks</t>
  </si>
  <si>
    <t>In general, these countermeasures appear largely symbolic.
"China imports little coal, LNG, and crude oil from the U.S., sourcing more from Australia, Russia, and the Middle East. It also imports relatively few agricultural machinery, large-displacement automobiles, and pickup trucks from the U.S. ... China’s newly announced tariffs will affect about 8.5% of total U.S. exports to China in 2024.
When it comes to large-displacement vehicles, German automakers are once again bearing the brunt—BMW and Mercedes are particularly impacted. U.S. car manufacturers, on the other hand, face minimal effects: Ford exported fewer than 2,000 vehicles to China last year, while GM shipped only about 300.
As for Tesla, the company remains untouched by the new tariffs. It sent around 2,000 Model S and Model X units to China, but since EVs are not included in this round of tariffs, it stays exempt." (Geopolitechs)</t>
  </si>
  <si>
    <t>国务院关税税则委员会关于对原产于美国的
部分进口商品加征关税的公告
发布日期：2025年02月04日 
税委会公告2025年第1号
　　2025年2月1日，美国政府宣布以芬太尼等问题为由对所有中国输美商品加征10%关税。美方单边加征关税的做法严重违反世界贸易组织规则，不仅无益于解决自身问题，也对中美正常经贸合作造成破坏。 
　　根据《中华人民共和国关税法》、《中华人民共和国海关法》、《中华人民共和国对外贸易法》等法律法规和国际法基本原则，经国务院批准，自2025年2月10日起，对原产于美国的部分进口商品加征关税。有关事项如下： 
　　一、对煤炭、液化天然气加征15%关税，具体商品范围见附件1。 
　　二、对原油、农业机械、大排量汽车、皮卡加征10%关税，具体商品范围见附件2。 
　　三、对原产于美国的附件所列进口商品，在现行适用关税税率基础上分别加征相应关税，现行保税、减免税政策不变，此次加征的关税不予减免。 
　　附件：1.加征15%关税商品清单 
　　2.加征10%关税商品清单 
　　国务院关税税则委员会
　　2025年2月4日
附件下载：
附件1 加征15%关税商品清单.pdf
附件2 加征10%关税商品清单.pdf</t>
  </si>
  <si>
    <t>List 15 percent (Ministry of Finance)</t>
  </si>
  <si>
    <t>List 10 percent (Ministry of Finance)</t>
  </si>
  <si>
    <t>Restriction Quotes</t>
  </si>
  <si>
    <t>Antitrust probe into Nvidia</t>
  </si>
  <si>
    <t>Anti-Monopoly Law</t>
  </si>
  <si>
    <t>NVIDIA</t>
  </si>
  <si>
    <t>No official notice that I can find. Also, still a threat until the probe finishes.
“This probe appears to be a political action rather than a legal one,” said a Chinese antitrust expert, who asked not to be named, adding: “Never before has state media taken the lead in announcing an investigation.” (FT)</t>
  </si>
  <si>
    <t>Reporting (Zhejiang)</t>
  </si>
  <si>
    <t>European Union (Europe)</t>
  </si>
  <si>
    <t>Form of Economic Restriction</t>
  </si>
  <si>
    <t>Anti-Discrimination Investigation into Canada's Relevant Restrictive Measures against China</t>
  </si>
  <si>
    <t>In accordance with Article 36 and Article 37 of the Foreign Trade Law of the People's Republic of China, the Ministry of Commerce has decided to initiate an anti-discrimination investigation into Canada's relevant investigated measures from September 26, 2024. The relevant matters are hereby announced as follows:</t>
  </si>
  <si>
    <t>Foreign Trade Law (Article 36 and Article 37)</t>
  </si>
  <si>
    <t>Semiconductors, Green Tech …</t>
  </si>
  <si>
    <t>EVs, steel, aluminium, batteries and battery components, solar products, semiconductors and key minerals</t>
  </si>
  <si>
    <t>Launched investigation</t>
  </si>
  <si>
    <t>商务部关于就加拿大对华相关限制性措施进行反歧视调查的公告
【发布单位】贸易救济局
【发布文号】商务部公告2024年第40号
【发文日期】2024年09月26日
依据《中华人民共和国对外贸易法》第七条、第三十六条规定，任何国家或地区在贸易方面对中华人民共和国采取歧视性的禁止、限制或者其他类似措施的，中华人民共和国可以根据实际情况对该国家或者该地区采取相应的措施。商务部可自行或会同国务院其他有关部门发起相关调查。
商务部获得的初步证据和信息显示，加拿大将对自中国进口相关电动汽车和钢铝产品采取的加征关税等限制措施（以下称相关被调查措施）符合《中华人民共和国对外贸易法》第七条规定的“在贸易方面对中华人民共和国采取歧视性的禁止、限制或者其他类似措施”的情形。
依据《中华人民共和国对外贸易法》第三十六条、第三十七条规定，商务部决定自2024年9月26日起对加拿大相关被调查措施启动反歧视调查。现将有关事项公告如下：
一、被调查措施
本次调查对象为加拿大将对自中国进口相关产品采取的加征关税等限制措施，包括但不限于：
（一）自2024年10月1日起，对所有中国制造的电动车辆征收100%附加税。
（二）自2024年10月15日起，对自中国进口的钢铁和铝制品征收25%附加税。
（三）限制可享受加拿大清洁能源汽车补贴的国家范围。
此外，加拿大政府自9月10日起就自中国进口的电池和电池零部件、太阳能产品、半导体和关键矿产等征税启动为期30天的公众咨询，加拿大政府后续采取的相关措施也在本次调查范围内。
二、调查程序
依据《中华人民共和国对外贸易法》第三十七条规定，调查可以采取书面问卷、召开听证会、实地调查、委托调查等方式进行。商务部根据调查结果，提出调查报告或者作出处理裁定，并发布公告。
三、调查期限
本次调查自2024年9月26日开始，调查期限通常为3个月，特殊情况下可适当延长。
四、查阅公开信息
调查过程中，利害关系方可通过商务部网站贸易救济调查局子网站查询案件公开信息，或到商务部贸易救济公开信息查阅室（电话：0086-10-65197878）查找、阅览、抄录并复印案件公开信息。
五、提交评论意见
利害关系方可在本公告发布之日起30日内以书面形式将对立案和调查程序相关问题的评论意见提交至商务部贸易救济调查局。
为保证本次调查的公平公正、公开透明，利害关系方可在本公告发布之日起30日内以书面形式填答评论意见表（见附件）并提交至商务部贸易救济调查局。
六、听证会申请
利害关系方可在本公告发布之日起20日内以书面形式将听证会申请提交至商务部贸易救济调查局。
七、政府间磋商
为消除和救济被调查措施造成或可能造成的影响，加拿大政府可在本公告发布之日起30日内以书面形式向商务部（贸易救济调查局）提交与中国政府进行政府间磋商的申请。
八、信息的提交和处理
利害关系方在调查过程中提交评论意见、答卷等，应通过“贸易救济调查信息化平台”（https://etrb.mofcom.gov.cn）提交电子版本，并根据商务部的要求，同时提交书面版本。电子版本和书面版本内容应相同，格式应保持一致。
利害关系方认为其提供的资料泄露后将产生严重不利影响的，可以向商务部申请按照保密资料处理，并说明理由。如商务部同意其请求，申请保密的利害关系方应当同时提供该保密信息的非保密概要。非保密概要应当包含充分的、有意义的信息，以使其他利害关系方对保密信息能有合理的理解。如不能提供非保密概要，应说明理由。如利害关系方提交的信息未说明需要保密，商务部将视该信息为公开信息。
九、联系方式
地址：北京市东长安街2号
邮编：100731
商务部贸易救济调查局
电话：0086-10-65198054、65198475、85093421
传真：0086-10-65198172
相关网站：商务部网站贸易救济调查局子网站（http://trb.mofcom.gov.cn）        
附件：对加拿大反歧视调查评论意见表.wps
                                                                                              中华人民共和国商务部
                                                                                                 2024年9月26日</t>
  </si>
  <si>
    <t>Announcement of the Ministry of Commerce No. 28 of 2024 on the investigation of trade and investment barriers against relevant practices adopted by the EU in its investigation of Chinese enterprises under the Foreign Subsidies Regulation</t>
  </si>
  <si>
    <t>the Ministry of Commerce has decided to conduct a trade and investment barrier investigation on the relevant practices adopted in the EU Foreign Subsidies Regulation investigation from July 10, 2024.</t>
  </si>
  <si>
    <t>Foreign Trade Law;
Regulations on Investigation of Foreign Trade Barriers</t>
  </si>
  <si>
    <t>Rail, Green Tech, Security</t>
  </si>
  <si>
    <t>Railway Locomotives and Equipment; Photovoltaic (Solar) Products; Wind Power Equipment; Security Inspection Devices</t>
  </si>
  <si>
    <t>https://www.mofcom.gov.cn/zwgk/zcfb/art/2024/art_d2a237a0cd204ea6b89559470a630744.html</t>
  </si>
  <si>
    <t>Followup: https://cacs.mofcom.gov.cn/cacscms/article/jkdc?articleId=183031&amp;type=1</t>
  </si>
  <si>
    <t>China’s Ministry of Commerce Hints at Anti-Dumping and Countervailing Investigations Into Mature-Node Chips Exported From the U.S. to China</t>
  </si>
  <si>
    <t>Mature Node Chips</t>
  </si>
  <si>
    <t>https://mp.weixin.qq.com/s/qjapoy57xDr_j6E-_EFHtw</t>
  </si>
  <si>
    <t>https://mp.weixin.qq.com/s/Nr0jpbQ8X5J1o-Ps6rRZ0g</t>
  </si>
  <si>
    <t xml:space="preserve">The State Administration for Market Regulation launches investigation into Google's suspected  violation of the Anti-Monopoly Law </t>
  </si>
  <si>
    <t>Given Google’s limited presence in China, there is speculation that this investigation may relate to the Android operating system, which restricted mobile phone manufacturers and users within the EU from choosing other competing products. China has for a long time been concerned about Chinese software/applications's reliance on Android. The violation to China's antitrust law could lead to heavy fines amounting to 10% of Google's annual revenue in China.
However, considering that Google has no physical presence in China and offers limited products and services in the country, such a penalty would be largely symbolic. At this stage, the authorities have merely launched an investigation, keeping the leverage in their own hands for potential future actions. (Geopolitechs)</t>
  </si>
  <si>
    <t>https://web.archive.org/web/20250204163006/https://www.samr.gov.cn/xw/zj/art/2025/art_396a9ab3aa6d4c4bbd40833815afd245.html?_x_tr_sl=auto&amp;_x_tr_tl=en&amp;_x_tr_hl=en-US&amp;_x_tr_pto=wapp</t>
  </si>
  <si>
    <t xml:space="preserve">Formality
</t>
  </si>
  <si>
    <t>Announcement No. 46 of 2021 of the Ministry of Commerce and the General Administration of Customs on the Implementation of Export Control on Potassium Perchlorate</t>
  </si>
  <si>
    <t>https://www.mofcom.gov.cn/zwgk/zcfb/art/2021/art_dcee3d3f51284db49b53983a230695cc.html</t>
  </si>
  <si>
    <t>Date</t>
  </si>
  <si>
    <t>Quotes</t>
  </si>
  <si>
    <t>Description/comment</t>
  </si>
  <si>
    <t>Link1</t>
  </si>
  <si>
    <t>Link4</t>
  </si>
  <si>
    <r>
      <rPr>
        <b/>
        <sz val="12"/>
        <color theme="1"/>
        <rFont val="Calibri (Body)"/>
      </rPr>
      <t>Foreign Investment Law (FIL)</t>
    </r>
    <r>
      <rPr>
        <sz val="12"/>
        <color theme="1"/>
        <rFont val="Calibri (Body)"/>
      </rPr>
      <t xml:space="preserve">
(中华人民共和国外商投资法)</t>
    </r>
  </si>
  <si>
    <t>In force since January 1, 2020
The law was introduced amid heightened scrutiny of Chinese state-backed acquisitions in the EU and other jurisdictions. While meant to improve the environment for foreign investment and business, the FIL also allows reciprocal measures against restrictions on or perceived discrimination against Chinese investors abroad (article 40). Ambiguous language awards regulators broad discretionary powers in granting (or blocking) market access.</t>
  </si>
  <si>
    <t>Analysis (MERICS)</t>
  </si>
  <si>
    <r>
      <rPr>
        <b/>
        <sz val="12"/>
        <color theme="1"/>
        <rFont val="Calibri (Body)"/>
      </rPr>
      <t>Unreliable Entity List (UEL)</t>
    </r>
    <r>
      <rPr>
        <sz val="12"/>
        <color theme="1"/>
        <rFont val="Calibri (Body)"/>
      </rPr>
      <t xml:space="preserve">
(不可靠实体清单)</t>
    </r>
  </si>
  <si>
    <r>
      <rPr>
        <b/>
        <sz val="12"/>
        <color theme="1"/>
        <rFont val="Calibri"/>
        <family val="2"/>
      </rPr>
      <t xml:space="preserve">Has seemingly only been used against US defense companies.
</t>
    </r>
    <r>
      <rPr>
        <sz val="12"/>
        <color theme="1"/>
        <rFont val="Calibri"/>
        <family val="2"/>
      </rPr>
      <t>It basically</t>
    </r>
    <r>
      <rPr>
        <b/>
        <sz val="12"/>
        <color theme="1"/>
        <rFont val="Calibri"/>
        <family val="2"/>
      </rPr>
      <t xml:space="preserve"> amounts to a more extensive targeted sanction</t>
    </r>
    <r>
      <rPr>
        <sz val="12"/>
        <color theme="1"/>
        <rFont val="Calibri"/>
        <family val="2"/>
      </rPr>
      <t xml:space="preserve"> -- it also fines the targets, usually of an amount corresponding to the size of the arms sales made to Taiwan.
Allows countermeasures against actions that (1) endanger China's interests or (2) sanctions against China.
Published by MOFCOM shortly after the Trump administration issued executive orders against WeChat and TikTok.
MERICS analysis is slightly off: "The UEL aims to impose costs on foreign companies that restrict market transactions with Chinese firms, organizations, or individuals to comply with foreign sanctions and blacklists. It creates a working mechanism to designate foreign entities and take punitive measures against them."
This is not how the tool has been used in practice.</t>
    </r>
  </si>
  <si>
    <t>Full Text English (MOFCOM)</t>
  </si>
  <si>
    <r>
      <rPr>
        <b/>
        <sz val="12"/>
        <color theme="1"/>
        <rFont val="Calibri (Body)"/>
      </rPr>
      <t>Export Control Law</t>
    </r>
    <r>
      <rPr>
        <sz val="12"/>
        <color theme="1"/>
        <rFont val="Calibri (Body)"/>
      </rPr>
      <t xml:space="preserve">
(中华人民共和国出口管制法)</t>
    </r>
  </si>
  <si>
    <t>In force since December 1, 2020
The law unifies China’s previously fragmented export control regime into a single, comprehensive framework. It applies to dual-use, military and nuclear items, as well as to other goods, technologies and services related to national security. The law aims to safeguard China’s “national security and interests,” thus providing a basis for export controls which are beyond the typical remit of security and defense. Article 48 also allows for reciprocal measures to be taken in response to foreign governments’ export controls.</t>
  </si>
  <si>
    <t>Full Text (MOFCOM)</t>
  </si>
  <si>
    <r>
      <rPr>
        <b/>
        <sz val="12"/>
        <color theme="1"/>
        <rFont val="Calibri (Body)"/>
      </rPr>
      <t>Rules on Counteracting Unjustified Extra-Territorial Application of Foreign Legislation and Other Measures</t>
    </r>
    <r>
      <rPr>
        <sz val="12"/>
        <color theme="1"/>
        <rFont val="Calibri (Body)"/>
      </rPr>
      <t xml:space="preserve">
(阻断外国法律与措施不当域外适用办法)</t>
    </r>
  </si>
  <si>
    <r>
      <rPr>
        <sz val="12"/>
        <color theme="1"/>
        <rFont val="Calibri"/>
        <family val="2"/>
      </rPr>
      <t xml:space="preserve">Where the working mechanism, upon assessment, confirms that there exists unjustified extra-territorial application of foreign legislation and other measures, it may decide that the competent department of commerce of the State Council shall issue a </t>
    </r>
    <r>
      <rPr>
        <b/>
        <sz val="12"/>
        <color theme="1"/>
        <rFont val="Calibri"/>
        <family val="2"/>
      </rPr>
      <t>prohibition order</t>
    </r>
    <r>
      <rPr>
        <sz val="12"/>
        <color theme="1"/>
        <rFont val="Calibri"/>
        <family val="2"/>
      </rPr>
      <t xml:space="preserve"> to the effect that, the relevant foreign legislation and other measures are not accepted, executed, or observed (hereinafter referred to as “prohibition order”).
Where a person complies with the foreign legislation and other measures within the scope of a prohibition order, and thus infringes upon the legitimate rights and interests of a citizen, legal person or other organization of China, </t>
    </r>
    <r>
      <rPr>
        <b/>
        <sz val="12"/>
        <color theme="1"/>
        <rFont val="Calibri"/>
        <family val="2"/>
      </rPr>
      <t>the latter may, in accordance with law, institute legal proceedings in a people’s court, and claim for compensation by the person</t>
    </r>
    <r>
      <rPr>
        <sz val="12"/>
        <color theme="1"/>
        <rFont val="Calibri"/>
        <family val="2"/>
      </rPr>
      <t>; except where the former person is granted exemption in accordance with Article 8 of these Rules.
Where a judgment or ruling made in accordance with the foreign legislation within the scope of the prohibition order causes losses to a citizen, legal person or other organization of China, the latter may, in accordance with law, institute legal proceedings in a people’s court, and claim for compensation by the person who benefits from the said judgment or ruling.
Where, in adherence to the prohibition order, a citizen, legal person or other organization of China suffers significant losses resulting from non-compliance with the relevant foreign legislation and other measures, relevant government departments may provide necessary support based on specific circumstances.
Where a citizen, legal person or other organization of China fails to truthfully report as required or fails to comply with the prohibition order, the competent department of commerce of the State Council may give a warning, order he/it to rectify within a specified period of time, and may concurrently impose a fine according to the severity of the circumstances.</t>
    </r>
  </si>
  <si>
    <r>
      <rPr>
        <sz val="12"/>
        <color theme="1"/>
        <rFont val="Calibri"/>
        <family val="2"/>
      </rPr>
      <t xml:space="preserve">Released on January 9, 2021
The law </t>
    </r>
    <r>
      <rPr>
        <b/>
        <sz val="12"/>
        <color theme="1"/>
        <rFont val="Calibri"/>
        <family val="2"/>
      </rPr>
      <t>mirrors the EU’s Blocking Statute</t>
    </r>
    <r>
      <rPr>
        <sz val="12"/>
        <color theme="1"/>
        <rFont val="Calibri"/>
        <family val="2"/>
      </rPr>
      <t xml:space="preserve">, especially in terms of reporting obligations.
The rules are designed to deter what the Chinese government perceives as unjustified extra-territorial application of foreign law, such as secondary sanctions. For example, Chinese and foreign companies halting commercial transactions with a Chinese firm pursuant to the international restrictions and sanctions could face countermeasures. The rules establish a working mechanism led by MOFCOM to investigate extraterritorial measures, which may result in a prohibition to comply with said measures. 
Also allows a wronged Chinese person to sue another Chinese or foreign person following foreign laws in ways that impose costs on the wronged person. </t>
    </r>
  </si>
  <si>
    <r>
      <rPr>
        <b/>
        <sz val="12"/>
        <color theme="1"/>
        <rFont val="Calibri (Body)"/>
      </rPr>
      <t>Data Security Law (DSL)</t>
    </r>
    <r>
      <rPr>
        <sz val="12"/>
        <color theme="1"/>
        <rFont val="Calibri (Body)"/>
      </rPr>
      <t xml:space="preserve">
(中华人民共和国数据安全法)</t>
    </r>
  </si>
  <si>
    <t>Passed on June 10, 2021
The DSL enhances the state’s authority over the collection, use and protection of data in China. It also allows for “equal countermeasures” to be taken when a foreign country enacts any measure deemed “discriminatory” or “restrictive” with respect to investment or trade related to data, or technology for data development and utilization (article 26). Beijing aims to establish a way to retaliate against foreign governments’ restrictions on Chinese technology firms by imposing further limits on foreign companies’ data-related activities in China.</t>
  </si>
  <si>
    <r>
      <rPr>
        <b/>
        <sz val="12"/>
        <color theme="1"/>
        <rFont val="Calibri (Body)"/>
      </rPr>
      <t>Anti-Foreign Sanctions Law (AFSL)</t>
    </r>
    <r>
      <rPr>
        <sz val="12"/>
        <color theme="1"/>
        <rFont val="Calibri (Body)"/>
      </rPr>
      <t xml:space="preserve">
(中华人民共和国反外国制裁法)</t>
    </r>
  </si>
  <si>
    <t>Passed on June 10, 2021
Fast-tracked through the legislative process, the AFSL officially intends to provide a legal framework for countermeasures and other measures against foreign countries that impose sanctions on China. The law, however, is much more expansive than that. It is a blocking statute, retaliatory regime and proactive sanctions legislation rolled into one. The scope and language of the provisions also remains vague, bringing new risks for political representatives, businesses, NGOs, research institutions and scholars alike.</t>
  </si>
  <si>
    <t>Full Text Chinese (Xinhua)</t>
  </si>
  <si>
    <t>White Paper "China's Export Controls" by State Council</t>
  </si>
  <si>
    <t>Full Text Chinese (gov.cn)</t>
  </si>
  <si>
    <t>*2022</t>
  </si>
  <si>
    <r>
      <rPr>
        <b/>
        <sz val="12"/>
        <color theme="1"/>
        <rFont val="Calibri (Body)"/>
      </rPr>
      <t>Foreign Trade Law</t>
    </r>
    <r>
      <rPr>
        <sz val="12"/>
        <color theme="1"/>
        <rFont val="Calibri (Body)"/>
      </rPr>
      <t xml:space="preserve">
(中华人民共和国对外贸易法)</t>
    </r>
  </si>
  <si>
    <t>In force since 1994 and last revised in 2016
Following its 2016 revision, the law allows for countermeasures to be adopted by China in response to discriminatory, prohibitive, or restrictive measures taken by another country with respect to trade (article 7). It was one of the first legal formalizations of China’s retaliatory arsenal against economic sanctions.</t>
  </si>
  <si>
    <r>
      <rPr>
        <b/>
        <sz val="12"/>
        <color theme="1"/>
        <rFont val="Calibri (Body)"/>
      </rPr>
      <t>Regulations on Export Control of Dual-Use Items</t>
    </r>
    <r>
      <rPr>
        <sz val="12"/>
        <color theme="1"/>
        <rFont val="Calibri (Body)"/>
      </rPr>
      <t xml:space="preserve">
(中华人民共和国两用物项出口管制条例)</t>
    </r>
  </si>
  <si>
    <r>
      <rPr>
        <sz val="12"/>
        <color theme="1"/>
        <rFont val="Calibri"/>
        <family val="2"/>
      </rPr>
      <t xml:space="preserve">Creates Control List akin to US entity list.
With the development and changes of the situation, some incompatibility has emerged in the current scattered special export control system. Problems such as inconsistent list rules, incomplete coverage of items, and weak supervision and law enforcement have gradually emerged, and they urgently need to be integrated and improved at the institutional level. Under the basic framework of the Export Control Law, the State Council has issued a unified dual-use export control regulation, which will help further refine and enrich the control system, accelerate the construction of an export control system with Chinese characteristics, and comprehensively promote the legalization of export control work. (Huang Huikang of Wuhan University)
In October 2024, the Chinese Ministry of Commerce introduced new export control regulations targeting dual-use items—products that have both civilian and military applications.
China has taken pages out of the U.S. playbook to design its latest sanctions. Under the Ministry of Commerce’s strengthened export control rules released last month, Chinese firms must get approval to export to foreign businesses on a new </t>
    </r>
    <r>
      <rPr>
        <b/>
        <sz val="12"/>
        <color theme="1"/>
        <rFont val="Calibri"/>
        <family val="2"/>
      </rPr>
      <t xml:space="preserve">“Control List” akin to the U.S. Commerce Department’s Entity List.
</t>
    </r>
    <r>
      <rPr>
        <sz val="12"/>
        <color theme="1"/>
        <rFont val="Calibri"/>
        <family val="2"/>
      </rPr>
      <t xml:space="preserve">
The new rules also allow China to </t>
    </r>
    <r>
      <rPr>
        <b/>
        <sz val="12"/>
        <color theme="1"/>
        <rFont val="Calibri"/>
        <family val="2"/>
      </rPr>
      <t xml:space="preserve">prosecute foreign companies that supply goods to third parties if they contain Chinese inputs. </t>
    </r>
    <r>
      <rPr>
        <sz val="12"/>
        <color theme="1"/>
        <rFont val="Calibri"/>
        <family val="2"/>
      </rPr>
      <t xml:space="preserve">That measure takes direct inspiration from Washington’s controversial </t>
    </r>
    <r>
      <rPr>
        <b/>
        <sz val="12"/>
        <color theme="1"/>
        <rFont val="Calibri"/>
        <family val="2"/>
      </rPr>
      <t>“foreign direct product rule,”</t>
    </r>
    <r>
      <rPr>
        <sz val="12"/>
        <color theme="1"/>
        <rFont val="Calibri"/>
        <family val="2"/>
      </rPr>
      <t xml:space="preserve"> which allows it to regulate the sale of foreign-made products if they were produced using U.S. technology. Washington has used this rule it to stop foreign chipmakers from producing chips for Huawei.</t>
    </r>
  </si>
  <si>
    <t>Professor of Wuhan University View</t>
  </si>
  <si>
    <t>Analysis (The Wire China)</t>
  </si>
  <si>
    <t>Cybersecurity Review Measures</t>
  </si>
  <si>
    <t>Requires operators of critical information infrastructure (CII) to undergo cybersecurity reviews when procuring network products and services that may affect national security.</t>
  </si>
  <si>
    <t>Announcement No. 66 of 2020 of the Ministry of Commerce and the General Administration of Customs on the application for import and export licenses and paperless customs clearance of dual-use items and technologies</t>
  </si>
  <si>
    <t>From January 1, 2021, paperless processing will be implemented for the application and customs clearance of import and export licenses for dual-use items and technologies. Foreign trade operators who import and export related items and technologies can choose paperless or paper-based operations.</t>
  </si>
  <si>
    <t>Introduces paperless processing of export and import licenses.</t>
  </si>
  <si>
    <t>https://www.mofcom.gov.cn/zwgk/zcfb/art/2020/art_ffaae7b2d4dc47e0bd685f00e4c00063.html</t>
  </si>
  <si>
    <t>Announcement No. 10 (2021) of the Ministry of Commerce on Guidelines for Exporters of Dual-Use Items to Establish Internal Compliance Mechanisms for Export Controls</t>
  </si>
  <si>
    <t>On December 1, 2020, the Export Control Law of the People's Republic of China officially came into effect, providing strong legal backing for modern export control efforts. … 
To this end, the Ministry of Commerce (MOFCOM), as the primary authority overseeing dual-use export controls, has revised the 2007 Guidelines on Establishing Internal Export Control Mechanisms for Dual-Use Items and Technologies. These updated guidelines aim to assist exporters in building effective internal compliance systems tailored to their specific operational contexts. 
The internal compliance mechanism must function independently within the company's governance structure.
Compliance mechanisms must have the authority to veto any transactions deemed risky or non-compliant.
A written policy statement must be signed by senior management, emphasizing a commitment to compliance with export control laws.
This statement should be communicated internally to all employees and externally to stakeholders.
Companies must conduct thorough risk assessments covering:
Exported items
End-users and end-use
Export destinations
Third-party partners</t>
  </si>
  <si>
    <t>Exporters are required to establish internal compliance systems, conduct risk assessments, train staff, and audit export activities regularly.</t>
  </si>
  <si>
    <t>Notice of the General Office of the Ministry of Commerce on Further Improving the Export Control of Dual-Use Items</t>
  </si>
  <si>
    <t xml:space="preserve">To commerce authorities of all provinces, autonomous regions, municipalities directly under the central government, cities specifically designated in the state plan, and the Xinjiang Production and Construction Corps: … 
- Educate and guide local exporters on relevant laws, regulations, and policies concerning dual-use export controls.
- Ensure that exporters can accurately determine whether their goods, technologies, or services fall within the scope of dual-use export controls. 
- Exporters should establish internal compliance systems  ... 
- Exporters must remain vigilant against illicit procurement activities by foreign entities. 
- The Ministry of Commerce will conduct regular enforcement inspections and special law enforcement actions. 
- Violations of export control regulations will face severe penalties in accordance with the law. </t>
  </si>
  <si>
    <t>Guidance to local governments on dual-use export control enforcement. Suggests CCP cares about enforcement.</t>
  </si>
  <si>
    <t>FAQs on the Unreliable Entity List regime</t>
  </si>
  <si>
    <t>A few weeks after the Ministry of Commerce of China (MOFCOM) placed the U.S. company PVH Group on the Unreliable Entity List," the Ministry issued a FAQs on the Unreliable Entity List regime.</t>
  </si>
  <si>
    <t>Raises possibility of removal</t>
  </si>
  <si>
    <t>FAQ Full Text Chinese (MOFCOM)</t>
  </si>
  <si>
    <t>Announcement on the Release of the Export Control List of Dual-Use Items of the People's Republic of China</t>
  </si>
  <si>
    <t>https://www.gov.cn/zhengce/zhengceku/202411/content_6987846.htm</t>
  </si>
  <si>
    <r>
      <rPr>
        <b/>
        <sz val="12"/>
        <color theme="1"/>
        <rFont val="Calibri (Body)"/>
      </rPr>
      <t xml:space="preserve">2025 Catalogue of Dual-Use Items and Technologies
</t>
    </r>
    <r>
      <rPr>
        <sz val="12"/>
        <color theme="1"/>
        <rFont val="Calibri (Body)"/>
      </rPr>
      <t>Import and Export License Management</t>
    </r>
  </si>
  <si>
    <t>An updated list of dual-use items</t>
  </si>
  <si>
    <t>Press Release (MOFCOM)</t>
  </si>
  <si>
    <t>Full Catalogue (MOFCOM)</t>
  </si>
  <si>
    <t xml:space="preserve">2025 Catalogues of Goods Subject to Import and Export Licensing Management </t>
  </si>
  <si>
    <t>A list of exports and imports subject to lisencing requirements</t>
  </si>
  <si>
    <t>Import Catalogue Announcement</t>
  </si>
  <si>
    <t>Export Catalogue Announcement</t>
  </si>
  <si>
    <t>Export Catalogue</t>
  </si>
  <si>
    <r>
      <rPr>
        <b/>
        <sz val="14"/>
        <color theme="1"/>
        <rFont val="Calibri"/>
        <family val="2"/>
      </rPr>
      <t xml:space="preserve">Mechanism
</t>
    </r>
    <r>
      <rPr>
        <i/>
        <sz val="14"/>
        <color theme="1"/>
        <rFont val="Calibri"/>
        <family val="2"/>
      </rPr>
      <t>0 - Informal 
1 - Formal</t>
    </r>
  </si>
  <si>
    <t>*Entry Ban, Transaction Restriction, Asset Freeze</t>
  </si>
  <si>
    <t>Free text</t>
  </si>
  <si>
    <t xml:space="preserve">Free text. List name of individuals (not position or titles). </t>
  </si>
  <si>
    <t xml:space="preserve">Free text. List name of enitities. </t>
  </si>
  <si>
    <t>Free text.</t>
  </si>
  <si>
    <t>*Includes tariff if coercive (most of China's retaliation)</t>
  </si>
  <si>
    <t>Algeria (Africa)</t>
  </si>
  <si>
    <t>*If in the context of political dispute</t>
  </si>
  <si>
    <t>Angola (Africa)</t>
  </si>
  <si>
    <t>Benin (Africa)</t>
  </si>
  <si>
    <t>Botswana (Africa)</t>
  </si>
  <si>
    <t>Burkina Faso (Africa)</t>
  </si>
  <si>
    <t>Green Technology</t>
  </si>
  <si>
    <t>Burundi (Africa)</t>
  </si>
  <si>
    <t>Finance</t>
  </si>
  <si>
    <t>Cabo Verde (Africa)</t>
  </si>
  <si>
    <t>ICT</t>
  </si>
  <si>
    <t>Cameroon (Africa)</t>
  </si>
  <si>
    <t>Central African Republic (Africa)</t>
  </si>
  <si>
    <t>Chad (Africa)</t>
  </si>
  <si>
    <t>Comoros (Africa)</t>
  </si>
  <si>
    <t>Democratic Republic of the Congo (Africa)</t>
  </si>
  <si>
    <t>Djibouti (Africa)</t>
  </si>
  <si>
    <t>Egypt (Africa)</t>
  </si>
  <si>
    <t>Equatorial Guinea (Africa)</t>
  </si>
  <si>
    <t>Health</t>
  </si>
  <si>
    <t>Eritrea (Africa)</t>
  </si>
  <si>
    <t>Eswatini (Africa)</t>
  </si>
  <si>
    <t>Ethiopia (Africa)</t>
  </si>
  <si>
    <t>Gabon (Africa)</t>
  </si>
  <si>
    <t>Aerospace</t>
  </si>
  <si>
    <t>Gambia (Africa)</t>
  </si>
  <si>
    <t>Ghana (Africa)</t>
  </si>
  <si>
    <t>Guinea (Africa)</t>
  </si>
  <si>
    <t>Guinea-Bissau (Africa)</t>
  </si>
  <si>
    <t>Ivory Coast (Africa)</t>
  </si>
  <si>
    <t>Kenya (Africa)</t>
  </si>
  <si>
    <t>Lesotho (Africa)</t>
  </si>
  <si>
    <t>Liberia (Africa)</t>
  </si>
  <si>
    <t>Libya (Africa)</t>
  </si>
  <si>
    <t>Madagascar (Africa)</t>
  </si>
  <si>
    <t>Malawi (Africa)</t>
  </si>
  <si>
    <t>Mali (Africa)</t>
  </si>
  <si>
    <t>Mauritania (Africa)</t>
  </si>
  <si>
    <t>Mauritius (Africa)</t>
  </si>
  <si>
    <t>Morocco (Africa)</t>
  </si>
  <si>
    <t>Mozambique (Africa)</t>
  </si>
  <si>
    <t>Namibia (Africa)</t>
  </si>
  <si>
    <t>Niger (Africa)</t>
  </si>
  <si>
    <t>Nigeria (Africa)</t>
  </si>
  <si>
    <t>Republic of the Congo (Africa)</t>
  </si>
  <si>
    <t>Rwanda (Africa)</t>
  </si>
  <si>
    <t>Sao Tome and Principe (Africa)</t>
  </si>
  <si>
    <t>Senegal (Africa)</t>
  </si>
  <si>
    <t>Seychelles (Africa)</t>
  </si>
  <si>
    <t>Sierra Leone (Africa)</t>
  </si>
  <si>
    <t>Somalia (Africa)</t>
  </si>
  <si>
    <t>South Africa (Africa)</t>
  </si>
  <si>
    <t>South Sudan (Africa)</t>
  </si>
  <si>
    <t>Sudan (Africa)</t>
  </si>
  <si>
    <t>Tanzania (Africa)</t>
  </si>
  <si>
    <t>Togo (Africa)</t>
  </si>
  <si>
    <t>Tunisia (Africa)</t>
  </si>
  <si>
    <t>Uganda (Africa)</t>
  </si>
  <si>
    <t>Zambia (Africa)</t>
  </si>
  <si>
    <t>Zimbabwe (Africa)</t>
  </si>
  <si>
    <t>Albania (Europe)</t>
  </si>
  <si>
    <t>Andorra (Europe)</t>
  </si>
  <si>
    <t>Austria (Europe)</t>
  </si>
  <si>
    <t>Belarus (Europe)</t>
  </si>
  <si>
    <t>Belgium (Europe)</t>
  </si>
  <si>
    <t>Bosnia and Herzegovina (Europe)</t>
  </si>
  <si>
    <t>Bulgaria (Europe)</t>
  </si>
  <si>
    <t>Croatia (Europe)</t>
  </si>
  <si>
    <t>Denmark (Europe)</t>
  </si>
  <si>
    <t>Finland (Europe)</t>
  </si>
  <si>
    <t>Greece (Europe)</t>
  </si>
  <si>
    <t>Greenland (Europe)</t>
  </si>
  <si>
    <t>Hungary (Europe)</t>
  </si>
  <si>
    <t>Ireland (Europe)</t>
  </si>
  <si>
    <t>Kosovo (Europe)</t>
  </si>
  <si>
    <t>Latvia (Europe)</t>
  </si>
  <si>
    <t>Liechtenstein (Europe)</t>
  </si>
  <si>
    <t>Luxembourg (Europe)</t>
  </si>
  <si>
    <t>Malta (Europe)</t>
  </si>
  <si>
    <t>Moldova (Europe)</t>
  </si>
  <si>
    <t>Monaco (Europe)</t>
  </si>
  <si>
    <t>Montenegro (Europe)</t>
  </si>
  <si>
    <t>Netherlands (Europe)</t>
  </si>
  <si>
    <t>Poland (Europe)</t>
  </si>
  <si>
    <t>Portugal (Europe)</t>
  </si>
  <si>
    <t>Romania (Europe)</t>
  </si>
  <si>
    <t>San Marino (Europe)</t>
  </si>
  <si>
    <t>Serbia (Europe)</t>
  </si>
  <si>
    <t>Slovakia (Europe)</t>
  </si>
  <si>
    <t>Slovenia (Europe)</t>
  </si>
  <si>
    <t>Spain (Europe)</t>
  </si>
  <si>
    <t>Switzerland (Europe)</t>
  </si>
  <si>
    <t>Ukraine (Europe)</t>
  </si>
  <si>
    <t>Vatican City (Europe)</t>
  </si>
  <si>
    <t>Antigua and Barbuda (North America)</t>
  </si>
  <si>
    <t>Bahamas (North America)</t>
  </si>
  <si>
    <t>Barbados (North America)</t>
  </si>
  <si>
    <t>Belize (North America)</t>
  </si>
  <si>
    <t>Costa Rica (North America)</t>
  </si>
  <si>
    <t>Cuba (North America)</t>
  </si>
  <si>
    <t>Dominica (North America)</t>
  </si>
  <si>
    <t>Dominican Republic (North America)</t>
  </si>
  <si>
    <t>El Salvador (North America)</t>
  </si>
  <si>
    <t>Grenada (North America)</t>
  </si>
  <si>
    <t>Guatemala (North America)</t>
  </si>
  <si>
    <t>Haiti (North America)</t>
  </si>
  <si>
    <t>Honduras (North America)</t>
  </si>
  <si>
    <t>Jamaica (North America)</t>
  </si>
  <si>
    <t>Mexico (North America)</t>
  </si>
  <si>
    <t>Nicaragua (North America)</t>
  </si>
  <si>
    <t>Panama (North America)</t>
  </si>
  <si>
    <t>Saint Kitts and Nevis (North America)</t>
  </si>
  <si>
    <t>Saint Lucia (North America)</t>
  </si>
  <si>
    <t>Saint Vincent and the Grenadines (North America)</t>
  </si>
  <si>
    <t>Trinidad and Tobago (North America)</t>
  </si>
  <si>
    <t>Argentina (South America)</t>
  </si>
  <si>
    <t>Bolivia (South America)</t>
  </si>
  <si>
    <t>Brazil (South America)</t>
  </si>
  <si>
    <t>Chile (South America)</t>
  </si>
  <si>
    <t>Colombia (South America)</t>
  </si>
  <si>
    <t>Ecuador (South America)</t>
  </si>
  <si>
    <t>Guyana (South America)</t>
  </si>
  <si>
    <t>Paraguay (South America)</t>
  </si>
  <si>
    <t>Peru (South America)</t>
  </si>
  <si>
    <t>Suriname (South America)</t>
  </si>
  <si>
    <t>Uruguay (South America)</t>
  </si>
  <si>
    <t>Venezuela (South America)</t>
  </si>
  <si>
    <t>Consider</t>
  </si>
  <si>
    <t>Filling in legal basis for all "conversion" cases.</t>
  </si>
  <si>
    <t>1. They are allowed in a heavily censored information environment</t>
  </si>
  <si>
    <t xml:space="preserve">2. The Chinese state has "led by example" on this issues where boycotts have occured, such as by shutting down Marriott's website after it failed to list Taiwan as part of Hong Kong or imposing fines on Muji after it lister Taiwan as the origin of some of its products. </t>
  </si>
  <si>
    <t xml:space="preserve">NB: it is not always clear who drives who (state-society). Nationalist groups have autonomy, and may often act in ways that inspire the state. But it is clear in these cases that the protests occur with the implicit support of the state. </t>
  </si>
  <si>
    <t xml:space="preserve">Boycotts have been bundled together under the same entry when they appear to have taken place as a single movement. Two criteria must be fulfilled for this to be the case. First, they must occur close in time (not more than a couple of months apart). Second, they must be connected either by belonging to a similar sector or country (such as a group of Taiwanese bubble tea companies being targeted) or be targeted for a similar action (such as when several companies were accused of expressing pro-Hong Kong views in mid-2019). </t>
  </si>
  <si>
    <t>Searches in English 2022-2025: China consumer boycott against foreign companies</t>
  </si>
  <si>
    <t>Searches in Chinese 2022-2025: 中国 消费者 抵制 外国 公司</t>
  </si>
  <si>
    <t>Presser (MOFCOM)</t>
  </si>
  <si>
    <r>
      <t xml:space="preserve">This seems more like an </t>
    </r>
    <r>
      <rPr>
        <b/>
        <sz val="14"/>
        <color theme="1"/>
        <rFont val="Calibri"/>
        <family val="2"/>
      </rPr>
      <t>extraterritorial attempt to make multinational firms withdraw from Lithuania than an import control.</t>
    </r>
    <r>
      <rPr>
        <sz val="14"/>
        <color theme="1"/>
        <rFont val="Calibri"/>
        <family val="2"/>
      </rPr>
      <t xml:space="preserve"> The mechanism used is threatening to not import through the multinational firms, but the restriction imposed is in practice a transactional ban, like an extraterritorial targeted sanction almost. I think its fine to code like import control for now but maybe something to think about in the future.
Trigger: Lithuania’s departure from the 17+1 ‘Cooperation between China and Central and Eastern European Countries’ initiative (May 2021) and opening of Taiwanese Representative Office in Lithuania (November 2021).
Explanation: Chinese officials denied occurrence of trade disruption and any links between irregularities and the state of China- Lithuania relations.363 For example, FMA spokesman Zhao Lijian on 22 December 2021: “The Lithuanian side bears the sole responsibility for the severe difficulties in China-Lithuania relations. The claim that China’s authorities “are not clearing Lithuanian shipments” and that “they are rejecting import applications from Lithuania” is not true. If companies face technical problems in exporting certain products to China, they can report to competent Chinese authorities through normal channels ... China doesn’t bully or wantonly sanction others, wield long-arm jurisdiction or suppress foreign businesses. How can anyone accuse it of coercion?”.364
Annotation(s): Restrictions were initially only imposed via blacklists and bureaucratic obstruction. After the EU filed a case in the WTO, conversion began. Some have interpreted this as an effort “to strengthen [China’s] very thin legal basis for actions taken against Vilnius”.365</t>
    </r>
  </si>
  <si>
    <t>Bureaucratic Obstruction; Blacklist</t>
  </si>
  <si>
    <t>Foxconn</t>
  </si>
  <si>
    <t>Semiconductors; ICT; Other Electronics</t>
  </si>
  <si>
    <r>
      <t xml:space="preserve">
The export of </t>
    </r>
    <r>
      <rPr>
        <b/>
        <sz val="14"/>
        <color theme="1"/>
        <rFont val="Calibri (Body)"/>
      </rPr>
      <t>dual-use items to U.S. military users or for military uses is prohibited</t>
    </r>
    <r>
      <rPr>
        <sz val="14"/>
        <color theme="1"/>
        <rFont val="Calibri (Body)"/>
      </rPr>
      <t xml:space="preserve">.
In principle, the export of the relevant dual-use items </t>
    </r>
    <r>
      <rPr>
        <b/>
        <sz val="14"/>
        <color theme="1"/>
        <rFont val="Calibri (Body)"/>
      </rPr>
      <t>gallium, germanium, antimony, and superhard materials</t>
    </r>
    <r>
      <rPr>
        <sz val="14"/>
        <color theme="1"/>
        <rFont val="Calibri (Body)"/>
      </rPr>
      <t xml:space="preserve"> to the United States is </t>
    </r>
    <r>
      <rPr>
        <b/>
        <sz val="14"/>
        <color theme="1"/>
        <rFont val="Calibri (Body)"/>
      </rPr>
      <t>not permitted;</t>
    </r>
    <r>
      <rPr>
        <sz val="14"/>
        <color theme="1"/>
        <rFont val="Calibri (Body)"/>
      </rPr>
      <t xml:space="preserve"> </t>
    </r>
    <r>
      <rPr>
        <b/>
        <sz val="14"/>
        <color theme="1"/>
        <rFont val="Calibri (Body)"/>
      </rPr>
      <t>stricter end-user and end-use checks</t>
    </r>
    <r>
      <rPr>
        <sz val="14"/>
        <color theme="1"/>
        <rFont val="Calibri (Body)"/>
      </rPr>
      <t xml:space="preserve"> will be implemented on exports of dual-use </t>
    </r>
    <r>
      <rPr>
        <b/>
        <sz val="14"/>
        <color theme="1"/>
        <rFont val="Calibri (Body)"/>
      </rPr>
      <t>graphite items</t>
    </r>
    <r>
      <rPr>
        <sz val="14"/>
        <color theme="1"/>
        <rFont val="Calibri (Body)"/>
      </rPr>
      <t xml:space="preserve"> to the United States.
</t>
    </r>
    <r>
      <rPr>
        <b/>
        <sz val="14"/>
        <color theme="1"/>
        <rFont val="Calibri (Body)"/>
      </rPr>
      <t>Any organization or individual from any country</t>
    </r>
    <r>
      <rPr>
        <sz val="14"/>
        <color theme="1"/>
        <rFont val="Calibri (Body)"/>
      </rPr>
      <t xml:space="preserve"> or region found to have </t>
    </r>
    <r>
      <rPr>
        <b/>
        <sz val="14"/>
        <color theme="1"/>
        <rFont val="Calibri (Body)"/>
      </rPr>
      <t>transferred or provided dual-use items originating from the People's Republic of China to U.S. organizations or individuals</t>
    </r>
    <r>
      <rPr>
        <sz val="14"/>
        <color theme="1"/>
        <rFont val="Calibri (Body)"/>
      </rPr>
      <t xml:space="preserve"> in violation of the above provisions will be </t>
    </r>
    <r>
      <rPr>
        <b/>
        <sz val="14"/>
        <color theme="1"/>
        <rFont val="Calibri (Body)"/>
      </rPr>
      <t>held legally accountable</t>
    </r>
    <r>
      <rPr>
        <sz val="14"/>
        <color theme="1"/>
        <rFont val="Calibri (Body)"/>
      </rPr>
      <t xml:space="preserve"> in accordance with the law.</t>
    </r>
  </si>
  <si>
    <r>
      <rPr>
        <b/>
        <sz val="14"/>
        <color theme="1"/>
        <rFont val="Calibri"/>
        <family val="2"/>
      </rPr>
      <t>1. First proper export restriction since 2010?
2. First extraterritorial export control ever ("transshipment" regulation)</t>
    </r>
    <r>
      <rPr>
        <sz val="14"/>
        <color theme="1"/>
        <rFont val="Calibri"/>
        <family val="2"/>
      </rPr>
      <t xml:space="preserve">
"The order is the first time China has included a broad ban on so-called transshipment in a government regulation on exports." (NYT)
"In December 2023, China expanded the controls even further, to the technology and processes that turn refined rare earths into the metals and permanent magnets used in electric vehicles, wind turbines and electronics." (FT)</t>
    </r>
  </si>
  <si>
    <t>Economic motives seem pronounced. 
	If adopted in full, the controls could prevent China’s battery giants with factories in Europe from moving their entire supply chain abroad. Groups such as CATL may need to continue importing battery materials like advanced lithium iron phosphate (LFP) cathodes from China instead of being able to produce or buy them locally, according to a person briefed on the matter.
	The outlined curbs on exporting lithium extraction technology could complicate developments under way from the US to South America. A person close to CATL said the group would need to apply for export licences to use Chinese technology at a $1.4bn project in Bolivia to extract lithium from the country’s salt flats.  "
	“China manufactures something like 95 per cent of the world’s permanent magnets,” said an employee of a US group building up an alternative supply chain.
“The net effect of these export controls is that industrial diversification in some of these supply chains is curtailed.”</t>
  </si>
  <si>
    <t xml:space="preserve">Restrictions on the movement of machinery, components, and technical Chinese managers in the electronics industry to India, including through customs delays and informal directives discouraging firms from establishing manufacturing and assembly operations in India, following supply chain diversification efforts by the U.S. and Europe </t>
  </si>
  <si>
    <t>North Macedonia (Europe)</t>
  </si>
  <si>
    <t>Cyprus (Europe)</t>
  </si>
  <si>
    <t>ASEAN (Asia &amp; Oceania)</t>
  </si>
  <si>
    <t>Afghanistan (Asia &amp; Oceania)</t>
  </si>
  <si>
    <t>Armenia (Asia &amp; Oceania)</t>
  </si>
  <si>
    <t>Azerbaijan (Asia &amp; Oceania)</t>
  </si>
  <si>
    <t>Bahrain (Asia &amp; Oceania)</t>
  </si>
  <si>
    <t>Bangladesh (Asia &amp; Oceania)</t>
  </si>
  <si>
    <t>Bhutan (Asia &amp; Oceania)</t>
  </si>
  <si>
    <t>Brunei (Asia &amp; Oceania)</t>
  </si>
  <si>
    <t>Cambodia (Asia &amp; Oceania)</t>
  </si>
  <si>
    <t>China (Asia &amp; Oceania)</t>
  </si>
  <si>
    <t>Georgia (Asia &amp; Oceania)</t>
  </si>
  <si>
    <t>India (Asia &amp; Oceania)</t>
  </si>
  <si>
    <t>Indonesia (Asia &amp; Oceania)</t>
  </si>
  <si>
    <t>Iran (Asia &amp; Oceania)</t>
  </si>
  <si>
    <t>Iraq (Asia &amp; Oceania)</t>
  </si>
  <si>
    <t>Israel (Asia &amp; Oceania)</t>
  </si>
  <si>
    <t>Japan (Asia &amp; Oceania)</t>
  </si>
  <si>
    <t>Jordan (Asia &amp; Oceania)</t>
  </si>
  <si>
    <t>Kazakhstan (Asia &amp; Oceania)</t>
  </si>
  <si>
    <t>Kuwait (Asia &amp; Oceania)</t>
  </si>
  <si>
    <t>Kyrgyzstan (Asia &amp; Oceania)</t>
  </si>
  <si>
    <t>Laos (Asia &amp; Oceania)</t>
  </si>
  <si>
    <t>Lebanon (Asia &amp; Oceania)</t>
  </si>
  <si>
    <t>Malaysia (Asia &amp; Oceania)</t>
  </si>
  <si>
    <t>Maldives (Asia &amp; Oceania)</t>
  </si>
  <si>
    <t>Mongolia (Asia &amp; Oceania)</t>
  </si>
  <si>
    <t>Myanmar (Burma) (Asia &amp; Oceania)</t>
  </si>
  <si>
    <t>Nepal (Asia &amp; Oceania)</t>
  </si>
  <si>
    <t>North Korea (Asia &amp; Oceania)</t>
  </si>
  <si>
    <t>Oman (Asia &amp; Oceania)</t>
  </si>
  <si>
    <t>Pakistan (Asia &amp; Oceania)</t>
  </si>
  <si>
    <t>Palestine (Asia &amp; Oceania)</t>
  </si>
  <si>
    <t>Philippines (Asia &amp; Oceania)</t>
  </si>
  <si>
    <t>Qatar (Asia &amp; Oceania)</t>
  </si>
  <si>
    <t>Saudi Arabia (Asia &amp; Oceania)</t>
  </si>
  <si>
    <t>Singapore (Asia &amp; Oceania)</t>
  </si>
  <si>
    <t>South Korea (Asia &amp; Oceania)</t>
  </si>
  <si>
    <t>Sri Lanka (Asia &amp; Oceania)</t>
  </si>
  <si>
    <t>Syria (Asia &amp; Oceania)</t>
  </si>
  <si>
    <t>Taiwan (Asia &amp; Oceania)</t>
  </si>
  <si>
    <t>Tajikistan (Asia &amp; Oceania)</t>
  </si>
  <si>
    <t>Thailand (Asia &amp; Oceania)</t>
  </si>
  <si>
    <t>Timor-Leste (Asia &amp; Oceania)</t>
  </si>
  <si>
    <t>Turkey (Asia &amp; Oceania)</t>
  </si>
  <si>
    <t>Turkmenistan (Asia &amp; Oceania)</t>
  </si>
  <si>
    <t>United Arab Emirates (Asia &amp; Oceania)</t>
  </si>
  <si>
    <t>Uzbekistan (Asia &amp; Oceania)</t>
  </si>
  <si>
    <t>Vietnam (Asia &amp; Oceania)</t>
  </si>
  <si>
    <t>Yemen (Asia &amp; Oceania)</t>
  </si>
  <si>
    <t>Russia (Asia &amp; Oceania)</t>
  </si>
  <si>
    <t>Australia (Asia &amp; Oceania)</t>
  </si>
  <si>
    <t>Fiji (Asia &amp; Oceania)</t>
  </si>
  <si>
    <t>Kiribati (Asia &amp; Oceania)</t>
  </si>
  <si>
    <t>Marshall Islands (Asia &amp; Oceania)</t>
  </si>
  <si>
    <t>Micronesia (Asia &amp; Oceania)</t>
  </si>
  <si>
    <t>Nauru (Asia &amp; Oceania)</t>
  </si>
  <si>
    <t>New Zealand (Asia &amp; Oceania)</t>
  </si>
  <si>
    <t>Palau (Asia &amp; Oceania)</t>
  </si>
  <si>
    <t>Papua New Guinea (Asia &amp; Oceania)</t>
  </si>
  <si>
    <t>Samoa (Asia &amp; Oceania)</t>
  </si>
  <si>
    <t>Solomon Islands (Asia &amp; Oceania)</t>
  </si>
  <si>
    <t>Tonga (Asia &amp; Oceania)</t>
  </si>
  <si>
    <t>Tuvalu (Asia &amp; Oceania)</t>
  </si>
  <si>
    <t>Vanuatu (Asia &amp; Oceania)</t>
  </si>
  <si>
    <t>The company drew the ire of Chinese customers after a marketing email sent by the magazine Women's day to its U.S. customers did not include Taiwan in its map of China. The ad, which went with the tagline "Girl Power," showed several countries with different varieties of its makeup.
However, copies of the ad somehow found their way to social media in China, where netizens quickly panicked over the lack of Taiwan on the makeup map of the communist country.
Chinese netizens on China's tightly controlled social media platforms complained that MAC Cosmetics had shown no respect for China's so-called 'one China' principle and dreams of 'reunification' with Taiwan. "I'm Chinese first, then a consumer. Only if you respect the market can the market support you back," wrote one netizen reported Asia &amp; Oceania Times.</t>
  </si>
  <si>
    <t>France (Europe); Japan (Asia &amp; Oceania); Taiwan (Asia &amp; Oceania); Germany (Europe)</t>
  </si>
  <si>
    <t>United States (North America); South Korea (Asia &amp; Oceania); Japan (Asia &amp; Oceania); France (Europe); Austria (Europe); Italy (Europe); Switzerland (Europe)</t>
  </si>
  <si>
    <t>Internet users on the Chinese mainland have blacklisted popular bubble tea brands from Taiwan after a Hong Kong franchise urged solidarity with street protesters in the Asia &amp; Oceanian financial hub.
The online furore began when Yifang Fruit Tea, a maker of the tea-based drink, closed one of its Hong Kong shops for a day and put up a sign that said in Chinese: "Stand together with Hong Kongers".
Yifang and the others were blacklisted by users of China's microblog Weibo. A white list promoted "good" brands.</t>
  </si>
  <si>
    <t>Germany (Europe); Japan (Asia &amp; Oceania); Spain (Europe); Sweden (Europe); United Kingdom (Europe); United States (North America)</t>
  </si>
  <si>
    <t>the mainland has decided to impose punitive measures on these two institutions. These measures include:
Prohibiting leaders of the Prospect Foundation and the Asia &amp; Oceanian Alliance for Freedom and Democracy from entering the mainland, Hong Kong, and Macau.
Prohibiting mainland organizations and individuals from cooperating with these institutions.</t>
  </si>
  <si>
    <t>Prospect Foundation; Asia &amp; Oceanian Pacific League for Freedom and Democracy</t>
  </si>
  <si>
    <t xml:space="preserve">Trigger: Taiwanese President Tsai Ing-wen's meeting with U.S. House Speaker Kevin McCarthy.410 A Chinese spokesperson explicitly foreshadowed retaliation: "We firmly oppose this and will resolutely respond with countermeasures”.411
Explanation: Regarding the formal sanctions, the Council of Asia &amp; Oceanian Liberals and Democrats and the Prospect Foundation said to have “wantonly peddled the idea of ‘Taiwan independence’ in the international arena”, “ingratiate[d] themselves with anti-China forces” and “engaged in incidents that promoted ‘one China, one Taiwan,’ ‘two Chinas’, and other violations of the one-China principle”.413 </t>
  </si>
  <si>
    <t>Decision on Taking Countermeasures Against U.S. Military Companies and Senior Executives
Updated: October 11, 2024 14:59
(Issued on October 10, 2024 as Decree of the Ministry of Foreign Affairs
of the People’s Republic of China No.13, 
effective as of October 10, 2024)
Recently, the U.S. made an announcement on providing substantial military assistance to China’s Taiwan region. This seriously violates the one-China principle and the three China-U.S. Joint Communiqués, interferes in China’s internal affairs, and undermines China’s sovereignty and territorial integrity. Pursuant to Articles 3, 4, 5, 6, 9 and 15 of the Law of the People’s Republic of China on Countering Foreign Sanctions, China hereby decides to take countermeasures against the following U.S. military companies and senior executives:
For the three companies as listed in the attached List of Targets of Countermeasures, i.e., Edge Autonomy Operations LLC, Huntington Ingalls Industries Inc. and Skydio Inc.:
Their movable and immovable properties, and other kinds of assets within China shall be frozen; 
All organizations and individuals within China shall be prohibited from engaging in transaction, cooperation and other activities with them.
For the 10 senior executives as listed in the attached List of Targets of Countermeasures, i.e., Steven Roger Rudder, Founder, Stick Rudder Enterprises LLC; James William Ickes II, Vice President, Sierra Nevada Corporation; David Keith Sutton, Director for Asia &amp; Oceania, Lockheed Martin; Yeong-Tae Pak, Vice President, AeroVironment; Patrick Edward Jankowski, Director, Strategy &amp; Policy INDOPACIFIC Programs, Northrop Grumman Corporation; John Purvis, Former Chief Executive Officer, Edge Autonomy Operations LLC; Josh Brungardt, Chief Operating Officer, Edge Autonomy Operations LLC; Christopher Douglas Kastner, President and Chief Executive Officer, Huntington Ingalls Industries Inc.; Adam Bry, Co-founder and Chief Executive Officer, Skydio Inc.; and Tom Moss, General Manager, APAC, Skydio Inc.:
Their movable and immovable properties, and other kinds of assets within China shall be frozen.
All organizations and individuals within China shall be prohibited from engaging in transaction, cooperation and other activities with them.
They shall be denied visas or entry into China (including Hong Kong and Macao).
This decision shall come into force as of October 10, 2024.
Appendix: List of Targets of Countermeasures 
Ministry of Foreign Affairs
October 10, 2024   
Appendix
List of Targets of Countermeasures
I. Companies
1. Edge Autonomy Operations LLC
2. Huntington Ingalls Industries Inc.
3. Skydio Inc.
II. Senior Executives
1. Steven Roger Rudder, male, Founder, Stick Rudder Enterprises LLC
2. James William Ickes II, male, Vice President, Sierra Nevada Corporation
3. David Keith Sutton, male, Director for Asia &amp; Oceania, Lockheed Martin
4. Yeong-Tae Pak, male, Vice President, AeroVironment
5. Patrick Edward Jankowski, male, Director, Strategy &amp; Policy INDOPACIFIC Programs, Northrop Grumman Corporation
6. John Purvis, male, Former Chief Executive Officer, Edge Autonomy Operations LLC
7. Josh Brungardt, male, Chief Operating Officer, Edge Autonomy Operations LLC
8. Christopher Douglas Kastner, male, President and Chief Executive Officer, Huntington Ingalls Industries Inc.
9. Adam Bry, male, Co-founder and Chief Executive Officer, Skydio Inc.
10. Tom Moss, male, General Manager, APAC, Skydio Inc.</t>
  </si>
  <si>
    <t>A Chinese industry association urged international companies to use cotton produced in Xinjiang after the head of Uniqlo’s parent said the fashion retailer doesn’t source fibre from the region.
Tadashi Yanai, the chief executive officer of Japan’s Fast Retailing Co., made the remark last week in an interview with the BBC, which led to calls on Chinese social media for a boycott of Uniqlo. The US has restricted trade on goods made in Xinjiang on concerns over forced labor, a claim disputed by China.
“We hope international brands like Uniqlo can give Xinjiang cotton full respect and trust,” and resume its use to maintain the development of the global textile industry, the Xinjiang Uighur Autonomous Region’s Cotton Association said in a statement on its official WeChat account on Thursday.
China is the world’s top cotton consumer and producer, with more than 90 percent of its output coming from Xinjiang. The Asia &amp; Oceanian nation is also the biggest textile exporter, but it faces increasing competition from neighbouring countries such as Bangladesh and Vietnam due to rising production costs.
Other global companies have been caught up in controversy relating to Xinjiang. H&amp;M faced a nationalistic backlash in 2021 after a decision to stop using cotton from the region, while more recently, China said it would investigate US apparel maker PVH Corp. for suspected boycotting Xinjiang cotton.
PVH has cooperated fully with China’s Ministry of Commerce, CEO Stefan Larsson said on an earnings call on Thursday, adding that it’s not yet known when the investigation will be concluded. The probe could result in fines and restrict business activities of PVH, the parent of fashion brands Tommy Hilfiger and Calvin Klein, which have a big retail presence in China.
For Uniqlo, a Fast Retailing spokesperson told Bloomberg News on Nov. 30 that the company was “watching the situation carefully.”</t>
  </si>
  <si>
    <t>United States (North America); European Union (Europe); Taiwan (Asia &amp; Oceania); Japan (Asia &amp; Oceania)</t>
  </si>
  <si>
    <t>Among the companies to be hit is Apple’s main manufacturing partner Foxconn, which has been leading the Silicon Valley group’s supply chain diversification into India.
People familiar with the matter said Chinese officials had made it difficult for the Taiwanese-owned contract manufacturer to send machinery and technical Chinese managers to India, where Apple is keen to build up its supply chain.
A manager at another Taiwanese electronics company said that they too were facing challenges sending some equipment out of China to plants in India, though he noted shipments to south-east Asia &amp; Oceania remained normal.
An Indian official alleged China was using customs delays to impede the flow of components and equipment heading south. “Electronic industry supply players have been told not to establish manufacturing and assembly operations in India,” the official said, asking not to be named. Media site Rest of World earlier reported on some of Foxconn’s issues. 
The informal controls appear in particular to target China’s geopolitical rival India, with some Chinese groups saying that projects in south-east Asia &amp; Oceania and the Middle East remain unaffected. But Beijing is also increasingly rolling out formal export restrictions on key technologies that apply worldwide.</t>
  </si>
  <si>
    <t>Taiwan (Asia &amp; Oceania); India (Asia &amp; Oceania)</t>
  </si>
  <si>
    <t>Countersanction</t>
  </si>
  <si>
    <t>Xinjiang</t>
  </si>
  <si>
    <t>Expansion of restricted export list to include 23 areas of technology, including drones, lasers, and encryption, alongside revisions to 21 previously restricted or banned technologies, following U.S. restrictions on Chinese tech firms</t>
  </si>
  <si>
    <r>
      <t>China has decided to sanction</t>
    </r>
    <r>
      <rPr>
        <b/>
        <sz val="14"/>
        <color theme="1"/>
        <rFont val="Calibri"/>
        <family val="2"/>
      </rPr>
      <t xml:space="preserve"> 28 persons</t>
    </r>
    <r>
      <rPr>
        <sz val="14"/>
        <color theme="1"/>
        <rFont val="Calibri"/>
        <family val="2"/>
      </rPr>
      <t xml:space="preserve"> who have seriously violated China's sovereignty and who have been mainly responsible for such U.S. moves on China-related issues. They include Michael R. Pompeo, Peter K. Navarro, Robert C. O'Brien, David R. Stilwell, Matthew Pottinger, Alex M. Azar II, Keith J. Krach, and Kelly D. K. Craft of the Trump administration as well as John R. Bolton and Stephen K. Bannon. These individuals and their immediate family members are </t>
    </r>
    <r>
      <rPr>
        <b/>
        <sz val="14"/>
        <color theme="1"/>
        <rFont val="Calibri"/>
        <family val="2"/>
      </rPr>
      <t>prohibited from entering the mainland</t>
    </r>
    <r>
      <rPr>
        <sz val="14"/>
        <color theme="1"/>
        <rFont val="Calibri"/>
        <family val="2"/>
      </rPr>
      <t xml:space="preserve">, Hong Kong and Macao of China. They and </t>
    </r>
    <r>
      <rPr>
        <b/>
        <sz val="14"/>
        <color theme="1"/>
        <rFont val="Calibri"/>
        <family val="2"/>
      </rPr>
      <t>companies and institutions associated with them are also restricted from doing business</t>
    </r>
    <r>
      <rPr>
        <sz val="14"/>
        <color theme="1"/>
        <rFont val="Calibri"/>
        <family val="2"/>
      </rPr>
      <t xml:space="preserve"> with China.</t>
    </r>
  </si>
  <si>
    <r>
      <t xml:space="preserve">Individuals concerned and their families are </t>
    </r>
    <r>
      <rPr>
        <b/>
        <sz val="14"/>
        <color theme="1"/>
        <rFont val="Calibri (Body)"/>
      </rPr>
      <t xml:space="preserve">prohibited from entering </t>
    </r>
    <r>
      <rPr>
        <sz val="14"/>
        <color theme="1"/>
        <rFont val="Calibri (Body)"/>
      </rPr>
      <t xml:space="preserve">the mainland, Hong Kong and Macao of China. They and companies and institutions associated with them are also </t>
    </r>
    <r>
      <rPr>
        <b/>
        <sz val="14"/>
        <color theme="1"/>
        <rFont val="Calibri (Body)"/>
      </rPr>
      <t>restricted from doing business</t>
    </r>
    <r>
      <rPr>
        <sz val="14"/>
        <color theme="1"/>
        <rFont val="Calibri (Body)"/>
      </rPr>
      <t xml:space="preserve"> with China.</t>
    </r>
  </si>
  <si>
    <t>Countersanctions evidence</t>
  </si>
  <si>
    <r>
      <t xml:space="preserve">An Icelandic man, who works as a lawyer and has criticized the Chinese government in writings in Morgunblaðið, was summoned to a meeting at the Ministry of Foreign Affairs this morning where </t>
    </r>
    <r>
      <rPr>
        <b/>
        <sz val="14"/>
        <color theme="1"/>
        <rFont val="Calibri"/>
        <family val="2"/>
      </rPr>
      <t>he was informed that he had been blacklisted by the Chinese government</t>
    </r>
    <r>
      <rPr>
        <sz val="14"/>
        <color theme="1"/>
        <rFont val="Calibri"/>
        <family val="2"/>
      </rPr>
      <t xml:space="preserve">, one of the few Icelanders. </t>
    </r>
  </si>
  <si>
    <r>
      <t xml:space="preserve">The mainland has decided to take disciplinary measures against the above-mentioned foundations, prohibiting them from cooperating with mainland organizations, enterprises, and individuals, and punishing organizations, enterprises, and individuals that provide funding or services to the above-mentioned foundations in accordance with the law, and taking other necessary measures. Mainland organizations, enterprises, and individuals are </t>
    </r>
    <r>
      <rPr>
        <b/>
        <sz val="14"/>
        <color theme="1"/>
        <rFont val="Calibri"/>
        <family val="2"/>
      </rPr>
      <t>prohibited from conducting any transactions or cooperation with</t>
    </r>
    <r>
      <rPr>
        <sz val="14"/>
        <color theme="1"/>
        <rFont val="Calibri"/>
        <family val="2"/>
      </rPr>
      <t xml:space="preserve"> Xuande Energy, Lingwang Technology, Tianliang Medical, Tianyan Satellite Technology and other companies that have donated to the above-mentioned foundations, and the heads of relevant companies are prohibited from entering the country.</t>
    </r>
  </si>
  <si>
    <t>Announcement of the Working Mechanism of the Unreliable Entity List on the inclusion of Lockheed Martin and Raytheon Missiles &amp; Defense in the Unreliable Entity List, following U.S. arms sales to Taiwan</t>
  </si>
  <si>
    <r>
      <t>To safeguard national sovereignty, security and development interests, in accordance with the Anti-Foreign Sanctions Law of the People's Republic of China, the Foreign Trade Law of the People's Republic of China, the National Security Law of the People's Republic of China and other relevant laws, the Unreliable Entity List Working Mechanism, in accordance with the Unreliable Entity List Regulations,</t>
    </r>
    <r>
      <rPr>
        <b/>
        <sz val="14"/>
        <color theme="1"/>
        <rFont val="Calibri"/>
        <family val="2"/>
      </rPr>
      <t xml:space="preserve"> decided to prohibit</t>
    </r>
    <r>
      <rPr>
        <sz val="14"/>
        <color theme="1"/>
        <rFont val="Calibri"/>
        <family val="2"/>
      </rPr>
      <t xml:space="preserve"> James Donald Taiclet, Frank Andrew St. John, Jesus Malave of Lockheed Martin, Wesley D. Kremer, Agnes Soeder, Chander Nijhon of Raytheon Missiles &amp; Defense, and other senior management of the above two companies from </t>
    </r>
    <r>
      <rPr>
        <b/>
        <sz val="14"/>
        <color theme="1"/>
        <rFont val="Calibri"/>
        <family val="2"/>
      </rPr>
      <t>entering, working, staying and residing in China</t>
    </r>
    <r>
      <rPr>
        <sz val="14"/>
        <color theme="1"/>
        <rFont val="Calibri"/>
        <family val="2"/>
      </rPr>
      <t xml:space="preserve"> from February 16, 2023.
Lockheed Martin and Raytheon Missiles &amp; Defense have long been involved in arms sales to Taiwan, which is of a bad nature. This time, I decided to</t>
    </r>
    <r>
      <rPr>
        <b/>
        <sz val="14"/>
        <color theme="1"/>
        <rFont val="Calibri"/>
        <family val="2"/>
      </rPr>
      <t xml:space="preserve"> ban two US companies from engaging in import and export activities related to China</t>
    </r>
    <r>
      <rPr>
        <sz val="14"/>
        <color theme="1"/>
        <rFont val="Calibri"/>
        <family val="2"/>
      </rPr>
      <t xml:space="preserve">, aiming to prevent Chinese products from being used in their military business. In their business activities, our companies should strengthen due diligence and compliance system construction and verify transaction information. When our companies engage in export, transit, transshipment, and transportation activities, </t>
    </r>
    <r>
      <rPr>
        <b/>
        <sz val="14"/>
        <color theme="1"/>
        <rFont val="Calibri"/>
        <family val="2"/>
      </rPr>
      <t>if they know that the actual importer or user is the above two US companies, they shall not carry out related import and export activities.</t>
    </r>
    <r>
      <rPr>
        <sz val="14"/>
        <color theme="1"/>
        <rFont val="Calibri"/>
        <family val="2"/>
      </rPr>
      <t xml:space="preserve"> For those who violate relevant regulations, the relevant departments will hold them accountable in accordance with the law.</t>
    </r>
  </si>
  <si>
    <t>Inclusion of two US defence companies and associated individuals on the Unreliable Entity List, following U.S. arms sales to Taiwan</t>
  </si>
  <si>
    <t>Announcement No. 23 of 2023 of the Ministry of Commerce and the General Administration of Customs on the Implementation of Export Control on Gallium and Germanium Related Items</t>
  </si>
  <si>
    <t>Export Controls on UAV-Related Items, following Western accusations of Chinese drones used by Russia in Ukraine</t>
  </si>
  <si>
    <t>Temporary export controls on certain drones, following Western accusations of Chinese drones used by Russia in Ukraine</t>
  </si>
  <si>
    <r>
      <t xml:space="preserve">it is decided to implement </t>
    </r>
    <r>
      <rPr>
        <b/>
        <sz val="14"/>
        <color theme="1"/>
        <rFont val="Calibri"/>
        <family val="2"/>
      </rPr>
      <t>temporary export controls</t>
    </r>
    <r>
      <rPr>
        <sz val="14"/>
        <color theme="1"/>
        <rFont val="Calibri"/>
        <family val="2"/>
      </rPr>
      <t xml:space="preserve"> on certain unmanned aerial vehicles.</t>
    </r>
  </si>
  <si>
    <r>
      <t xml:space="preserve">it is decided to implement </t>
    </r>
    <r>
      <rPr>
        <b/>
        <sz val="14"/>
        <color theme="1"/>
        <rFont val="Calibri"/>
        <family val="2"/>
      </rPr>
      <t>export controls on certain unmanned aerial vehicles</t>
    </r>
    <r>
      <rPr>
        <sz val="14"/>
        <color theme="1"/>
        <rFont val="Calibri"/>
        <family val="2"/>
      </rPr>
      <t xml:space="preserve"> or unmanned airship-related items</t>
    </r>
  </si>
  <si>
    <t>Export controls on graphite, entailing license requirements for graphite-related items, following U.S. semiconductor restrictions</t>
  </si>
  <si>
    <r>
      <t>Very similar to germanium and gallium controls (2024-07-03).</t>
    </r>
    <r>
      <rPr>
        <sz val="14"/>
        <color theme="1"/>
        <rFont val="Calibri (Body)"/>
      </rPr>
      <t xml:space="preserve">.
According to Hendrix (PIIE), these license requirements have as of October 2024 not led to any significant drop in exports. However, it may have served as an </t>
    </r>
    <r>
      <rPr>
        <b/>
        <sz val="14"/>
        <color theme="1"/>
        <rFont val="Calibri (Body)"/>
      </rPr>
      <t>information gathering mechanism</t>
    </r>
    <r>
      <rPr>
        <sz val="14"/>
        <color theme="1"/>
        <rFont val="Calibri (Body)"/>
      </rPr>
      <t>. With information on exporters and users, China can impose more costly and targeted sanctions in the future. This may serve as a useful deterrent.</t>
    </r>
  </si>
  <si>
    <t>Introduces export license requirements for graphite-related items.
Application requires information on exporter, importer, end-user, and end-use</t>
  </si>
  <si>
    <t>Sanctions against five US defense companies, following U.S. sanctions and arms sales to Taiwan</t>
  </si>
  <si>
    <t>Decision on taking countermeasures against General Atomics Aeronautical Systems and General Dynamics Land Systems of the United States, following U.S. arms sales to Taiwan</t>
  </si>
  <si>
    <t>Inclusion of General Atomics Aeronautical Systems, Inc. and Three Other U.S. Companies on the Unreliable Entity List, following U.S. arms sales to Taiwan</t>
  </si>
  <si>
    <t>Excludes art 5 of AFSL
China Daily: Last year, he proposed a bill seeking to block companies of China and other "foreign adversaries" from purchasing land near military bases and other sensitive sites.
Last month, Gallagher worked together with congressional fellows, including Representative Jimmy Panetta, on proposing a bill to impose sanctions on any Chinese military firm that provides material support to Russia.</t>
  </si>
  <si>
    <t>China Daily</t>
  </si>
  <si>
    <r>
      <t xml:space="preserve">"For some time, the United States has ignored China's objective and fair position and constructive role in the Ukrainian crisis, and has abused illegal unilateral sanctions against a number of Chinese entities on the grounds of so-called Russian-related factors, engaged in unilateral bullying and economic coercion, and seriously violated the legitimate rights and interests of Chinese companies, institutions and individuals. At the same time, the United States continues to sell weapons to the Taiwan region of China, seriously violating the one-China principle and the provisions of the three Sino-US joint communiqués, seriously interfering in China's internal affairs, and seriously undermining China's sovereignty and territorial integrity."
Very similar in form to subsequent sanctions decisions on US defence industry, but more limited in substance in that it only consists of an asset freeze on firms and entry ban on individuals. </t>
    </r>
    <r>
      <rPr>
        <b/>
        <sz val="14"/>
        <color theme="1"/>
        <rFont val="Calibri (Body)"/>
      </rPr>
      <t xml:space="preserve">Subsequent decisions have gradually become more expansive, including more restrictions. </t>
    </r>
  </si>
  <si>
    <t>First batch of suspensions of tariff concessions on certain products under the Cross-Strait Economic Cooperation Framework Agreement (ECFA), ahead of Taiwanese elections</t>
  </si>
  <si>
    <t>Second batch of suspensions of tariff concessions on certain products under the Cross-Strait Economic Cooperation Framework Agreement (ECFA), following Lai Ching-te's inauguration speech in May 2024.</t>
  </si>
  <si>
    <t>Consolidation and tightening of export controls on UAVs, building on two restrictions imposed on July 31, 2023</t>
  </si>
  <si>
    <t>Export controls on antimony, entailing license requirements for antimony-related items, following U.S. technology restrictions</t>
  </si>
  <si>
    <t>Antimony, superhard materials</t>
  </si>
  <si>
    <t>Four Chinese industry associations urge caution when purchasing American microchips, following U.S. semiconductor export controls</t>
  </si>
  <si>
    <t>Export controls prohibiting the export of certain materials like gallium, germanium, antimony and superhard materials to the United States, alongside stricted reviews for graphite, building on export controls introduced in 2023 and 2024</t>
  </si>
  <si>
    <r>
      <t xml:space="preserve">First use of dual-use regulations and "export control list".
</t>
    </r>
    <r>
      <rPr>
        <sz val="14"/>
        <color theme="1"/>
        <rFont val="Calibri"/>
        <family val="2"/>
      </rPr>
      <t xml:space="preserve">
This round of sanctions occurred shortly after the US Congress passed the "National Defense Authorization Act of 2025 Fiscal Year," which was signed by President Biden and viewed by China as containing multiple "negative provisions related to China". China’s Ministry of Foreign Affairs and the Foreign Affairs Committee of the National People's Congress both expressed "strong dissatisfaction and firm opposition" to the act, accusing it of continuing to hype the "China threat," "advocate military support for Taiwan, suppress China's technological and economic development, restrict Sino-U.S. economic and trade exchanges as well as people-to-people interactions, blatantly interfere in China's internal affairs, and undermine China's sovereignty, security, and development interests." Both vows that "China will take necessary measures in accordance with the law to resolutely safeguard its national sovereignty, security, and development interests."</t>
    </r>
  </si>
  <si>
    <t>Canada Sanctions</t>
  </si>
  <si>
    <t>Temporary anti-dumping measures on co-polymer polyoxymethylene from the United States, the European Union, Taiwan, and Japan, following a set of sanctions introduced by the outgoing Biden administration</t>
  </si>
  <si>
    <r>
      <t>Retaliation against Trump's announcing 10 percent tariffs on China
Framed as non-proliferation and as safeguarding national security. 
"</t>
    </r>
    <r>
      <rPr>
        <b/>
        <sz val="14"/>
        <color theme="1"/>
        <rFont val="Calibri"/>
        <family val="2"/>
      </rPr>
      <t xml:space="preserve">It is an internationally accepted practice to impose export controls on tungsten </t>
    </r>
    <r>
      <rPr>
        <sz val="14"/>
        <color theme="1"/>
        <rFont val="Calibri"/>
        <family val="2"/>
      </rPr>
      <t xml:space="preserve">and other related items. As the world's major producer and exporter of tungsten and other related items, China has long been firmly </t>
    </r>
    <r>
      <rPr>
        <b/>
        <sz val="14"/>
        <color theme="1"/>
        <rFont val="Calibri"/>
        <family val="2"/>
      </rPr>
      <t>fulfilling its international obligations such as non-proliferation</t>
    </r>
    <r>
      <rPr>
        <sz val="14"/>
        <color theme="1"/>
        <rFont val="Calibri"/>
        <family val="2"/>
      </rPr>
      <t>. In accordance with the need to maintain national security and interests, it has implemented export controls on specific related items in accordance with the law." (MOFCOM clarifications)
"As for the five minor metals under new export controls, the U.S. dependence on China for these—tungsten, tellurium, bismuth, molybdenum, and indium—is not as high as it is for gallium, germanium, and antimony." (Geopolitechs)</t>
    </r>
  </si>
  <si>
    <t>Retaliatory tariffs on U.S. goods, including coal, liquefied natural gas, and crude oil, ranging from 10-15 percent, following the Trump administration's announcement of a 10 percent tariff on China</t>
  </si>
  <si>
    <t>Export Controls on Tungsten, Tellurium, Bismuth, Molybdenum, and Indium-Related Items, following the Trump administration's announcement of a 10 percent tariff on China</t>
  </si>
  <si>
    <t>Primary Sanction</t>
  </si>
  <si>
    <t xml:space="preserve">Export controls on certain aerospace, energy, and defence technologies, following esclalating tensions with the U.S. </t>
  </si>
  <si>
    <t>Decision on taking countermeasures against U.S. military-industrial enterprises and senior managers (II), following U.S. arms sales to Taiwan</t>
  </si>
  <si>
    <t>Decision on taking countermeasures against U.S. military-industrial enterprises (III), following U.S. arms sales to Taiwan</t>
  </si>
  <si>
    <t>Decision on taking countermeasures against U.S. military-industrial enterprises and senior managers (IV), following U.S. arms sales to Taiwan</t>
  </si>
  <si>
    <t>Decision on taking countermeasures against U.S. military-industrial enterprises and senior managers (V), following U.S. arms sales to Taiwan</t>
  </si>
  <si>
    <t>Decision on taking countermeasures against U.S. military-industrial enterprises and senior managers (I), following U.S. U.S. sanctions against China and arms sales to Taiwan</t>
  </si>
  <si>
    <t>Decision to Take Countermeasures Against Lockheed Martin Entities and Senior Executives, following U.S. arms sales to Taiwan</t>
  </si>
  <si>
    <t>Hong Kong</t>
  </si>
  <si>
    <t>Geopolitical Dispute</t>
  </si>
  <si>
    <t>Territorial Dispute</t>
  </si>
  <si>
    <t>Economic Dispute</t>
  </si>
  <si>
    <t>Arms Sales to Taiwan</t>
  </si>
  <si>
    <t>Foreign Support for Taiwan</t>
  </si>
  <si>
    <t>Tibet/Dalai Lama</t>
  </si>
  <si>
    <t>Actions of the Taiwanese Government</t>
  </si>
  <si>
    <t>Territorial Dispute; Economic Dispute</t>
  </si>
  <si>
    <t>Foreign Support for Taiwan; Hong Kong</t>
  </si>
  <si>
    <t>Foreign Support for Taiwan; Hong Kong; Tibet/Dalai Lama</t>
  </si>
  <si>
    <t>Actions of the Taiwanese Government; Hong Kong</t>
  </si>
  <si>
    <t>Hong Kong; Other</t>
  </si>
  <si>
    <t>On what grounds do we include boycotts without explicit state support?</t>
  </si>
  <si>
    <t>Same principle with other sanctions.</t>
  </si>
  <si>
    <t>Boycott searches (Google):</t>
  </si>
  <si>
    <t>Primary Sanctions</t>
  </si>
  <si>
    <t>Countersanctions</t>
  </si>
  <si>
    <t>Total</t>
  </si>
  <si>
    <t>Counter vs. Primary</t>
  </si>
  <si>
    <t>Counter vs. Primary Sanctions</t>
  </si>
  <si>
    <t>Issue Area of Perceived Provocation</t>
  </si>
  <si>
    <t>Percent</t>
  </si>
  <si>
    <t>Count</t>
  </si>
  <si>
    <t>Total number of sanctions</t>
  </si>
  <si>
    <t xml:space="preserve">Percent </t>
  </si>
  <si>
    <t>Formal vs. Informal</t>
  </si>
  <si>
    <t>Issue Area of Perceived Provocation (multiple choice)</t>
  </si>
  <si>
    <t>Mechanism (multiple choice)</t>
  </si>
  <si>
    <t>Targeted Individuals/Year</t>
  </si>
  <si>
    <t>2010</t>
  </si>
  <si>
    <t>2011</t>
  </si>
  <si>
    <t>2012</t>
  </si>
  <si>
    <t>2013</t>
  </si>
  <si>
    <t>2014</t>
  </si>
  <si>
    <t>2015</t>
  </si>
  <si>
    <t>2016</t>
  </si>
  <si>
    <t>2017</t>
  </si>
  <si>
    <t>2018</t>
  </si>
  <si>
    <t>2019</t>
  </si>
  <si>
    <t>2020</t>
  </si>
  <si>
    <t>2021</t>
  </si>
  <si>
    <t>2022</t>
  </si>
  <si>
    <t>2023</t>
  </si>
  <si>
    <t>2024</t>
  </si>
  <si>
    <t>2025</t>
  </si>
  <si>
    <t>Targeted Entities/Year</t>
  </si>
  <si>
    <t>Total (sum)</t>
  </si>
  <si>
    <t>Total (direct ref to Master Sheet)</t>
  </si>
  <si>
    <t>Text source (ignore this column)</t>
  </si>
  <si>
    <t>Bahrain (Middle East)</t>
  </si>
  <si>
    <t>Iran (Middle East)</t>
  </si>
  <si>
    <t>Iraq (Middle East)</t>
  </si>
  <si>
    <t>Israel (Middle East)</t>
  </si>
  <si>
    <t>Jordan (Middle East)</t>
  </si>
  <si>
    <t>Kuwait (Middle East)</t>
  </si>
  <si>
    <t>Lebanon (Middle East)</t>
  </si>
  <si>
    <t>Oman (Middle East)</t>
  </si>
  <si>
    <t>Palestine (Middle East)</t>
  </si>
  <si>
    <t>Qatar (Middle East)</t>
  </si>
  <si>
    <t>Saudi Arabia (Middle East)</t>
  </si>
  <si>
    <t>Syria (Middle East)</t>
  </si>
  <si>
    <t>Turkey (Middle East)</t>
  </si>
  <si>
    <t>United Arab Emirates (Middle East)</t>
  </si>
  <si>
    <t>Yemen (Middle East)</t>
  </si>
  <si>
    <r>
      <t xml:space="preserve">China has decided to take countermeasures against the following Canadian institutions and personnel (see the attached countermeasure list for details):
1. </t>
    </r>
    <r>
      <rPr>
        <b/>
        <sz val="14"/>
        <color theme="1"/>
        <rFont val="Calibri"/>
        <family val="2"/>
      </rPr>
      <t xml:space="preserve">Freeze the movable, immovable and other properties </t>
    </r>
    <r>
      <rPr>
        <sz val="14"/>
        <color theme="1"/>
        <rFont val="Calibri"/>
        <family val="2"/>
      </rPr>
      <t xml:space="preserve">of the Uyghur Human Rights Advocacy Project and the Canadian Tibet Committee in my country; prohibit any organization or individual in my country from </t>
    </r>
    <r>
      <rPr>
        <b/>
        <sz val="14"/>
        <color theme="1"/>
        <rFont val="Calibri"/>
        <family val="2"/>
      </rPr>
      <t>engaging in related transactions</t>
    </r>
    <r>
      <rPr>
        <sz val="14"/>
        <color theme="1"/>
        <rFont val="Calibri"/>
        <family val="2"/>
      </rPr>
      <t xml:space="preserve"> or cooperation with them.
2. </t>
    </r>
    <r>
      <rPr>
        <b/>
        <sz val="14"/>
        <color theme="1"/>
        <rFont val="Calibri"/>
        <family val="2"/>
      </rPr>
      <t>Freeze the movable, immovable and other properties</t>
    </r>
    <r>
      <rPr>
        <sz val="14"/>
        <color theme="1"/>
        <rFont val="Calibri"/>
        <family val="2"/>
      </rPr>
      <t xml:space="preserve"> of relevant personnel of the Uyghur Human Rights Advocacy Project and the Canadian Tibet Committee in China; prohibit organizations and individuals in my country from </t>
    </r>
    <r>
      <rPr>
        <b/>
        <sz val="14"/>
        <color theme="1"/>
        <rFont val="Calibri"/>
        <family val="2"/>
      </rPr>
      <t>conducting transactions</t>
    </r>
    <r>
      <rPr>
        <sz val="14"/>
        <color theme="1"/>
        <rFont val="Calibri"/>
        <family val="2"/>
      </rPr>
      <t xml:space="preserve"> and cooperation with them; and </t>
    </r>
    <r>
      <rPr>
        <b/>
        <sz val="14"/>
        <color theme="1"/>
        <rFont val="Calibri"/>
        <family val="2"/>
      </rPr>
      <t>refuse to issue visas</t>
    </r>
    <r>
      <rPr>
        <sz val="14"/>
        <color theme="1"/>
        <rFont val="Calibri"/>
        <family val="2"/>
      </rPr>
      <t xml:space="preserve"> to them and prohibit them from entering the country (including Hong Kong and Macao).</t>
    </r>
  </si>
  <si>
    <t>Reporting (VoA)</t>
  </si>
  <si>
    <t>Other Human Rights Criticism</t>
  </si>
  <si>
    <t>Xinjiang; Tibet/Dalai Lama; Other Human Rights Criticism</t>
  </si>
  <si>
    <t>Tibet/Dalai Lama; Other Human Rights Criticism</t>
  </si>
  <si>
    <t>In late 2019, the Swedish government proposed amendments to the law on the protection of national security in the use of radio equipment.248 These amendments entered into force on 1 January 2020. In practice, they meant that the authority responsible for the auctioning of Sweden’s 5G spectrums, the Post and Telecom Authority (PTS), should consult the Swedish Security Police and Armed Forces on such decisions. These authorities found that the Chinese party-state and intelligence agencies could influence and exert pressure on Huawei and ZTE, which could potentially be harmful to Swedish security. Based on this assessment, PTS announced its decision to exclude these Chinese vendors from central functions of Sweden’s 5G telecommunications networks in October 2020.249 The decision sparked strong reactions from the Chinese side and has received global attention. The Chinese MFA said that Sweden should ‘correct its mistake and avoid negative impact on China-Sweden economic cooperation and the Swedish businesses operating in China’.250 When asked about the potential consequences of the Swedish decision, the Chinese ambassador said that it would ‘negatively affect China-Sweden practical cooperation and the operation of Swedish companies in China’.251 This</t>
  </si>
  <si>
    <t>Summary</t>
  </si>
  <si>
    <t>Restrictions on Ericsson's Operations in China Following Swedish Decision to Exclude Huawei and ZTE from Central Functions of its 5G Networks</t>
  </si>
  <si>
    <r>
      <t xml:space="preserve">Based on this assessment, PTS announced its decision to exclude these Chinese vendors from central functions of Sweden’s 5G telecommunications networks in October 2020.
In October 2021, </t>
    </r>
    <r>
      <rPr>
        <b/>
        <sz val="14"/>
        <color theme="1"/>
        <rFont val="Calibri"/>
        <family val="2"/>
      </rPr>
      <t>Ericsson reported a significant loss of market share in China</t>
    </r>
    <r>
      <rPr>
        <sz val="14"/>
        <color theme="1"/>
        <rFont val="Calibri"/>
        <family val="2"/>
      </rPr>
      <t>.253 Huawei recently sued the Swedish state for the decision.</t>
    </r>
  </si>
  <si>
    <t>Ericsson</t>
  </si>
  <si>
    <t>TOTAL</t>
  </si>
  <si>
    <t>FORMAL</t>
  </si>
  <si>
    <t>INFORMAL</t>
  </si>
  <si>
    <t>Count2</t>
  </si>
  <si>
    <t>Count3</t>
  </si>
  <si>
    <t>Percent2</t>
  </si>
  <si>
    <t>Percent3</t>
  </si>
  <si>
    <t>No auto updates here</t>
  </si>
  <si>
    <t>North America</t>
  </si>
  <si>
    <t>United States</t>
  </si>
  <si>
    <t>Taiwan</t>
  </si>
  <si>
    <t>Asia &amp; Oceania</t>
  </si>
  <si>
    <t>Japan</t>
  </si>
  <si>
    <t>South Korea</t>
  </si>
  <si>
    <t>France</t>
  </si>
  <si>
    <t>Sweden</t>
  </si>
  <si>
    <t>Germany</t>
  </si>
  <si>
    <t>Lithuania</t>
  </si>
  <si>
    <t>Australia</t>
  </si>
  <si>
    <t>Philippines</t>
  </si>
  <si>
    <t>Canada</t>
  </si>
  <si>
    <t>North Korea</t>
  </si>
  <si>
    <t>European Union</t>
  </si>
  <si>
    <t>Italy</t>
  </si>
  <si>
    <t>Russia</t>
  </si>
  <si>
    <t>United Kingdom</t>
  </si>
  <si>
    <t>Mongolia</t>
  </si>
  <si>
    <t>Vietnam</t>
  </si>
  <si>
    <t>Spain</t>
  </si>
  <si>
    <t>Europe</t>
  </si>
  <si>
    <t>Total Sanction Targets</t>
  </si>
  <si>
    <t>India</t>
  </si>
  <si>
    <t>Thailand</t>
  </si>
  <si>
    <t>Turkey</t>
  </si>
  <si>
    <t>Austria</t>
  </si>
  <si>
    <t>Belgium</t>
  </si>
  <si>
    <t>Bulgaria</t>
  </si>
  <si>
    <t>Czech Republic</t>
  </si>
  <si>
    <t>Denmark</t>
  </si>
  <si>
    <t>Estonia</t>
  </si>
  <si>
    <t>Iceland</t>
  </si>
  <si>
    <t>Netherlands</t>
  </si>
  <si>
    <t>Norway</t>
  </si>
  <si>
    <t>Slovakia</t>
  </si>
  <si>
    <t>Switzerland</t>
  </si>
  <si>
    <t>New Zealand</t>
  </si>
  <si>
    <t>Palau</t>
  </si>
  <si>
    <t>No Designated Target</t>
  </si>
  <si>
    <t>percent of all formal sanctions</t>
  </si>
  <si>
    <t>US</t>
  </si>
  <si>
    <t>Asia/Oceania</t>
  </si>
  <si>
    <t>Percentages of total formal sanctions</t>
  </si>
  <si>
    <t>Column Labels</t>
  </si>
  <si>
    <t>Grand Total</t>
  </si>
  <si>
    <t>Row Labels</t>
  </si>
  <si>
    <t>Count of Title</t>
  </si>
  <si>
    <t>Formal Total</t>
  </si>
  <si>
    <t>Informal Total</t>
  </si>
  <si>
    <r>
      <t xml:space="preserve">the Chinese government has decided to </t>
    </r>
    <r>
      <rPr>
        <b/>
        <sz val="14"/>
        <color theme="1"/>
        <rFont val="Calibri"/>
        <family val="2"/>
      </rPr>
      <t xml:space="preserve">suspend the approval of applications for US warships and aircraft to go to Hong Kong </t>
    </r>
    <r>
      <rPr>
        <sz val="14"/>
        <color theme="1"/>
        <rFont val="Calibri"/>
        <family val="2"/>
      </rPr>
      <t xml:space="preserve">for rest and recuperation from today, and at the same time impose </t>
    </r>
    <r>
      <rPr>
        <b/>
        <sz val="14"/>
        <color theme="1"/>
        <rFont val="Calibri"/>
        <family val="2"/>
      </rPr>
      <t>sanctions on</t>
    </r>
    <r>
      <rPr>
        <sz val="14"/>
        <color theme="1"/>
        <rFont val="Calibri"/>
        <family val="2"/>
      </rPr>
      <t xml:space="preserve"> non-governmental organizations such as the "National Endowment for Democracy", "National Democratic Institute for International Affairs", "International Republican Institute", "Human Rights Watch" and "Freedom House" that have performed badly in the Hong Kong amendment storm.</t>
    </r>
  </si>
  <si>
    <t>Sanctions on NGOs and suspension of U.S. warships and aircraft rest and recuperation stays in Hong Kong, in response to the US 'Hong Kong Human Rights and Democracy Act' which authorizes sanctions on officials responsible for human rights abuses</t>
  </si>
  <si>
    <t>Icelandic pensioner placed on Chinese blacklist, following public criticism of the Chinese government and Iceland's plans to participate in Western sanctions on Xinjiang officials</t>
  </si>
  <si>
    <r>
      <t xml:space="preserve">The mainland will punish the above-mentioned "Taiwan independence" diehards listed in the list in accordance with the law, </t>
    </r>
    <r>
      <rPr>
        <b/>
        <sz val="14"/>
        <color theme="1"/>
        <rFont val="Calibri"/>
        <family val="2"/>
      </rPr>
      <t xml:space="preserve">prohibiting them and their families from entering </t>
    </r>
    <r>
      <rPr>
        <sz val="14"/>
        <color theme="1"/>
        <rFont val="Calibri"/>
        <family val="2"/>
      </rPr>
      <t xml:space="preserve">the mainland and the Hong Kong and Macao Special Administrative Regions, </t>
    </r>
    <r>
      <rPr>
        <b/>
        <sz val="14"/>
        <color theme="1"/>
        <rFont val="Calibri"/>
        <family val="2"/>
      </rPr>
      <t>restricting their affiliated institutions from cooperating</t>
    </r>
    <r>
      <rPr>
        <sz val="14"/>
        <color theme="1"/>
        <rFont val="Calibri"/>
        <family val="2"/>
      </rPr>
      <t xml:space="preserve"> with relevant organizations and individuals in the mainland, and </t>
    </r>
    <r>
      <rPr>
        <b/>
        <sz val="14"/>
        <color theme="1"/>
        <rFont val="Calibri"/>
        <family val="2"/>
      </rPr>
      <t>never allowing their affiliated companies and financiers to make profits in the mainland</t>
    </r>
    <r>
      <rPr>
        <sz val="14"/>
        <color theme="1"/>
        <rFont val="Calibri"/>
        <family val="2"/>
      </rPr>
      <t xml:space="preserve">, and taking other necessary disciplinary measures.
　She pointed out that we warn these "Taiwan independence" diehards that anyone who forgets his ancestors, betrays the motherland, and splits the country will never have a good end and will be spurned by the people and judged by history. The mainland will hold the "Taiwan independence" diehards criminally responsible in accordance with the law, and </t>
    </r>
    <r>
      <rPr>
        <b/>
        <sz val="14"/>
        <color theme="1"/>
        <rFont val="Calibri"/>
        <family val="2"/>
      </rPr>
      <t>the sentence will be valid for life.</t>
    </r>
  </si>
  <si>
    <t>Decision on taking countermeasures against the Hudson Institute, the Ronald Reagan Library and their directors, following Tsai Ing-wen Transit Through the U.S.</t>
  </si>
  <si>
    <t>Foreign Ministry Spokesperson Announces China's Sanctions Against Lithuanian Deputy Minister of Transport and Communications Vaiciukevičiūtė, Following Taiwan Visit</t>
  </si>
  <si>
    <t>Taiwan Affairs Office Sanctions on Taiwan Foundation for Democracy and Other Institutions Linked to 'Staunch Taiwan Independence Separatists'</t>
  </si>
  <si>
    <t>Decision on taking countermeasures against anti-China US Congressman Mike McCaul, following Delegation Visit to Taiwan</t>
  </si>
  <si>
    <t>Decision on taking countermeasures against former U.S. Congressman Gallagher, following U.S. Secretary of State Antony Blinken Congratulating Taiwan’s New President, Lai Ching-te on His Inauguration</t>
  </si>
  <si>
    <t>Targeted Sanctions Against U.S. Congressman Jim McGovern, Following the Signing into Law of the 'Resolve Tibet Act'</t>
  </si>
  <si>
    <t xml:space="preserve">Primary Sanction </t>
  </si>
  <si>
    <t xml:space="preserve">Informal </t>
  </si>
  <si>
    <t xml:space="preserve">Formal </t>
  </si>
  <si>
    <t>Formal/Informal Over Time</t>
  </si>
  <si>
    <t>Formal/Informal by Form of Restriction</t>
  </si>
  <si>
    <t>Issue Area of Perceived Provocation by Formal/Informal</t>
  </si>
  <si>
    <t>Sector by Formal/Informal</t>
  </si>
  <si>
    <t xml:space="preserve">Other </t>
  </si>
  <si>
    <t>Anti-dumping Measures on Imports of Brandy Originating in the European Union, following EU tariffs on EVs</t>
  </si>
  <si>
    <r>
      <t xml:space="preserve">• Informal—Conversion [6]:
o TBT: GACC suspended imports from a wide range of food companies. Reporting varies on the number of
companies affected. Some note that imports were listed as ‘suspended’ from 2,066 of the 3,200 Taiwanese companies registered under ‘food’,396 while others put the figure at 180 food companies and more than 100 food products (particularly including biscuits, pastries, and bread) being suspended.397 The reason given by GACC was failure to renew registration with customs as required under ‘Administrative Provisions on Registration of Overseas Manufacturers of Imported Foods (Decree No. 248)’ [248 號《中華人⺠共和國進口食品境外生產企
業註冊管理規定》].398
o TBT: Reports emerged that Taiwanese shipments to China were being rejected for labelling issues regarding the
“Taiwan Area, China” (中國台灣地區) requirement that caused issues during Case 2.33 in 2019.399
o SPS: GACC suspended imports of citrus fruits (grapefruit, lemons, oranges and others), chilled white striped hairtail and frozen horse mackerel from August 3, citing positive COVID-19 tests for the latter two and the detection of pests and excessive residues for the former.400 Note these products were also disrupted in Case 2.39.
o TBT: Seafood Products: On December 8, GACC suspended imports of seafood from 178 Taiwanese producers,
citing failure to comply with documentation requirements necessitated by Decree No. 248 (as discussed above).403 Reports suggested that the products most affected were squid, fourfinger threadfin, Pacific saury, and
skipjack tuna.404
o TBT: Alcoholic and other beverages: On 9 December, GACC announced the suspension of imports of eleven
alcoholic beverages, including Taiwan Beer (produced by the state-owned Taiwan Tobacco and Liquor Corporation) and Kinmen Kaoliang (owned by the Kinmen County Government), and 123 of the 354 beverages registered by Taiwanese traders for export to China.405 The restrictions on beverages were also apparently due to failure to comply with documentation requirements arising from Decree No. 248, though many Taiwanese firms disputed the alleged violations.406
Since last year, mainland customs has repeatedly detected quarantine pests - Planococcus minor, as well as excessive residues of fenthion and dimethoate in citrus fruits exported from Taiwan to the mainland. In June this year, COVID-19 nucleic acid was detected on the packaging of fresh white hairtail and frozen horse mackerel exported from Taiwan to the mainland. In order to prevent risks, in accordance with relevant mainland laws, regulations and standards, it is decided to </t>
    </r>
    <r>
      <rPr>
        <b/>
        <sz val="14"/>
        <color theme="1"/>
        <rFont val="Calibri"/>
        <family val="2"/>
      </rPr>
      <t>suspend the import of citrus fruits and fresh white hairtail and frozen horse mackerel from Taiwan</t>
    </r>
    <r>
      <rPr>
        <sz val="14"/>
        <color theme="1"/>
        <rFont val="Calibri"/>
        <family val="2"/>
      </rPr>
      <t xml:space="preserve"> to the mainland from August 3, 2022.</t>
    </r>
  </si>
  <si>
    <r>
      <t xml:space="preserve">In accordance with the Cybersecurity Law and other laws and regulations, </t>
    </r>
    <r>
      <rPr>
        <b/>
        <sz val="14"/>
        <color theme="1"/>
        <rFont val="Calibri"/>
        <family val="2"/>
      </rPr>
      <t>operators of China's critical information infrastructure should stop purchasing Micron's products.</t>
    </r>
  </si>
  <si>
    <r>
      <t xml:space="preserve">the Unreliable Entity List Working Mechanism has decided to include the US PVH Group and Illumina, Inc. in the Unreliable Entity List … 
The Unreliable Entity List Working Mechanism </t>
    </r>
    <r>
      <rPr>
        <b/>
        <sz val="14"/>
        <color theme="1"/>
        <rFont val="Calibri"/>
        <family val="2"/>
      </rPr>
      <t>will take corresponding measures against the above entities in accordance with relevant laws and regulations.</t>
    </r>
  </si>
  <si>
    <r>
      <t xml:space="preserve">Shall … adopt measures </t>
    </r>
    <r>
      <rPr>
        <b/>
        <sz val="12"/>
        <color theme="1"/>
        <rFont val="Calibri"/>
        <family val="2"/>
      </rPr>
      <t xml:space="preserve">in response to the following actions </t>
    </r>
    <r>
      <rPr>
        <sz val="12"/>
        <color theme="1"/>
        <rFont val="Calibri"/>
        <family val="2"/>
      </rPr>
      <t xml:space="preserve">taken by a foreign entity … (1) endangering national sovereignty, security or development interests of China; (2) suspending normal transactions with an enterprise, other organization, or individual of China ... which violates normal market transaction principles and causes serious damage to the legitimate rights and interests of the enterprise, other organization, or individual of China.
</t>
    </r>
    <r>
      <rPr>
        <b/>
        <sz val="12"/>
        <color theme="1"/>
        <rFont val="Calibri"/>
        <family val="2"/>
      </rPr>
      <t xml:space="preserve">The working mechanism </t>
    </r>
    <r>
      <rPr>
        <sz val="12"/>
        <color theme="1"/>
        <rFont val="Calibri"/>
        <family val="2"/>
      </rPr>
      <t xml:space="preserve">shall ... decide whether to investigate the actions taken by the relevant foreign entity ... an announcement shall be made. ... </t>
    </r>
    <r>
      <rPr>
        <b/>
        <sz val="12"/>
        <color theme="1"/>
        <rFont val="Calibri"/>
        <family val="2"/>
      </rPr>
      <t xml:space="preserve">The foreign entity may state or defend its case </t>
    </r>
    <r>
      <rPr>
        <sz val="12"/>
        <color theme="1"/>
        <rFont val="Calibri"/>
        <family val="2"/>
      </rPr>
      <t>during the investigation.</t>
    </r>
    <r>
      <rPr>
        <b/>
        <sz val="12"/>
        <color theme="1"/>
        <rFont val="Calibri"/>
        <family val="2"/>
      </rPr>
      <t xml:space="preserve">
</t>
    </r>
    <r>
      <rPr>
        <sz val="12"/>
        <color theme="1"/>
        <rFont val="Calibri"/>
        <family val="2"/>
      </rPr>
      <t xml:space="preserve">
The working mechanism may, based on actual circumstances, decide to </t>
    </r>
    <r>
      <rPr>
        <b/>
        <sz val="12"/>
        <color theme="1"/>
        <rFont val="Calibri"/>
        <family val="2"/>
      </rPr>
      <t>remove the foreign entity from the Unreliable Entity List.</t>
    </r>
    <r>
      <rPr>
        <sz val="12"/>
        <color theme="1"/>
        <rFont val="Calibri"/>
        <family val="2"/>
      </rPr>
      <t xml:space="preserve"> Where the relevant foreign entity rectifies its actions within the time limit specified in the announcement and takes measures to eliminate the consequences of its actions, the working mechanism shall make a decision to remove it from the Unreliable Entity List.
</t>
    </r>
    <r>
      <rPr>
        <b/>
        <sz val="12"/>
        <color theme="1"/>
        <rFont val="Calibri"/>
        <family val="2"/>
      </rPr>
      <t xml:space="preserve">
</t>
    </r>
    <r>
      <rPr>
        <u/>
        <sz val="12"/>
        <color theme="1"/>
        <rFont val="Calibri"/>
        <family val="2"/>
      </rPr>
      <t xml:space="preserve">Possible measures: </t>
    </r>
    <r>
      <rPr>
        <b/>
        <sz val="12"/>
        <color theme="1"/>
        <rFont val="Calibri"/>
        <family val="2"/>
      </rPr>
      <t xml:space="preserve">
</t>
    </r>
    <r>
      <rPr>
        <sz val="12"/>
        <color theme="1"/>
        <rFont val="Calibri"/>
        <family val="2"/>
      </rPr>
      <t xml:space="preserve">(1) restricting or prohibiting the foreign entity from engaging in China-related import or export activities;
(2) restricting or prohibiting the foreign entity from investing in China;
(3) restricting or prohibiting the foreign entity’s relevant personnel or means of transportation from entering into China;
(4) restricting or revoking the relevant personnel’s work permit, status of stay or residence in China;
(5) imposing a fine of the corresponding amount according to the severity of the circumstances;
(6) other necessary measures.
</t>
    </r>
  </si>
  <si>
    <t>In accordance with the Tariff Law of the People’s Republic of China, Customs Law of the People's
Republic of China, the Foreign Trade Law of the People's Republic of China, and other relevant laws
and regulations, as well as fundamental principles of international law, and with the approval of the
State Council, China will impose additional tariffs on certain U.S.-origin imports starting from March
10, 2025. The details are as follows:
1. A 15 percent tariff will be imposed on chicken, wheat, corn, and cotton. The specific product list
can be found in Annex 1.
2. A 10 percent tariff will be imposed on sorghum, soybeans, pork, beef, aquatic products, fruits,
vegetables, and dairy products. The specific product list can be found in Annex 2.
3. The additional tariffs will be applied to the listed U.S.-origin imports on top of the current
applicable tariff rates. The existing bonded and tariff reduction/exemption policies will remain
unchanged, but the newly imposed tariffs will not be exempted.
4. Goods that have been shipped from the place of origin before March 10, 2025, and imported
between March 10 and April 12, 2025, will not be subject to the additional tariffs specified in
this announcement.</t>
  </si>
  <si>
    <t>Chicken, wheat, corn, cotton, sorghum, soybeans, pork, beef, aquatic products, fruits, vegetables, dairy products</t>
  </si>
  <si>
    <t>In response to Trump's raising of tariffs on all goods from China by an additional 10 percent, in addition to the 10 percent announced in February.</t>
  </si>
  <si>
    <t xml:space="preserve">
国务院关税税则委员会关于对原产于美国的部分进口商品加征关税的公告
税委会公告2025年第2号
　　2025年3月3日，美国政府宣布以芬太尼为由对所有中国输美商品进一步加征10%关税。美方单边加征关税的做法损害多边贸易体制，加剧美国企业和消费者负担，破坏中美两国经贸合作基础。
　　根据《中华人民共和国关税法》、《中华人民共和国海关法》、《中华人民共和国对外贸易法》等法律法规和国际法基本原则，经国务院批准，自2025年3月10日起，对原产于美国的部分进口商品加征关税。有关事项如下：
　　一、对鸡肉、小麦、玉米、棉花加征15%关税，具体商品范围见附件1。
　　二、对高粱、大豆、猪肉、牛肉、水产品、水果、蔬菜、乳制品加征10%关税，具体商品范围见附件2。
　　三、对原产于美国的附件所列进口商品，在现行适用关税税率基础上分别加征相应关税，现行保税、减免税政策不变，此次加征的关税不予减免。
　　四、2025年3月10日之前，货物已从启运地启运，并于2025年3月10日至2025年4月12日进口的，不加征本公告规定加征的关税。
　　附件：1.加征15%关税商品清单
　　2.加征10%关税商品清单
国务院关税税则委员会
2025年3月4日
附件下载：
附件1 加征15%关税商品清单.pdf
附件2 加征10%关税商品清单.pdf
发布日期：2025年03月04日</t>
  </si>
  <si>
    <t>Retaliatory tariffs on U.S. agricultural products, ranging from 10 to 15 percent, following the Trump administration’s announcement of an additional 10 percent tariff on all Chinese goods, on top of a previously announced 10 percent tariff</t>
  </si>
  <si>
    <t>the Unreliable Entity List Working Mechanism has decided to include Tecom and 10 other entities in the Unreliable Entity List in accordance with Article 2, Article 8 and Article 10 of the Unreliable Entity List Regulations, and to take the following measures:
1. The above-mentioned enterprises are prohibited from engaging in import and export activities related to China;
2. The above-mentioned enterprises are prohibited from making new investments in China.</t>
  </si>
  <si>
    <t>TCOM, Limited Partnership; Stick Rudder Enterprises LLC; Teledyne Brown Engineering, Inc.; Huntington Ingalls Industries Inc.; S3 AeroDefense; Cubic Corporation; TextOre; ACT1 Federal; Exovera; Planate Management Group</t>
  </si>
  <si>
    <t>In response to Trump's raising of tariffs on all goods from China by an additional 10 percent, in addition to the 10 percent announced in February.
"These 10 companies are all U.S. defense contractors with no business operations or revenue in mainland China. However, they have close ties with Taiwan and were already sanctioned last year for arms sales and intelligence cooperation with Taiwan. Measures taken include freezing their assets in China and prohibiting Chinese companies from doing business with them. Placing them on the Unreliable Entity List is essentially a reiteration of previous sanctions." (Geopolitechs)</t>
  </si>
  <si>
    <t>Reporting (Geopolitechs)</t>
  </si>
  <si>
    <t>不可靠实体清单工作机制关于将特科姆公司等10家美国企业列入不可靠实体清单的公告
【发布单位】安全与管制局
【发布文号】不可靠实体清单工作机制公告〔2025〕5号
【发文日期】2025年03月04日
不 可 靠 实 体 清 单 工 作 机 制
公           告
2025年 第5号
为维护国家主权、安全和发展利益，根据《中华人民共和国对外贸易法》《中华人民共和国国家安全法》《中华人民共和国反外国制裁法》等有关法律，不可靠实体清单工作机制依据《不可靠实体清单规定》第二条、第八条和第十条等有关规定，决定将特科姆公司等10家实体列入不可靠实体清单，并采取以下处理措施：
一、禁止上述企业从事与中国有关的进出口活动；
二、禁止上述企业在中国境内新增投资。
本公告未尽事宜，按《不可靠实体清单规定》执行。
本公告自公布之日起实施。
附件：被列入不可靠实体清单的10家美国实体
不可靠实体清单工作机制
（商务部代章）      
2025年3月4日       
        附件
被列入不可靠实体清单的10家美国实体
　　1. 特科姆公司（TCOM,Limited Partnership）
　　2. 摇杆舵公司（Stick Rudder Enterprises LLC）
　　3. 特励达·布朗工程公司（Teledyne Brown Engineering,Inc.）
　　4. 亨廷顿·英格尔斯工业公司（Huntington Ingalls Industries Inc.）
　　5. S3航空防务公司（S3 AeroDefense）
　　6. 立方公司（Cubic Corporation）
　　7. 文本矿公司（TextOre）
　　8. ACT1联邦公司（ACT1 Federal）
　　9. 埃克索维拉公司（Exovera）
　　10. 扁平地球管理公司（Planate Management Group）</t>
  </si>
  <si>
    <t>the Unreliable Entity List Working Mechanism decided to include Illumina, Inc. of the United States in the Unreliable Entity List on February 4, 2025. It is now decided to take the following measures against the company:
         It is prohibited from exporting gene sequencers to China.</t>
  </si>
  <si>
    <t>Listing of 10 U.S. Companies Including Lockheed Martin Missiles and Fire Control on the Unreliable Entity List, following growing tensions with the U.S. including the passing of the "National Defense Authorization Act of 2025 Fiscal Year"</t>
  </si>
  <si>
    <t>Listing of Coastal Electronics and 7 other U.S. Companies on the Unreliable Entity List, following a set of sanctions introduced by the outgoing Biden administration</t>
  </si>
  <si>
    <t>Listing of 4 U.S. Companies including Pacific Rim Defense on the Unreliable Entity List, following a set of sanctions introduced by the outgoing Biden administration</t>
  </si>
  <si>
    <t>Listing of PVH Group and Illumina Inc. On the Unreliable Entity List, following the Trump administration's announcement of a 10 percent tariff on China</t>
  </si>
  <si>
    <t>Listing of 10 US companies including TCOM  to the Unreliable Entity List, following the Trump administration’s announcement of an additional 10 percent tariff on all Chinese goods, on top of a previously announced 10 percent tariff</t>
  </si>
  <si>
    <t>Illumina, Inc.</t>
  </si>
  <si>
    <t>Gene sequencers</t>
  </si>
  <si>
    <t xml:space="preserve">不可靠实体清单工作机制关于对美国因美纳公司采取不可靠实体清单处理措施的公告
【发布单位】安全与管制局
【发布文号】不可靠实体清单工作机制〔2025〕6号
【发文日期】2025年03月04日
不 可 靠 实 体 清 单 工 作 机 制
公           告
2025年 第6号
为维护国家主权、安全和发展利益，根据《中华人民共和国对外贸易法》《中华人民共和国国家安全法》《中华人民共和国反外国制裁法》等有关法律，依据《不可靠实体清单规定》有关规定，不可靠实体清单工作机制决定于2025年2月4日将美国因美纳公司（Illumina, Inc.）列入不可靠实体清单。现决定对该企业采取以下处理措施：
         禁止其向中国出口基因测序仪。
本公告未尽事宜，按《不可靠实体清单规定》执行。
本公告自公布之日起实施。
不可靠实体清单工作机制
（商务部代章）        
  2025年3月4日 </t>
  </si>
  <si>
    <t>Economic Dispute; Arms Sales to Taiwan</t>
  </si>
  <si>
    <t>In response to Trump's raising of tariffs on all goods from China by an additional 10 percent, in addition to the 10 percent announced in February.
"4. Adding 15 U.S. entities to the Export Control List.
These companies are mostly engaged in military, aerospace, and high-tech industries and are key players in the U.S. defense sector. Many are directly involved in arms sales or military cooperation with Taiwan (e.g., Leidos and GA-ASI provide aircraft/drone support to Taiwan, GDLS sells tanks to Taiwan, AeroVironment supplies drone munitions, Gibbs &amp; Cox designs Taiwanese naval vessels, and Rapid Flight/Red Six/Shield AI assist with training or technical support for Taiwan). Others restrict China’s technological development (e.g., Skydio promotes U.S. alternatives to Chinese drones, IPVM exposes China’s surveillance abuses, and SourceMap helps block Xinjiang-related supply chains).
These companies either actively support countering China through military or sanction-related actions or openly express anti-China stances (such as Skydio and Shield AI's pro-Taiwan statements). Among them, satellite communications firm Aerkomm is being sanctioned by China for the first time due to its deep involvement in Taiwan's satellite communication infrastructure, while the rest have already been sanctioned and are restricted from any commercial dealings with China. While most of these sanctions are symbolic, given the complexity of supply chains, it's difficult to predict where a U.S. company's involvement might create bottlenecks—Skydio’s struggle after China cut off its battery supply is a prime example." (Geopolitechs)</t>
  </si>
  <si>
    <t>it is decided to include 15 US entities including Leidos on the export control list (see attachment), and take the following measures:
1. The export of dual-use items to the above-mentioned 15 US entities is prohibited; any related export activities currently underway should be stopped immediately.
2. If export is really necessary under special circumstances, the export operator shall apply to the Ministry of Commerce.</t>
  </si>
  <si>
    <t>Export Control Law; 
Regulations on Export Control of Dual-Use Items</t>
  </si>
  <si>
    <t>Leidos; Gibbs &amp; Cox, Inc.; IP Video Market Info, Inc.; Sourcemap, Inc.; Skydio, Inc.; Rapid Flight LLC; Red Six Solutions; Shield AI, Inc.; HavocAI; Neros Technologies; Group W; Aerkomm Inc.; General Atomics Aeronautical Systems, Inc.; General Dynamics Land Systems; AeroVironment</t>
  </si>
  <si>
    <t>商务部公告2025年第13号 公布将15家美国实体列入出口管制管控名单
【发布单位】安全与管制局
【发布文号】商务部公告2025年第13号
【发文日期】2025年03月04日
根据《中华人民共和国出口管制法》和《中华人民共和国两用物项出口管制条例》等法律法规有关规定，为维护国家安全和利益，履行防扩散等国际义务，决定将莱多斯公司等15家美国实体列入出口管制管控名单（见附件），并采取以下措施：
一、禁止向上述15家美国实体出口两用物项；正在开展的相关出口活动应当立即停止。
二、特殊情况下确需出口的，出口经营者应当向商务部提出申请。
本公告自公布之日起正式实施。
附件：出口管制管控名单（2025年3月4日）
商务部       
2025年3月4日
附件
出口管制管控名单
        （2025年3月4日）
1. 莱多斯公司（Leidos）
2. 吉布斯和考克斯公司（Gibbs&amp;Cox, Inc.）
3. 监控研究公司（IP Video Market Info, Inc.）
4. SourceMap公司（Sourcemap, Inc.）
5. 斯凯迪奥公司（Skydio, Inc.）
6. 急速飞行公司（Rapid Flight LLC）
7. 红色六方案公司（Red Six Solutions）
8. 护盾人工智能公司（Shield AI, Inc.）
9. 浩劫人工智能公司（HavocAI）
10. 尼罗斯科技公司（Neros Technologies）
11. Group W公司（Group W）
12. 爱尔康公司（Aerkomm Inc.）
13. 通用原子航空系统公司（General Atomics Aeronautical Systems, Inc.）
14. 通用动力陆地系统公司（General Dynamics Land Systems）
15. 宇航环境公司（Aero Vironment）</t>
  </si>
  <si>
    <t>In response to Trump's raising of tariffs on all goods from China by an additional 10 percent, in addition to the 10 percent announced in February.
"6. Launching an anti-circumvention investigation into U.S.-origin cut-off wavelength shifted single-mode optical fiber imports.
Notably, this is China’s first-ever anti-circumvention investigation as a trade remedy measure. Cut-off wavelength shifted single-mode optical fiber is a type of fiber that, through structural parameter adjustments (such as refractive index distribution, core, and cladding dimensions), shifts its original cut-off wavelength. By modifying these structural parameters, the fiber's transmission and application characteristics can be altered compared to its originally designed cut-off wavelength.
Since 2010, China has conducted anti-dumping investigations on imported non-dispersion shifted single-mode optical fiber of U.S. and EU origin, and has been imposing anti-dumping duties on such imports from the U.S. and EU since 2017. According to MOFCOM’s announcement, a leading Chinese cable company accused U.S. optical fiber manufacturers Corning Incorporated, OFS Fitel, and their exporters of circumventing the anti-dumping duties by changing the product name and tariff classification. Consequently, MOFCOM has initiated this anti-circumvention investigation. It is evident that the impact of this investigation is limited to a very small number of companies and a narrow industry segment." (Geopolitechs)</t>
  </si>
  <si>
    <t>Unreliable Entity List measure prohibits Illumina Inc. from exporting gene sequencers to China, following the Trump administration’s announcement of an additional 10 percent tariff on all Chinese goods, on top of a previously announced 10 percent tariff</t>
  </si>
  <si>
    <t>Listing of 15 US defence companies on the Export Control List, following the Trump administration’s announcement of an additional 10 percent tariff on all Chinese goods, on top of a previously announced 10 percent tariff</t>
  </si>
  <si>
    <t>Ministry of Commerce adds 28 U.S. entities to the Export Control List, following growing tensions with the U.S. including the passing of the "National Defense Authorization Act of 2025 Fiscal Year"</t>
  </si>
  <si>
    <t>Launch of investigation regarding the circumvention of China's anti-dumping tariffs on imports of certain cut-off wavelength-shifted single-mode optical fibers from the United States, following the Trump administration’s announcement of an additional 10 percent tariff on all Chinese goods, on top of a previously announced 10 percent tariff</t>
  </si>
  <si>
    <t xml:space="preserve">On February 10, 2025 , the Ministry of Commerce received an application from Changfei Optical Fiber and Cable Co., Ltd. ( hereinafter referred to as the Applicant) to initiate an anti-circumvention investigation on relevant optical fiber products from the United States . The Applicant claimed that American optical fiber manufacturers and (or) exporters circumvented the anti-dumping measures on non-dispersion-shifted single-mode optical fibers originating in the United States by using relevant cut-off wavelength-shifted single-mode optical fibers, and requested the Ministry of Commerce to conduct an anti-circumvention investigation and take anti-circumvention measures .
believed that the applicant's claims and the surface evidence submitted met the requirements for filing an anti-circumvention investigation .
In accordance with Article 36 of the Foreign Trade Law of the People's Republic of China , the Ministry of Commerce has decided to investigate the possible circumvention of anti-dumping measures on non-dispersion-shifted single-mode optical fibers originating in the United States by imports of relevant cut-off wavelength-shifted single-mode optical fibers originating in the United States from March 4 , 2025.
</t>
  </si>
  <si>
    <t>Foreign Trade Law;
Anti-dumping Regulations</t>
  </si>
  <si>
    <t>商务部公告2025年第14号 公布对原产于美国的进口相关截止波长位移单模光纤发起反规避调查
【发布单位】贸易救济局
【发布文号】商务部公告2025年第14号
【发文日期】2025年03月04日
2025年2月10日，商务部收到长飞光纤光缆股份有限公司（以下称申请人）提交的关于对美国相关光纤产品发起反规避调查的申请书。申请人主张，美国光纤生产商及（或）出口商，以相关截止波长位移单模光纤规避对原产于美国的非色散位移单模光纤反倾销措施，请求商务部对此进行反规避调查并采取反规避措施。
根据《中华人民共和国对外贸易法》及《中华人民共和国反倾销条例》有关规定，商务部对申请书及相关证据进行了审查，认为申请人的主张以及所提交的表面证据符合反规避调查立案要求。
根据《中华人民共和国对外贸易法》第三十六条规定，商务部决定自2025年3月4日起，对原产于美国的进口相关截止波长位移单模光纤可能规避对原产于美国的非色散位移单模光纤反倾销措施进行调查。现将有关事项公告如下：
一、现行反倾销措施
2011年4月21日，商务部发布2011年第17号公告，决定对原产于美国的进口非色散位移单模光纤征收反倾销税，实施期限为自2011年4月22日起5年。2017年4月21日，商务部发布2017年第20号公告，决定自2017年4月22日起，对原产于美国的进口非色散位移单模光纤继续征收反倾销税，实施期限为5年。2018年7月10日，商务部发布2018年第53号公告，将美国公司所适用的反倾销税率调整为33.3%-78.2%。2023年4月21日，商务部发布2023年第16号公告，决定自2023年4月22日起，对原产于美国的进口非色散位移单模光纤继续征收反倾销税，实施期限为5年。
对美国公司征收的反倾销税税率如下：
美国公司:
1.康宁公司
    （Corning Incorporated）                37.9%
2. OFS-费特有限责任公司
    （OFS Fitel, LLC）                       33.3%
3.德拉克通信美国公司
    （Draka Communications Americas,Inc.）   78.2%
4.其他美国公司                        78.2%
二、被调查产品及调查范围
调查范围：原产于美国的进口相关截止波长位移单模光纤（G.654.C光纤）    
被调查产品名称：相关截止波长位移单模光纤（G.654.C光纤）
英文名称：Certain Cut-off Shifted Single-mode Optical Fiber
产品描述：相关截止波长位移单模光纤（G.654.C光纤）是G.654光纤或G.654单模光纤的子类。G.654.C光纤在1550nm窗口的典型值为：1550nm窗口的衰减在0.14～0.20dB/km，色散系数不超过20ps/(nm×km)。
该产品归在《中华人民共和国海关进出口税则》：90011000。该税则号下的其他产品不在本次被调查产品范围之内。
三、登记参加调查
利害关系方可于本公告发布之日起20日内，向商务部贸易救济调查局登记参加本次反规避调查。参加调查的利害关系方应根据《登记参加调查的参考格式》提供基本身份信息、向中国出口或进口本案被调查产品的数量及金额、生产和销售同类产品的数量及金额以及关联情况等说明材料。《登记参加调查的参考格式》可在商务部网站贸易救济调查局子网站下载。
利害关系方登记参加本次反倾销调查，应通过“贸易救济调查信息化平台”（https://etrb.mofcom.gov.cn）提交电子版本，并根据商务部的要求，同时提交书面版本。电子版本和书面版本内容应相同，格式应保持一致。
本公告所称的利害关系方是指《中华人民共和国反倾销条例》第十九条规定的个人和组织。
四、查阅公开信息
利害关系方可在商务部网站贸易救济调查局子网站下载或到商务部贸易救济公开信息查阅室（电话：0086-10-65197878）查找、阅览、抄录并复印本案申请人提交的申请书的非保密文本。调查过程中，利害关系方可通过相关网站或到商务部贸易救济公开信息查阅室查找、阅览、抄录并复印案件公开信息。
五、对立案的评论
利害关系方可在本公告发布之日起20日内以书面形式将对立案及其他相关问题的评论意见提交至商务部贸易救济调查局。
六、调查程序
根据《中华人民共和国对外贸易法》第三十七条的规定，调查可以采取书面问卷、召开听证会、实地调查、委托调查等方式进行。商务部根据调查结果作出裁定并发布公告。
为获得本案调查所需要的信息，商务部通常在本公告规定的登记参加调查截止之日起10个工作日内向利害关系方发放调查问卷。利害关系方可以从商务部网站贸易救济调查局子网站下载调查问卷。利害关系方应在规定时间内提交完整、准确的答卷。答卷应当包括调查问卷所要求的全部信息。
利害关系方可以书面形式向商务部贸易救济调查局申请举行听证会。
七、信息的提交和处理
利害关系方在调查过程中提交评论意见、答卷等，应通过“贸易救济调查信息化平台”（https://etrb.mofcom.gov.cn）提交电子版本，并根据商务部的要求，同时提交书面版本。电子版本和书面版本内容应相同，格式应保持一致。
利害关系方向商务部提交的信息如需保密的，可向商务部提出对相关信息进行保密处理的请求并说明理由。如商务部同意其请求，申请保密的利害关系方应同时提供该保密信息的非保密概要。非保密概要应当包含充分的有意义的信息，以使其他利害关系方对保密信息能有合理的理解。如不能提供非保密概要，应说明理由。如利害关系方提交的信息未说明需要保密的，商务部将视该信息为公开信息。
八、不合作的后果   
商务部进行调查时，利害关系方应当如实反映情况，提供有关资料。利害关系方所提供的资料应当为规范中文，非中文资料应提交中文译文及原文，并以中文译文为准。利害关系方不如实反映情况、提供有关资料的，或者没有在合理时间内提供必要信息的，或者以其他方式严重妨碍调查的，商务部可以根据已经获得的事实和可获得的最佳信息作出裁定。
九、调查期限
本次调查自2025年3月4日开始，调查期限为6个月，特殊情况下可适当延长。
十、商务部联系方式
地址：中国北京市东长安街2号   
邮编：100731  
商务部贸易救济调查局 进口调查一处     
电话：0086-10-65198435、65198924
传真：0086-10-65198172
网站：商务部网站贸易救济调查局子网站
（http://trb.mofcom.gov.cn）   
                     中华人民共和国商务部
                            2025年3月4日
附件1：对美国相关截止波长位移单模光纤开展反规避调查的申请书（公开文本）.pdf
附件2：相关截止波长位移单模光纤反规避调查登记参加调查的参考格式.wps</t>
  </si>
  <si>
    <t>Optical fibers</t>
  </si>
  <si>
    <t xml:space="preserve">　Recently, Chinese customs detected ergot and soybeans with seed coating agents in imported American soybeans. In order to protect the health of Chinese consumers and ensure the safety of imported food, in accordance with the provisions of the Food Safety Law of the People's Republic of China and its implementing regulations, the Measures for the Supervision and Administration of Inspection and Quarantine of Imported and Exited Grains, and the relevant provisions of the Agreement on the Application of Sanitary and Phytosanitary Measures of the World Trade Organization, the General Administration of Customs has decided to suspend the soybean export qualifications of the three companies involved, CHS Inc. (Chinese registration number: QUSA0824071600058), LOUIS DREYFUS COMPANY GRAINS MERCHANDISING LLC (Chinese registration number: QUSA0823071500143, QUSA0824071600057), and EGT, LLC (Chinese registration number: QUSA0823071500087), from the date of this announcement.
</t>
  </si>
  <si>
    <t>Food Safety Law;
Measures for the Supervision and Administration of Inspection and Quarantine of Imported and Exited Grains;
Agreement on the Application of Sanitary and Phytosanitary Measures of the World Trade Organization</t>
  </si>
  <si>
    <t>Suspension of soy bean imports from three US companies, citing food safety concerns, following the Trump administration’s announcement of an additional 10 percent tariff on all Chinese goods, on top of a previously announced 10 percent tariff</t>
  </si>
  <si>
    <t>Full Text Chinese (GAC)</t>
  </si>
  <si>
    <t>海关总署公告2025年第30号（关于暂停美国CHS Inc.等3家企业大豆输华资质的公告）
　　近期，中国海关在进口的美国大豆中检出麦角和种衣剂大豆。为保护中国消费者健康，确保进口粮食安全，根据《中华人民共和国食品安全法》及其实施条例、《进出境粮食检验检疫监督管理办法》等规定，以及世界贸易组织《实施卫生与植物卫生措施协定》有关规定，海关总署决定自本公告发布之日起暂停CHS Inc.（中方注册号为：QUSA0824071600058）、LOUIS DREYFUS COMPANY GRAINS MERCHANDISING LLC（中方注册号：QUSA0823071500143、QUSA0824071600057）、EGT, LLC（中方注册号：QUSA0823071500087）3家涉事企业大豆输华资质。
　　特此公告。
　　海关总署
　　2025年3月4日
公告下载链接：
海关总署关于暂停美国CHS Inc.等3家企业大豆输华资质的公告.doc
海关总署关于暂停美国CHS Inc.等3家企业大豆输华资质的公告.pdf</t>
  </si>
  <si>
    <t>CHS Inc.; Louis Dreyfus Company Grains Merchandising LLC; EGT, LLC</t>
  </si>
  <si>
    <t>Soybeans</t>
  </si>
  <si>
    <t>Suspension of the import of logs from the US, citing biosafety concerns, following the Trump administration’s announcement of an additional 10 percent tariff on all Chinese goods, on top of a previously announced 10 percent tariff</t>
  </si>
  <si>
    <t>Recently, China Customs has detected quarantine forest pests such as bark beetles and longhorn beetles in imported logs from the United States. In order to prevent the introduction of harmful organisms and protect my country's agricultural and forestry production and ecological security, in accordance with the "Law of the People's Republic of China on Biosafety", "Law of the People's Republic of China on Entry and Exit Animal and Plant Quarantine" and its implementing regulations, "International Standards for Phytosanitary Measures" and other relevant regulations, the General Administration of Customs has decided to suspend the import of logs from the date of this announcement.</t>
  </si>
  <si>
    <t>Biosafety Law;
Law on Entry and Exit Animal and Plant Quarantine;
International Standards for Phytosanitary Measures</t>
  </si>
  <si>
    <t>Logs</t>
  </si>
  <si>
    <t>海关总署公告2025年第29号（关于暂停进口美国原木的公告）
　　近期，中国海关在进口的美国原木中检出小蠹、天牛等检疫性林木害虫。为防止有害生物传入，保护我国农林业生产和生态安全，根据《中华人民共和国生物安全法》、《中华人民共和国进出境动植物检疫法》及其实施条例、《国际植物检疫措施标准》等相关规定，海关总署决定自本公告发布之日起暂停美国原木进口。
　　特此公告。
　　海关总署
　　2025年3月4日
公告下载链接：
海关总署关于暂停进口美国原木的公告.doc
海关总署关于暂停进口美国原木的公告.pdf</t>
  </si>
  <si>
    <t>Convening of a hearing on the investigation of safeguard measures on imported beef</t>
  </si>
  <si>
    <t>https://www.mofcom.gov.cn/zwgk/zcfb/art/2025/art_1f362b75405c49d5bafaa79eb7f38636.html</t>
  </si>
  <si>
    <t>https://web.archive.org/web/20250319205514/https://www.washingtonpost.com/world/2025/03/18/us-china-pork-trade-war/</t>
  </si>
  <si>
    <t>https://www.wto.org/english/news_e/news24_e/safe_chn_27dec24_e.htm</t>
  </si>
  <si>
    <t xml:space="preserve">"Safeguard investigation" launched December 27.
Supposedly signal against US beef industry? Pork was included in the 4 March tariffs. </t>
  </si>
  <si>
    <t>https://www.reuters.com/world/china/china-investigates-beef-imports-oversupply-squeezes-prices-2024-12-27/</t>
  </si>
  <si>
    <t>Seems concerned mainly with genuine oversupply concerns</t>
  </si>
  <si>
    <t>Canola oil, canola meal and peas, pork, fish, seafood</t>
  </si>
  <si>
    <t>国务院关税税则委员会关于对原产于加拿大的部分进口商品加征关税的公告
税委会公告2025年第3号
　　加拿大政府宣布，自2024年10月1日起，对从中国进口的电动汽车加征100%关税；自2024年10月22日起，对从中国进口的钢铁和铝产品加征25%关税。加方措施严重违反世界贸易组织规则，是典型的保护主义做法，构成对中方的歧视性措施，严重损害中方的合法权益。
　　根据《中华人民共和国关税法》、《中华人民共和国海关法》、《中华人民共和国对外贸易法》等法律法规和国际法基本原则，经国务院批准，自2025年3月20日起，对原产于加拿大的部分进口商品加征关税。有关事项如下：
　　一、对菜子油、油渣饼、豌豆加征100%关税，具体商品范围见附件1。
　　二、对水产品、猪肉加征25%关税，具体商品范围见附件2。
　　三、对原产于加拿大的附件所列进口商品，在现行适用关税税率基础上分别加征相应关税，现行保税、减免税政策不变，此次加征的关税不予减免。
　　四、相关进口税收的计征：
　　加征关税税额=关税计税价格×加征关税税率
　　关税=按现行适用税率计算的应纳关税税额+加征关税税额
　　进口环节增值税、消费税按相关法律法规等规定计征。
　　附件：1.加征100%关税商品清单
　　2.加征25%关税商品清单
国务院关税税则委员会
2025年3月8日</t>
  </si>
  <si>
    <t>MOFCOM Conclusion of Investigation</t>
  </si>
  <si>
    <t>Foreign Ministry Spokesperson Announces Sanctions on Relevant US and Canadian Individuals and Entity</t>
  </si>
  <si>
    <t>The Canadian government announced that it will impose a 100% tariff on electric vehicles imported from China from October 1, 2024, and a 25% tariff on steel and aluminum products imported from China from October 22, 2024. Canada's measures seriously violate the rules of the World Trade Organization, are typical protectionist practices, constitute discriminatory measures against China, and seriously undermine China's legitimate rights and interests. 
1. A 100% tariff will be imposed on rapeseed oil, oil cake and peas. The specific scope of commodities is shown in Annex 1.
　　2. A 25% tariff will be imposed on aquatic products and pork. For the specific commodity range, please see Appendix 2.</t>
  </si>
  <si>
    <t>Retaliatory tariffs on Canadian agricultural products, following an investigation (launched in September 2024) finding that Canada's tariffs on Chinese electric vechicles, steel and aluminium were discriminatory</t>
  </si>
  <si>
    <t>"Anti-discrimination tool"
Tariff Law;
Customs Law;
Foreign Trade Law</t>
  </si>
  <si>
    <t>Intended to dissuade further action in line with US policies. Canada's tariffs were prompted by US action (probably to avoid Chinese goods flooding Canada).
Global Times: "It is important for China to send the message at this moment, that if any nations try to gain US favor by imposing extra tariffs on China in return for the US to lift tariffs on them, then China will also use tools to defend its own interests, Shi noted."
NYT: "The Chinese agencies’ statements were carefully worded to comply with World Trade Organization rules and did not mention any effort to influence Canada or Mexico during their current trade discussions with the United States. But a commentary released by China’s state television left little doubt that a key goal for China is dissuading officials in Ottawa and Mexico City from acceding to American pressure for higher Canadian and Mexican tariffs on Chinese goods.
The Chinese tariffs are “a powerful countermeasure to Canada’s wrong choice, and a strong warning to some countries that intend to impose additional tariffs on China in exchange for the United States not to impose additional tariffs on them,” China Central Television said."</t>
  </si>
  <si>
    <t>Reporting</t>
  </si>
  <si>
    <t>Imposition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</si>
</sst>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
    <numFmt numFmtId="166" formatCode="yyyy\-mm\-dd;@"/>
  </numFmts>
  <fonts count="52" x14ac:knownFonts="1">
    <font>
      <sz val="12"/>
      <color theme="1"/>
      <name val="Calibri"/>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b/>
      <sz val="14"/>
      <color theme="1"/>
      <name val="Calibri"/>
      <family val="2"/>
    </font>
    <font>
      <sz val="14"/>
      <color theme="1"/>
      <name val="Calibri"/>
      <family val="2"/>
    </font>
    <font>
      <u/>
      <sz val="14"/>
      <color theme="10"/>
      <name val="Calibri"/>
      <family val="2"/>
    </font>
    <font>
      <sz val="14"/>
      <color theme="10"/>
      <name val="Calibri"/>
      <family val="2"/>
    </font>
    <font>
      <sz val="14"/>
      <color rgb="FF000000"/>
      <name val="Calibri"/>
      <family val="2"/>
    </font>
    <font>
      <u/>
      <sz val="14"/>
      <color rgb="FF0000FF"/>
      <name val="Calibri"/>
      <family val="2"/>
    </font>
    <font>
      <sz val="14"/>
      <color rgb="FF1155CC"/>
      <name val="Arial"/>
      <family val="2"/>
    </font>
    <font>
      <u/>
      <sz val="14"/>
      <color rgb="FF0563C1"/>
      <name val="Calibri"/>
      <family val="2"/>
    </font>
    <font>
      <u/>
      <sz val="12"/>
      <color theme="10"/>
      <name val="Calibri"/>
      <family val="2"/>
    </font>
    <font>
      <u/>
      <sz val="14"/>
      <color theme="10"/>
      <name val="Calibri"/>
      <family val="2"/>
    </font>
    <font>
      <u/>
      <sz val="12"/>
      <color theme="10"/>
      <name val="Calibri"/>
      <family val="2"/>
    </font>
    <font>
      <u/>
      <sz val="12"/>
      <color theme="10"/>
      <name val="Calibri"/>
      <family val="2"/>
    </font>
    <font>
      <u/>
      <sz val="14"/>
      <color rgb="FF0000FF"/>
      <name val="Calibri"/>
      <family val="2"/>
    </font>
    <font>
      <u/>
      <sz val="12"/>
      <color theme="10"/>
      <name val="Calibri"/>
      <family val="2"/>
    </font>
    <font>
      <u/>
      <sz val="14"/>
      <color rgb="FF0000FF"/>
      <name val="Calibri"/>
      <family val="2"/>
    </font>
    <font>
      <u/>
      <sz val="12"/>
      <color theme="10"/>
      <name val="Calibri"/>
      <family val="2"/>
    </font>
    <font>
      <u/>
      <sz val="14"/>
      <color rgb="FF0000FF"/>
      <name val="Calibri"/>
      <family val="2"/>
    </font>
    <font>
      <u/>
      <sz val="14"/>
      <color theme="10"/>
      <name val="Calibri"/>
      <family val="2"/>
    </font>
    <font>
      <u/>
      <sz val="12"/>
      <color theme="10"/>
      <name val="Calibri"/>
      <family val="2"/>
    </font>
    <font>
      <u/>
      <sz val="12"/>
      <color theme="10"/>
      <name val="Calibri"/>
      <family val="2"/>
    </font>
    <font>
      <u/>
      <sz val="12"/>
      <color theme="10"/>
      <name val="Calibri"/>
      <family val="2"/>
    </font>
    <font>
      <u/>
      <sz val="14"/>
      <color rgb="FF0000FF"/>
      <name val="Calibri"/>
      <family val="2"/>
    </font>
    <font>
      <u/>
      <sz val="14"/>
      <color theme="1"/>
      <name val="Calibri"/>
      <family val="2"/>
    </font>
    <font>
      <sz val="14"/>
      <color rgb="FFFF0000"/>
      <name val="Calibri"/>
      <family val="2"/>
    </font>
    <font>
      <sz val="12"/>
      <color theme="1"/>
      <name val="Calibri"/>
      <family val="2"/>
    </font>
    <font>
      <u/>
      <sz val="12"/>
      <color theme="10"/>
      <name val="Calibri"/>
      <family val="2"/>
    </font>
    <font>
      <b/>
      <sz val="12"/>
      <color theme="1"/>
      <name val="Calibri"/>
      <family val="2"/>
    </font>
    <font>
      <u/>
      <sz val="12"/>
      <color rgb="FF0000FF"/>
      <name val="Calibri"/>
      <family val="2"/>
    </font>
    <font>
      <u/>
      <sz val="12"/>
      <color rgb="FF0563C1"/>
      <name val="Calibri"/>
      <family val="2"/>
    </font>
    <font>
      <sz val="12"/>
      <color theme="10"/>
      <name val="Calibri"/>
      <family val="2"/>
    </font>
    <font>
      <sz val="12"/>
      <color rgb="FF000000"/>
      <name val="Calibri"/>
      <family val="2"/>
    </font>
    <font>
      <sz val="12"/>
      <color rgb="FF1155CC"/>
      <name val="Arial"/>
      <family val="2"/>
    </font>
    <font>
      <sz val="12"/>
      <color rgb="FFFF0000"/>
      <name val="Calibri"/>
      <family val="2"/>
    </font>
    <font>
      <u/>
      <sz val="12"/>
      <color theme="1"/>
      <name val="Calibri"/>
      <family val="2"/>
    </font>
    <font>
      <i/>
      <sz val="14"/>
      <color theme="1"/>
      <name val="Calibri"/>
      <family val="2"/>
    </font>
    <font>
      <b/>
      <sz val="14"/>
      <color theme="1"/>
      <name val="Calibri (Body)"/>
    </font>
    <font>
      <sz val="14"/>
      <color theme="1"/>
      <name val="Calibri (Body)"/>
    </font>
    <font>
      <b/>
      <u/>
      <sz val="14"/>
      <color theme="1"/>
      <name val="Calibri"/>
      <family val="2"/>
    </font>
    <font>
      <u/>
      <sz val="14"/>
      <color theme="1"/>
      <name val="Calibri (Body)"/>
    </font>
    <font>
      <b/>
      <sz val="12"/>
      <color theme="1"/>
      <name val="Calibri (Body)"/>
    </font>
    <font>
      <sz val="12"/>
      <color theme="1"/>
      <name val="Calibri (Body)"/>
    </font>
    <font>
      <u/>
      <sz val="12"/>
      <color theme="10"/>
      <name val="Calibri"/>
      <family val="2"/>
      <scheme val="minor"/>
    </font>
    <font>
      <sz val="12"/>
      <color theme="1"/>
      <name val="Calibri"/>
      <family val="2"/>
      <scheme val="minor"/>
    </font>
    <font>
      <sz val="12"/>
      <color rgb="FF000000"/>
      <name val="Calibri"/>
      <family val="2"/>
      <scheme val="minor"/>
    </font>
    <font>
      <b/>
      <sz val="12"/>
      <color theme="1"/>
      <name val="Calibri"/>
      <family val="2"/>
      <scheme val="minor"/>
    </font>
    <font>
      <sz val="10"/>
      <color rgb="FF000000"/>
      <name val="Tahoma"/>
      <family val="2"/>
    </font>
    <font>
      <b/>
      <sz val="10"/>
      <color rgb="FF000000"/>
      <name val="Tahoma"/>
      <family val="2"/>
    </font>
  </fonts>
  <fills count="20">
    <fill>
      <patternFill patternType="none"/>
    </fill>
    <fill>
      <patternFill patternType="gray125"/>
    </fill>
    <fill>
      <patternFill patternType="solid">
        <fgColor rgb="FFDEEAF6"/>
        <bgColor rgb="FFDEEAF6"/>
      </patternFill>
    </fill>
    <fill>
      <patternFill patternType="solid">
        <fgColor rgb="FFFBE4D5"/>
        <bgColor rgb="FFFBE4D5"/>
      </patternFill>
    </fill>
    <fill>
      <patternFill patternType="solid">
        <fgColor rgb="FFFEF2CB"/>
        <bgColor rgb="FFFEF2CB"/>
      </patternFill>
    </fill>
    <fill>
      <patternFill patternType="solid">
        <fgColor rgb="FFE2EFD9"/>
        <bgColor rgb="FFE2EFD9"/>
      </patternFill>
    </fill>
    <fill>
      <patternFill patternType="solid">
        <fgColor theme="9" tint="0.79998168889431442"/>
        <bgColor indexed="64"/>
      </patternFill>
    </fill>
    <fill>
      <patternFill patternType="solid">
        <fgColor theme="4" tint="0.79998168889431442"/>
        <bgColor rgb="FFFBE4D5"/>
      </patternFill>
    </fill>
    <fill>
      <patternFill patternType="solid">
        <fgColor theme="4" tint="0.79998168889431442"/>
        <bgColor rgb="FFDEEAF6"/>
      </patternFill>
    </fill>
    <fill>
      <patternFill patternType="solid">
        <fgColor theme="4"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7" tint="0.39997558519241921"/>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0" tint="-0.249977111117893"/>
        <bgColor indexed="64"/>
      </patternFill>
    </fill>
  </fills>
  <borders count="22">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
      <left style="thin">
        <color rgb="FF000000"/>
      </left>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bottom style="thin">
        <color rgb="FF000000"/>
      </bottom>
      <diagonal/>
    </border>
    <border>
      <left style="thin">
        <color rgb="FF000000"/>
      </left>
      <right/>
      <top style="thin">
        <color rgb="FF000000"/>
      </top>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right style="thin">
        <color rgb="FF000000"/>
      </right>
      <top style="thin">
        <color rgb="FF000000"/>
      </top>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theme="0"/>
      </left>
      <right style="thin">
        <color theme="0"/>
      </right>
      <top style="thin">
        <color theme="0"/>
      </top>
      <bottom style="thin">
        <color theme="0"/>
      </bottom>
      <diagonal/>
    </border>
    <border>
      <left/>
      <right style="thin">
        <color rgb="FFFFFFFF"/>
      </right>
      <top style="thin">
        <color rgb="FFFFFFFF"/>
      </top>
      <bottom style="thin">
        <color rgb="FFFFFFFF"/>
      </bottom>
      <diagonal/>
    </border>
    <border>
      <left style="thin">
        <color theme="0"/>
      </left>
      <right style="thin">
        <color theme="0"/>
      </right>
      <top/>
      <bottom style="thin">
        <color theme="0"/>
      </bottom>
      <diagonal/>
    </border>
  </borders>
  <cellStyleXfs count="3">
    <xf numFmtId="0" fontId="0" fillId="0" borderId="0"/>
    <xf numFmtId="0" fontId="46" fillId="0" borderId="0" applyNumberFormat="0" applyFill="0" applyBorder="0" applyAlignment="0" applyProtection="0"/>
    <xf numFmtId="9" fontId="47" fillId="0" borderId="0" applyFont="0" applyFill="0" applyBorder="0" applyAlignment="0" applyProtection="0"/>
  </cellStyleXfs>
  <cellXfs count="177">
    <xf numFmtId="0" fontId="0" fillId="0" borderId="0" xfId="0"/>
    <xf numFmtId="0" fontId="5" fillId="2" borderId="1" xfId="0" applyFont="1" applyFill="1" applyBorder="1" applyAlignment="1">
      <alignment horizontal="center" vertical="center" wrapText="1"/>
    </xf>
    <xf numFmtId="0" fontId="5" fillId="3" borderId="1" xfId="0" applyFont="1" applyFill="1" applyBorder="1" applyAlignment="1">
      <alignment horizontal="center" vertical="center" wrapText="1"/>
    </xf>
    <xf numFmtId="164" fontId="6" fillId="0" borderId="1" xfId="0" applyNumberFormat="1" applyFont="1" applyBorder="1" applyAlignment="1">
      <alignment horizontal="center" vertical="center" wrapText="1"/>
    </xf>
    <xf numFmtId="0" fontId="6" fillId="0" borderId="1" xfId="0" applyFont="1" applyBorder="1" applyAlignment="1">
      <alignment horizontal="center" vertical="center" wrapText="1"/>
    </xf>
    <xf numFmtId="0" fontId="6" fillId="0" borderId="2" xfId="0" applyFont="1" applyBorder="1" applyAlignment="1">
      <alignment horizontal="center" vertical="center" wrapText="1"/>
    </xf>
    <xf numFmtId="0" fontId="6" fillId="0" borderId="3" xfId="0" applyFont="1" applyBorder="1" applyAlignment="1">
      <alignment horizontal="center" vertical="center" wrapText="1"/>
    </xf>
    <xf numFmtId="0" fontId="7" fillId="0" borderId="1" xfId="0" applyFont="1" applyBorder="1" applyAlignment="1">
      <alignment horizontal="center" vertical="center" wrapText="1"/>
    </xf>
    <xf numFmtId="0" fontId="8" fillId="0" borderId="1" xfId="0" applyFont="1" applyBorder="1" applyAlignment="1">
      <alignment horizontal="center" vertical="center" wrapText="1"/>
    </xf>
    <xf numFmtId="0" fontId="9" fillId="0" borderId="1" xfId="0" applyFont="1" applyBorder="1" applyAlignment="1">
      <alignment horizontal="center" vertical="center" wrapText="1"/>
    </xf>
    <xf numFmtId="0" fontId="10" fillId="0" borderId="1" xfId="0" applyFont="1" applyBorder="1" applyAlignment="1">
      <alignment horizontal="center" vertical="center" wrapText="1"/>
    </xf>
    <xf numFmtId="0" fontId="6" fillId="0" borderId="4" xfId="0" applyFont="1" applyBorder="1" applyAlignment="1">
      <alignment horizontal="center" vertical="center" wrapText="1"/>
    </xf>
    <xf numFmtId="0" fontId="6" fillId="0" borderId="5" xfId="0" applyFont="1" applyBorder="1" applyAlignment="1">
      <alignment horizontal="center" vertical="center" wrapText="1"/>
    </xf>
    <xf numFmtId="0" fontId="6" fillId="0" borderId="6" xfId="0" applyFont="1" applyBorder="1" applyAlignment="1">
      <alignment horizontal="center" vertical="center" wrapText="1"/>
    </xf>
    <xf numFmtId="0" fontId="6" fillId="0" borderId="7" xfId="0" applyFont="1" applyBorder="1" applyAlignment="1">
      <alignment horizontal="center" vertical="center" wrapText="1"/>
    </xf>
    <xf numFmtId="0" fontId="6" fillId="0" borderId="8" xfId="0" applyFont="1" applyBorder="1" applyAlignment="1">
      <alignment horizontal="center" vertical="center" wrapText="1"/>
    </xf>
    <xf numFmtId="0" fontId="6" fillId="0" borderId="9" xfId="0" applyFont="1" applyBorder="1" applyAlignment="1">
      <alignment horizontal="center" vertical="center" wrapText="1"/>
    </xf>
    <xf numFmtId="0" fontId="6" fillId="0" borderId="10" xfId="0" applyFont="1" applyBorder="1" applyAlignment="1">
      <alignment horizontal="center" vertical="center" wrapText="1"/>
    </xf>
    <xf numFmtId="0" fontId="11" fillId="0" borderId="1" xfId="0" applyFont="1" applyBorder="1" applyAlignment="1">
      <alignment horizontal="center" vertical="center" wrapText="1"/>
    </xf>
    <xf numFmtId="0" fontId="12"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6" fillId="0" borderId="0" xfId="0" applyFont="1" applyAlignment="1">
      <alignment horizontal="center" vertical="center" wrapText="1"/>
    </xf>
    <xf numFmtId="0" fontId="14" fillId="0" borderId="0" xfId="0" applyFont="1" applyAlignment="1">
      <alignment horizontal="center" vertical="center" wrapText="1"/>
    </xf>
    <xf numFmtId="0" fontId="15" fillId="0" borderId="0" xfId="0" applyFont="1" applyAlignment="1">
      <alignment horizontal="center" vertical="center" wrapText="1"/>
    </xf>
    <xf numFmtId="0" fontId="6" fillId="0" borderId="1" xfId="0" applyFont="1" applyBorder="1" applyAlignment="1">
      <alignment horizontal="center" vertical="center"/>
    </xf>
    <xf numFmtId="0" fontId="16" fillId="0" borderId="2" xfId="0" applyFont="1" applyBorder="1" applyAlignment="1">
      <alignment horizontal="center" vertical="center" wrapText="1"/>
    </xf>
    <xf numFmtId="0" fontId="17" fillId="0" borderId="11" xfId="0" applyFont="1" applyBorder="1" applyAlignment="1">
      <alignment horizontal="center" vertical="center" wrapText="1"/>
    </xf>
    <xf numFmtId="0" fontId="6" fillId="4" borderId="1" xfId="0" applyFont="1" applyFill="1" applyBorder="1" applyAlignment="1">
      <alignment horizontal="center" vertical="center" wrapText="1"/>
    </xf>
    <xf numFmtId="0" fontId="6" fillId="5" borderId="1" xfId="0" applyFont="1" applyFill="1" applyBorder="1" applyAlignment="1">
      <alignment horizontal="center" vertical="center" wrapText="1"/>
    </xf>
    <xf numFmtId="164" fontId="6" fillId="0" borderId="1" xfId="0" applyNumberFormat="1" applyFont="1" applyBorder="1" applyAlignment="1">
      <alignment horizontal="center" vertical="center"/>
    </xf>
    <xf numFmtId="0" fontId="20" fillId="0" borderId="1" xfId="0" applyFont="1" applyBorder="1" applyAlignment="1">
      <alignment horizontal="center" vertical="center"/>
    </xf>
    <xf numFmtId="0" fontId="21" fillId="0" borderId="1" xfId="0" applyFont="1" applyBorder="1" applyAlignment="1">
      <alignment horizontal="center" vertical="center" wrapText="1"/>
    </xf>
    <xf numFmtId="0" fontId="5" fillId="5" borderId="1" xfId="0" applyFont="1" applyFill="1" applyBorder="1" applyAlignment="1">
      <alignment horizontal="center" vertical="center" wrapText="1"/>
    </xf>
    <xf numFmtId="0" fontId="6" fillId="0" borderId="12" xfId="0" applyFont="1" applyBorder="1" applyAlignment="1">
      <alignment horizontal="center" vertical="center" wrapText="1"/>
    </xf>
    <xf numFmtId="0" fontId="25" fillId="0" borderId="8" xfId="0" applyFont="1" applyBorder="1" applyAlignment="1">
      <alignment horizontal="center" vertical="center" wrapText="1"/>
    </xf>
    <xf numFmtId="0" fontId="27" fillId="0" borderId="1" xfId="0" applyFont="1" applyBorder="1" applyAlignment="1">
      <alignment horizontal="center" vertical="center" wrapText="1"/>
    </xf>
    <xf numFmtId="14" fontId="6" fillId="0" borderId="1" xfId="0" applyNumberFormat="1" applyFont="1" applyBorder="1" applyAlignment="1">
      <alignment horizontal="center" vertical="center" wrapText="1"/>
    </xf>
    <xf numFmtId="0" fontId="6" fillId="0" borderId="0" xfId="0" applyFont="1" applyAlignment="1">
      <alignment horizontal="center" vertical="center"/>
    </xf>
    <xf numFmtId="0" fontId="5" fillId="0" borderId="1" xfId="0" applyFont="1" applyBorder="1" applyAlignment="1">
      <alignment horizontal="center" vertical="center" wrapText="1"/>
    </xf>
    <xf numFmtId="16" fontId="6" fillId="0" borderId="1" xfId="0" applyNumberFormat="1" applyFont="1" applyBorder="1" applyAlignment="1">
      <alignment horizontal="center" vertical="center" wrapText="1"/>
    </xf>
    <xf numFmtId="0" fontId="28" fillId="0" borderId="1" xfId="0" applyFont="1" applyBorder="1" applyAlignment="1">
      <alignment horizontal="center" vertical="center" wrapText="1"/>
    </xf>
    <xf numFmtId="0" fontId="29" fillId="0" borderId="0" xfId="0" applyFont="1"/>
    <xf numFmtId="0" fontId="30" fillId="0" borderId="11" xfId="0" applyFont="1" applyBorder="1" applyAlignment="1">
      <alignment horizontal="center" vertical="center" wrapText="1"/>
    </xf>
    <xf numFmtId="0" fontId="6" fillId="2" borderId="1" xfId="0" applyFont="1" applyFill="1" applyBorder="1" applyAlignment="1">
      <alignment horizontal="center" vertical="center" wrapText="1"/>
    </xf>
    <xf numFmtId="0" fontId="5" fillId="4" borderId="1" xfId="0" applyFont="1" applyFill="1" applyBorder="1" applyAlignment="1">
      <alignment horizontal="center" vertical="center" wrapText="1"/>
    </xf>
    <xf numFmtId="0" fontId="31" fillId="4" borderId="1" xfId="0" applyFont="1" applyFill="1" applyBorder="1" applyAlignment="1">
      <alignment horizontal="center" vertical="center" wrapText="1"/>
    </xf>
    <xf numFmtId="164" fontId="29" fillId="0" borderId="1" xfId="0" applyNumberFormat="1" applyFont="1" applyBorder="1" applyAlignment="1">
      <alignment horizontal="center" vertical="center"/>
    </xf>
    <xf numFmtId="0" fontId="29" fillId="0" borderId="1" xfId="0" applyFont="1" applyBorder="1" applyAlignment="1">
      <alignment horizontal="center" vertical="center" wrapText="1"/>
    </xf>
    <xf numFmtId="0" fontId="29" fillId="0" borderId="2" xfId="0" applyFont="1" applyBorder="1" applyAlignment="1">
      <alignment horizontal="center" vertical="center" wrapText="1"/>
    </xf>
    <xf numFmtId="0" fontId="29" fillId="0" borderId="3" xfId="0" applyFont="1" applyBorder="1" applyAlignment="1">
      <alignment horizontal="center" vertical="center" wrapText="1"/>
    </xf>
    <xf numFmtId="0" fontId="32" fillId="0" borderId="1" xfId="0" applyFont="1" applyBorder="1" applyAlignment="1">
      <alignment horizontal="center" vertical="center" wrapText="1"/>
    </xf>
    <xf numFmtId="0" fontId="29" fillId="0" borderId="4" xfId="0" applyFont="1" applyBorder="1" applyAlignment="1">
      <alignment horizontal="center" vertical="center" wrapText="1"/>
    </xf>
    <xf numFmtId="0" fontId="31" fillId="0" borderId="1" xfId="0" applyFont="1" applyBorder="1" applyAlignment="1">
      <alignment horizontal="center" vertical="center" wrapText="1"/>
    </xf>
    <xf numFmtId="0" fontId="29" fillId="0" borderId="1" xfId="0" applyFont="1" applyBorder="1"/>
    <xf numFmtId="0" fontId="29" fillId="0" borderId="12" xfId="0" applyFont="1" applyBorder="1" applyAlignment="1">
      <alignment horizontal="center" vertical="center" wrapText="1"/>
    </xf>
    <xf numFmtId="0" fontId="29" fillId="0" borderId="7" xfId="0" applyFont="1" applyBorder="1" applyAlignment="1">
      <alignment horizontal="center" vertical="center" wrapText="1"/>
    </xf>
    <xf numFmtId="0" fontId="29" fillId="0" borderId="0" xfId="0" applyFont="1" applyAlignment="1">
      <alignment horizontal="center" vertical="center" wrapText="1"/>
    </xf>
    <xf numFmtId="164" fontId="29" fillId="0" borderId="1" xfId="0" applyNumberFormat="1" applyFont="1" applyBorder="1" applyAlignment="1">
      <alignment horizontal="center" vertical="center" wrapText="1"/>
    </xf>
    <xf numFmtId="0" fontId="29" fillId="0" borderId="10" xfId="0" applyFont="1" applyBorder="1" applyAlignment="1">
      <alignment horizontal="center" vertical="center" wrapText="1"/>
    </xf>
    <xf numFmtId="0" fontId="29" fillId="0" borderId="5" xfId="0" applyFont="1" applyBorder="1" applyAlignment="1">
      <alignment horizontal="center" vertical="center" wrapText="1"/>
    </xf>
    <xf numFmtId="0" fontId="29" fillId="4" borderId="1" xfId="0" applyFont="1" applyFill="1" applyBorder="1" applyAlignment="1">
      <alignment horizontal="center" vertical="center" wrapText="1"/>
    </xf>
    <xf numFmtId="0" fontId="33" fillId="0" borderId="1" xfId="0" applyFont="1" applyBorder="1" applyAlignment="1">
      <alignment horizontal="center" vertical="center" wrapText="1"/>
    </xf>
    <xf numFmtId="0" fontId="34" fillId="0" borderId="1" xfId="0" applyFont="1" applyBorder="1" applyAlignment="1">
      <alignment horizontal="center" vertical="center" wrapText="1"/>
    </xf>
    <xf numFmtId="0" fontId="35" fillId="0" borderId="1" xfId="0" applyFont="1" applyBorder="1" applyAlignment="1">
      <alignment horizontal="center" vertical="center" wrapText="1"/>
    </xf>
    <xf numFmtId="0" fontId="36" fillId="0" borderId="1" xfId="0" applyFont="1" applyBorder="1" applyAlignment="1">
      <alignment horizontal="center" vertical="center" wrapText="1"/>
    </xf>
    <xf numFmtId="16" fontId="29" fillId="0" borderId="1" xfId="0" applyNumberFormat="1" applyFont="1" applyBorder="1" applyAlignment="1">
      <alignment horizontal="center" vertical="center" wrapText="1"/>
    </xf>
    <xf numFmtId="0" fontId="37" fillId="0" borderId="1" xfId="0" applyFont="1" applyBorder="1" applyAlignment="1">
      <alignment horizontal="center" vertical="center" wrapText="1"/>
    </xf>
    <xf numFmtId="0" fontId="38" fillId="0" borderId="1" xfId="0" applyFont="1" applyBorder="1" applyAlignment="1">
      <alignment horizontal="center" vertical="center" wrapText="1"/>
    </xf>
    <xf numFmtId="0" fontId="29" fillId="0" borderId="8" xfId="0" applyFont="1" applyBorder="1" applyAlignment="1">
      <alignment horizontal="center" vertical="center" wrapText="1"/>
    </xf>
    <xf numFmtId="0" fontId="29" fillId="0" borderId="1" xfId="0" applyFont="1" applyBorder="1" applyAlignment="1">
      <alignment horizontal="center" vertical="center"/>
    </xf>
    <xf numFmtId="0" fontId="29" fillId="0" borderId="9" xfId="0" applyFont="1" applyBorder="1" applyAlignment="1">
      <alignment horizontal="center" vertical="center" wrapText="1"/>
    </xf>
    <xf numFmtId="0" fontId="29" fillId="0" borderId="6" xfId="0" applyFont="1" applyBorder="1" applyAlignment="1">
      <alignment horizontal="center" vertical="center" wrapText="1"/>
    </xf>
    <xf numFmtId="0" fontId="29" fillId="0" borderId="0" xfId="0" applyFont="1" applyAlignment="1">
      <alignment horizontal="center" vertical="center"/>
    </xf>
    <xf numFmtId="0" fontId="29" fillId="0" borderId="0" xfId="0" applyFont="1" applyAlignment="1">
      <alignment horizontal="left" wrapText="1"/>
    </xf>
    <xf numFmtId="0" fontId="29" fillId="0" borderId="0" xfId="0" applyFont="1" applyAlignment="1">
      <alignment horizontal="left"/>
    </xf>
    <xf numFmtId="0" fontId="5" fillId="5" borderId="1" xfId="0" applyFont="1" applyFill="1" applyBorder="1" applyAlignment="1">
      <alignment horizontal="left" wrapText="1"/>
    </xf>
    <xf numFmtId="0" fontId="39" fillId="0" borderId="0" xfId="0" applyFont="1" applyAlignment="1">
      <alignment horizontal="left"/>
    </xf>
    <xf numFmtId="0" fontId="5" fillId="5" borderId="1" xfId="0" applyFont="1" applyFill="1" applyBorder="1" applyAlignment="1">
      <alignment horizontal="left"/>
    </xf>
    <xf numFmtId="0" fontId="5" fillId="5" borderId="13" xfId="0" applyFont="1" applyFill="1" applyBorder="1" applyAlignment="1">
      <alignment horizontal="left" wrapText="1"/>
    </xf>
    <xf numFmtId="0" fontId="29" fillId="0" borderId="0" xfId="0" applyFont="1" applyAlignment="1">
      <alignment vertical="top"/>
    </xf>
    <xf numFmtId="0" fontId="29" fillId="0" borderId="0" xfId="0" applyFont="1" applyAlignment="1">
      <alignment vertical="center"/>
    </xf>
    <xf numFmtId="0" fontId="31" fillId="0" borderId="0" xfId="0" applyFont="1"/>
    <xf numFmtId="0" fontId="31" fillId="0" borderId="0" xfId="0" applyFont="1" applyAlignment="1">
      <alignment horizontal="left" vertical="top" wrapText="1"/>
    </xf>
    <xf numFmtId="0" fontId="29" fillId="0" borderId="0" xfId="0" applyFont="1" applyAlignment="1">
      <alignment horizontal="left" vertical="top" wrapText="1"/>
    </xf>
    <xf numFmtId="0" fontId="46" fillId="0" borderId="1" xfId="1" applyBorder="1" applyAlignment="1">
      <alignment horizontal="center" vertical="center" wrapText="1"/>
    </xf>
    <xf numFmtId="0" fontId="18" fillId="0" borderId="1" xfId="0" applyFont="1" applyBorder="1" applyAlignment="1">
      <alignment horizontal="center" vertical="center" wrapText="1"/>
    </xf>
    <xf numFmtId="0" fontId="19" fillId="0" borderId="1" xfId="0" applyFont="1" applyBorder="1" applyAlignment="1">
      <alignment horizontal="center" vertical="center" wrapText="1"/>
    </xf>
    <xf numFmtId="0" fontId="6" fillId="6" borderId="1" xfId="0" applyFont="1" applyFill="1" applyBorder="1" applyAlignment="1">
      <alignment horizontal="center" vertical="center" wrapText="1"/>
    </xf>
    <xf numFmtId="0" fontId="6" fillId="0" borderId="13" xfId="0" applyFont="1" applyBorder="1" applyAlignment="1">
      <alignment horizontal="center" vertical="center" wrapText="1"/>
    </xf>
    <xf numFmtId="0" fontId="7" fillId="0" borderId="4" xfId="0" applyFont="1" applyBorder="1" applyAlignment="1">
      <alignment horizontal="center" vertical="center" wrapText="1"/>
    </xf>
    <xf numFmtId="0" fontId="8" fillId="0" borderId="4" xfId="0" applyFont="1" applyBorder="1" applyAlignment="1">
      <alignment horizontal="center" vertical="center" wrapText="1"/>
    </xf>
    <xf numFmtId="0" fontId="5" fillId="8" borderId="14" xfId="0" applyFont="1" applyFill="1" applyBorder="1" applyAlignment="1">
      <alignment horizontal="center" vertical="center" wrapText="1"/>
    </xf>
    <xf numFmtId="0" fontId="5" fillId="7" borderId="14" xfId="0" applyFont="1" applyFill="1" applyBorder="1" applyAlignment="1">
      <alignment horizontal="center" vertical="center" wrapText="1"/>
    </xf>
    <xf numFmtId="0" fontId="0" fillId="9" borderId="14" xfId="0" applyFill="1" applyBorder="1"/>
    <xf numFmtId="0" fontId="6" fillId="10" borderId="1" xfId="0" applyFont="1" applyFill="1" applyBorder="1" applyAlignment="1">
      <alignment horizontal="center" vertical="center" wrapText="1"/>
    </xf>
    <xf numFmtId="0" fontId="4" fillId="0" borderId="0" xfId="0" applyFont="1"/>
    <xf numFmtId="0" fontId="41" fillId="0" borderId="1" xfId="0" applyFont="1" applyBorder="1" applyAlignment="1">
      <alignment horizontal="center" vertical="center" wrapText="1"/>
    </xf>
    <xf numFmtId="0" fontId="3" fillId="0" borderId="0" xfId="0" applyFont="1"/>
    <xf numFmtId="0" fontId="45" fillId="0" borderId="0" xfId="0" applyFont="1"/>
    <xf numFmtId="0" fontId="44" fillId="0" borderId="0" xfId="0" applyFont="1"/>
    <xf numFmtId="165" fontId="45" fillId="0" borderId="0" xfId="2" applyNumberFormat="1" applyFont="1"/>
    <xf numFmtId="10" fontId="45" fillId="0" borderId="0" xfId="2" applyNumberFormat="1" applyFont="1"/>
    <xf numFmtId="0" fontId="31" fillId="0" borderId="0" xfId="0" applyFont="1" applyAlignment="1">
      <alignment vertical="center"/>
    </xf>
    <xf numFmtId="0" fontId="44" fillId="11" borderId="14" xfId="0" applyFont="1" applyFill="1" applyBorder="1"/>
    <xf numFmtId="49" fontId="45" fillId="0" borderId="0" xfId="0" applyNumberFormat="1" applyFont="1"/>
    <xf numFmtId="166" fontId="45" fillId="0" borderId="0" xfId="0" applyNumberFormat="1" applyFont="1"/>
    <xf numFmtId="166" fontId="6" fillId="0" borderId="4" xfId="0" applyNumberFormat="1" applyFont="1" applyBorder="1" applyAlignment="1">
      <alignment horizontal="center" vertical="center" wrapText="1"/>
    </xf>
    <xf numFmtId="166" fontId="6" fillId="0" borderId="1" xfId="0" applyNumberFormat="1" applyFont="1" applyBorder="1" applyAlignment="1">
      <alignment horizontal="center" vertical="center" wrapText="1"/>
    </xf>
    <xf numFmtId="166" fontId="6" fillId="0" borderId="1" xfId="0" applyNumberFormat="1" applyFont="1" applyBorder="1" applyAlignment="1">
      <alignment horizontal="center" vertical="center"/>
    </xf>
    <xf numFmtId="166" fontId="6" fillId="0" borderId="5" xfId="0" applyNumberFormat="1" applyFont="1" applyBorder="1" applyAlignment="1">
      <alignment horizontal="center" vertical="center" wrapText="1"/>
    </xf>
    <xf numFmtId="166" fontId="6" fillId="0" borderId="0" xfId="0" applyNumberFormat="1" applyFont="1" applyAlignment="1">
      <alignment horizontal="center" vertical="center"/>
    </xf>
    <xf numFmtId="166" fontId="0" fillId="0" borderId="0" xfId="0" applyNumberFormat="1"/>
    <xf numFmtId="49" fontId="44" fillId="0" borderId="0" xfId="0" applyNumberFormat="1" applyFont="1"/>
    <xf numFmtId="0" fontId="48" fillId="0" borderId="0" xfId="0" applyFont="1"/>
    <xf numFmtId="0" fontId="48" fillId="0" borderId="0" xfId="0" applyFont="1" applyAlignment="1">
      <alignment vertical="center"/>
    </xf>
    <xf numFmtId="0" fontId="2" fillId="0" borderId="0" xfId="0" applyFont="1"/>
    <xf numFmtId="0" fontId="44" fillId="13" borderId="14" xfId="0" applyFont="1" applyFill="1" applyBorder="1"/>
    <xf numFmtId="0" fontId="44" fillId="15" borderId="14" xfId="0" applyFont="1" applyFill="1" applyBorder="1"/>
    <xf numFmtId="0" fontId="44" fillId="10" borderId="14" xfId="0" applyFont="1" applyFill="1" applyBorder="1"/>
    <xf numFmtId="0" fontId="44" fillId="9" borderId="14" xfId="0" applyFont="1" applyFill="1" applyBorder="1"/>
    <xf numFmtId="165" fontId="44" fillId="0" borderId="0" xfId="2" applyNumberFormat="1" applyFont="1"/>
    <xf numFmtId="0" fontId="29" fillId="10" borderId="14" xfId="0" applyFont="1" applyFill="1" applyBorder="1" applyAlignment="1">
      <alignment vertical="center"/>
    </xf>
    <xf numFmtId="0" fontId="45" fillId="10" borderId="14" xfId="0" applyFont="1" applyFill="1" applyBorder="1"/>
    <xf numFmtId="10" fontId="0" fillId="0" borderId="0" xfId="2" applyNumberFormat="1" applyFont="1"/>
    <xf numFmtId="0" fontId="46" fillId="0" borderId="4" xfId="1" applyBorder="1" applyAlignment="1">
      <alignment horizontal="center" vertical="center" wrapText="1"/>
    </xf>
    <xf numFmtId="0" fontId="24" fillId="0" borderId="1" xfId="0" applyFont="1" applyBorder="1" applyAlignment="1">
      <alignment horizontal="center" vertical="center" wrapText="1"/>
    </xf>
    <xf numFmtId="0" fontId="23" fillId="0" borderId="5" xfId="0" applyFont="1" applyBorder="1" applyAlignment="1">
      <alignment horizontal="center" vertical="center" wrapText="1"/>
    </xf>
    <xf numFmtId="0" fontId="13" fillId="0" borderId="4" xfId="0" applyFont="1" applyBorder="1" applyAlignment="1">
      <alignment horizontal="center" vertical="center" wrapText="1"/>
    </xf>
    <xf numFmtId="0" fontId="22" fillId="0" borderId="1" xfId="0" applyFont="1" applyBorder="1" applyAlignment="1">
      <alignment horizontal="center" vertical="center" wrapText="1"/>
    </xf>
    <xf numFmtId="0" fontId="7" fillId="0" borderId="5" xfId="0" applyFont="1" applyBorder="1" applyAlignment="1">
      <alignment horizontal="center" vertical="center" wrapText="1"/>
    </xf>
    <xf numFmtId="0" fontId="46" fillId="0" borderId="5" xfId="1" applyBorder="1" applyAlignment="1">
      <alignment horizontal="center" vertical="center" wrapText="1"/>
    </xf>
    <xf numFmtId="0" fontId="26" fillId="0" borderId="1" xfId="0" applyFont="1" applyBorder="1" applyAlignment="1">
      <alignment horizontal="center" vertical="center" wrapText="1"/>
    </xf>
    <xf numFmtId="0" fontId="13" fillId="0" borderId="8" xfId="0" applyFont="1" applyBorder="1" applyAlignment="1">
      <alignment horizontal="center" vertical="center" wrapText="1"/>
    </xf>
    <xf numFmtId="0" fontId="10" fillId="0" borderId="5" xfId="0" applyFont="1" applyBorder="1" applyAlignment="1">
      <alignment horizontal="center" vertical="center" wrapText="1"/>
    </xf>
    <xf numFmtId="0" fontId="23" fillId="0" borderId="1" xfId="0" applyFont="1" applyBorder="1" applyAlignment="1">
      <alignment horizontal="center" vertical="center" wrapText="1"/>
    </xf>
    <xf numFmtId="0" fontId="1" fillId="0" borderId="0" xfId="0" applyFont="1"/>
    <xf numFmtId="0" fontId="1" fillId="17" borderId="19" xfId="0" applyFont="1" applyFill="1" applyBorder="1"/>
    <xf numFmtId="0" fontId="49" fillId="6" borderId="18" xfId="0" applyFont="1" applyFill="1" applyBorder="1"/>
    <xf numFmtId="0" fontId="45" fillId="17" borderId="19" xfId="0" applyFont="1" applyFill="1" applyBorder="1"/>
    <xf numFmtId="0" fontId="45" fillId="18" borderId="19" xfId="0" applyFont="1" applyFill="1" applyBorder="1"/>
    <xf numFmtId="0" fontId="49" fillId="6" borderId="15" xfId="0" applyFont="1" applyFill="1" applyBorder="1"/>
    <xf numFmtId="0" fontId="45" fillId="0" borderId="20" xfId="0" applyFont="1" applyBorder="1"/>
    <xf numFmtId="0" fontId="45" fillId="17" borderId="21" xfId="0" applyFont="1" applyFill="1" applyBorder="1"/>
    <xf numFmtId="0" fontId="44" fillId="6" borderId="16" xfId="0" applyFont="1" applyFill="1" applyBorder="1"/>
    <xf numFmtId="0" fontId="44" fillId="10" borderId="15" xfId="0" applyFont="1" applyFill="1" applyBorder="1"/>
    <xf numFmtId="0" fontId="44" fillId="10" borderId="16" xfId="0" applyFont="1" applyFill="1" applyBorder="1"/>
    <xf numFmtId="0" fontId="44" fillId="9" borderId="15" xfId="0" applyFont="1" applyFill="1" applyBorder="1"/>
    <xf numFmtId="0" fontId="44" fillId="9" borderId="17" xfId="0" applyFont="1" applyFill="1" applyBorder="1"/>
    <xf numFmtId="0" fontId="44" fillId="9" borderId="16" xfId="0" applyFont="1" applyFill="1" applyBorder="1"/>
    <xf numFmtId="0" fontId="44" fillId="11" borderId="15" xfId="0" applyFont="1" applyFill="1" applyBorder="1"/>
    <xf numFmtId="0" fontId="44" fillId="11" borderId="17" xfId="0" applyFont="1" applyFill="1" applyBorder="1"/>
    <xf numFmtId="0" fontId="44" fillId="11" borderId="16" xfId="0" applyFont="1" applyFill="1" applyBorder="1"/>
    <xf numFmtId="0" fontId="0" fillId="0" borderId="0" xfId="0" pivotButton="1"/>
    <xf numFmtId="0" fontId="0" fillId="0" borderId="0" xfId="0" applyAlignment="1">
      <alignment horizontal="left"/>
    </xf>
    <xf numFmtId="0" fontId="0" fillId="10" borderId="0" xfId="0" applyFill="1"/>
    <xf numFmtId="0" fontId="0" fillId="11" borderId="0" xfId="0" applyFill="1"/>
    <xf numFmtId="0" fontId="45" fillId="19" borderId="14" xfId="0" applyFont="1" applyFill="1" applyBorder="1"/>
    <xf numFmtId="0" fontId="31" fillId="19" borderId="14" xfId="0" applyFont="1" applyFill="1" applyBorder="1" applyAlignment="1">
      <alignment vertical="center"/>
    </xf>
    <xf numFmtId="10" fontId="45" fillId="0" borderId="0" xfId="0" applyNumberFormat="1" applyFont="1"/>
    <xf numFmtId="166" fontId="6" fillId="0" borderId="12" xfId="0" applyNumberFormat="1" applyFont="1" applyBorder="1" applyAlignment="1">
      <alignment horizontal="center" vertical="center" wrapText="1"/>
    </xf>
    <xf numFmtId="0" fontId="6" fillId="0" borderId="14" xfId="0" applyFont="1" applyBorder="1" applyAlignment="1">
      <alignment horizontal="center" vertical="center" wrapText="1"/>
    </xf>
    <xf numFmtId="49" fontId="5" fillId="8" borderId="14" xfId="0" applyNumberFormat="1" applyFont="1" applyFill="1" applyBorder="1" applyAlignment="1">
      <alignment horizontal="center" vertical="center" wrapText="1"/>
    </xf>
    <xf numFmtId="49" fontId="6" fillId="0" borderId="4" xfId="0" applyNumberFormat="1" applyFont="1" applyBorder="1" applyAlignment="1">
      <alignment horizontal="center" vertical="center" wrapText="1"/>
    </xf>
    <xf numFmtId="49" fontId="6" fillId="0" borderId="1" xfId="0" applyNumberFormat="1" applyFont="1" applyBorder="1" applyAlignment="1">
      <alignment horizontal="center" vertical="center" wrapText="1"/>
    </xf>
    <xf numFmtId="49" fontId="6" fillId="0" borderId="2" xfId="0" applyNumberFormat="1" applyFont="1" applyBorder="1" applyAlignment="1">
      <alignment horizontal="center" vertical="center" wrapText="1"/>
    </xf>
    <xf numFmtId="49" fontId="6" fillId="0" borderId="5" xfId="0" applyNumberFormat="1" applyFont="1" applyBorder="1" applyAlignment="1">
      <alignment horizontal="center" vertical="center" wrapText="1"/>
    </xf>
    <xf numFmtId="49" fontId="6" fillId="0" borderId="13" xfId="0" applyNumberFormat="1" applyFont="1" applyBorder="1" applyAlignment="1">
      <alignment horizontal="center" vertical="center" wrapText="1"/>
    </xf>
    <xf numFmtId="49" fontId="9" fillId="0" borderId="1" xfId="0" applyNumberFormat="1" applyFont="1" applyBorder="1" applyAlignment="1">
      <alignment horizontal="center" vertical="center" wrapText="1"/>
    </xf>
    <xf numFmtId="49" fontId="6" fillId="0" borderId="14" xfId="0" applyNumberFormat="1" applyFont="1" applyBorder="1" applyAlignment="1">
      <alignment horizontal="center" vertical="center" wrapText="1"/>
    </xf>
    <xf numFmtId="49" fontId="6" fillId="0" borderId="0" xfId="0" applyNumberFormat="1" applyFont="1" applyAlignment="1">
      <alignment horizontal="center" vertical="center" wrapText="1"/>
    </xf>
    <xf numFmtId="49" fontId="0" fillId="0" borderId="0" xfId="0" applyNumberFormat="1"/>
    <xf numFmtId="0" fontId="44" fillId="12" borderId="15" xfId="0" applyFont="1" applyFill="1" applyBorder="1" applyAlignment="1">
      <alignment horizontal="center" vertical="center" wrapText="1"/>
    </xf>
    <xf numFmtId="0" fontId="44" fillId="12" borderId="16" xfId="0" applyFont="1" applyFill="1" applyBorder="1" applyAlignment="1">
      <alignment horizontal="center" vertical="center" wrapText="1"/>
    </xf>
    <xf numFmtId="0" fontId="44" fillId="14" borderId="15" xfId="0" applyFont="1" applyFill="1" applyBorder="1" applyAlignment="1">
      <alignment horizontal="center" vertical="center" wrapText="1"/>
    </xf>
    <xf numFmtId="0" fontId="44" fillId="14" borderId="16" xfId="0" applyFont="1" applyFill="1" applyBorder="1" applyAlignment="1">
      <alignment horizontal="center" vertical="center" wrapText="1"/>
    </xf>
    <xf numFmtId="0" fontId="44" fillId="16" borderId="15" xfId="0" applyFont="1" applyFill="1" applyBorder="1" applyAlignment="1">
      <alignment horizontal="center" vertical="center"/>
    </xf>
    <xf numFmtId="0" fontId="44" fillId="16" borderId="16" xfId="0" applyFont="1" applyFill="1" applyBorder="1" applyAlignment="1">
      <alignment horizontal="center" vertical="center"/>
    </xf>
  </cellXfs>
  <cellStyles count="3">
    <cellStyle name="Hyperlink" xfId="1" builtinId="8"/>
    <cellStyle name="Normal" xfId="0" builtinId="0"/>
    <cellStyle name="Percent" xfId="2" builtinId="5"/>
  </cellStyles>
  <dxfs count="11">
    <dxf>
      <font>
        <b val="0"/>
        <i val="0"/>
        <strike val="0"/>
        <condense val="0"/>
        <extend val="0"/>
        <outline val="0"/>
        <shadow val="0"/>
        <u val="none"/>
        <vertAlign val="baseline"/>
        <sz val="12"/>
        <color theme="1"/>
        <name val="Calibri (Body)"/>
        <scheme val="none"/>
      </font>
    </dxf>
    <dxf>
      <font>
        <b val="0"/>
        <i val="0"/>
        <strike val="0"/>
        <condense val="0"/>
        <extend val="0"/>
        <outline val="0"/>
        <shadow val="0"/>
        <u val="none"/>
        <vertAlign val="baseline"/>
        <sz val="12"/>
        <color theme="1"/>
        <name val="Calibri (Body)"/>
        <scheme val="none"/>
      </font>
    </dxf>
    <dxf>
      <font>
        <b val="0"/>
        <i val="0"/>
        <strike val="0"/>
        <condense val="0"/>
        <extend val="0"/>
        <outline val="0"/>
        <shadow val="0"/>
        <u val="none"/>
        <vertAlign val="baseline"/>
        <sz val="12"/>
        <color theme="1"/>
        <name val="Calibri (Body)"/>
        <scheme val="none"/>
      </font>
    </dxf>
    <dxf>
      <font>
        <b val="0"/>
        <i val="0"/>
        <strike val="0"/>
        <condense val="0"/>
        <extend val="0"/>
        <outline val="0"/>
        <shadow val="0"/>
        <u val="none"/>
        <vertAlign val="baseline"/>
        <sz val="12"/>
        <color theme="1"/>
        <name val="Calibri (Body)"/>
        <scheme val="none"/>
      </font>
    </dxf>
    <dxf>
      <font>
        <b val="0"/>
        <i val="0"/>
        <strike val="0"/>
        <condense val="0"/>
        <extend val="0"/>
        <outline val="0"/>
        <shadow val="0"/>
        <u val="none"/>
        <vertAlign val="baseline"/>
        <sz val="12"/>
        <color theme="1"/>
        <name val="Calibri (Body)"/>
        <scheme val="none"/>
      </font>
    </dxf>
    <dxf>
      <font>
        <b val="0"/>
        <i val="0"/>
        <strike val="0"/>
        <condense val="0"/>
        <extend val="0"/>
        <outline val="0"/>
        <shadow val="0"/>
        <u val="none"/>
        <vertAlign val="baseline"/>
        <sz val="12"/>
        <color theme="1"/>
        <name val="Calibri (Body)"/>
        <scheme val="none"/>
      </font>
    </dxf>
    <dxf>
      <font>
        <b val="0"/>
        <i val="0"/>
        <strike val="0"/>
        <condense val="0"/>
        <extend val="0"/>
        <outline val="0"/>
        <shadow val="0"/>
        <u val="none"/>
        <vertAlign val="baseline"/>
        <sz val="12"/>
        <color theme="1"/>
        <name val="Calibri (Body)"/>
        <scheme val="none"/>
      </font>
    </dxf>
    <dxf>
      <border outline="0">
        <top style="thin">
          <color indexed="64"/>
        </top>
      </border>
    </dxf>
    <dxf>
      <font>
        <b val="0"/>
        <i val="0"/>
        <strike val="0"/>
        <condense val="0"/>
        <extend val="0"/>
        <outline val="0"/>
        <shadow val="0"/>
        <u val="none"/>
        <vertAlign val="baseline"/>
        <sz val="12"/>
        <color theme="1"/>
        <name val="Calibri (Body)"/>
        <scheme val="none"/>
      </font>
    </dxf>
    <dxf>
      <font>
        <strike val="0"/>
        <outline val="0"/>
        <shadow val="0"/>
        <u val="none"/>
        <vertAlign val="baseline"/>
        <sz val="12"/>
        <color theme="1"/>
      </font>
      <fill>
        <patternFill patternType="none">
          <fgColor indexed="64"/>
          <bgColor auto="1"/>
        </patternFill>
      </fill>
    </dxf>
    <dxf>
      <fill>
        <patternFill patternType="none">
          <bgColor auto="1"/>
        </patternFill>
      </fill>
    </dxf>
  </dxfs>
  <tableStyles count="0" defaultTableStyle="TableStyleMedium2" defaultPivotStyle="PivotStyleLight16"/>
  <colors>
    <mruColors>
      <color rgb="FFD83F03"/>
      <color rgb="FFBF758E"/>
      <color rgb="FF6786A3"/>
      <color rgb="FFE99374"/>
      <color rgb="FF941651"/>
      <color rgb="FF004F8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customschemas.google.com/relationships/workbookmetadata" Target="metadata"/><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connections" Target="connections.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a:t>Targeted</a:t>
            </a:r>
            <a:r>
              <a:rPr lang="en-US" sz="1800" baseline="0"/>
              <a:t> Individuals and Entities</a:t>
            </a:r>
            <a:endParaRPr lang="en-US" sz="1800"/>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Individuals</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'Analysis &amp; Graphs'!$D$300:$D$315</c:f>
              <c:strCache>
                <c:ptCount val="1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strCache>
            </c:strRef>
          </c:cat>
          <c:val>
            <c:numRef>
              <c:f>'Analysis &amp; Graphs'!$E$280:$E$295</c:f>
              <c:numCache>
                <c:formatCode>General</c:formatCode>
                <c:ptCount val="16"/>
                <c:pt idx="0">
                  <c:v>0</c:v>
                </c:pt>
                <c:pt idx="1">
                  <c:v>0</c:v>
                </c:pt>
                <c:pt idx="2">
                  <c:v>0</c:v>
                </c:pt>
                <c:pt idx="3">
                  <c:v>0</c:v>
                </c:pt>
                <c:pt idx="4">
                  <c:v>0</c:v>
                </c:pt>
                <c:pt idx="5">
                  <c:v>0</c:v>
                </c:pt>
                <c:pt idx="6">
                  <c:v>0</c:v>
                </c:pt>
                <c:pt idx="7">
                  <c:v>0</c:v>
                </c:pt>
                <c:pt idx="8">
                  <c:v>0</c:v>
                </c:pt>
                <c:pt idx="9">
                  <c:v>0</c:v>
                </c:pt>
                <c:pt idx="10">
                  <c:v>15</c:v>
                </c:pt>
                <c:pt idx="11">
                  <c:v>46</c:v>
                </c:pt>
                <c:pt idx="12">
                  <c:v>16</c:v>
                </c:pt>
                <c:pt idx="13">
                  <c:v>14</c:v>
                </c:pt>
                <c:pt idx="14">
                  <c:v>56</c:v>
                </c:pt>
                <c:pt idx="15">
                  <c:v>0</c:v>
                </c:pt>
              </c:numCache>
            </c:numRef>
          </c:val>
          <c:smooth val="0"/>
          <c:extLst>
            <c:ext xmlns:c16="http://schemas.microsoft.com/office/drawing/2014/chart" uri="{C3380CC4-5D6E-409C-BE32-E72D297353CC}">
              <c16:uniqueId val="{00000000-F6BF-AB41-A104-700CB05FA521}"/>
            </c:ext>
          </c:extLst>
        </c:ser>
        <c:ser>
          <c:idx val="1"/>
          <c:order val="1"/>
          <c:tx>
            <c:v>Entities</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'Analysis &amp; Graphs'!$D$300:$D$315</c:f>
              <c:strCache>
                <c:ptCount val="1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strCache>
            </c:strRef>
          </c:cat>
          <c:val>
            <c:numRef>
              <c:f>'Analysis &amp; Graphs'!$E$300:$E$315</c:f>
              <c:numCache>
                <c:formatCode>General</c:formatCode>
                <c:ptCount val="16"/>
                <c:pt idx="0">
                  <c:v>0</c:v>
                </c:pt>
                <c:pt idx="1">
                  <c:v>0</c:v>
                </c:pt>
                <c:pt idx="2">
                  <c:v>3</c:v>
                </c:pt>
                <c:pt idx="3">
                  <c:v>0</c:v>
                </c:pt>
                <c:pt idx="4">
                  <c:v>2</c:v>
                </c:pt>
                <c:pt idx="5">
                  <c:v>0</c:v>
                </c:pt>
                <c:pt idx="6">
                  <c:v>4</c:v>
                </c:pt>
                <c:pt idx="7">
                  <c:v>3</c:v>
                </c:pt>
                <c:pt idx="8">
                  <c:v>10</c:v>
                </c:pt>
                <c:pt idx="9">
                  <c:v>40</c:v>
                </c:pt>
                <c:pt idx="10">
                  <c:v>8</c:v>
                </c:pt>
                <c:pt idx="11">
                  <c:v>23</c:v>
                </c:pt>
                <c:pt idx="12">
                  <c:v>7</c:v>
                </c:pt>
                <c:pt idx="13">
                  <c:v>35</c:v>
                </c:pt>
                <c:pt idx="14">
                  <c:v>59</c:v>
                </c:pt>
                <c:pt idx="15">
                  <c:v>87</c:v>
                </c:pt>
              </c:numCache>
            </c:numRef>
          </c:val>
          <c:smooth val="0"/>
          <c:extLst>
            <c:ext xmlns:c16="http://schemas.microsoft.com/office/drawing/2014/chart" uri="{C3380CC4-5D6E-409C-BE32-E72D297353CC}">
              <c16:uniqueId val="{00000002-F6BF-AB41-A104-700CB05FA521}"/>
            </c:ext>
          </c:extLst>
        </c:ser>
        <c:dLbls>
          <c:showLegendKey val="0"/>
          <c:showVal val="0"/>
          <c:showCatName val="0"/>
          <c:showSerName val="0"/>
          <c:showPercent val="0"/>
          <c:showBubbleSize val="0"/>
        </c:dLbls>
        <c:marker val="1"/>
        <c:smooth val="0"/>
        <c:axId val="2115412128"/>
        <c:axId val="1740509216"/>
      </c:lineChart>
      <c:catAx>
        <c:axId val="2115412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740509216"/>
        <c:crosses val="autoZero"/>
        <c:auto val="1"/>
        <c:lblAlgn val="ctr"/>
        <c:lblOffset val="100"/>
        <c:noMultiLvlLbl val="0"/>
      </c:catAx>
      <c:valAx>
        <c:axId val="1740509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2115412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84B-A243-8D5B-138C9C7D0B6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84B-A243-8D5B-138C9C7D0B67}"/>
              </c:ext>
            </c:extLst>
          </c:dPt>
          <c:cat>
            <c:strRef>
              <c:f>'Analysis &amp; Graphs'!$D$8:$D$9</c:f>
              <c:strCache>
                <c:ptCount val="2"/>
                <c:pt idx="0">
                  <c:v>Primary Sanctions</c:v>
                </c:pt>
                <c:pt idx="1">
                  <c:v>Countersanctions</c:v>
                </c:pt>
              </c:strCache>
            </c:strRef>
          </c:cat>
          <c:val>
            <c:numRef>
              <c:f>'Analysis &amp; Graphs'!$F$8:$F$9</c:f>
              <c:numCache>
                <c:formatCode>0.0%</c:formatCode>
                <c:ptCount val="2"/>
                <c:pt idx="0">
                  <c:v>0.6785714285714286</c:v>
                </c:pt>
                <c:pt idx="1">
                  <c:v>0.32142857142857145</c:v>
                </c:pt>
              </c:numCache>
            </c:numRef>
          </c:val>
          <c:extLst>
            <c:ext xmlns:c16="http://schemas.microsoft.com/office/drawing/2014/chart" uri="{C3380CC4-5D6E-409C-BE32-E72D297353CC}">
              <c16:uniqueId val="{00000000-B1B4-4242-AE66-DAB6A432E24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FORMAL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0B0-544D-80B7-E1DCE02B4C1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0B0-544D-80B7-E1DCE02B4C1B}"/>
              </c:ext>
            </c:extLst>
          </c:dPt>
          <c:cat>
            <c:strRef>
              <c:f>'Analysis &amp; Graphs'!$D$8:$D$9</c:f>
              <c:strCache>
                <c:ptCount val="2"/>
                <c:pt idx="0">
                  <c:v>Primary Sanctions</c:v>
                </c:pt>
                <c:pt idx="1">
                  <c:v>Countersanctions</c:v>
                </c:pt>
              </c:strCache>
            </c:strRef>
          </c:cat>
          <c:val>
            <c:numRef>
              <c:f>'Analysis &amp; Graphs'!$H$8:$H$9</c:f>
              <c:numCache>
                <c:formatCode>0.0%</c:formatCode>
                <c:ptCount val="2"/>
                <c:pt idx="0">
                  <c:v>0.39344262295081966</c:v>
                </c:pt>
                <c:pt idx="1">
                  <c:v>0.60655737704918034</c:v>
                </c:pt>
              </c:numCache>
            </c:numRef>
          </c:val>
          <c:extLst>
            <c:ext xmlns:c16="http://schemas.microsoft.com/office/drawing/2014/chart" uri="{C3380CC4-5D6E-409C-BE32-E72D297353CC}">
              <c16:uniqueId val="{00000000-1BE8-524D-80F1-CD2504CEB258}"/>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INFORMAL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B23-8245-9112-2D2306CAFB5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B23-8245-9112-2D2306CAFB56}"/>
              </c:ext>
            </c:extLst>
          </c:dPt>
          <c:cat>
            <c:strRef>
              <c:f>'Analysis &amp; Graphs'!$D$8:$D$9</c:f>
              <c:strCache>
                <c:ptCount val="2"/>
                <c:pt idx="0">
                  <c:v>Primary Sanctions</c:v>
                </c:pt>
                <c:pt idx="1">
                  <c:v>Countersanctions</c:v>
                </c:pt>
              </c:strCache>
            </c:strRef>
          </c:cat>
          <c:val>
            <c:numRef>
              <c:f>'Analysis &amp; Graphs'!$J$8:$J$9</c:f>
              <c:numCache>
                <c:formatCode>0.0%</c:formatCode>
                <c:ptCount val="2"/>
                <c:pt idx="0">
                  <c:v>0.84112149532710279</c:v>
                </c:pt>
                <c:pt idx="1">
                  <c:v>0.15887850467289719</c:v>
                </c:pt>
              </c:numCache>
            </c:numRef>
          </c:val>
          <c:extLst>
            <c:ext xmlns:c16="http://schemas.microsoft.com/office/drawing/2014/chart" uri="{C3380CC4-5D6E-409C-BE32-E72D297353CC}">
              <c16:uniqueId val="{00000000-96B5-D94B-A3D9-E1FACFE8C19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Counter vs Primary in Formal Sanctions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'Analysis &amp; Graphs'!$AC$25</c:f>
              <c:strCache>
                <c:ptCount val="1"/>
                <c:pt idx="0">
                  <c:v>Countersanction</c:v>
                </c:pt>
              </c:strCache>
            </c:strRef>
          </c:tx>
          <c:spPr>
            <a:solidFill>
              <a:schemeClr val="accent1"/>
            </a:solidFill>
            <a:ln>
              <a:noFill/>
            </a:ln>
            <a:effectLst/>
          </c:spPr>
          <c:invertIfNegative val="0"/>
          <c:cat>
            <c:strRef>
              <c:f>'Analysis &amp; Graphs'!$AB$26:$AB$33</c:f>
              <c:strCache>
                <c:ptCount val="7"/>
                <c:pt idx="0">
                  <c:v>2018</c:v>
                </c:pt>
                <c:pt idx="1">
                  <c:v>2019</c:v>
                </c:pt>
                <c:pt idx="2">
                  <c:v>2020</c:v>
                </c:pt>
                <c:pt idx="3">
                  <c:v>2021</c:v>
                </c:pt>
                <c:pt idx="4">
                  <c:v>2022</c:v>
                </c:pt>
                <c:pt idx="5">
                  <c:v>2023</c:v>
                </c:pt>
                <c:pt idx="6">
                  <c:v>2024</c:v>
                </c:pt>
              </c:strCache>
            </c:strRef>
          </c:cat>
          <c:val>
            <c:numRef>
              <c:f>'Analysis &amp; Graphs'!$AC$26:$AC$33</c:f>
              <c:numCache>
                <c:formatCode>General</c:formatCode>
                <c:ptCount val="8"/>
                <c:pt idx="0">
                  <c:v>4</c:v>
                </c:pt>
                <c:pt idx="1">
                  <c:v>2</c:v>
                </c:pt>
                <c:pt idx="2">
                  <c:v>3</c:v>
                </c:pt>
                <c:pt idx="3">
                  <c:v>7</c:v>
                </c:pt>
                <c:pt idx="4">
                  <c:v>1</c:v>
                </c:pt>
                <c:pt idx="5">
                  <c:v>4</c:v>
                </c:pt>
                <c:pt idx="6">
                  <c:v>6</c:v>
                </c:pt>
              </c:numCache>
            </c:numRef>
          </c:val>
          <c:extLst>
            <c:ext xmlns:c16="http://schemas.microsoft.com/office/drawing/2014/chart" uri="{C3380CC4-5D6E-409C-BE32-E72D297353CC}">
              <c16:uniqueId val="{00000000-FBFD-884B-87F5-7EDC643BB692}"/>
            </c:ext>
          </c:extLst>
        </c:ser>
        <c:ser>
          <c:idx val="1"/>
          <c:order val="1"/>
          <c:tx>
            <c:strRef>
              <c:f>'Analysis &amp; Graphs'!$AD$25</c:f>
              <c:strCache>
                <c:ptCount val="1"/>
                <c:pt idx="0">
                  <c:v>Primary Sanction </c:v>
                </c:pt>
              </c:strCache>
            </c:strRef>
          </c:tx>
          <c:spPr>
            <a:solidFill>
              <a:schemeClr val="accent2"/>
            </a:solidFill>
            <a:ln>
              <a:noFill/>
            </a:ln>
            <a:effectLst/>
          </c:spPr>
          <c:invertIfNegative val="0"/>
          <c:cat>
            <c:strRef>
              <c:f>'Analysis &amp; Graphs'!$AB$26:$AB$33</c:f>
              <c:strCache>
                <c:ptCount val="7"/>
                <c:pt idx="0">
                  <c:v>2018</c:v>
                </c:pt>
                <c:pt idx="1">
                  <c:v>2019</c:v>
                </c:pt>
                <c:pt idx="2">
                  <c:v>2020</c:v>
                </c:pt>
                <c:pt idx="3">
                  <c:v>2021</c:v>
                </c:pt>
                <c:pt idx="4">
                  <c:v>2022</c:v>
                </c:pt>
                <c:pt idx="5">
                  <c:v>2023</c:v>
                </c:pt>
                <c:pt idx="6">
                  <c:v>2024</c:v>
                </c:pt>
              </c:strCache>
            </c:strRef>
          </c:cat>
          <c:val>
            <c:numRef>
              <c:f>'Analysis &amp; Graphs'!$AD$26:$AD$33</c:f>
              <c:numCache>
                <c:formatCode>General</c:formatCode>
                <c:ptCount val="8"/>
                <c:pt idx="0">
                  <c:v>0</c:v>
                </c:pt>
                <c:pt idx="1">
                  <c:v>0</c:v>
                </c:pt>
                <c:pt idx="2">
                  <c:v>0</c:v>
                </c:pt>
                <c:pt idx="3">
                  <c:v>1</c:v>
                </c:pt>
                <c:pt idx="4">
                  <c:v>4</c:v>
                </c:pt>
                <c:pt idx="5">
                  <c:v>7</c:v>
                </c:pt>
                <c:pt idx="6">
                  <c:v>10</c:v>
                </c:pt>
              </c:numCache>
            </c:numRef>
          </c:val>
          <c:extLst>
            <c:ext xmlns:c16="http://schemas.microsoft.com/office/drawing/2014/chart" uri="{C3380CC4-5D6E-409C-BE32-E72D297353CC}">
              <c16:uniqueId val="{00000001-FBFD-884B-87F5-7EDC643BB692}"/>
            </c:ext>
          </c:extLst>
        </c:ser>
        <c:dLbls>
          <c:showLegendKey val="0"/>
          <c:showVal val="0"/>
          <c:showCatName val="0"/>
          <c:showSerName val="0"/>
          <c:showPercent val="0"/>
          <c:showBubbleSize val="0"/>
        </c:dLbls>
        <c:gapWidth val="150"/>
        <c:overlap val="100"/>
        <c:axId val="1403326464"/>
        <c:axId val="1983660015"/>
      </c:barChart>
      <c:catAx>
        <c:axId val="1403326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3660015"/>
        <c:crosses val="autoZero"/>
        <c:auto val="1"/>
        <c:lblAlgn val="ctr"/>
        <c:lblOffset val="100"/>
        <c:noMultiLvlLbl val="0"/>
      </c:catAx>
      <c:valAx>
        <c:axId val="1983660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326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&amp; Graphs'!$E$319</c:f>
              <c:strCache>
                <c:ptCount val="1"/>
                <c:pt idx="0">
                  <c:v>Formal</c:v>
                </c:pt>
              </c:strCache>
            </c:strRef>
          </c:tx>
          <c:spPr>
            <a:solidFill>
              <a:srgbClr val="004F8D"/>
            </a:solidFill>
            <a:ln w="12700">
              <a:solidFill>
                <a:schemeClr val="tx1"/>
              </a:solidFill>
            </a:ln>
            <a:effectLst/>
          </c:spPr>
          <c:invertIfNegative val="0"/>
          <c:cat>
            <c:strRef>
              <c:f>'Analysis &amp; Graphs'!$D$320:$D$334</c:f>
              <c:strCache>
                <c:ptCount val="15"/>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strCache>
            </c:strRef>
          </c:cat>
          <c:val>
            <c:numRef>
              <c:f>'Analysis &amp; Graphs'!$E$320:$E$334</c:f>
              <c:numCache>
                <c:formatCode>General</c:formatCode>
                <c:ptCount val="15"/>
                <c:pt idx="0">
                  <c:v>0</c:v>
                </c:pt>
                <c:pt idx="1">
                  <c:v>0</c:v>
                </c:pt>
                <c:pt idx="2">
                  <c:v>0</c:v>
                </c:pt>
                <c:pt idx="3">
                  <c:v>0</c:v>
                </c:pt>
                <c:pt idx="4">
                  <c:v>0</c:v>
                </c:pt>
                <c:pt idx="5">
                  <c:v>0</c:v>
                </c:pt>
                <c:pt idx="6">
                  <c:v>0</c:v>
                </c:pt>
                <c:pt idx="7">
                  <c:v>0</c:v>
                </c:pt>
                <c:pt idx="8">
                  <c:v>4</c:v>
                </c:pt>
                <c:pt idx="9">
                  <c:v>2</c:v>
                </c:pt>
                <c:pt idx="10">
                  <c:v>3</c:v>
                </c:pt>
                <c:pt idx="11">
                  <c:v>8</c:v>
                </c:pt>
                <c:pt idx="12">
                  <c:v>5</c:v>
                </c:pt>
                <c:pt idx="13">
                  <c:v>13</c:v>
                </c:pt>
                <c:pt idx="14">
                  <c:v>17</c:v>
                </c:pt>
              </c:numCache>
            </c:numRef>
          </c:val>
          <c:extLst>
            <c:ext xmlns:c16="http://schemas.microsoft.com/office/drawing/2014/chart" uri="{C3380CC4-5D6E-409C-BE32-E72D297353CC}">
              <c16:uniqueId val="{00000000-8F77-FB46-A4CF-946D177D2FA2}"/>
            </c:ext>
          </c:extLst>
        </c:ser>
        <c:ser>
          <c:idx val="1"/>
          <c:order val="1"/>
          <c:tx>
            <c:strRef>
              <c:f>'Analysis &amp; Graphs'!$F$319</c:f>
              <c:strCache>
                <c:ptCount val="1"/>
                <c:pt idx="0">
                  <c:v>Informal </c:v>
                </c:pt>
              </c:strCache>
            </c:strRef>
          </c:tx>
          <c:spPr>
            <a:solidFill>
              <a:srgbClr val="D83F03"/>
            </a:solidFill>
            <a:ln w="12700">
              <a:solidFill>
                <a:schemeClr val="tx1"/>
              </a:solidFill>
            </a:ln>
            <a:effectLst/>
          </c:spPr>
          <c:invertIfNegative val="0"/>
          <c:cat>
            <c:strRef>
              <c:f>'Analysis &amp; Graphs'!$D$320:$D$334</c:f>
              <c:strCache>
                <c:ptCount val="15"/>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strCache>
            </c:strRef>
          </c:cat>
          <c:val>
            <c:numRef>
              <c:f>'Analysis &amp; Graphs'!$F$320:$F$334</c:f>
              <c:numCache>
                <c:formatCode>General</c:formatCode>
                <c:ptCount val="15"/>
                <c:pt idx="0">
                  <c:v>3</c:v>
                </c:pt>
                <c:pt idx="1">
                  <c:v>1</c:v>
                </c:pt>
                <c:pt idx="2">
                  <c:v>7</c:v>
                </c:pt>
                <c:pt idx="3">
                  <c:v>2</c:v>
                </c:pt>
                <c:pt idx="4">
                  <c:v>5</c:v>
                </c:pt>
                <c:pt idx="5">
                  <c:v>0</c:v>
                </c:pt>
                <c:pt idx="6">
                  <c:v>10</c:v>
                </c:pt>
                <c:pt idx="7">
                  <c:v>9</c:v>
                </c:pt>
                <c:pt idx="8">
                  <c:v>13</c:v>
                </c:pt>
                <c:pt idx="9">
                  <c:v>23</c:v>
                </c:pt>
                <c:pt idx="10">
                  <c:v>7</c:v>
                </c:pt>
                <c:pt idx="11">
                  <c:v>9</c:v>
                </c:pt>
                <c:pt idx="12">
                  <c:v>3</c:v>
                </c:pt>
                <c:pt idx="13">
                  <c:v>6</c:v>
                </c:pt>
                <c:pt idx="14">
                  <c:v>4</c:v>
                </c:pt>
              </c:numCache>
            </c:numRef>
          </c:val>
          <c:extLst>
            <c:ext xmlns:c16="http://schemas.microsoft.com/office/drawing/2014/chart" uri="{C3380CC4-5D6E-409C-BE32-E72D297353CC}">
              <c16:uniqueId val="{00000001-8F77-FB46-A4CF-946D177D2FA2}"/>
            </c:ext>
          </c:extLst>
        </c:ser>
        <c:dLbls>
          <c:showLegendKey val="0"/>
          <c:showVal val="0"/>
          <c:showCatName val="0"/>
          <c:showSerName val="0"/>
          <c:showPercent val="0"/>
          <c:showBubbleSize val="0"/>
        </c:dLbls>
        <c:gapWidth val="219"/>
        <c:overlap val="-27"/>
        <c:axId val="256042544"/>
        <c:axId val="256044256"/>
      </c:barChart>
      <c:lineChart>
        <c:grouping val="standard"/>
        <c:varyColors val="0"/>
        <c:ser>
          <c:idx val="2"/>
          <c:order val="2"/>
          <c:tx>
            <c:strRef>
              <c:f>'Analysis &amp; Graphs'!$G$319</c:f>
              <c:strCache>
                <c:ptCount val="1"/>
                <c:pt idx="0">
                  <c:v>Total</c:v>
                </c:pt>
              </c:strCache>
            </c:strRef>
          </c:tx>
          <c:spPr>
            <a:ln w="28575" cap="rnd">
              <a:solidFill>
                <a:srgbClr val="7030A0"/>
              </a:solidFill>
              <a:prstDash val="dash"/>
              <a:round/>
            </a:ln>
            <a:effectLst/>
          </c:spPr>
          <c:marker>
            <c:symbol val="circle"/>
            <c:size val="8"/>
            <c:spPr>
              <a:solidFill>
                <a:srgbClr val="7030A0"/>
              </a:solidFill>
              <a:ln w="9525">
                <a:solidFill>
                  <a:schemeClr val="accent3"/>
                </a:solidFill>
              </a:ln>
              <a:effectLst/>
            </c:spPr>
          </c:marker>
          <c:cat>
            <c:strRef>
              <c:f>'Analysis &amp; Graphs'!$D$320:$D$334</c:f>
              <c:strCache>
                <c:ptCount val="15"/>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strCache>
            </c:strRef>
          </c:cat>
          <c:val>
            <c:numRef>
              <c:f>'Analysis &amp; Graphs'!$G$320:$G$334</c:f>
              <c:numCache>
                <c:formatCode>General</c:formatCode>
                <c:ptCount val="15"/>
                <c:pt idx="0">
                  <c:v>3</c:v>
                </c:pt>
                <c:pt idx="1">
                  <c:v>1</c:v>
                </c:pt>
                <c:pt idx="2">
                  <c:v>7</c:v>
                </c:pt>
                <c:pt idx="3">
                  <c:v>2</c:v>
                </c:pt>
                <c:pt idx="4">
                  <c:v>5</c:v>
                </c:pt>
                <c:pt idx="5">
                  <c:v>0</c:v>
                </c:pt>
                <c:pt idx="6">
                  <c:v>10</c:v>
                </c:pt>
                <c:pt idx="7">
                  <c:v>9</c:v>
                </c:pt>
                <c:pt idx="8">
                  <c:v>17</c:v>
                </c:pt>
                <c:pt idx="9">
                  <c:v>25</c:v>
                </c:pt>
                <c:pt idx="10">
                  <c:v>10</c:v>
                </c:pt>
                <c:pt idx="11">
                  <c:v>17</c:v>
                </c:pt>
                <c:pt idx="12">
                  <c:v>8</c:v>
                </c:pt>
                <c:pt idx="13">
                  <c:v>19</c:v>
                </c:pt>
                <c:pt idx="14">
                  <c:v>21</c:v>
                </c:pt>
              </c:numCache>
            </c:numRef>
          </c:val>
          <c:smooth val="0"/>
          <c:extLst>
            <c:ext xmlns:c16="http://schemas.microsoft.com/office/drawing/2014/chart" uri="{C3380CC4-5D6E-409C-BE32-E72D297353CC}">
              <c16:uniqueId val="{00000002-8F77-FB46-A4CF-946D177D2FA2}"/>
            </c:ext>
          </c:extLst>
        </c:ser>
        <c:dLbls>
          <c:showLegendKey val="0"/>
          <c:showVal val="0"/>
          <c:showCatName val="0"/>
          <c:showSerName val="0"/>
          <c:showPercent val="0"/>
          <c:showBubbleSize val="0"/>
        </c:dLbls>
        <c:marker val="1"/>
        <c:smooth val="0"/>
        <c:axId val="256042544"/>
        <c:axId val="256044256"/>
      </c:lineChart>
      <c:catAx>
        <c:axId val="256042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Garamond" panose="02020404030301010803" pitchFamily="18" charset="0"/>
                <a:ea typeface="+mn-ea"/>
                <a:cs typeface="+mn-cs"/>
              </a:defRPr>
            </a:pPr>
            <a:endParaRPr lang="en-US"/>
          </a:p>
        </c:txPr>
        <c:crossAx val="256044256"/>
        <c:crosses val="autoZero"/>
        <c:auto val="1"/>
        <c:lblAlgn val="ctr"/>
        <c:lblOffset val="100"/>
        <c:noMultiLvlLbl val="0"/>
      </c:catAx>
      <c:valAx>
        <c:axId val="256044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solidFill>
                <a:latin typeface="Garamond" panose="02020404030301010803" pitchFamily="18" charset="0"/>
                <a:ea typeface="+mn-ea"/>
                <a:cs typeface="+mn-cs"/>
              </a:defRPr>
            </a:pPr>
            <a:endParaRPr lang="en-US"/>
          </a:p>
        </c:txPr>
        <c:crossAx val="256042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2"/>
              </a:solidFill>
              <a:latin typeface="Garamond" panose="02020404030301010803" pitchFamily="18"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4F8D"/>
              </a:solidFill>
              <a:ln w="19050">
                <a:solidFill>
                  <a:schemeClr val="lt1"/>
                </a:solidFill>
              </a:ln>
              <a:effectLst/>
            </c:spPr>
            <c:extLst>
              <c:ext xmlns:c16="http://schemas.microsoft.com/office/drawing/2014/chart" uri="{C3380CC4-5D6E-409C-BE32-E72D297353CC}">
                <c16:uniqueId val="{00000001-3FEF-034D-855A-F8DF59B18794}"/>
              </c:ext>
            </c:extLst>
          </c:dPt>
          <c:dPt>
            <c:idx val="1"/>
            <c:bubble3D val="0"/>
            <c:spPr>
              <a:solidFill>
                <a:srgbClr val="6786A3"/>
              </a:solidFill>
              <a:ln w="19050">
                <a:solidFill>
                  <a:schemeClr val="lt1"/>
                </a:solidFill>
              </a:ln>
              <a:effectLst/>
            </c:spPr>
            <c:extLst>
              <c:ext xmlns:c16="http://schemas.microsoft.com/office/drawing/2014/chart" uri="{C3380CC4-5D6E-409C-BE32-E72D297353CC}">
                <c16:uniqueId val="{00000002-3FEF-034D-855A-F8DF59B18794}"/>
              </c:ext>
            </c:extLst>
          </c:dPt>
          <c:dPt>
            <c:idx val="2"/>
            <c:bubble3D val="0"/>
            <c:spPr>
              <a:solidFill>
                <a:srgbClr val="D83F03"/>
              </a:solidFill>
              <a:ln w="19050">
                <a:solidFill>
                  <a:schemeClr val="lt1"/>
                </a:solidFill>
              </a:ln>
              <a:effectLst/>
            </c:spPr>
            <c:extLst>
              <c:ext xmlns:c16="http://schemas.microsoft.com/office/drawing/2014/chart" uri="{C3380CC4-5D6E-409C-BE32-E72D297353CC}">
                <c16:uniqueId val="{00000003-3FEF-034D-855A-F8DF59B18794}"/>
              </c:ext>
            </c:extLst>
          </c:dPt>
          <c:dPt>
            <c:idx val="3"/>
            <c:bubble3D val="0"/>
            <c:spPr>
              <a:solidFill>
                <a:srgbClr val="E99374"/>
              </a:solidFill>
              <a:ln w="19050">
                <a:solidFill>
                  <a:schemeClr val="lt1"/>
                </a:solidFill>
              </a:ln>
              <a:effectLst/>
            </c:spPr>
            <c:extLst>
              <c:ext xmlns:c16="http://schemas.microsoft.com/office/drawing/2014/chart" uri="{C3380CC4-5D6E-409C-BE32-E72D297353CC}">
                <c16:uniqueId val="{00000004-3FEF-034D-855A-F8DF59B18794}"/>
              </c:ext>
            </c:extLst>
          </c:dPt>
          <c:dLbls>
            <c:dLbl>
              <c:idx val="0"/>
              <c:layout>
                <c:manualLayout>
                  <c:x val="7.055002392533978E-2"/>
                  <c:y val="-0.1390676076198643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3FEF-034D-855A-F8DF59B18794}"/>
                </c:ext>
              </c:extLst>
            </c:dLbl>
            <c:dLbl>
              <c:idx val="1"/>
              <c:layout>
                <c:manualLayout>
                  <c:x val="-3.4248668638761172E-2"/>
                  <c:y val="8.3805025538790004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3FEF-034D-855A-F8DF59B18794}"/>
                </c:ext>
              </c:extLst>
            </c:dLbl>
            <c:dLbl>
              <c:idx val="2"/>
              <c:layout>
                <c:manualLayout>
                  <c:x val="-0.16012030902631436"/>
                  <c:y val="0.20953742852785617"/>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3FEF-034D-855A-F8DF59B18794}"/>
                </c:ext>
              </c:extLst>
            </c:dLbl>
            <c:dLbl>
              <c:idx val="3"/>
              <c:layout>
                <c:manualLayout>
                  <c:x val="-0.21807645533750086"/>
                  <c:y val="2.9239022888030843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3FEF-034D-855A-F8DF59B1879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Garamond" panose="02020404030301010803" pitchFamily="18" charset="0"/>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&amp; Graphs'!$D$344:$D$347</c:f>
              <c:strCache>
                <c:ptCount val="4"/>
                <c:pt idx="0">
                  <c:v>Targeted Sanction</c:v>
                </c:pt>
                <c:pt idx="1">
                  <c:v>Export Control</c:v>
                </c:pt>
                <c:pt idx="2">
                  <c:v>Import Control</c:v>
                </c:pt>
                <c:pt idx="3">
                  <c:v>Obstruction of Foreign Business in China</c:v>
                </c:pt>
              </c:strCache>
            </c:strRef>
          </c:cat>
          <c:val>
            <c:numRef>
              <c:f>'Analysis &amp; Graphs'!$E$344:$E$347</c:f>
              <c:numCache>
                <c:formatCode>General</c:formatCode>
                <c:ptCount val="4"/>
                <c:pt idx="0">
                  <c:v>40</c:v>
                </c:pt>
                <c:pt idx="1">
                  <c:v>11</c:v>
                </c:pt>
                <c:pt idx="2">
                  <c:v>6</c:v>
                </c:pt>
                <c:pt idx="3">
                  <c:v>2</c:v>
                </c:pt>
              </c:numCache>
            </c:numRef>
          </c:val>
          <c:extLst>
            <c:ext xmlns:c16="http://schemas.microsoft.com/office/drawing/2014/chart" uri="{C3380CC4-5D6E-409C-BE32-E72D297353CC}">
              <c16:uniqueId val="{00000000-3FEF-034D-855A-F8DF59B18794}"/>
            </c:ext>
          </c:extLst>
        </c:ser>
        <c:dLbls>
          <c:showLegendKey val="0"/>
          <c:showVal val="1"/>
          <c:showCatName val="1"/>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941651"/>
              </a:solidFill>
              <a:ln w="19050">
                <a:solidFill>
                  <a:schemeClr val="lt1"/>
                </a:solidFill>
              </a:ln>
              <a:effectLst/>
            </c:spPr>
            <c:extLst>
              <c:ext xmlns:c16="http://schemas.microsoft.com/office/drawing/2014/chart" uri="{C3380CC4-5D6E-409C-BE32-E72D297353CC}">
                <c16:uniqueId val="{00000001-E7D8-E748-9139-D59079788754}"/>
              </c:ext>
            </c:extLst>
          </c:dPt>
          <c:dPt>
            <c:idx val="1"/>
            <c:bubble3D val="0"/>
            <c:spPr>
              <a:solidFill>
                <a:srgbClr val="BF758E"/>
              </a:solidFill>
              <a:ln w="19050">
                <a:solidFill>
                  <a:schemeClr val="lt1"/>
                </a:solidFill>
              </a:ln>
              <a:effectLst/>
            </c:spPr>
            <c:extLst>
              <c:ext xmlns:c16="http://schemas.microsoft.com/office/drawing/2014/chart" uri="{C3380CC4-5D6E-409C-BE32-E72D297353CC}">
                <c16:uniqueId val="{00000003-E7D8-E748-9139-D59079788754}"/>
              </c:ext>
            </c:extLst>
          </c:dPt>
          <c:dPt>
            <c:idx val="2"/>
            <c:bubble3D val="0"/>
            <c:spPr>
              <a:solidFill>
                <a:srgbClr val="D83F03"/>
              </a:solidFill>
              <a:ln w="19050">
                <a:solidFill>
                  <a:schemeClr val="lt1"/>
                </a:solidFill>
              </a:ln>
              <a:effectLst/>
            </c:spPr>
            <c:extLst>
              <c:ext xmlns:c16="http://schemas.microsoft.com/office/drawing/2014/chart" uri="{C3380CC4-5D6E-409C-BE32-E72D297353CC}">
                <c16:uniqueId val="{00000005-E7D8-E748-9139-D59079788754}"/>
              </c:ext>
            </c:extLst>
          </c:dPt>
          <c:dPt>
            <c:idx val="3"/>
            <c:bubble3D val="0"/>
            <c:spPr>
              <a:solidFill>
                <a:srgbClr val="E99374"/>
              </a:solidFill>
              <a:ln w="19050">
                <a:solidFill>
                  <a:schemeClr val="lt1"/>
                </a:solidFill>
              </a:ln>
              <a:effectLst/>
            </c:spPr>
            <c:extLst>
              <c:ext xmlns:c16="http://schemas.microsoft.com/office/drawing/2014/chart" uri="{C3380CC4-5D6E-409C-BE32-E72D297353CC}">
                <c16:uniqueId val="{00000007-E7D8-E748-9139-D59079788754}"/>
              </c:ext>
            </c:extLst>
          </c:dPt>
          <c:dPt>
            <c:idx val="4"/>
            <c:bubble3D val="0"/>
            <c:spPr>
              <a:solidFill>
                <a:srgbClr val="6786A3"/>
              </a:solidFill>
              <a:ln w="19050">
                <a:solidFill>
                  <a:schemeClr val="lt1"/>
                </a:solidFill>
              </a:ln>
              <a:effectLst/>
            </c:spPr>
            <c:extLst>
              <c:ext xmlns:c16="http://schemas.microsoft.com/office/drawing/2014/chart" uri="{C3380CC4-5D6E-409C-BE32-E72D297353CC}">
                <c16:uniqueId val="{00000009-E7D8-E748-9139-D59079788754}"/>
              </c:ext>
            </c:extLst>
          </c:dPt>
          <c:dLbls>
            <c:dLbl>
              <c:idx val="0"/>
              <c:layout>
                <c:manualLayout>
                  <c:x val="7.055002392533978E-2"/>
                  <c:y val="-0.1390676076198643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E7D8-E748-9139-D59079788754}"/>
                </c:ext>
              </c:extLst>
            </c:dLbl>
            <c:dLbl>
              <c:idx val="1"/>
              <c:layout>
                <c:manualLayout>
                  <c:x val="0.19423229278033949"/>
                  <c:y val="-7.9530142255443886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E7D8-E748-9139-D59079788754}"/>
                </c:ext>
              </c:extLst>
            </c:dLbl>
            <c:dLbl>
              <c:idx val="2"/>
              <c:layout>
                <c:manualLayout>
                  <c:x val="-5.1092941553060614E-2"/>
                  <c:y val="0.11129431162407247"/>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E7D8-E748-9139-D59079788754}"/>
                </c:ext>
              </c:extLst>
            </c:dLbl>
            <c:dLbl>
              <c:idx val="3"/>
              <c:layout>
                <c:manualLayout>
                  <c:x val="-9.596979242107545E-2"/>
                  <c:y val="0.2070122820472583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Garamond" panose="02020404030301010803" pitchFamily="18" charset="0"/>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2997177007364528"/>
                      <c:h val="0.21276652175162281"/>
                    </c:manualLayout>
                  </c15:layout>
                </c:ext>
                <c:ext xmlns:c16="http://schemas.microsoft.com/office/drawing/2014/chart" uri="{C3380CC4-5D6E-409C-BE32-E72D297353CC}">
                  <c16:uniqueId val="{00000007-E7D8-E748-9139-D59079788754}"/>
                </c:ext>
              </c:extLst>
            </c:dLbl>
            <c:dLbl>
              <c:idx val="4"/>
              <c:layout>
                <c:manualLayout>
                  <c:x val="-0.12033305038318938"/>
                  <c:y val="3.8302291160624363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E7D8-E748-9139-D5907978875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Garamond" panose="02020404030301010803" pitchFamily="18" charset="0"/>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&amp; Graphs'!$D$352:$D$356</c:f>
              <c:strCache>
                <c:ptCount val="5"/>
                <c:pt idx="0">
                  <c:v>Boycott</c:v>
                </c:pt>
                <c:pt idx="1">
                  <c:v>Outbound Tourism Restriction</c:v>
                </c:pt>
                <c:pt idx="2">
                  <c:v>Import Control</c:v>
                </c:pt>
                <c:pt idx="3">
                  <c:v>Obstruction of Foreign Business in China</c:v>
                </c:pt>
                <c:pt idx="4">
                  <c:v>Export Control</c:v>
                </c:pt>
              </c:strCache>
            </c:strRef>
          </c:cat>
          <c:val>
            <c:numRef>
              <c:f>'Analysis &amp; Graphs'!$E$352:$E$356</c:f>
              <c:numCache>
                <c:formatCode>General</c:formatCode>
                <c:ptCount val="5"/>
                <c:pt idx="0">
                  <c:v>37</c:v>
                </c:pt>
                <c:pt idx="1">
                  <c:v>16</c:v>
                </c:pt>
                <c:pt idx="2">
                  <c:v>33</c:v>
                </c:pt>
                <c:pt idx="3">
                  <c:v>10</c:v>
                </c:pt>
                <c:pt idx="4">
                  <c:v>8</c:v>
                </c:pt>
              </c:numCache>
            </c:numRef>
          </c:val>
          <c:extLst>
            <c:ext xmlns:c16="http://schemas.microsoft.com/office/drawing/2014/chart" uri="{C3380CC4-5D6E-409C-BE32-E72D297353CC}">
              <c16:uniqueId val="{00000008-E7D8-E748-9139-D59079788754}"/>
            </c:ext>
          </c:extLst>
        </c:ser>
        <c:dLbls>
          <c:showLegendKey val="0"/>
          <c:showVal val="1"/>
          <c:showCatName val="1"/>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pieChart>
        <c:varyColors val="1"/>
        <c:ser>
          <c:idx val="0"/>
          <c:order val="0"/>
          <c:dPt>
            <c:idx val="0"/>
            <c:bubble3D val="0"/>
            <c:spPr>
              <a:solidFill>
                <a:schemeClr val="accent2">
                  <a:shade val="42000"/>
                </a:schemeClr>
              </a:solidFill>
              <a:ln w="19050">
                <a:solidFill>
                  <a:schemeClr val="lt1"/>
                </a:solidFill>
              </a:ln>
              <a:effectLst/>
            </c:spPr>
            <c:extLst>
              <c:ext xmlns:c16="http://schemas.microsoft.com/office/drawing/2014/chart" uri="{C3380CC4-5D6E-409C-BE32-E72D297353CC}">
                <c16:uniqueId val="{00000001-304F-7147-8002-4B45B24AE16F}"/>
              </c:ext>
            </c:extLst>
          </c:dPt>
          <c:dPt>
            <c:idx val="1"/>
            <c:bubble3D val="0"/>
            <c:spPr>
              <a:solidFill>
                <a:schemeClr val="accent2">
                  <a:shade val="55000"/>
                </a:schemeClr>
              </a:solidFill>
              <a:ln w="19050">
                <a:solidFill>
                  <a:schemeClr val="lt1"/>
                </a:solidFill>
              </a:ln>
              <a:effectLst/>
            </c:spPr>
            <c:extLst>
              <c:ext xmlns:c16="http://schemas.microsoft.com/office/drawing/2014/chart" uri="{C3380CC4-5D6E-409C-BE32-E72D297353CC}">
                <c16:uniqueId val="{00000003-304F-7147-8002-4B45B24AE16F}"/>
              </c:ext>
            </c:extLst>
          </c:dPt>
          <c:dPt>
            <c:idx val="2"/>
            <c:bubble3D val="0"/>
            <c:spPr>
              <a:solidFill>
                <a:schemeClr val="accent2">
                  <a:shade val="68000"/>
                </a:schemeClr>
              </a:solidFill>
              <a:ln w="19050">
                <a:solidFill>
                  <a:schemeClr val="lt1"/>
                </a:solidFill>
              </a:ln>
              <a:effectLst/>
            </c:spPr>
            <c:extLst>
              <c:ext xmlns:c16="http://schemas.microsoft.com/office/drawing/2014/chart" uri="{C3380CC4-5D6E-409C-BE32-E72D297353CC}">
                <c16:uniqueId val="{00000005-304F-7147-8002-4B45B24AE16F}"/>
              </c:ext>
            </c:extLst>
          </c:dPt>
          <c:dPt>
            <c:idx val="3"/>
            <c:bubble3D val="0"/>
            <c:spPr>
              <a:solidFill>
                <a:schemeClr val="accent2">
                  <a:shade val="80000"/>
                </a:schemeClr>
              </a:solidFill>
              <a:ln w="19050">
                <a:solidFill>
                  <a:schemeClr val="lt1"/>
                </a:solidFill>
              </a:ln>
              <a:effectLst/>
            </c:spPr>
            <c:extLst>
              <c:ext xmlns:c16="http://schemas.microsoft.com/office/drawing/2014/chart" uri="{C3380CC4-5D6E-409C-BE32-E72D297353CC}">
                <c16:uniqueId val="{00000007-304F-7147-8002-4B45B24AE16F}"/>
              </c:ext>
            </c:extLst>
          </c:dPt>
          <c:dPt>
            <c:idx val="4"/>
            <c:bubble3D val="0"/>
            <c:spPr>
              <a:solidFill>
                <a:schemeClr val="accent2">
                  <a:shade val="93000"/>
                </a:schemeClr>
              </a:solidFill>
              <a:ln w="19050">
                <a:solidFill>
                  <a:schemeClr val="lt1"/>
                </a:solidFill>
              </a:ln>
              <a:effectLst/>
            </c:spPr>
            <c:extLst>
              <c:ext xmlns:c16="http://schemas.microsoft.com/office/drawing/2014/chart" uri="{C3380CC4-5D6E-409C-BE32-E72D297353CC}">
                <c16:uniqueId val="{0000000A-304F-7147-8002-4B45B24AE16F}"/>
              </c:ext>
            </c:extLst>
          </c:dPt>
          <c:dPt>
            <c:idx val="5"/>
            <c:bubble3D val="0"/>
            <c:spPr>
              <a:solidFill>
                <a:schemeClr val="accent2">
                  <a:tint val="94000"/>
                </a:schemeClr>
              </a:solidFill>
              <a:ln w="19050">
                <a:solidFill>
                  <a:schemeClr val="lt1"/>
                </a:solidFill>
              </a:ln>
              <a:effectLst/>
            </c:spPr>
            <c:extLst>
              <c:ext xmlns:c16="http://schemas.microsoft.com/office/drawing/2014/chart" uri="{C3380CC4-5D6E-409C-BE32-E72D297353CC}">
                <c16:uniqueId val="{00000009-304F-7147-8002-4B45B24AE16F}"/>
              </c:ext>
            </c:extLst>
          </c:dPt>
          <c:dPt>
            <c:idx val="6"/>
            <c:bubble3D val="0"/>
            <c:spPr>
              <a:solidFill>
                <a:schemeClr val="accent2">
                  <a:tint val="81000"/>
                </a:schemeClr>
              </a:solidFill>
              <a:ln w="19050">
                <a:solidFill>
                  <a:schemeClr val="lt1"/>
                </a:solidFill>
              </a:ln>
              <a:effectLst/>
            </c:spPr>
            <c:extLst>
              <c:ext xmlns:c16="http://schemas.microsoft.com/office/drawing/2014/chart" uri="{C3380CC4-5D6E-409C-BE32-E72D297353CC}">
                <c16:uniqueId val="{0000000B-304F-7147-8002-4B45B24AE16F}"/>
              </c:ext>
            </c:extLst>
          </c:dPt>
          <c:dPt>
            <c:idx val="7"/>
            <c:bubble3D val="0"/>
            <c:spPr>
              <a:solidFill>
                <a:schemeClr val="accent2">
                  <a:tint val="69000"/>
                </a:schemeClr>
              </a:solidFill>
              <a:ln w="19050">
                <a:solidFill>
                  <a:schemeClr val="lt1"/>
                </a:solidFill>
              </a:ln>
              <a:effectLst/>
            </c:spPr>
            <c:extLst>
              <c:ext xmlns:c16="http://schemas.microsoft.com/office/drawing/2014/chart" uri="{C3380CC4-5D6E-409C-BE32-E72D297353CC}">
                <c16:uniqueId val="{0000000C-304F-7147-8002-4B45B24AE16F}"/>
              </c:ext>
            </c:extLst>
          </c:dPt>
          <c:dPt>
            <c:idx val="8"/>
            <c:bubble3D val="0"/>
            <c:spPr>
              <a:solidFill>
                <a:schemeClr val="accent2">
                  <a:tint val="56000"/>
                </a:schemeClr>
              </a:solidFill>
              <a:ln w="19050">
                <a:solidFill>
                  <a:schemeClr val="lt1"/>
                </a:solidFill>
              </a:ln>
              <a:effectLst/>
            </c:spPr>
            <c:extLst>
              <c:ext xmlns:c16="http://schemas.microsoft.com/office/drawing/2014/chart" uri="{C3380CC4-5D6E-409C-BE32-E72D297353CC}">
                <c16:uniqueId val="{0000000D-304F-7147-8002-4B45B24AE16F}"/>
              </c:ext>
            </c:extLst>
          </c:dPt>
          <c:dPt>
            <c:idx val="9"/>
            <c:bubble3D val="0"/>
            <c:spPr>
              <a:solidFill>
                <a:schemeClr val="accent2">
                  <a:tint val="43000"/>
                </a:schemeClr>
              </a:solidFill>
              <a:ln w="19050">
                <a:solidFill>
                  <a:schemeClr val="lt1"/>
                </a:solidFill>
              </a:ln>
              <a:effectLst/>
            </c:spPr>
            <c:extLst>
              <c:ext xmlns:c16="http://schemas.microsoft.com/office/drawing/2014/chart" uri="{C3380CC4-5D6E-409C-BE32-E72D297353CC}">
                <c16:uniqueId val="{0000000E-304F-7147-8002-4B45B24AE16F}"/>
              </c:ext>
            </c:extLst>
          </c:dPt>
          <c:dLbls>
            <c:dLbl>
              <c:idx val="0"/>
              <c:layout>
                <c:manualLayout>
                  <c:x val="5.8909856669686886E-2"/>
                  <c:y val="6.5203452280995196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304F-7147-8002-4B45B24AE16F}"/>
                </c:ext>
              </c:extLst>
            </c:dLbl>
            <c:dLbl>
              <c:idx val="1"/>
              <c:layout>
                <c:manualLayout>
                  <c:x val="2.8950963910914382E-2"/>
                  <c:y val="4.5812749605322736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304F-7147-8002-4B45B24AE16F}"/>
                </c:ext>
              </c:extLst>
            </c:dLbl>
            <c:dLbl>
              <c:idx val="2"/>
              <c:layout>
                <c:manualLayout>
                  <c:x val="-0.16012030902631436"/>
                  <c:y val="0.20953742852785617"/>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304F-7147-8002-4B45B24AE16F}"/>
                </c:ext>
              </c:extLst>
            </c:dLbl>
            <c:dLbl>
              <c:idx val="3"/>
              <c:layout>
                <c:manualLayout>
                  <c:x val="-0.11065237280216068"/>
                  <c:y val="-6.0586958920435391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304F-7147-8002-4B45B24AE16F}"/>
                </c:ext>
              </c:extLst>
            </c:dLbl>
            <c:dLbl>
              <c:idx val="4"/>
              <c:layout>
                <c:manualLayout>
                  <c:x val="-6.9925828343181465E-2"/>
                  <c:y val="7.6265664794217675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304F-7147-8002-4B45B24AE16F}"/>
                </c:ext>
              </c:extLst>
            </c:dLbl>
            <c:dLbl>
              <c:idx val="5"/>
              <c:layout>
                <c:manualLayout>
                  <c:x val="-8.4118292033573072E-2"/>
                  <c:y val="0.1091729658653460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304F-7147-8002-4B45B24AE16F}"/>
                </c:ext>
              </c:extLst>
            </c:dLbl>
            <c:dLbl>
              <c:idx val="6"/>
              <c:layout>
                <c:manualLayout>
                  <c:x val="-0.11952635413554524"/>
                  <c:y val="0.10025631925549115"/>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B-304F-7147-8002-4B45B24AE16F}"/>
                </c:ext>
              </c:extLst>
            </c:dLbl>
            <c:dLbl>
              <c:idx val="7"/>
              <c:layout>
                <c:manualLayout>
                  <c:x val="-0.14681023100283558"/>
                  <c:y val="2.1000736804569466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C-304F-7147-8002-4B45B24AE16F}"/>
                </c:ext>
              </c:extLst>
            </c:dLbl>
            <c:dLbl>
              <c:idx val="8"/>
              <c:layout>
                <c:manualLayout>
                  <c:x val="-2.7014424243921059E-2"/>
                  <c:y val="1.4678866647357736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304F-7147-8002-4B45B24AE16F}"/>
                </c:ext>
              </c:extLst>
            </c:dLbl>
            <c:dLbl>
              <c:idx val="9"/>
              <c:layout>
                <c:manualLayout>
                  <c:x val="0.19750179563507239"/>
                  <c:y val="2.8264195123543161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E-304F-7147-8002-4B45B24AE16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Garamond" panose="02020404030301010803" pitchFamily="18" charset="0"/>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&amp; Graphs'!$D$363:$D$372</c:f>
              <c:strCache>
                <c:ptCount val="10"/>
                <c:pt idx="0">
                  <c:v>Arms Sales to Taiwan</c:v>
                </c:pt>
                <c:pt idx="1">
                  <c:v>Geopolitical Dispute</c:v>
                </c:pt>
                <c:pt idx="2">
                  <c:v>Economic Dispute</c:v>
                </c:pt>
                <c:pt idx="3">
                  <c:v>Foreign Support for Taiwan</c:v>
                </c:pt>
                <c:pt idx="4">
                  <c:v>Xinjiang</c:v>
                </c:pt>
                <c:pt idx="5">
                  <c:v>Hong Kong</c:v>
                </c:pt>
                <c:pt idx="6">
                  <c:v>Actions of the Taiwanese Government</c:v>
                </c:pt>
                <c:pt idx="7">
                  <c:v>Tibet/Dalai Lama</c:v>
                </c:pt>
                <c:pt idx="8">
                  <c:v>Other Human Rights Criticism</c:v>
                </c:pt>
                <c:pt idx="9">
                  <c:v>Other</c:v>
                </c:pt>
              </c:strCache>
            </c:strRef>
          </c:cat>
          <c:val>
            <c:numRef>
              <c:f>'Analysis &amp; Graphs'!$E$363:$E$372</c:f>
              <c:numCache>
                <c:formatCode>General</c:formatCode>
                <c:ptCount val="10"/>
                <c:pt idx="0">
                  <c:v>15</c:v>
                </c:pt>
                <c:pt idx="1">
                  <c:v>12</c:v>
                </c:pt>
                <c:pt idx="2">
                  <c:v>8</c:v>
                </c:pt>
                <c:pt idx="3">
                  <c:v>7</c:v>
                </c:pt>
                <c:pt idx="4">
                  <c:v>7</c:v>
                </c:pt>
                <c:pt idx="5">
                  <c:v>4</c:v>
                </c:pt>
                <c:pt idx="6">
                  <c:v>3</c:v>
                </c:pt>
                <c:pt idx="7">
                  <c:v>3</c:v>
                </c:pt>
                <c:pt idx="8">
                  <c:v>2</c:v>
                </c:pt>
                <c:pt idx="9">
                  <c:v>2</c:v>
                </c:pt>
              </c:numCache>
            </c:numRef>
          </c:val>
          <c:extLst>
            <c:ext xmlns:c16="http://schemas.microsoft.com/office/drawing/2014/chart" uri="{C3380CC4-5D6E-409C-BE32-E72D297353CC}">
              <c16:uniqueId val="{00000008-304F-7147-8002-4B45B24AE16F}"/>
            </c:ext>
          </c:extLst>
        </c:ser>
        <c:dLbls>
          <c:showLegendKey val="0"/>
          <c:showVal val="1"/>
          <c:showCatName val="1"/>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pieChart>
        <c:varyColors val="1"/>
        <c:ser>
          <c:idx val="0"/>
          <c:order val="0"/>
          <c:dPt>
            <c:idx val="0"/>
            <c:bubble3D val="0"/>
            <c:spPr>
              <a:solidFill>
                <a:schemeClr val="accent2">
                  <a:shade val="42000"/>
                </a:schemeClr>
              </a:solidFill>
              <a:ln w="19050">
                <a:solidFill>
                  <a:schemeClr val="lt1"/>
                </a:solidFill>
              </a:ln>
              <a:effectLst/>
            </c:spPr>
            <c:extLst>
              <c:ext xmlns:c16="http://schemas.microsoft.com/office/drawing/2014/chart" uri="{C3380CC4-5D6E-409C-BE32-E72D297353CC}">
                <c16:uniqueId val="{00000001-4762-BC42-8168-B82EC77FCFBB}"/>
              </c:ext>
            </c:extLst>
          </c:dPt>
          <c:dPt>
            <c:idx val="1"/>
            <c:bubble3D val="0"/>
            <c:spPr>
              <a:solidFill>
                <a:schemeClr val="accent2">
                  <a:shade val="55000"/>
                </a:schemeClr>
              </a:solidFill>
              <a:ln w="19050">
                <a:solidFill>
                  <a:schemeClr val="lt1"/>
                </a:solidFill>
              </a:ln>
              <a:effectLst/>
            </c:spPr>
            <c:extLst>
              <c:ext xmlns:c16="http://schemas.microsoft.com/office/drawing/2014/chart" uri="{C3380CC4-5D6E-409C-BE32-E72D297353CC}">
                <c16:uniqueId val="{00000003-4762-BC42-8168-B82EC77FCFBB}"/>
              </c:ext>
            </c:extLst>
          </c:dPt>
          <c:dPt>
            <c:idx val="2"/>
            <c:bubble3D val="0"/>
            <c:spPr>
              <a:solidFill>
                <a:schemeClr val="accent2">
                  <a:shade val="68000"/>
                </a:schemeClr>
              </a:solidFill>
              <a:ln w="19050">
                <a:solidFill>
                  <a:schemeClr val="lt1"/>
                </a:solidFill>
              </a:ln>
              <a:effectLst/>
            </c:spPr>
            <c:extLst>
              <c:ext xmlns:c16="http://schemas.microsoft.com/office/drawing/2014/chart" uri="{C3380CC4-5D6E-409C-BE32-E72D297353CC}">
                <c16:uniqueId val="{00000005-4762-BC42-8168-B82EC77FCFBB}"/>
              </c:ext>
            </c:extLst>
          </c:dPt>
          <c:dPt>
            <c:idx val="3"/>
            <c:bubble3D val="0"/>
            <c:spPr>
              <a:solidFill>
                <a:schemeClr val="accent2">
                  <a:shade val="80000"/>
                </a:schemeClr>
              </a:solidFill>
              <a:ln w="19050">
                <a:solidFill>
                  <a:schemeClr val="lt1"/>
                </a:solidFill>
              </a:ln>
              <a:effectLst/>
            </c:spPr>
            <c:extLst>
              <c:ext xmlns:c16="http://schemas.microsoft.com/office/drawing/2014/chart" uri="{C3380CC4-5D6E-409C-BE32-E72D297353CC}">
                <c16:uniqueId val="{00000007-4762-BC42-8168-B82EC77FCFBB}"/>
              </c:ext>
            </c:extLst>
          </c:dPt>
          <c:dPt>
            <c:idx val="4"/>
            <c:bubble3D val="0"/>
            <c:spPr>
              <a:solidFill>
                <a:schemeClr val="accent2">
                  <a:shade val="93000"/>
                </a:schemeClr>
              </a:solidFill>
              <a:ln w="19050">
                <a:solidFill>
                  <a:schemeClr val="lt1"/>
                </a:solidFill>
              </a:ln>
              <a:effectLst/>
            </c:spPr>
            <c:extLst>
              <c:ext xmlns:c16="http://schemas.microsoft.com/office/drawing/2014/chart" uri="{C3380CC4-5D6E-409C-BE32-E72D297353CC}">
                <c16:uniqueId val="{00000009-4762-BC42-8168-B82EC77FCFBB}"/>
              </c:ext>
            </c:extLst>
          </c:dPt>
          <c:dPt>
            <c:idx val="5"/>
            <c:bubble3D val="0"/>
            <c:spPr>
              <a:solidFill>
                <a:schemeClr val="accent2">
                  <a:tint val="94000"/>
                </a:schemeClr>
              </a:solidFill>
              <a:ln w="19050">
                <a:solidFill>
                  <a:schemeClr val="lt1"/>
                </a:solidFill>
              </a:ln>
              <a:effectLst/>
            </c:spPr>
            <c:extLst>
              <c:ext xmlns:c16="http://schemas.microsoft.com/office/drawing/2014/chart" uri="{C3380CC4-5D6E-409C-BE32-E72D297353CC}">
                <c16:uniqueId val="{0000000B-4762-BC42-8168-B82EC77FCFBB}"/>
              </c:ext>
            </c:extLst>
          </c:dPt>
          <c:dPt>
            <c:idx val="6"/>
            <c:bubble3D val="0"/>
            <c:spPr>
              <a:solidFill>
                <a:schemeClr val="accent2">
                  <a:tint val="81000"/>
                </a:schemeClr>
              </a:solidFill>
              <a:ln w="19050">
                <a:solidFill>
                  <a:schemeClr val="lt1"/>
                </a:solidFill>
              </a:ln>
              <a:effectLst/>
            </c:spPr>
            <c:extLst>
              <c:ext xmlns:c16="http://schemas.microsoft.com/office/drawing/2014/chart" uri="{C3380CC4-5D6E-409C-BE32-E72D297353CC}">
                <c16:uniqueId val="{0000000D-4762-BC42-8168-B82EC77FCFBB}"/>
              </c:ext>
            </c:extLst>
          </c:dPt>
          <c:dPt>
            <c:idx val="7"/>
            <c:bubble3D val="0"/>
            <c:spPr>
              <a:solidFill>
                <a:schemeClr val="accent2">
                  <a:tint val="69000"/>
                </a:schemeClr>
              </a:solidFill>
              <a:ln w="19050">
                <a:solidFill>
                  <a:schemeClr val="lt1"/>
                </a:solidFill>
              </a:ln>
              <a:effectLst/>
            </c:spPr>
            <c:extLst>
              <c:ext xmlns:c16="http://schemas.microsoft.com/office/drawing/2014/chart" uri="{C3380CC4-5D6E-409C-BE32-E72D297353CC}">
                <c16:uniqueId val="{0000000F-4762-BC42-8168-B82EC77FCFBB}"/>
              </c:ext>
            </c:extLst>
          </c:dPt>
          <c:dPt>
            <c:idx val="8"/>
            <c:bubble3D val="0"/>
            <c:spPr>
              <a:solidFill>
                <a:schemeClr val="accent2">
                  <a:tint val="56000"/>
                </a:schemeClr>
              </a:solidFill>
              <a:ln w="19050">
                <a:solidFill>
                  <a:schemeClr val="lt1"/>
                </a:solidFill>
              </a:ln>
              <a:effectLst/>
            </c:spPr>
            <c:extLst>
              <c:ext xmlns:c16="http://schemas.microsoft.com/office/drawing/2014/chart" uri="{C3380CC4-5D6E-409C-BE32-E72D297353CC}">
                <c16:uniqueId val="{00000011-4762-BC42-8168-B82EC77FCFBB}"/>
              </c:ext>
            </c:extLst>
          </c:dPt>
          <c:dPt>
            <c:idx val="9"/>
            <c:bubble3D val="0"/>
            <c:spPr>
              <a:solidFill>
                <a:schemeClr val="accent2">
                  <a:tint val="43000"/>
                </a:schemeClr>
              </a:solidFill>
              <a:ln w="19050">
                <a:solidFill>
                  <a:schemeClr val="lt1"/>
                </a:solidFill>
              </a:ln>
              <a:effectLst/>
            </c:spPr>
            <c:extLst>
              <c:ext xmlns:c16="http://schemas.microsoft.com/office/drawing/2014/chart" uri="{C3380CC4-5D6E-409C-BE32-E72D297353CC}">
                <c16:uniqueId val="{00000013-4762-BC42-8168-B82EC77FCFBB}"/>
              </c:ext>
            </c:extLst>
          </c:dPt>
          <c:dLbls>
            <c:dLbl>
              <c:idx val="0"/>
              <c:layout>
                <c:manualLayout>
                  <c:x val="8.2899859214179583E-2"/>
                  <c:y val="6.4416326761340723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4762-BC42-8168-B82EC77FCFBB}"/>
                </c:ext>
              </c:extLst>
            </c:dLbl>
            <c:dLbl>
              <c:idx val="1"/>
              <c:layout>
                <c:manualLayout>
                  <c:x val="2.8950963910914382E-2"/>
                  <c:y val="4.5812749605322736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4762-BC42-8168-B82EC77FCFBB}"/>
                </c:ext>
              </c:extLst>
            </c:dLbl>
            <c:dLbl>
              <c:idx val="2"/>
              <c:layout>
                <c:manualLayout>
                  <c:x val="-0.16012030902631436"/>
                  <c:y val="0.20953742852785617"/>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4762-BC42-8168-B82EC77FCFBB}"/>
                </c:ext>
              </c:extLst>
            </c:dLbl>
            <c:dLbl>
              <c:idx val="3"/>
              <c:layout>
                <c:manualLayout>
                  <c:x val="-0.11065237280216068"/>
                  <c:y val="-6.0586958920435391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4762-BC42-8168-B82EC77FCFBB}"/>
                </c:ext>
              </c:extLst>
            </c:dLbl>
            <c:dLbl>
              <c:idx val="4"/>
              <c:layout>
                <c:manualLayout>
                  <c:x val="-6.9925828343181465E-2"/>
                  <c:y val="7.6265664794217675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4762-BC42-8168-B82EC77FCFBB}"/>
                </c:ext>
              </c:extLst>
            </c:dLbl>
            <c:dLbl>
              <c:idx val="5"/>
              <c:layout>
                <c:manualLayout>
                  <c:x val="-8.4118292033573072E-2"/>
                  <c:y val="0.1091729658653460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B-4762-BC42-8168-B82EC77FCFBB}"/>
                </c:ext>
              </c:extLst>
            </c:dLbl>
            <c:dLbl>
              <c:idx val="6"/>
              <c:layout>
                <c:manualLayout>
                  <c:x val="-0.11952635413554524"/>
                  <c:y val="0.10025631925549115"/>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4762-BC42-8168-B82EC77FCFBB}"/>
                </c:ext>
              </c:extLst>
            </c:dLbl>
            <c:dLbl>
              <c:idx val="7"/>
              <c:layout>
                <c:manualLayout>
                  <c:x val="-0.14681023100283558"/>
                  <c:y val="2.1000736804569466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F-4762-BC42-8168-B82EC77FCFBB}"/>
                </c:ext>
              </c:extLst>
            </c:dLbl>
            <c:dLbl>
              <c:idx val="8"/>
              <c:layout>
                <c:manualLayout>
                  <c:x val="-7.4994470005517719E-2"/>
                  <c:y val="-7.6009527175761318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1-4762-BC42-8168-B82EC77FCFBB}"/>
                </c:ext>
              </c:extLst>
            </c:dLbl>
            <c:dLbl>
              <c:idx val="9"/>
              <c:layout>
                <c:manualLayout>
                  <c:x val="0.19750179563507239"/>
                  <c:y val="2.8264195123543161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3-4762-BC42-8168-B82EC77FCFB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Garamond" panose="02020404030301010803" pitchFamily="18" charset="0"/>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&amp; Graphs'!$D$379:$D$388</c:f>
              <c:strCache>
                <c:ptCount val="10"/>
                <c:pt idx="0">
                  <c:v>Geopolitical Dispute</c:v>
                </c:pt>
                <c:pt idx="1">
                  <c:v>Foreign Support for Taiwan</c:v>
                </c:pt>
                <c:pt idx="2">
                  <c:v>Territorial Dispute</c:v>
                </c:pt>
                <c:pt idx="3">
                  <c:v>Actions of the Taiwanese Government</c:v>
                </c:pt>
                <c:pt idx="4">
                  <c:v>Hong Kong</c:v>
                </c:pt>
                <c:pt idx="5">
                  <c:v>Other</c:v>
                </c:pt>
                <c:pt idx="6">
                  <c:v>Tibet/Dalai Lama</c:v>
                </c:pt>
                <c:pt idx="7">
                  <c:v>Economic Dispute</c:v>
                </c:pt>
                <c:pt idx="8">
                  <c:v>Xinjiang</c:v>
                </c:pt>
                <c:pt idx="9">
                  <c:v>Other Human Rights Criticism</c:v>
                </c:pt>
              </c:strCache>
            </c:strRef>
          </c:cat>
          <c:val>
            <c:numRef>
              <c:f>'Analysis &amp; Graphs'!$E$379:$E$388</c:f>
              <c:numCache>
                <c:formatCode>General</c:formatCode>
                <c:ptCount val="10"/>
                <c:pt idx="0">
                  <c:v>25</c:v>
                </c:pt>
                <c:pt idx="1">
                  <c:v>22</c:v>
                </c:pt>
                <c:pt idx="2">
                  <c:v>18</c:v>
                </c:pt>
                <c:pt idx="3">
                  <c:v>11</c:v>
                </c:pt>
                <c:pt idx="4">
                  <c:v>11</c:v>
                </c:pt>
                <c:pt idx="5">
                  <c:v>10</c:v>
                </c:pt>
                <c:pt idx="6">
                  <c:v>6</c:v>
                </c:pt>
                <c:pt idx="7">
                  <c:v>6</c:v>
                </c:pt>
                <c:pt idx="8">
                  <c:v>5</c:v>
                </c:pt>
                <c:pt idx="9">
                  <c:v>4</c:v>
                </c:pt>
              </c:numCache>
            </c:numRef>
          </c:val>
          <c:extLst>
            <c:ext xmlns:c16="http://schemas.microsoft.com/office/drawing/2014/chart" uri="{C3380CC4-5D6E-409C-BE32-E72D297353CC}">
              <c16:uniqueId val="{00000014-4762-BC42-8168-B82EC77FCFBB}"/>
            </c:ext>
          </c:extLst>
        </c:ser>
        <c:dLbls>
          <c:showLegendKey val="0"/>
          <c:showVal val="1"/>
          <c:showCatName val="1"/>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pieChart>
        <c:varyColors val="1"/>
        <c:ser>
          <c:idx val="0"/>
          <c:order val="0"/>
          <c:dPt>
            <c:idx val="0"/>
            <c:bubble3D val="0"/>
            <c:spPr>
              <a:solidFill>
                <a:schemeClr val="accent1">
                  <a:shade val="44000"/>
                </a:schemeClr>
              </a:solidFill>
              <a:ln w="19050">
                <a:solidFill>
                  <a:schemeClr val="lt1"/>
                </a:solidFill>
              </a:ln>
              <a:effectLst/>
            </c:spPr>
            <c:extLst>
              <c:ext xmlns:c16="http://schemas.microsoft.com/office/drawing/2014/chart" uri="{C3380CC4-5D6E-409C-BE32-E72D297353CC}">
                <c16:uniqueId val="{00000001-E70C-3749-8D76-D430207039BE}"/>
              </c:ext>
            </c:extLst>
          </c:dPt>
          <c:dPt>
            <c:idx val="1"/>
            <c:bubble3D val="0"/>
            <c:spPr>
              <a:solidFill>
                <a:schemeClr val="accent1">
                  <a:shade val="58000"/>
                </a:schemeClr>
              </a:solidFill>
              <a:ln w="19050">
                <a:solidFill>
                  <a:schemeClr val="lt1"/>
                </a:solidFill>
              </a:ln>
              <a:effectLst/>
            </c:spPr>
            <c:extLst>
              <c:ext xmlns:c16="http://schemas.microsoft.com/office/drawing/2014/chart" uri="{C3380CC4-5D6E-409C-BE32-E72D297353CC}">
                <c16:uniqueId val="{00000003-E70C-3749-8D76-D430207039BE}"/>
              </c:ext>
            </c:extLst>
          </c:dPt>
          <c:dPt>
            <c:idx val="2"/>
            <c:bubble3D val="0"/>
            <c:spPr>
              <a:solidFill>
                <a:schemeClr val="accent1">
                  <a:shade val="72000"/>
                </a:schemeClr>
              </a:solidFill>
              <a:ln w="19050">
                <a:solidFill>
                  <a:schemeClr val="lt1"/>
                </a:solidFill>
              </a:ln>
              <a:effectLst/>
            </c:spPr>
            <c:extLst>
              <c:ext xmlns:c16="http://schemas.microsoft.com/office/drawing/2014/chart" uri="{C3380CC4-5D6E-409C-BE32-E72D297353CC}">
                <c16:uniqueId val="{00000005-E70C-3749-8D76-D430207039BE}"/>
              </c:ext>
            </c:extLst>
          </c:dPt>
          <c:dPt>
            <c:idx val="3"/>
            <c:bubble3D val="0"/>
            <c:spPr>
              <a:solidFill>
                <a:schemeClr val="accent1">
                  <a:shade val="86000"/>
                </a:schemeClr>
              </a:solidFill>
              <a:ln w="19050">
                <a:solidFill>
                  <a:schemeClr val="lt1"/>
                </a:solidFill>
              </a:ln>
              <a:effectLst/>
            </c:spPr>
            <c:extLst>
              <c:ext xmlns:c16="http://schemas.microsoft.com/office/drawing/2014/chart" uri="{C3380CC4-5D6E-409C-BE32-E72D297353CC}">
                <c16:uniqueId val="{00000007-E70C-3749-8D76-D430207039BE}"/>
              </c:ext>
            </c:extLst>
          </c:dPt>
          <c:dPt>
            <c:idx val="4"/>
            <c:bubble3D val="0"/>
            <c:spPr>
              <a:solidFill>
                <a:schemeClr val="accent1"/>
              </a:solidFill>
              <a:ln w="19050">
                <a:solidFill>
                  <a:schemeClr val="lt1"/>
                </a:solidFill>
              </a:ln>
              <a:effectLst/>
            </c:spPr>
            <c:extLst>
              <c:ext xmlns:c16="http://schemas.microsoft.com/office/drawing/2014/chart" uri="{C3380CC4-5D6E-409C-BE32-E72D297353CC}">
                <c16:uniqueId val="{00000009-E70C-3749-8D76-D430207039BE}"/>
              </c:ext>
            </c:extLst>
          </c:dPt>
          <c:dPt>
            <c:idx val="5"/>
            <c:bubble3D val="0"/>
            <c:spPr>
              <a:solidFill>
                <a:schemeClr val="accent1">
                  <a:tint val="86000"/>
                </a:schemeClr>
              </a:solidFill>
              <a:ln w="19050">
                <a:solidFill>
                  <a:schemeClr val="lt1"/>
                </a:solidFill>
              </a:ln>
              <a:effectLst/>
            </c:spPr>
            <c:extLst>
              <c:ext xmlns:c16="http://schemas.microsoft.com/office/drawing/2014/chart" uri="{C3380CC4-5D6E-409C-BE32-E72D297353CC}">
                <c16:uniqueId val="{0000000B-E70C-3749-8D76-D430207039BE}"/>
              </c:ext>
            </c:extLst>
          </c:dPt>
          <c:dPt>
            <c:idx val="6"/>
            <c:bubble3D val="0"/>
            <c:spPr>
              <a:solidFill>
                <a:schemeClr val="accent1">
                  <a:tint val="72000"/>
                </a:schemeClr>
              </a:solidFill>
              <a:ln w="19050">
                <a:solidFill>
                  <a:schemeClr val="lt1"/>
                </a:solidFill>
              </a:ln>
              <a:effectLst/>
            </c:spPr>
            <c:extLst>
              <c:ext xmlns:c16="http://schemas.microsoft.com/office/drawing/2014/chart" uri="{C3380CC4-5D6E-409C-BE32-E72D297353CC}">
                <c16:uniqueId val="{0000000D-E70C-3749-8D76-D430207039BE}"/>
              </c:ext>
            </c:extLst>
          </c:dPt>
          <c:dPt>
            <c:idx val="7"/>
            <c:bubble3D val="0"/>
            <c:spPr>
              <a:solidFill>
                <a:schemeClr val="accent1">
                  <a:tint val="58000"/>
                </a:schemeClr>
              </a:solidFill>
              <a:ln w="19050">
                <a:solidFill>
                  <a:schemeClr val="lt1"/>
                </a:solidFill>
              </a:ln>
              <a:effectLst/>
            </c:spPr>
            <c:extLst>
              <c:ext xmlns:c16="http://schemas.microsoft.com/office/drawing/2014/chart" uri="{C3380CC4-5D6E-409C-BE32-E72D297353CC}">
                <c16:uniqueId val="{0000000F-E70C-3749-8D76-D430207039BE}"/>
              </c:ext>
            </c:extLst>
          </c:dPt>
          <c:dPt>
            <c:idx val="8"/>
            <c:bubble3D val="0"/>
            <c:spPr>
              <a:solidFill>
                <a:schemeClr val="accent1">
                  <a:tint val="44000"/>
                </a:schemeClr>
              </a:solidFill>
              <a:ln w="19050">
                <a:solidFill>
                  <a:schemeClr val="lt1"/>
                </a:solidFill>
              </a:ln>
              <a:effectLst/>
            </c:spPr>
            <c:extLst>
              <c:ext xmlns:c16="http://schemas.microsoft.com/office/drawing/2014/chart" uri="{C3380CC4-5D6E-409C-BE32-E72D297353CC}">
                <c16:uniqueId val="{00000011-E70C-3749-8D76-D430207039BE}"/>
              </c:ext>
            </c:extLst>
          </c:dPt>
          <c:dPt>
            <c:idx val="9"/>
            <c:bubble3D val="0"/>
            <c:spPr>
              <a:solidFill>
                <a:schemeClr val="accent1">
                  <a:tint val="30000"/>
                </a:schemeClr>
              </a:solidFill>
              <a:ln w="19050">
                <a:solidFill>
                  <a:schemeClr val="lt1"/>
                </a:solidFill>
              </a:ln>
              <a:effectLst/>
            </c:spPr>
            <c:extLst>
              <c:ext xmlns:c16="http://schemas.microsoft.com/office/drawing/2014/chart" uri="{C3380CC4-5D6E-409C-BE32-E72D297353CC}">
                <c16:uniqueId val="{00000013-E70C-3749-8D76-D430207039BE}"/>
              </c:ext>
            </c:extLst>
          </c:dPt>
          <c:dLbls>
            <c:dLbl>
              <c:idx val="0"/>
              <c:layout>
                <c:manualLayout>
                  <c:x val="8.2899791265057698E-2"/>
                  <c:y val="-1.6794883530268599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E70C-3749-8D76-D430207039BE}"/>
                </c:ext>
              </c:extLst>
            </c:dLbl>
            <c:dLbl>
              <c:idx val="1"/>
              <c:layout>
                <c:manualLayout>
                  <c:x val="2.8950963910914382E-2"/>
                  <c:y val="4.5812749605322736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E70C-3749-8D76-D430207039BE}"/>
                </c:ext>
              </c:extLst>
            </c:dLbl>
            <c:dLbl>
              <c:idx val="2"/>
              <c:layout>
                <c:manualLayout>
                  <c:x val="0.10938537277919824"/>
                  <c:y val="-3.499189186127781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E70C-3749-8D76-D430207039BE}"/>
                </c:ext>
              </c:extLst>
            </c:dLbl>
            <c:dLbl>
              <c:idx val="3"/>
              <c:layout>
                <c:manualLayout>
                  <c:x val="-5.5797300812122592E-2"/>
                  <c:y val="-9.9468202840312988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E70C-3749-8D76-D430207039BE}"/>
                </c:ext>
              </c:extLst>
            </c:dLbl>
            <c:dLbl>
              <c:idx val="4"/>
              <c:layout>
                <c:manualLayout>
                  <c:x val="-0.12001085459259127"/>
                  <c:y val="1.1514567250099573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E70C-3749-8D76-D430207039BE}"/>
                </c:ext>
              </c:extLst>
            </c:dLbl>
            <c:dLbl>
              <c:idx val="5"/>
              <c:layout>
                <c:manualLayout>
                  <c:x val="-0.17474842415916814"/>
                  <c:y val="8.9732925839537528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B-E70C-3749-8D76-D430207039BE}"/>
                </c:ext>
              </c:extLst>
            </c:dLbl>
            <c:dLbl>
              <c:idx val="6"/>
              <c:layout>
                <c:manualLayout>
                  <c:x val="-5.9670963119737609E-2"/>
                  <c:y val="5.3600353408923503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E70C-3749-8D76-D430207039BE}"/>
                </c:ext>
              </c:extLst>
            </c:dLbl>
            <c:dLbl>
              <c:idx val="7"/>
              <c:layout>
                <c:manualLayout>
                  <c:x val="-7.8412412545880841E-2"/>
                  <c:y val="-6.2152702411869673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F-E70C-3749-8D76-D430207039BE}"/>
                </c:ext>
              </c:extLst>
            </c:dLbl>
            <c:dLbl>
              <c:idx val="8"/>
              <c:layout>
                <c:manualLayout>
                  <c:x val="-7.4994470005517719E-2"/>
                  <c:y val="-7.6009527175761318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1-E70C-3749-8D76-D430207039BE}"/>
                </c:ext>
              </c:extLst>
            </c:dLbl>
            <c:dLbl>
              <c:idx val="9"/>
              <c:layout>
                <c:manualLayout>
                  <c:x val="0.19750179563507239"/>
                  <c:y val="2.8264195123543161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3-E70C-3749-8D76-D430207039B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Garamond" panose="02020404030301010803" pitchFamily="18" charset="0"/>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&amp; Graphs'!$D$394:$D$402</c:f>
              <c:strCache>
                <c:ptCount val="9"/>
                <c:pt idx="0">
                  <c:v>Defense</c:v>
                </c:pt>
                <c:pt idx="1">
                  <c:v>Public Sector</c:v>
                </c:pt>
                <c:pt idx="2">
                  <c:v>Academia &amp; Civil Society</c:v>
                </c:pt>
                <c:pt idx="3">
                  <c:v>Raw Materials</c:v>
                </c:pt>
                <c:pt idx="4">
                  <c:v>Energy</c:v>
                </c:pt>
                <c:pt idx="5">
                  <c:v>Drones</c:v>
                </c:pt>
                <c:pt idx="6">
                  <c:v>Transportation</c:v>
                </c:pt>
                <c:pt idx="7">
                  <c:v>Agriculture</c:v>
                </c:pt>
                <c:pt idx="8">
                  <c:v>Other </c:v>
                </c:pt>
              </c:strCache>
            </c:strRef>
          </c:cat>
          <c:val>
            <c:numRef>
              <c:f>'Analysis &amp; Graphs'!$E$394:$E$402</c:f>
              <c:numCache>
                <c:formatCode>General</c:formatCode>
                <c:ptCount val="9"/>
                <c:pt idx="0">
                  <c:v>19</c:v>
                </c:pt>
                <c:pt idx="1">
                  <c:v>15</c:v>
                </c:pt>
                <c:pt idx="2">
                  <c:v>12</c:v>
                </c:pt>
                <c:pt idx="3">
                  <c:v>6</c:v>
                </c:pt>
                <c:pt idx="4">
                  <c:v>6</c:v>
                </c:pt>
                <c:pt idx="5">
                  <c:v>5</c:v>
                </c:pt>
                <c:pt idx="6">
                  <c:v>5</c:v>
                </c:pt>
                <c:pt idx="7">
                  <c:v>5</c:v>
                </c:pt>
                <c:pt idx="8">
                  <c:v>19</c:v>
                </c:pt>
              </c:numCache>
            </c:numRef>
          </c:val>
          <c:extLst>
            <c:ext xmlns:c16="http://schemas.microsoft.com/office/drawing/2014/chart" uri="{C3380CC4-5D6E-409C-BE32-E72D297353CC}">
              <c16:uniqueId val="{00000014-E70C-3749-8D76-D430207039BE}"/>
            </c:ext>
          </c:extLst>
        </c:ser>
        <c:dLbls>
          <c:showLegendKey val="0"/>
          <c:showVal val="1"/>
          <c:showCatName val="1"/>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pieChart>
        <c:varyColors val="1"/>
        <c:ser>
          <c:idx val="0"/>
          <c:order val="0"/>
          <c:dPt>
            <c:idx val="0"/>
            <c:bubble3D val="0"/>
            <c:spPr>
              <a:solidFill>
                <a:schemeClr val="accent1">
                  <a:shade val="42000"/>
                </a:schemeClr>
              </a:solidFill>
              <a:ln w="19050">
                <a:solidFill>
                  <a:schemeClr val="lt1"/>
                </a:solidFill>
              </a:ln>
              <a:effectLst/>
            </c:spPr>
            <c:extLst>
              <c:ext xmlns:c16="http://schemas.microsoft.com/office/drawing/2014/chart" uri="{C3380CC4-5D6E-409C-BE32-E72D297353CC}">
                <c16:uniqueId val="{00000001-CD90-B741-91E1-419D68D90DF4}"/>
              </c:ext>
            </c:extLst>
          </c:dPt>
          <c:dPt>
            <c:idx val="1"/>
            <c:bubble3D val="0"/>
            <c:spPr>
              <a:solidFill>
                <a:schemeClr val="accent1">
                  <a:shade val="55000"/>
                </a:schemeClr>
              </a:solidFill>
              <a:ln w="19050">
                <a:solidFill>
                  <a:schemeClr val="lt1"/>
                </a:solidFill>
              </a:ln>
              <a:effectLst/>
            </c:spPr>
            <c:extLst>
              <c:ext xmlns:c16="http://schemas.microsoft.com/office/drawing/2014/chart" uri="{C3380CC4-5D6E-409C-BE32-E72D297353CC}">
                <c16:uniqueId val="{00000003-CD90-B741-91E1-419D68D90DF4}"/>
              </c:ext>
            </c:extLst>
          </c:dPt>
          <c:dPt>
            <c:idx val="2"/>
            <c:bubble3D val="0"/>
            <c:spPr>
              <a:solidFill>
                <a:schemeClr val="accent1">
                  <a:shade val="68000"/>
                </a:schemeClr>
              </a:solidFill>
              <a:ln w="19050">
                <a:solidFill>
                  <a:schemeClr val="lt1"/>
                </a:solidFill>
              </a:ln>
              <a:effectLst/>
            </c:spPr>
            <c:extLst>
              <c:ext xmlns:c16="http://schemas.microsoft.com/office/drawing/2014/chart" uri="{C3380CC4-5D6E-409C-BE32-E72D297353CC}">
                <c16:uniqueId val="{00000005-CD90-B741-91E1-419D68D90DF4}"/>
              </c:ext>
            </c:extLst>
          </c:dPt>
          <c:dPt>
            <c:idx val="3"/>
            <c:bubble3D val="0"/>
            <c:spPr>
              <a:solidFill>
                <a:schemeClr val="accent1">
                  <a:shade val="80000"/>
                </a:schemeClr>
              </a:solidFill>
              <a:ln w="19050">
                <a:solidFill>
                  <a:schemeClr val="lt1"/>
                </a:solidFill>
              </a:ln>
              <a:effectLst/>
            </c:spPr>
            <c:extLst>
              <c:ext xmlns:c16="http://schemas.microsoft.com/office/drawing/2014/chart" uri="{C3380CC4-5D6E-409C-BE32-E72D297353CC}">
                <c16:uniqueId val="{00000007-CD90-B741-91E1-419D68D90DF4}"/>
              </c:ext>
            </c:extLst>
          </c:dPt>
          <c:dPt>
            <c:idx val="4"/>
            <c:bubble3D val="0"/>
            <c:spPr>
              <a:solidFill>
                <a:schemeClr val="accent1">
                  <a:shade val="93000"/>
                </a:schemeClr>
              </a:solidFill>
              <a:ln w="19050">
                <a:solidFill>
                  <a:schemeClr val="lt1"/>
                </a:solidFill>
              </a:ln>
              <a:effectLst/>
            </c:spPr>
            <c:extLst>
              <c:ext xmlns:c16="http://schemas.microsoft.com/office/drawing/2014/chart" uri="{C3380CC4-5D6E-409C-BE32-E72D297353CC}">
                <c16:uniqueId val="{00000009-CD90-B741-91E1-419D68D90DF4}"/>
              </c:ext>
            </c:extLst>
          </c:dPt>
          <c:dPt>
            <c:idx val="5"/>
            <c:bubble3D val="0"/>
            <c:spPr>
              <a:solidFill>
                <a:schemeClr val="accent1">
                  <a:tint val="94000"/>
                </a:schemeClr>
              </a:solidFill>
              <a:ln w="19050">
                <a:solidFill>
                  <a:schemeClr val="lt1"/>
                </a:solidFill>
              </a:ln>
              <a:effectLst/>
            </c:spPr>
            <c:extLst>
              <c:ext xmlns:c16="http://schemas.microsoft.com/office/drawing/2014/chart" uri="{C3380CC4-5D6E-409C-BE32-E72D297353CC}">
                <c16:uniqueId val="{0000000B-CD90-B741-91E1-419D68D90DF4}"/>
              </c:ext>
            </c:extLst>
          </c:dPt>
          <c:dPt>
            <c:idx val="6"/>
            <c:bubble3D val="0"/>
            <c:spPr>
              <a:solidFill>
                <a:schemeClr val="accent1">
                  <a:tint val="81000"/>
                </a:schemeClr>
              </a:solidFill>
              <a:ln w="19050">
                <a:solidFill>
                  <a:schemeClr val="lt1"/>
                </a:solidFill>
              </a:ln>
              <a:effectLst/>
            </c:spPr>
            <c:extLst>
              <c:ext xmlns:c16="http://schemas.microsoft.com/office/drawing/2014/chart" uri="{C3380CC4-5D6E-409C-BE32-E72D297353CC}">
                <c16:uniqueId val="{0000000D-CD90-B741-91E1-419D68D90DF4}"/>
              </c:ext>
            </c:extLst>
          </c:dPt>
          <c:dPt>
            <c:idx val="7"/>
            <c:bubble3D val="0"/>
            <c:spPr>
              <a:solidFill>
                <a:schemeClr val="accent1">
                  <a:tint val="69000"/>
                </a:schemeClr>
              </a:solidFill>
              <a:ln w="19050">
                <a:solidFill>
                  <a:schemeClr val="lt1"/>
                </a:solidFill>
              </a:ln>
              <a:effectLst/>
            </c:spPr>
            <c:extLst>
              <c:ext xmlns:c16="http://schemas.microsoft.com/office/drawing/2014/chart" uri="{C3380CC4-5D6E-409C-BE32-E72D297353CC}">
                <c16:uniqueId val="{0000000F-CD90-B741-91E1-419D68D90DF4}"/>
              </c:ext>
            </c:extLst>
          </c:dPt>
          <c:dPt>
            <c:idx val="8"/>
            <c:bubble3D val="0"/>
            <c:spPr>
              <a:solidFill>
                <a:schemeClr val="accent1">
                  <a:tint val="56000"/>
                </a:schemeClr>
              </a:solidFill>
              <a:ln w="19050">
                <a:solidFill>
                  <a:schemeClr val="lt1"/>
                </a:solidFill>
              </a:ln>
              <a:effectLst/>
            </c:spPr>
            <c:extLst>
              <c:ext xmlns:c16="http://schemas.microsoft.com/office/drawing/2014/chart" uri="{C3380CC4-5D6E-409C-BE32-E72D297353CC}">
                <c16:uniqueId val="{00000011-CD90-B741-91E1-419D68D90DF4}"/>
              </c:ext>
            </c:extLst>
          </c:dPt>
          <c:dPt>
            <c:idx val="9"/>
            <c:bubble3D val="0"/>
            <c:spPr>
              <a:solidFill>
                <a:schemeClr val="accent1">
                  <a:tint val="43000"/>
                </a:schemeClr>
              </a:solidFill>
              <a:ln w="19050">
                <a:solidFill>
                  <a:schemeClr val="lt1"/>
                </a:solidFill>
              </a:ln>
              <a:effectLst/>
            </c:spPr>
            <c:extLst>
              <c:ext xmlns:c16="http://schemas.microsoft.com/office/drawing/2014/chart" uri="{C3380CC4-5D6E-409C-BE32-E72D297353CC}">
                <c16:uniqueId val="{00000013-CD90-B741-91E1-419D68D90DF4}"/>
              </c:ext>
            </c:extLst>
          </c:dPt>
          <c:dLbls>
            <c:dLbl>
              <c:idx val="0"/>
              <c:layout>
                <c:manualLayout>
                  <c:x val="8.2899859214179583E-2"/>
                  <c:y val="6.4416326761340723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CD90-B741-91E1-419D68D90DF4}"/>
                </c:ext>
              </c:extLst>
            </c:dLbl>
            <c:dLbl>
              <c:idx val="1"/>
              <c:layout>
                <c:manualLayout>
                  <c:x val="2.8950963910914382E-2"/>
                  <c:y val="4.5812749605322736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CD90-B741-91E1-419D68D90DF4}"/>
                </c:ext>
              </c:extLst>
            </c:dLbl>
            <c:dLbl>
              <c:idx val="2"/>
              <c:layout>
                <c:manualLayout>
                  <c:x val="8.0765305116400399E-2"/>
                  <c:y val="-6.8587760740027775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CD90-B741-91E1-419D68D90DF4}"/>
                </c:ext>
              </c:extLst>
            </c:dLbl>
            <c:dLbl>
              <c:idx val="3"/>
              <c:layout>
                <c:manualLayout>
                  <c:x val="-0.11065237280216068"/>
                  <c:y val="-6.0586958920435391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CD90-B741-91E1-419D68D90DF4}"/>
                </c:ext>
              </c:extLst>
            </c:dLbl>
            <c:dLbl>
              <c:idx val="4"/>
              <c:layout>
                <c:manualLayout>
                  <c:x val="-0.15101592789395551"/>
                  <c:y val="-5.8469198572649636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CD90-B741-91E1-419D68D90DF4}"/>
                </c:ext>
              </c:extLst>
            </c:dLbl>
            <c:dLbl>
              <c:idx val="5"/>
              <c:layout>
                <c:manualLayout>
                  <c:x val="-0.11273827755643966"/>
                  <c:y val="-8.5226507375541632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B-CD90-B741-91E1-419D68D90DF4}"/>
                </c:ext>
              </c:extLst>
            </c:dLbl>
            <c:dLbl>
              <c:idx val="6"/>
              <c:layout>
                <c:manualLayout>
                  <c:x val="-0.12191134727466157"/>
                  <c:y val="-3.1935372475257726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CD90-B741-91E1-419D68D90DF4}"/>
                </c:ext>
              </c:extLst>
            </c:dLbl>
            <c:dLbl>
              <c:idx val="7"/>
              <c:layout>
                <c:manualLayout>
                  <c:x val="-0.14681023100283558"/>
                  <c:y val="2.1000736804569466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F-CD90-B741-91E1-419D68D90DF4}"/>
                </c:ext>
              </c:extLst>
            </c:dLbl>
            <c:dLbl>
              <c:idx val="8"/>
              <c:layout>
                <c:manualLayout>
                  <c:x val="-7.4994470005517719E-2"/>
                  <c:y val="-7.6009527175761318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1-CD90-B741-91E1-419D68D90DF4}"/>
                </c:ext>
              </c:extLst>
            </c:dLbl>
            <c:dLbl>
              <c:idx val="9"/>
              <c:layout>
                <c:manualLayout>
                  <c:x val="0.19750179563507239"/>
                  <c:y val="2.8264195123543161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3-CD90-B741-91E1-419D68D90D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Garamond" panose="02020404030301010803" pitchFamily="18" charset="0"/>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&amp; Graphs'!$D$420:$D$426</c:f>
              <c:strCache>
                <c:ptCount val="7"/>
                <c:pt idx="0">
                  <c:v>Food &amp; Beverage</c:v>
                </c:pt>
                <c:pt idx="1">
                  <c:v>Consumer Goods</c:v>
                </c:pt>
                <c:pt idx="2">
                  <c:v>Hospitality &amp; Travel</c:v>
                </c:pt>
                <c:pt idx="3">
                  <c:v>Entertainment</c:v>
                </c:pt>
                <c:pt idx="4">
                  <c:v>Agriculture</c:v>
                </c:pt>
                <c:pt idx="5">
                  <c:v>Raw Materials</c:v>
                </c:pt>
                <c:pt idx="6">
                  <c:v>Other</c:v>
                </c:pt>
              </c:strCache>
            </c:strRef>
          </c:cat>
          <c:val>
            <c:numRef>
              <c:f>'Analysis &amp; Graphs'!$E$420:$E$426</c:f>
              <c:numCache>
                <c:formatCode>General</c:formatCode>
                <c:ptCount val="7"/>
                <c:pt idx="0">
                  <c:v>29</c:v>
                </c:pt>
                <c:pt idx="1">
                  <c:v>25</c:v>
                </c:pt>
                <c:pt idx="2">
                  <c:v>21</c:v>
                </c:pt>
                <c:pt idx="3">
                  <c:v>10</c:v>
                </c:pt>
                <c:pt idx="4">
                  <c:v>10</c:v>
                </c:pt>
                <c:pt idx="5">
                  <c:v>9</c:v>
                </c:pt>
                <c:pt idx="6">
                  <c:v>44</c:v>
                </c:pt>
              </c:numCache>
            </c:numRef>
          </c:val>
          <c:extLst>
            <c:ext xmlns:c16="http://schemas.microsoft.com/office/drawing/2014/chart" uri="{C3380CC4-5D6E-409C-BE32-E72D297353CC}">
              <c16:uniqueId val="{00000014-CD90-B741-91E1-419D68D90DF4}"/>
            </c:ext>
          </c:extLst>
        </c:ser>
        <c:dLbls>
          <c:showLegendKey val="0"/>
          <c:showVal val="1"/>
          <c:showCatName val="1"/>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title pos="t" align="ctr" overlay="0">
      <cx:tx>
        <cx:txData>
          <cx:v>FORMAL</cx:v>
        </cx:txData>
      </cx:tx>
      <cx:txPr>
        <a:bodyPr spcFirstLastPara="1" vertOverflow="ellipsis" horzOverflow="overflow" wrap="square" lIns="0" tIns="0" rIns="0" bIns="0" anchor="ctr" anchorCtr="1"/>
        <a:lstStyle/>
        <a:p>
          <a:pPr algn="ctr" rtl="0">
            <a:defRPr/>
          </a:pPr>
          <a:r>
            <a:rPr lang="en-US" sz="1400" b="0" i="0" u="none" strike="noStrike" baseline="0">
              <a:solidFill>
                <a:srgbClr val="000000">
                  <a:lumMod val="65000"/>
                  <a:lumOff val="35000"/>
                </a:srgbClr>
              </a:solidFill>
              <a:latin typeface="Calibri"/>
              <a:cs typeface="Calibri"/>
            </a:rPr>
            <a:t>FORMAL</a:t>
          </a:r>
        </a:p>
      </cx:txPr>
    </cx:title>
    <cx:plotArea>
      <cx:plotAreaRegion>
        <cx:series layoutId="funnel" uniqueId="{74FDD2B0-F493-5F42-88F8-508C16D0FA3C}">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_xlchart.v2.12</cx:f>
      </cx:strDim>
      <cx:numDim type="val">
        <cx:f>_xlchart.v2.13</cx:f>
      </cx:numDim>
    </cx:data>
  </cx:chartData>
  <cx:chart>
    <cx:title pos="t" align="ctr" overlay="0">
      <cx:tx>
        <cx:txData>
          <cx:v>INFORMAL</cx:v>
        </cx:txData>
      </cx:tx>
      <cx:txPr>
        <a:bodyPr spcFirstLastPara="1" vertOverflow="ellipsis" horzOverflow="overflow" wrap="square" lIns="0" tIns="0" rIns="0" bIns="0" anchor="ctr" anchorCtr="1"/>
        <a:lstStyle/>
        <a:p>
          <a:pPr algn="ctr" rtl="0">
            <a:defRPr/>
          </a:pPr>
          <a:r>
            <a:rPr lang="en-US" sz="1400" b="0" i="0" u="none" strike="noStrike" baseline="0">
              <a:solidFill>
                <a:srgbClr val="000000">
                  <a:lumMod val="65000"/>
                  <a:lumOff val="35000"/>
                </a:srgbClr>
              </a:solidFill>
              <a:latin typeface="Calibri"/>
              <a:cs typeface="Calibri"/>
            </a:rPr>
            <a:t>INFORMAL</a:t>
          </a:r>
        </a:p>
      </cx:txPr>
    </cx:title>
    <cx:plotArea>
      <cx:plotAreaRegion>
        <cx:series layoutId="funnel" uniqueId="{382881BB-D7EA-8D47-8765-8DD4B51F39D6}">
          <cx:dataLabels>
            <cx:visibility seriesName="0" categoryName="0" value="1"/>
          </cx:dataLabels>
          <cx:dataId val="0"/>
        </cx:series>
      </cx:plotAreaRegion>
      <cx:axis id="0">
        <cx:catScaling gapWidth="0.0599999987"/>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_xlchart.v2.2</cx:f>
      </cx:strDim>
      <cx:numDim type="val">
        <cx:f>_xlchart.v2.3</cx:f>
      </cx:numDim>
    </cx:data>
  </cx:chartData>
  <cx:chart>
    <cx:title pos="t" align="ctr" overlay="0">
      <cx:tx>
        <cx:txData>
          <cx:v>TOTAL</cx:v>
        </cx:txData>
      </cx:tx>
      <cx:txPr>
        <a:bodyPr spcFirstLastPara="1" vertOverflow="ellipsis" horzOverflow="overflow" wrap="square" lIns="0" tIns="0" rIns="0" bIns="0" anchor="ctr" anchorCtr="1"/>
        <a:lstStyle/>
        <a:p>
          <a:pPr algn="ctr" rtl="0">
            <a:defRPr/>
          </a:pPr>
          <a:r>
            <a:rPr lang="en-US" sz="1400" b="0" i="0" u="none" strike="noStrike" baseline="0">
              <a:solidFill>
                <a:srgbClr val="000000">
                  <a:lumMod val="65000"/>
                  <a:lumOff val="35000"/>
                </a:srgbClr>
              </a:solidFill>
              <a:latin typeface="Calibri"/>
              <a:cs typeface="Calibri"/>
            </a:rPr>
            <a:t>TOTAL</a:t>
          </a:r>
        </a:p>
      </cx:txPr>
    </cx:title>
    <cx:plotArea>
      <cx:plotAreaRegion>
        <cx:series layoutId="funnel" uniqueId="{94854988-AE33-674B-95A6-D5067CCAC7D6}">
          <cx:dataLabels>
            <cx:visibility seriesName="0" categoryName="0" value="1"/>
          </cx:dataLabels>
          <cx:dataId val="0"/>
        </cx:series>
      </cx:plotAreaRegion>
      <cx:axis id="0">
        <cx:catScaling gapWidth="0.0599999987"/>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_xlchart.v2.4</cx:f>
      </cx:strDim>
      <cx:numDim type="val">
        <cx:f>_xlchart.v2.5</cx:f>
      </cx:numDim>
    </cx:data>
  </cx:chartData>
  <cx:chart>
    <cx:title pos="t" align="ctr" overlay="0">
      <cx:tx>
        <cx:txData>
          <cx:v>TOTAL</cx:v>
        </cx:txData>
      </cx:tx>
      <cx:txPr>
        <a:bodyPr spcFirstLastPara="1" vertOverflow="ellipsis" horzOverflow="overflow" wrap="square" lIns="0" tIns="0" rIns="0" bIns="0" anchor="ctr" anchorCtr="1"/>
        <a:lstStyle/>
        <a:p>
          <a:pPr algn="ctr" rtl="0">
            <a:defRPr/>
          </a:pPr>
          <a:r>
            <a:rPr lang="en-US" sz="1400" b="0" i="0" u="none" strike="noStrike" baseline="0">
              <a:solidFill>
                <a:srgbClr val="000000">
                  <a:lumMod val="65000"/>
                  <a:lumOff val="35000"/>
                </a:srgbClr>
              </a:solidFill>
              <a:latin typeface="Calibri"/>
              <a:cs typeface="Calibri"/>
            </a:rPr>
            <a:t>TOTAL</a:t>
          </a:r>
        </a:p>
      </cx:txPr>
    </cx:title>
    <cx:plotArea>
      <cx:plotAreaRegion>
        <cx:series layoutId="funnel" uniqueId="{82D3EA6B-0B89-5142-BF00-C215D78BDFD6}">
          <cx:dataLabels>
            <cx:visibility seriesName="0" categoryName="0" value="1"/>
          </cx:dataLabels>
          <cx:dataId val="0"/>
        </cx:series>
      </cx:plotAreaRegion>
      <cx:axis id="0">
        <cx:catScaling gapWidth="0.0599999987"/>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_xlchart.v2.14</cx:f>
      </cx:strDim>
      <cx:numDim type="val">
        <cx:f>_xlchart.v2.15</cx:f>
      </cx:numDim>
    </cx:data>
  </cx:chartData>
  <cx:chart>
    <cx:title pos="t" align="ctr" overlay="0">
      <cx:tx>
        <cx:txData>
          <cx:v>FORMAL</cx:v>
        </cx:txData>
      </cx:tx>
      <cx:txPr>
        <a:bodyPr spcFirstLastPara="1" vertOverflow="ellipsis" horzOverflow="overflow" wrap="square" lIns="0" tIns="0" rIns="0" bIns="0" anchor="ctr" anchorCtr="1"/>
        <a:lstStyle/>
        <a:p>
          <a:pPr algn="ctr" rtl="0">
            <a:defRPr/>
          </a:pPr>
          <a:r>
            <a:rPr lang="en-US" sz="1400" b="0" i="0" u="none" strike="noStrike" baseline="0">
              <a:solidFill>
                <a:srgbClr val="000000">
                  <a:lumMod val="65000"/>
                  <a:lumOff val="35000"/>
                </a:srgbClr>
              </a:solidFill>
              <a:latin typeface="Calibri"/>
              <a:cs typeface="Calibri"/>
            </a:rPr>
            <a:t>FORMAL</a:t>
          </a:r>
        </a:p>
      </cx:txPr>
    </cx:title>
    <cx:plotArea>
      <cx:plotAreaRegion>
        <cx:series layoutId="funnel" uniqueId="{BB03D55E-4B7C-3941-AD75-2DBA17CAD27E}">
          <cx:dataLabels>
            <cx:visibility seriesName="0" categoryName="0" value="1"/>
          </cx:dataLabels>
          <cx:dataId val="0"/>
        </cx:series>
      </cx:plotAreaRegion>
      <cx:axis id="0">
        <cx:catScaling gapWidth="0.0599999987"/>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_xlchart.v2.6</cx:f>
      </cx:strDim>
      <cx:numDim type="val">
        <cx:f>_xlchart.v2.7</cx:f>
      </cx:numDim>
    </cx:data>
  </cx:chartData>
  <cx:chart>
    <cx:title pos="t" align="ctr" overlay="0">
      <cx:tx>
        <cx:txData>
          <cx:v>INFORMAL</cx:v>
        </cx:txData>
      </cx:tx>
      <cx:txPr>
        <a:bodyPr spcFirstLastPara="1" vertOverflow="ellipsis" horzOverflow="overflow" wrap="square" lIns="0" tIns="0" rIns="0" bIns="0" anchor="ctr" anchorCtr="1"/>
        <a:lstStyle/>
        <a:p>
          <a:pPr algn="ctr" rtl="0">
            <a:defRPr/>
          </a:pPr>
          <a:r>
            <a:rPr lang="en-US" sz="1400" b="0" i="0" u="none" strike="noStrike" baseline="0">
              <a:solidFill>
                <a:srgbClr val="000000">
                  <a:lumMod val="65000"/>
                  <a:lumOff val="35000"/>
                </a:srgbClr>
              </a:solidFill>
              <a:latin typeface="Calibri"/>
              <a:cs typeface="Calibri"/>
            </a:rPr>
            <a:t>INFORMAL</a:t>
          </a:r>
        </a:p>
      </cx:txPr>
    </cx:title>
    <cx:plotArea>
      <cx:plotAreaRegion>
        <cx:series layoutId="funnel" uniqueId="{989DD312-3E92-F34B-BB3E-39703BF50BF5}">
          <cx:dataLabels>
            <cx:visibility seriesName="0" categoryName="0" value="1"/>
          </cx:dataLabels>
          <cx:dataId val="0"/>
        </cx:series>
      </cx:plotAreaRegion>
      <cx:axis id="0">
        <cx:catScaling gapWidth="0.0599999987"/>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strDim type="cat">
        <cx:f>_xlchart.v1.8</cx:f>
      </cx:strDim>
      <cx:numDim type="size">
        <cx:f>_xlchart.v1.9</cx:f>
      </cx:numDim>
    </cx:data>
  </cx:chartData>
  <cx:chart>
    <cx:title pos="t" align="ctr" overlay="0">
      <cx:tx>
        <cx:txData>
          <cx:v>TOTAL</cx:v>
        </cx:txData>
      </cx:tx>
      <cx:txPr>
        <a:bodyPr spcFirstLastPara="1" vertOverflow="ellipsis" horzOverflow="overflow" wrap="square" lIns="0" tIns="0" rIns="0" bIns="0" anchor="ctr" anchorCtr="1"/>
        <a:lstStyle/>
        <a:p>
          <a:pPr algn="ctr" rtl="0">
            <a:defRPr/>
          </a:pPr>
          <a:r>
            <a:rPr lang="en-US" sz="1400" b="0" i="0" u="none" strike="noStrike" baseline="0">
              <a:solidFill>
                <a:srgbClr val="000000">
                  <a:lumMod val="65000"/>
                  <a:lumOff val="35000"/>
                </a:srgbClr>
              </a:solidFill>
              <a:latin typeface="Calibri"/>
              <a:cs typeface="Calibri"/>
            </a:rPr>
            <a:t>TOTAL</a:t>
          </a:r>
        </a:p>
      </cx:txPr>
    </cx:title>
    <cx:plotArea>
      <cx:plotAreaRegion>
        <cx:series layoutId="sunburst" uniqueId="{1E86251E-C3BB-E548-BA0D-A39BF6E93AC3}">
          <cx:dataPt idx="0">
            <cx:spPr>
              <a:solidFill>
                <a:srgbClr val="004F8D"/>
              </a:solidFill>
            </cx:spPr>
          </cx:dataPt>
          <cx:dataPt idx="3">
            <cx:spPr>
              <a:solidFill>
                <a:srgbClr val="D83F03"/>
              </a:solidFill>
            </cx:spPr>
          </cx:dataPt>
          <cx:dataPt idx="18">
            <cx:spPr>
              <a:solidFill>
                <a:srgbClr val="941651"/>
              </a:solidFill>
            </cx:spPr>
          </cx:dataPt>
          <cx:dataPt idx="38">
            <cx:spPr>
              <a:solidFill>
                <a:srgbClr val="FFFFFF">
                  <a:lumMod val="50000"/>
                </a:srgbClr>
              </a:solidFill>
            </cx:spPr>
          </cx:dataPt>
          <cx:dataLabels pos="ctr">
            <cx:visibility seriesName="0" categoryName="1" value="1"/>
            <cx:dataLabel idx="0">
              <cx:visibility seriesName="0" categoryName="1" value="0"/>
            </cx:dataLabel>
          </cx:dataLabels>
          <cx:dataId val="0"/>
        </cx:series>
      </cx:plotAreaRegion>
    </cx:plotArea>
    <cx:legend pos="r" align="ctr" overlay="0"/>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strDim type="cat">
        <cx:f>_xlchart.v1.17</cx:f>
      </cx:strDim>
      <cx:numDim type="size">
        <cx:f>_xlchart.v1.16</cx:f>
      </cx:numDim>
    </cx:data>
  </cx:chartData>
  <cx:chart>
    <cx:title pos="t" align="ctr" overlay="0">
      <cx:tx>
        <cx:txData>
          <cx:v>FORMAL</cx:v>
        </cx:txData>
      </cx:tx>
      <cx:txPr>
        <a:bodyPr spcFirstLastPara="1" vertOverflow="ellipsis" horzOverflow="overflow" wrap="square" lIns="0" tIns="0" rIns="0" bIns="0" anchor="ctr" anchorCtr="1"/>
        <a:lstStyle/>
        <a:p>
          <a:pPr algn="ctr" rtl="0">
            <a:defRPr/>
          </a:pPr>
          <a:r>
            <a:rPr lang="en-US" sz="1400" b="0" i="0" u="none" strike="noStrike" baseline="0">
              <a:solidFill>
                <a:srgbClr val="000000">
                  <a:lumMod val="65000"/>
                  <a:lumOff val="35000"/>
                </a:srgbClr>
              </a:solidFill>
              <a:latin typeface="Calibri"/>
              <a:cs typeface="Calibri"/>
            </a:rPr>
            <a:t>FORMAL</a:t>
          </a:r>
        </a:p>
      </cx:txPr>
    </cx:title>
    <cx:plotArea>
      <cx:plotAreaRegion>
        <cx:series layoutId="sunburst" uniqueId="{91BFC03B-92C4-504C-8CB6-FD53A4B890FB}">
          <cx:dataPt idx="0">
            <cx:spPr>
              <a:solidFill>
                <a:srgbClr val="004F8D"/>
              </a:solidFill>
            </cx:spPr>
          </cx:dataPt>
          <cx:dataPt idx="3">
            <cx:spPr>
              <a:solidFill>
                <a:srgbClr val="D83F03"/>
              </a:solidFill>
            </cx:spPr>
          </cx:dataPt>
          <cx:dataPt idx="6">
            <cx:spPr>
              <a:solidFill>
                <a:srgbClr val="941651"/>
              </a:solidFill>
            </cx:spPr>
          </cx:dataPt>
          <cx:dataPt idx="19">
            <cx:spPr>
              <a:solidFill>
                <a:srgbClr val="FFFFFF">
                  <a:lumMod val="50000"/>
                </a:srgbClr>
              </a:solidFill>
            </cx:spPr>
          </cx:dataPt>
          <cx:dataLabels pos="ctr">
            <cx:visibility seriesName="0" categoryName="1" value="1"/>
          </cx:dataLabels>
          <cx:dataId val="0"/>
        </cx:series>
      </cx:plotAreaRegion>
    </cx:plotArea>
    <cx:legend pos="r" align="ctr" overlay="0"/>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strDim type="cat">
        <cx:f>_xlchart.v1.10</cx:f>
      </cx:strDim>
      <cx:numDim type="size">
        <cx:f>_xlchart.v1.11</cx:f>
      </cx:numDim>
    </cx:data>
  </cx:chartData>
  <cx:chart>
    <cx:title pos="t" align="ctr" overlay="0">
      <cx:tx>
        <cx:txData>
          <cx:v>INFORMAL</cx:v>
        </cx:txData>
      </cx:tx>
      <cx:txPr>
        <a:bodyPr spcFirstLastPara="1" vertOverflow="ellipsis" horzOverflow="overflow" wrap="square" lIns="0" tIns="0" rIns="0" bIns="0" anchor="ctr" anchorCtr="1"/>
        <a:lstStyle/>
        <a:p>
          <a:pPr algn="ctr" rtl="0">
            <a:defRPr/>
          </a:pPr>
          <a:r>
            <a:rPr lang="en-US" sz="1400" b="0" i="0" u="none" strike="noStrike" baseline="0">
              <a:solidFill>
                <a:srgbClr val="000000">
                  <a:lumMod val="65000"/>
                  <a:lumOff val="35000"/>
                </a:srgbClr>
              </a:solidFill>
              <a:latin typeface="Calibri"/>
              <a:cs typeface="Calibri"/>
            </a:rPr>
            <a:t>INFORMAL</a:t>
          </a:r>
        </a:p>
      </cx:txPr>
    </cx:title>
    <cx:plotArea>
      <cx:plotAreaRegion>
        <cx:series layoutId="sunburst" uniqueId="{48CE56A4-01BE-6C42-B4FF-610E667FC71C}">
          <cx:dataPt idx="0">
            <cx:spPr>
              <a:solidFill>
                <a:srgbClr val="004F8D"/>
              </a:solidFill>
            </cx:spPr>
          </cx:dataPt>
          <cx:dataPt idx="3">
            <cx:spPr>
              <a:solidFill>
                <a:srgbClr val="D83F03"/>
              </a:solidFill>
            </cx:spPr>
          </cx:dataPt>
          <cx:dataPt idx="17">
            <cx:spPr>
              <a:solidFill>
                <a:srgbClr val="941651"/>
              </a:solidFill>
            </cx:spPr>
          </cx:dataPt>
          <cx:dataLabels pos="ctr">
            <cx:visibility seriesName="0" categoryName="1" value="1"/>
          </cx:dataLabels>
          <cx:dataId val="0"/>
        </cx:series>
      </cx:plotAreaRegion>
    </cx:plotArea>
    <cx:legend pos="r"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withinLinear" id="15">
  <a:schemeClr val="accent2"/>
</cs:colorStyle>
</file>

<file path=xl/charts/colors19.xml><?xml version="1.0" encoding="utf-8"?>
<cs:colorStyle xmlns:cs="http://schemas.microsoft.com/office/drawing/2012/chartStyle" xmlns:a="http://schemas.openxmlformats.org/drawingml/2006/main" meth="withinLinear" id="15">
  <a:schemeClr val="accent2"/>
</cs:colorStyle>
</file>

<file path=xl/charts/colors20.xml><?xml version="1.0" encoding="utf-8"?>
<cs:colorStyle xmlns:cs="http://schemas.microsoft.com/office/drawing/2012/chartStyle" xmlns:a="http://schemas.openxmlformats.org/drawingml/2006/main" meth="withinLinear" id="14">
  <a:schemeClr val="accent1"/>
</cs:colorStyle>
</file>

<file path=xl/charts/colors21.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microsoft.com/office/2014/relationships/chartEx" Target="../charts/chartEx4.xml"/><Relationship Id="rId13" Type="http://schemas.microsoft.com/office/2014/relationships/chartEx" Target="../charts/chartEx9.xml"/><Relationship Id="rId18" Type="http://schemas.openxmlformats.org/officeDocument/2006/relationships/chart" Target="../charts/chart9.xml"/><Relationship Id="rId3" Type="http://schemas.openxmlformats.org/officeDocument/2006/relationships/chart" Target="../charts/chart3.xml"/><Relationship Id="rId21" Type="http://schemas.openxmlformats.org/officeDocument/2006/relationships/chart" Target="../charts/chart12.xml"/><Relationship Id="rId7" Type="http://schemas.microsoft.com/office/2014/relationships/chartEx" Target="../charts/chartEx3.xml"/><Relationship Id="rId12" Type="http://schemas.microsoft.com/office/2014/relationships/chartEx" Target="../charts/chartEx8.xml"/><Relationship Id="rId17" Type="http://schemas.openxmlformats.org/officeDocument/2006/relationships/chart" Target="../charts/chart8.xml"/><Relationship Id="rId2" Type="http://schemas.openxmlformats.org/officeDocument/2006/relationships/chart" Target="../charts/chart2.xml"/><Relationship Id="rId16" Type="http://schemas.openxmlformats.org/officeDocument/2006/relationships/chart" Target="../charts/chart7.xml"/><Relationship Id="rId20" Type="http://schemas.openxmlformats.org/officeDocument/2006/relationships/chart" Target="../charts/chart11.xml"/><Relationship Id="rId1" Type="http://schemas.openxmlformats.org/officeDocument/2006/relationships/chart" Target="../charts/chart1.xml"/><Relationship Id="rId6" Type="http://schemas.microsoft.com/office/2014/relationships/chartEx" Target="../charts/chartEx2.xml"/><Relationship Id="rId11" Type="http://schemas.microsoft.com/office/2014/relationships/chartEx" Target="../charts/chartEx7.xml"/><Relationship Id="rId5" Type="http://schemas.microsoft.com/office/2014/relationships/chartEx" Target="../charts/chartEx1.xml"/><Relationship Id="rId15" Type="http://schemas.openxmlformats.org/officeDocument/2006/relationships/chart" Target="../charts/chart6.xml"/><Relationship Id="rId10" Type="http://schemas.microsoft.com/office/2014/relationships/chartEx" Target="../charts/chartEx6.xml"/><Relationship Id="rId19" Type="http://schemas.openxmlformats.org/officeDocument/2006/relationships/chart" Target="../charts/chart10.xml"/><Relationship Id="rId4" Type="http://schemas.openxmlformats.org/officeDocument/2006/relationships/chart" Target="../charts/chart4.xml"/><Relationship Id="rId9" Type="http://schemas.microsoft.com/office/2014/relationships/chartEx" Target="../charts/chartEx5.xml"/><Relationship Id="rId1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6</xdr:col>
      <xdr:colOff>0</xdr:colOff>
      <xdr:row>286</xdr:row>
      <xdr:rowOff>89836</xdr:rowOff>
    </xdr:from>
    <xdr:to>
      <xdr:col>17</xdr:col>
      <xdr:colOff>0</xdr:colOff>
      <xdr:row>309</xdr:row>
      <xdr:rowOff>130736</xdr:rowOff>
    </xdr:to>
    <xdr:graphicFrame macro="">
      <xdr:nvGraphicFramePr>
        <xdr:cNvPr id="4" name="Chart 3">
          <a:extLst>
            <a:ext uri="{FF2B5EF4-FFF2-40B4-BE49-F238E27FC236}">
              <a16:creationId xmlns:a16="http://schemas.microsoft.com/office/drawing/2014/main" id="{A446606A-0E08-3781-F703-B0EC58FEC9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844550</xdr:colOff>
      <xdr:row>1</xdr:row>
      <xdr:rowOff>565150</xdr:rowOff>
    </xdr:from>
    <xdr:to>
      <xdr:col>14</xdr:col>
      <xdr:colOff>520700</xdr:colOff>
      <xdr:row>12</xdr:row>
      <xdr:rowOff>127000</xdr:rowOff>
    </xdr:to>
    <xdr:graphicFrame macro="">
      <xdr:nvGraphicFramePr>
        <xdr:cNvPr id="2" name="Chart 1">
          <a:extLst>
            <a:ext uri="{FF2B5EF4-FFF2-40B4-BE49-F238E27FC236}">
              <a16:creationId xmlns:a16="http://schemas.microsoft.com/office/drawing/2014/main" id="{747C23EB-6710-CE95-B527-A481790881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127000</xdr:colOff>
      <xdr:row>1</xdr:row>
      <xdr:rowOff>450850</xdr:rowOff>
    </xdr:from>
    <xdr:to>
      <xdr:col>19</xdr:col>
      <xdr:colOff>781050</xdr:colOff>
      <xdr:row>12</xdr:row>
      <xdr:rowOff>127000</xdr:rowOff>
    </xdr:to>
    <xdr:graphicFrame macro="">
      <xdr:nvGraphicFramePr>
        <xdr:cNvPr id="3" name="Chart 2">
          <a:extLst>
            <a:ext uri="{FF2B5EF4-FFF2-40B4-BE49-F238E27FC236}">
              <a16:creationId xmlns:a16="http://schemas.microsoft.com/office/drawing/2014/main" id="{13A4DF21-DA17-3F4A-DE09-E914BA05BE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673100</xdr:colOff>
      <xdr:row>1</xdr:row>
      <xdr:rowOff>354854</xdr:rowOff>
    </xdr:from>
    <xdr:to>
      <xdr:col>24</xdr:col>
      <xdr:colOff>597647</xdr:colOff>
      <xdr:row>12</xdr:row>
      <xdr:rowOff>177801</xdr:rowOff>
    </xdr:to>
    <xdr:graphicFrame macro="">
      <xdr:nvGraphicFramePr>
        <xdr:cNvPr id="5" name="Chart 4">
          <a:extLst>
            <a:ext uri="{FF2B5EF4-FFF2-40B4-BE49-F238E27FC236}">
              <a16:creationId xmlns:a16="http://schemas.microsoft.com/office/drawing/2014/main" id="{356AA261-8204-AC66-5037-B4616232DD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19050</xdr:colOff>
      <xdr:row>13</xdr:row>
      <xdr:rowOff>57150</xdr:rowOff>
    </xdr:from>
    <xdr:to>
      <xdr:col>20</xdr:col>
      <xdr:colOff>463550</xdr:colOff>
      <xdr:row>26</xdr:row>
      <xdr:rowOff>158750</xdr:rowOff>
    </xdr:to>
    <mc:AlternateContent xmlns:mc="http://schemas.openxmlformats.org/markup-compatibility/2006">
      <mc:Choice xmlns:cx2="http://schemas.microsoft.com/office/drawing/2015/10/21/chartex" Requires="cx2">
        <xdr:graphicFrame macro="">
          <xdr:nvGraphicFramePr>
            <xdr:cNvPr id="15" name="Chart 14">
              <a:extLst>
                <a:ext uri="{FF2B5EF4-FFF2-40B4-BE49-F238E27FC236}">
                  <a16:creationId xmlns:a16="http://schemas.microsoft.com/office/drawing/2014/main" id="{9FCE6D9F-30B8-C980-EA0A-A543E91EF16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9018250" y="2698750"/>
              <a:ext cx="49149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20</xdr:col>
      <xdr:colOff>565150</xdr:colOff>
      <xdr:row>13</xdr:row>
      <xdr:rowOff>93382</xdr:rowOff>
    </xdr:from>
    <xdr:to>
      <xdr:col>24</xdr:col>
      <xdr:colOff>747059</xdr:colOff>
      <xdr:row>26</xdr:row>
      <xdr:rowOff>158750</xdr:rowOff>
    </xdr:to>
    <mc:AlternateContent xmlns:mc="http://schemas.openxmlformats.org/markup-compatibility/2006">
      <mc:Choice xmlns:cx2="http://schemas.microsoft.com/office/drawing/2015/10/21/chartex" Requires="cx2">
        <xdr:graphicFrame macro="">
          <xdr:nvGraphicFramePr>
            <xdr:cNvPr id="16" name="Chart 15">
              <a:extLst>
                <a:ext uri="{FF2B5EF4-FFF2-40B4-BE49-F238E27FC236}">
                  <a16:creationId xmlns:a16="http://schemas.microsoft.com/office/drawing/2014/main" id="{11C6ED33-047F-8AA3-DD4A-8425C65A8E6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4034750" y="2734982"/>
              <a:ext cx="4652309" cy="270696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438150</xdr:colOff>
      <xdr:row>13</xdr:row>
      <xdr:rowOff>31750</xdr:rowOff>
    </xdr:from>
    <xdr:to>
      <xdr:col>14</xdr:col>
      <xdr:colOff>704850</xdr:colOff>
      <xdr:row>26</xdr:row>
      <xdr:rowOff>133350</xdr:rowOff>
    </xdr:to>
    <mc:AlternateContent xmlns:mc="http://schemas.openxmlformats.org/markup-compatibility/2006">
      <mc:Choice xmlns:cx2="http://schemas.microsoft.com/office/drawing/2015/10/21/chartex" Requires="cx2">
        <xdr:graphicFrame macro="">
          <xdr:nvGraphicFramePr>
            <xdr:cNvPr id="17" name="Chart 16">
              <a:extLst>
                <a:ext uri="{FF2B5EF4-FFF2-40B4-BE49-F238E27FC236}">
                  <a16:creationId xmlns:a16="http://schemas.microsoft.com/office/drawing/2014/main" id="{2FF888FC-91EE-7F8F-DD61-B8B4F06058F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13455650" y="2673350"/>
              <a:ext cx="52705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438150</xdr:colOff>
      <xdr:row>27</xdr:row>
      <xdr:rowOff>57150</xdr:rowOff>
    </xdr:from>
    <xdr:to>
      <xdr:col>14</xdr:col>
      <xdr:colOff>704850</xdr:colOff>
      <xdr:row>40</xdr:row>
      <xdr:rowOff>158750</xdr:rowOff>
    </xdr:to>
    <mc:AlternateContent xmlns:mc="http://schemas.openxmlformats.org/markup-compatibility/2006">
      <mc:Choice xmlns:cx2="http://schemas.microsoft.com/office/drawing/2015/10/21/chartex" Requires="cx2">
        <xdr:graphicFrame macro="">
          <xdr:nvGraphicFramePr>
            <xdr:cNvPr id="18" name="Chart 17">
              <a:extLst>
                <a:ext uri="{FF2B5EF4-FFF2-40B4-BE49-F238E27FC236}">
                  <a16:creationId xmlns:a16="http://schemas.microsoft.com/office/drawing/2014/main" id="{7B4FB9EF-3A6D-64A5-3468-1BD847E72ED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13455650" y="5543550"/>
              <a:ext cx="52705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895350</xdr:colOff>
      <xdr:row>27</xdr:row>
      <xdr:rowOff>57150</xdr:rowOff>
    </xdr:from>
    <xdr:to>
      <xdr:col>20</xdr:col>
      <xdr:colOff>361950</xdr:colOff>
      <xdr:row>40</xdr:row>
      <xdr:rowOff>158750</xdr:rowOff>
    </xdr:to>
    <mc:AlternateContent xmlns:mc="http://schemas.openxmlformats.org/markup-compatibility/2006">
      <mc:Choice xmlns:cx2="http://schemas.microsoft.com/office/drawing/2015/10/21/chartex" Requires="cx2">
        <xdr:graphicFrame macro="">
          <xdr:nvGraphicFramePr>
            <xdr:cNvPr id="19" name="Chart 18">
              <a:extLst>
                <a:ext uri="{FF2B5EF4-FFF2-40B4-BE49-F238E27FC236}">
                  <a16:creationId xmlns:a16="http://schemas.microsoft.com/office/drawing/2014/main" id="{ADC92562-21E9-267A-D8CA-1B1D2E88749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18916650" y="5543550"/>
              <a:ext cx="49149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20</xdr:col>
      <xdr:colOff>577850</xdr:colOff>
      <xdr:row>27</xdr:row>
      <xdr:rowOff>112059</xdr:rowOff>
    </xdr:from>
    <xdr:to>
      <xdr:col>24</xdr:col>
      <xdr:colOff>971177</xdr:colOff>
      <xdr:row>40</xdr:row>
      <xdr:rowOff>171450</xdr:rowOff>
    </xdr:to>
    <mc:AlternateContent xmlns:mc="http://schemas.openxmlformats.org/markup-compatibility/2006">
      <mc:Choice xmlns:cx2="http://schemas.microsoft.com/office/drawing/2015/10/21/chartex" Requires="cx2">
        <xdr:graphicFrame macro="">
          <xdr:nvGraphicFramePr>
            <xdr:cNvPr id="20" name="Chart 19">
              <a:extLst>
                <a:ext uri="{FF2B5EF4-FFF2-40B4-BE49-F238E27FC236}">
                  <a16:creationId xmlns:a16="http://schemas.microsoft.com/office/drawing/2014/main" id="{6542F5F5-2490-32EA-C614-73A4970DA19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24047450" y="5598459"/>
              <a:ext cx="4863727" cy="270099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32</xdr:col>
      <xdr:colOff>647878</xdr:colOff>
      <xdr:row>75</xdr:row>
      <xdr:rowOff>178</xdr:rowOff>
    </xdr:from>
    <xdr:to>
      <xdr:col>40</xdr:col>
      <xdr:colOff>457200</xdr:colOff>
      <xdr:row>100</xdr:row>
      <xdr:rowOff>152399</xdr:rowOff>
    </xdr:to>
    <mc:AlternateContent xmlns:mc="http://schemas.openxmlformats.org/markup-compatibility/2006">
      <mc:Choice xmlns:cx1="http://schemas.microsoft.com/office/drawing/2015/9/8/chartex" Requires="cx1">
        <xdr:graphicFrame macro="">
          <xdr:nvGraphicFramePr>
            <xdr:cNvPr id="9" name="Chart 8">
              <a:extLst>
                <a:ext uri="{FF2B5EF4-FFF2-40B4-BE49-F238E27FC236}">
                  <a16:creationId xmlns:a16="http://schemas.microsoft.com/office/drawing/2014/main" id="{A2ADD8C8-173C-D1EF-3444-19C8DDB560A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36639678" y="15240178"/>
              <a:ext cx="7924622" cy="524492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41</xdr:col>
      <xdr:colOff>440268</xdr:colOff>
      <xdr:row>74</xdr:row>
      <xdr:rowOff>169332</xdr:rowOff>
    </xdr:from>
    <xdr:to>
      <xdr:col>46</xdr:col>
      <xdr:colOff>592666</xdr:colOff>
      <xdr:row>98</xdr:row>
      <xdr:rowOff>169334</xdr:rowOff>
    </xdr:to>
    <mc:AlternateContent xmlns:mc="http://schemas.openxmlformats.org/markup-compatibility/2006">
      <mc:Choice xmlns:cx1="http://schemas.microsoft.com/office/drawing/2015/9/8/chartex" Requires="cx1">
        <xdr:graphicFrame macro="">
          <xdr:nvGraphicFramePr>
            <xdr:cNvPr id="13" name="Chart 12">
              <a:extLst>
                <a:ext uri="{FF2B5EF4-FFF2-40B4-BE49-F238E27FC236}">
                  <a16:creationId xmlns:a16="http://schemas.microsoft.com/office/drawing/2014/main" id="{CB7A785F-165D-1947-9B29-F11CB9B6AA8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45588768" y="15206132"/>
              <a:ext cx="8889998" cy="488950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47</xdr:col>
      <xdr:colOff>550333</xdr:colOff>
      <xdr:row>74</xdr:row>
      <xdr:rowOff>152401</xdr:rowOff>
    </xdr:from>
    <xdr:to>
      <xdr:col>52</xdr:col>
      <xdr:colOff>482600</xdr:colOff>
      <xdr:row>98</xdr:row>
      <xdr:rowOff>177800</xdr:rowOff>
    </xdr:to>
    <mc:AlternateContent xmlns:mc="http://schemas.openxmlformats.org/markup-compatibility/2006">
      <mc:Choice xmlns:cx1="http://schemas.microsoft.com/office/drawing/2015/9/8/chartex" Requires="cx1">
        <xdr:graphicFrame macro="">
          <xdr:nvGraphicFramePr>
            <xdr:cNvPr id="14" name="Chart 13">
              <a:extLst>
                <a:ext uri="{FF2B5EF4-FFF2-40B4-BE49-F238E27FC236}">
                  <a16:creationId xmlns:a16="http://schemas.microsoft.com/office/drawing/2014/main" id="{52E1AC0A-DB10-2C41-AE56-9BBCD76D123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55477833" y="15189201"/>
              <a:ext cx="8123767" cy="49148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31</xdr:col>
      <xdr:colOff>524933</xdr:colOff>
      <xdr:row>21</xdr:row>
      <xdr:rowOff>186266</xdr:rowOff>
    </xdr:from>
    <xdr:to>
      <xdr:col>38</xdr:col>
      <xdr:colOff>711200</xdr:colOff>
      <xdr:row>40</xdr:row>
      <xdr:rowOff>101598</xdr:rowOff>
    </xdr:to>
    <xdr:graphicFrame macro="">
      <xdr:nvGraphicFramePr>
        <xdr:cNvPr id="23" name="Chart 22">
          <a:extLst>
            <a:ext uri="{FF2B5EF4-FFF2-40B4-BE49-F238E27FC236}">
              <a16:creationId xmlns:a16="http://schemas.microsoft.com/office/drawing/2014/main" id="{5D57DF64-9879-B08E-F4ED-0BC508E846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7</xdr:col>
      <xdr:colOff>682434</xdr:colOff>
      <xdr:row>309</xdr:row>
      <xdr:rowOff>135569</xdr:rowOff>
    </xdr:from>
    <xdr:to>
      <xdr:col>17</xdr:col>
      <xdr:colOff>382530</xdr:colOff>
      <xdr:row>337</xdr:row>
      <xdr:rowOff>137710</xdr:rowOff>
    </xdr:to>
    <xdr:graphicFrame macro="">
      <xdr:nvGraphicFramePr>
        <xdr:cNvPr id="8" name="Chart 7">
          <a:extLst>
            <a:ext uri="{FF2B5EF4-FFF2-40B4-BE49-F238E27FC236}">
              <a16:creationId xmlns:a16="http://schemas.microsoft.com/office/drawing/2014/main" id="{9010AFC2-FD93-D7BB-EE17-3B4EB4F3B1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763759</xdr:colOff>
      <xdr:row>342</xdr:row>
      <xdr:rowOff>3443</xdr:rowOff>
    </xdr:from>
    <xdr:to>
      <xdr:col>11</xdr:col>
      <xdr:colOff>877294</xdr:colOff>
      <xdr:row>355</xdr:row>
      <xdr:rowOff>105043</xdr:rowOff>
    </xdr:to>
    <xdr:graphicFrame macro="">
      <xdr:nvGraphicFramePr>
        <xdr:cNvPr id="7" name="Chart 6">
          <a:extLst>
            <a:ext uri="{FF2B5EF4-FFF2-40B4-BE49-F238E27FC236}">
              <a16:creationId xmlns:a16="http://schemas.microsoft.com/office/drawing/2014/main" id="{4905D313-C4A2-B611-B251-F8DD9BD58A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11</xdr:col>
      <xdr:colOff>1444037</xdr:colOff>
      <xdr:row>342</xdr:row>
      <xdr:rowOff>11890</xdr:rowOff>
    </xdr:from>
    <xdr:to>
      <xdr:col>16</xdr:col>
      <xdr:colOff>535542</xdr:colOff>
      <xdr:row>356</xdr:row>
      <xdr:rowOff>45904</xdr:rowOff>
    </xdr:to>
    <xdr:graphicFrame macro="">
      <xdr:nvGraphicFramePr>
        <xdr:cNvPr id="10" name="Chart 9">
          <a:extLst>
            <a:ext uri="{FF2B5EF4-FFF2-40B4-BE49-F238E27FC236}">
              <a16:creationId xmlns:a16="http://schemas.microsoft.com/office/drawing/2014/main" id="{28057B61-9EA2-D349-AB1C-0E4B103AF5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810963</xdr:colOff>
      <xdr:row>360</xdr:row>
      <xdr:rowOff>30603</xdr:rowOff>
    </xdr:from>
    <xdr:to>
      <xdr:col>12</xdr:col>
      <xdr:colOff>69780</xdr:colOff>
      <xdr:row>376</xdr:row>
      <xdr:rowOff>69779</xdr:rowOff>
    </xdr:to>
    <xdr:graphicFrame macro="">
      <xdr:nvGraphicFramePr>
        <xdr:cNvPr id="11" name="Chart 10">
          <a:extLst>
            <a:ext uri="{FF2B5EF4-FFF2-40B4-BE49-F238E27FC236}">
              <a16:creationId xmlns:a16="http://schemas.microsoft.com/office/drawing/2014/main" id="{611353C0-5012-624C-9A07-315103FD65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xdr:col>
      <xdr:colOff>809450</xdr:colOff>
      <xdr:row>377</xdr:row>
      <xdr:rowOff>139560</xdr:rowOff>
    </xdr:from>
    <xdr:to>
      <xdr:col>12</xdr:col>
      <xdr:colOff>68267</xdr:colOff>
      <xdr:row>393</xdr:row>
      <xdr:rowOff>178737</xdr:rowOff>
    </xdr:to>
    <xdr:graphicFrame macro="">
      <xdr:nvGraphicFramePr>
        <xdr:cNvPr id="21" name="Chart 20">
          <a:extLst>
            <a:ext uri="{FF2B5EF4-FFF2-40B4-BE49-F238E27FC236}">
              <a16:creationId xmlns:a16="http://schemas.microsoft.com/office/drawing/2014/main" id="{3C3B5C42-2FC0-BF4F-B182-08F421F3EA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xdr:col>
      <xdr:colOff>787400</xdr:colOff>
      <xdr:row>395</xdr:row>
      <xdr:rowOff>88900</xdr:rowOff>
    </xdr:from>
    <xdr:to>
      <xdr:col>12</xdr:col>
      <xdr:colOff>46217</xdr:colOff>
      <xdr:row>411</xdr:row>
      <xdr:rowOff>128077</xdr:rowOff>
    </xdr:to>
    <xdr:graphicFrame macro="">
      <xdr:nvGraphicFramePr>
        <xdr:cNvPr id="22" name="Chart 21">
          <a:extLst>
            <a:ext uri="{FF2B5EF4-FFF2-40B4-BE49-F238E27FC236}">
              <a16:creationId xmlns:a16="http://schemas.microsoft.com/office/drawing/2014/main" id="{3DAB8B74-097F-BD44-B3BA-DB013DAF65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6</xdr:col>
      <xdr:colOff>812800</xdr:colOff>
      <xdr:row>414</xdr:row>
      <xdr:rowOff>50800</xdr:rowOff>
    </xdr:from>
    <xdr:to>
      <xdr:col>12</xdr:col>
      <xdr:colOff>71617</xdr:colOff>
      <xdr:row>430</xdr:row>
      <xdr:rowOff>89977</xdr:rowOff>
    </xdr:to>
    <xdr:graphicFrame macro="">
      <xdr:nvGraphicFramePr>
        <xdr:cNvPr id="24" name="Chart 23">
          <a:extLst>
            <a:ext uri="{FF2B5EF4-FFF2-40B4-BE49-F238E27FC236}">
              <a16:creationId xmlns:a16="http://schemas.microsoft.com/office/drawing/2014/main" id="{86F4BCA5-DC6B-864B-8635-A24F761228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712.60362962963" createdVersion="8" refreshedVersion="8" minRefreshableVersion="3" recordCount="163" xr:uid="{227EA22D-3F56-7046-9998-59ED3D41D1E3}">
  <cacheSource type="worksheet">
    <worksheetSource ref="A1:Y164" sheet="Master Sheet"/>
  </cacheSource>
  <cacheFields count="28">
    <cacheField name="Start Date" numFmtId="166">
      <sharedItems containsSemiMixedTypes="0" containsNonDate="0" containsDate="1" containsString="0" minDate="2010-09-23T00:00:00" maxDate="2025-02-16T00:00:00" count="137">
        <d v="2010-09-23T00:00:00"/>
        <d v="2010-12-08T00:00:00"/>
        <d v="2011-08-17T00:00:00"/>
        <d v="2012-05-10T00:00:00"/>
        <d v="2012-05-11T00:00:00"/>
        <d v="2012-09-21T00:00:00"/>
        <d v="2013-02-01T00:00:00"/>
        <d v="2014-01-01T00:00:00"/>
        <d v="2014-05-15T00:00:00"/>
        <d v="2014-05-17T00:00:00"/>
        <d v="2014-07-29T00:00:00"/>
        <d v="2014-09-12T00:00:00"/>
        <d v="2016-01-01T00:00:00"/>
        <d v="2016-04-08T00:00:00"/>
        <d v="2016-07-12T00:00:00"/>
        <d v="2016-07-14T00:00:00"/>
        <d v="2016-07-19T00:00:00"/>
        <d v="2016-09-01T00:00:00"/>
        <d v="2016-11-01T00:00:00"/>
        <d v="2016-12-01T00:00:00"/>
        <d v="2017-01-20T00:00:00"/>
        <d v="2017-01-24T00:00:00"/>
        <d v="2017-03-01T00:00:00"/>
        <d v="2017-06-28T00:00:00"/>
        <d v="2017-07-26T00:00:00"/>
        <d v="2017-09-22T00:00:00"/>
        <d v="2017-11-22T00:00:00"/>
        <d v="2017-12-30T00:00:00"/>
        <d v="2018-01-12T00:00:00"/>
        <d v="2018-02-06T00:00:00"/>
        <d v="2018-03-01T00:00:00"/>
        <d v="2018-04-01T00:00:00"/>
        <d v="2018-04-02T00:00:00"/>
        <d v="2018-05-01T00:00:00"/>
        <d v="2018-05-09T00:00:00"/>
        <d v="2018-05-15T00:00:00"/>
        <d v="2018-06-16T00:00:00"/>
        <d v="2018-07-27T00:00:00"/>
        <d v="2018-08-01T00:00:00"/>
        <d v="2018-08-23T00:00:00"/>
        <d v="2018-09-14T00:00:00"/>
        <d v="2018-09-24T00:00:00"/>
        <d v="2018-12-11T00:00:00"/>
        <d v="2019-01-01T00:00:00"/>
        <d v="2019-01-15T00:00:00"/>
        <d v="2019-01-16T00:00:00"/>
        <d v="2019-02-01T00:00:00"/>
        <d v="2019-02-12T00:00:00"/>
        <d v="2019-02-13T00:00:00"/>
        <d v="2019-03-01T00:00:00"/>
        <d v="2019-03-13T00:00:00"/>
        <d v="2019-03-18T00:00:00"/>
        <d v="2019-04-01T00:00:00"/>
        <d v="2019-06-01T00:00:00"/>
        <d v="2019-07-31T00:00:00"/>
        <d v="2019-08-01T00:00:00"/>
        <d v="2019-08-23T00:00:00"/>
        <d v="2019-09-01T00:00:00"/>
        <d v="2019-10-04T00:00:00"/>
        <d v="2019-10-10T00:00:00"/>
        <d v="2019-10-17T00:00:00"/>
        <d v="2019-11-26T00:00:00"/>
        <d v="2019-12-02T00:00:00"/>
        <d v="2019-12-15T00:00:00"/>
        <d v="2020-01-01T00:00:00"/>
        <d v="2020-02-21T00:00:00"/>
        <d v="2020-04-12T00:00:00"/>
        <d v="2020-05-01T00:00:00"/>
        <d v="2020-07-13T00:00:00"/>
        <d v="2020-08-10T00:00:00"/>
        <d v="2020-08-28T00:00:00"/>
        <d v="2020-09-01T00:00:00"/>
        <d v="2020-09-07T00:00:00"/>
        <d v="2020-10-01T00:00:00"/>
        <d v="2021-01-21T00:00:00"/>
        <d v="2021-02-26T00:00:00"/>
        <d v="2021-03-01T00:00:00"/>
        <d v="2021-03-22T00:00:00"/>
        <d v="2021-03-26T00:00:00"/>
        <d v="2021-03-27T00:00:00"/>
        <d v="2021-04-14T00:00:00"/>
        <d v="2021-07-23T00:00:00"/>
        <d v="2021-08-21T00:00:00"/>
        <d v="2021-09-19T00:00:00"/>
        <d v="2021-09-30T00:00:00"/>
        <d v="2021-11-05T00:00:00"/>
        <d v="2021-11-23T00:00:00"/>
        <d v="2021-11-26T00:00:00"/>
        <d v="2021-12-01T00:00:00"/>
        <d v="2021-12-04T00:00:00"/>
        <d v="2021-12-21T00:00:00"/>
        <d v="2022-06-13T00:00:00"/>
        <d v="2022-08-01T00:00:00"/>
        <d v="2022-08-03T00:00:00"/>
        <d v="2022-08-05T00:00:00"/>
        <d v="2022-08-16T00:00:00"/>
        <d v="2022-12-23T00:00:00"/>
        <d v="2023-02-01T00:00:00"/>
        <d v="2023-02-16T00:00:00"/>
        <d v="2023-03-31T00:00:00"/>
        <d v="2023-04-07T00:00:00"/>
        <d v="2023-04-13T00:00:00"/>
        <d v="2023-07-03T00:00:00"/>
        <d v="2023-07-11T00:00:00"/>
        <d v="2023-07-31T00:00:00"/>
        <d v="2023-08-14T00:00:00"/>
        <d v="2023-08-21T00:00:00"/>
        <d v="2023-08-24T00:00:00"/>
        <d v="2023-09-15T00:00:00"/>
        <d v="2023-10-20T00:00:00"/>
        <d v="2023-12-21T00:00:00"/>
        <d v="2023-12-26T00:00:00"/>
        <d v="2024-01-07T00:00:00"/>
        <d v="2024-04-11T00:00:00"/>
        <d v="2024-05-20T00:00:00"/>
        <d v="2024-05-21T00:00:00"/>
        <d v="2024-05-22T00:00:00"/>
        <d v="2024-05-30T00:00:00"/>
        <d v="2024-05-31T00:00:00"/>
        <d v="2024-06-21T00:00:00"/>
        <d v="2024-07-12T00:00:00"/>
        <d v="2024-07-31T00:00:00"/>
        <d v="2024-08-15T00:00:00"/>
        <d v="2024-09-18T00:00:00"/>
        <d v="2024-10-08T00:00:00"/>
        <d v="2024-10-10T00:00:00"/>
        <d v="2024-12-02T00:00:00"/>
        <d v="2024-12-03T00:00:00"/>
        <d v="2024-12-05T00:00:00"/>
        <d v="2024-12-06T00:00:00"/>
        <d v="2024-12-21T00:00:00"/>
        <d v="2025-01-02T00:00:00"/>
        <d v="2025-01-14T00:00:00"/>
        <d v="2025-01-15T00:00:00"/>
        <d v="2025-01-16T00:00:00"/>
        <d v="2025-02-04T00:00:00"/>
        <d v="2025-02-15T00:00:00"/>
      </sharedItems>
      <fieldGroup par="27"/>
    </cacheField>
    <cacheField name="Title" numFmtId="0">
      <sharedItems longText="1"/>
    </cacheField>
    <cacheField name="Counter vs. Primary" numFmtId="0">
      <sharedItems count="3">
        <s v="Primary Sanction"/>
        <s v="Countersanction"/>
        <s v="N/A"/>
      </sharedItems>
    </cacheField>
    <cacheField name="Issue Area of Perceived Provocation" numFmtId="0">
      <sharedItems/>
    </cacheField>
    <cacheField name="Form of Restriction" numFmtId="0">
      <sharedItems count="6">
        <s v="Export Control"/>
        <s v="Import Control"/>
        <s v="Outbound Tourism Restriction"/>
        <s v="Obstruction of Foreign Business in China"/>
        <s v="Boycott"/>
        <s v="Targeted Sanction"/>
      </sharedItems>
    </cacheField>
    <cacheField name="Restriction Specifications" numFmtId="0">
      <sharedItems containsBlank="1" longText="1"/>
    </cacheField>
    <cacheField name="Mechanism" numFmtId="0">
      <sharedItems/>
    </cacheField>
    <cacheField name="Formality" numFmtId="0">
      <sharedItems count="2">
        <s v="Informal"/>
        <s v="Formal"/>
      </sharedItems>
    </cacheField>
    <cacheField name="Legal Basis" numFmtId="0">
      <sharedItems/>
    </cacheField>
    <cacheField name="Targeted Individuals" numFmtId="0">
      <sharedItems longText="1"/>
    </cacheField>
    <cacheField name="Targeted Entities" numFmtId="0">
      <sharedItems longText="1"/>
    </cacheField>
    <cacheField name="Nationality of Targets" numFmtId="0">
      <sharedItems/>
    </cacheField>
    <cacheField name="Sector" numFmtId="0">
      <sharedItems/>
    </cacheField>
    <cacheField name="Targeted Product Categories" numFmtId="0">
      <sharedItems containsBlank="1" longText="1"/>
    </cacheField>
    <cacheField name="Comment" numFmtId="0">
      <sharedItems containsBlank="1" longText="1"/>
    </cacheField>
    <cacheField name="Full Text Chinese" numFmtId="0">
      <sharedItems containsBlank="1" longText="1"/>
    </cacheField>
    <cacheField name="Full Text English" numFmtId="0">
      <sharedItems containsBlank="1" longText="1"/>
    </cacheField>
    <cacheField name="Link" numFmtId="0">
      <sharedItems/>
    </cacheField>
    <cacheField name="Link2" numFmtId="0">
      <sharedItems containsBlank="1"/>
    </cacheField>
    <cacheField name="Link3" numFmtId="0">
      <sharedItems containsBlank="1"/>
    </cacheField>
    <cacheField name="Link 4" numFmtId="0">
      <sharedItems containsBlank="1"/>
    </cacheField>
    <cacheField name="Link 5" numFmtId="0">
      <sharedItems containsBlank="1"/>
    </cacheField>
    <cacheField name="Link 6" numFmtId="0">
      <sharedItems containsBlank="1"/>
    </cacheField>
    <cacheField name="Link 7" numFmtId="0">
      <sharedItems containsBlank="1"/>
    </cacheField>
    <cacheField name="Link 8" numFmtId="0">
      <sharedItems containsNonDate="0" containsString="0" containsBlank="1"/>
    </cacheField>
    <cacheField name="Months (Start Date)" numFmtId="0" databaseField="0">
      <fieldGroup base="0">
        <rangePr groupBy="months" startDate="2010-09-23T00:00:00" endDate="2025-02-16T00:00:00"/>
        <groupItems count="14">
          <s v="&lt;9/23/10"/>
          <s v="Jan"/>
          <s v="Feb"/>
          <s v="Mar"/>
          <s v="Apr"/>
          <s v="May"/>
          <s v="Jun"/>
          <s v="Jul"/>
          <s v="Aug"/>
          <s v="Sep"/>
          <s v="Oct"/>
          <s v="Nov"/>
          <s v="Dec"/>
          <s v="&gt;2/16/25"/>
        </groupItems>
      </fieldGroup>
    </cacheField>
    <cacheField name="Quarters (Start Date)" numFmtId="0" databaseField="0">
      <fieldGroup base="0">
        <rangePr groupBy="quarters" startDate="2010-09-23T00:00:00" endDate="2025-02-16T00:00:00"/>
        <groupItems count="6">
          <s v="&lt;9/23/10"/>
          <s v="Qtr1"/>
          <s v="Qtr2"/>
          <s v="Qtr3"/>
          <s v="Qtr4"/>
          <s v="&gt;2/16/25"/>
        </groupItems>
      </fieldGroup>
    </cacheField>
    <cacheField name="Years (Start Date)" numFmtId="0" databaseField="0">
      <fieldGroup base="0">
        <rangePr groupBy="years" startDate="2010-09-23T00:00:00" endDate="2025-02-16T00:00:00"/>
        <groupItems count="18">
          <s v="&lt;9/23/10"/>
          <s v="2010"/>
          <s v="2011"/>
          <s v="2012"/>
          <s v="2013"/>
          <s v="2014"/>
          <s v="2015"/>
          <s v="2016"/>
          <s v="2017"/>
          <s v="2018"/>
          <s v="2019"/>
          <s v="2020"/>
          <s v="2021"/>
          <s v="2022"/>
          <s v="2023"/>
          <s v="2024"/>
          <s v="2025"/>
          <s v="&gt;2/16/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3">
  <r>
    <x v="0"/>
    <s v="Customs obstruction of exports of rare earth elements to Japan following Japanese arrest of Chinese fishing trawler crew in waters near Senkaku/Diaoyu Islands"/>
    <x v="0"/>
    <s v="Territorial Dispute"/>
    <x v="0"/>
    <s v="Informal—Bureaucratic obstruction [1]: Two cargoes reported to have been stopped, and Chinese authorities to have_x000a_communicated a ban on all REE exports to Japan to customs officials.75 This caused delays, with several sources reporting_x000a_exports slowed during the period.76_x000a__x000a_Informal—Conversion (TBT) [1]: Export license procedures were reportedly changed, with the effect that Japanese trading_x000a_companies were unable to make new applications.78"/>
    <s v="Bureaucratic Obstruction"/>
    <x v="0"/>
    <s v="N/A"/>
    <s v="N/A"/>
    <s v="N/A"/>
    <s v="Japan (Asia &amp; Oceania)"/>
    <s v="Raw Materials"/>
    <s v="Rare earth elements"/>
    <s v="Explanation: Chinese officials denied any restrictions were imposed on exports to Japan.79 On 26 September, Commerce Minister Chen Deming suggested that, if any shipments had been halted, it was due to the personal feelings towards Japan of domestic actors in the REE industry.80 Japanese officials and journalists have suggested that there was a verbal direction from Chinese authorities, as no evidence of written instructions were discovered.81"/>
    <m/>
    <m/>
    <s v="Victor's data"/>
    <m/>
    <m/>
    <m/>
    <m/>
    <m/>
    <m/>
    <m/>
  </r>
  <r>
    <x v="0"/>
    <s v="Warnings to Chinese rare earth elements mining companies not to increase shipments to countries that might redirect trade to Japan, circumventing the export restrictions imposed after the Japanese arrest of Chinese fishing trawler crew in waters near Senkaku/Diaoyu Islands_x000a_"/>
    <x v="0"/>
    <s v="Territorial Dispute"/>
    <x v="0"/>
    <s v="Informal—Blacklist [1]: Presidents of Chinese REE mining companies reportedly summoned to meeting in Beijing where_x000a_they were warned not to increase shipments to other countries that might redirect REEs to Japan, and not to discuss the ban_x000a_with media. Cautioned that failure to comply would result in their export licenses being cancelled.77"/>
    <s v="Blacklist"/>
    <x v="0"/>
    <s v="N/A"/>
    <s v="N/A"/>
    <s v="N/A"/>
    <s v="Japan (Asia &amp; Oceania)"/>
    <s v="Raw Materials"/>
    <s v="Rare earth elements"/>
    <s v="Explanation: Chinese officials denied any restrictions were imposed on exports to Japan.79 On 26 September, Commerce Minister Chen Deming suggested that, if any shipments had been halted, it was due to the personal feelings towards Japan of domestic actors in the REE industry.80 Japanese officials and journalists have suggested that there was a verbal direction from Chinese authorities, as no evidence of written instructions were discovered.81"/>
    <m/>
    <m/>
    <s v="Victor's data"/>
    <m/>
    <m/>
    <m/>
    <m/>
    <m/>
    <m/>
    <m/>
  </r>
  <r>
    <x v="1"/>
    <s v="Restriction on issuance of import licenses and intensified inspection and quarantine requirements for Norwegian salmon, including reduced permit volumes and heightened sanitation and veterinary testing, following the selection of Liu Xiaobo for the 2010 Nobel Peace Prize"/>
    <x v="0"/>
    <s v="Other Human Rights Criticism"/>
    <x v="1"/>
    <s v="• Informal—Conversion [1]:_x000a_o SPS: Between at least 2011-2014, Chinese officials stopped issuing salmon importers necessary de facto import_x000a_licenses (‘Animal and Plant Inspection and Quarantine Permits’ (动植物检验检疫许可证)) for regular volumes – only 10-30 tonnes, rather than up to ~300 tonnes which had been ordinary in the past (and which continued to be issued for exporters from other states).83_x000a_• Informal—Bureaucratic obstruction [3]:_x000a_o Salmon: One regional order issued by Beijing Capital Airport Entry–Exit Inspection and Quarantine requiring_x000a_‘stricter and more thorough checks’ on Norwegian fresh aquaculture (8 December 2010). The Central Office of Quality Supervision, Inspection and Quarantine of the People’s Republic of China also issued ‘General Notice on_x000a_Strengthening Inspection and Quarantine of Imported Salmon’ (关于加强进口三文⻥检验检疫的公告)_x000a_requiring more stringent sanitation and veterinary testing of imports of chilled farmed salmon from all markets (28 January 2011). In practice, testing focused on Norwegian salmon. Exporters reported that all Norwegian exports were tested, resulting in lengthy delays.84_x000a_o Other: China-Norway FTA negotiations were delayed (did not resume until 2016).85"/>
    <s v="Bureaucratic Obstruction"/>
    <x v="0"/>
    <s v="N/A"/>
    <s v="N/A"/>
    <s v="N/A"/>
    <s v="Norway (Europe)"/>
    <s v="Food &amp; Beverage"/>
    <s v="Salmon"/>
    <s v="Explanation: Chinese officials repeatedly denied the restrictions were sanctions nor specifically directed at Norway when Norwegian representatives raised concerns at the WTO repeatedly in June and October 2011; March, July, and October 2012, and March, June, and October 2013.86_x000a_Annotation(s): Norway government declined to meet Dalai Lama in May 2014. However, in September 2014 and March 2015, citing SPS concerns about Infectious Salmon Anemia, Chinese authorities banned imports from Norwegian counties of South Tronderlag, Nordland and Troms (which represented approximately 1/5 of exports at the time).87 This case of conversion (via SPS rules) is more speculative."/>
    <m/>
    <m/>
    <s v="Victor's data"/>
    <m/>
    <m/>
    <m/>
    <m/>
    <m/>
    <m/>
    <m/>
  </r>
  <r>
    <x v="2"/>
    <s v="Delayed Estonian access to the Chinese dairy market following Dalai Lama’s visit and meeting with President Toomas Hendrik Ilves"/>
    <x v="0"/>
    <s v="Tibet/Dalai Lama"/>
    <x v="1"/>
    <s v="Trigger: Dalai Lama visit and meeting with President Toomas Hendrick Ilves.88_x000a_Sanction:_x000a_• Informal—Bureaucratic obstruction (?) [1]: Some sources report that the meeting resulted in delayed Estonian access to the Chinese dairy market.89 In a 2014 interview, Estonian Minister for Foreign Trade and Entrepreneurship, Anne Sulling stated: “Estonia and Finland have a different export strategy [for dairy products]. They are concentrating on China, but we don't because their market is currently closed for us. There is no point to develop business contacts if the access to Estonian products is not granted. We have not been successful in the Chinese market since the Estonian officials welcomed the Dalai Lama here.”90_x000a_Explanation: None identified._x000a_Annotation(s):_x000a_• The case for retaliation rests on the fact that agricultural talks remained on hold until the Estonian government apparently conveyed its support for China’s position on Tibet in late 2014,91 after which talks resumed and Estonia eventually secured export approval in 2016.92_x000a_• PRC also reported to have cancelled diplomatic exchanges.93"/>
    <s v="Bureaucratic Obstruction"/>
    <x v="0"/>
    <s v="N/A"/>
    <s v="N/A"/>
    <s v="N/A"/>
    <s v="Estonia (Europe)"/>
    <s v="Food &amp; Beverage"/>
    <s v="Dairy"/>
    <m/>
    <m/>
    <m/>
    <s v="Victor's data"/>
    <m/>
    <m/>
    <m/>
    <m/>
    <m/>
    <m/>
    <m/>
  </r>
  <r>
    <x v="3"/>
    <s v="Rejection of Philippine fruit exports, including bananas, papayas, pineapples, and mangoes, by Chinese customs, citing pest and quarantine concerns, following tensions over Scarborough Shoal"/>
    <x v="0"/>
    <s v="Territorial Dispute"/>
    <x v="1"/>
    <s v="• Informal—Conversion (SPS) [2]: Philippine exports of a variety of fruit were rejected by Chinese customs. Most notably were bananas (due to apparent scale insects, such as Aonidiella comperei McKenzie,95 and other ‘quarantine concerns’)96 and papaya (due to apparent presence of mealybugs).97 Other affected fruits reported to include pineapple and mango."/>
    <s v="Conversion"/>
    <x v="0"/>
    <s v="N/A"/>
    <s v="N/A"/>
    <s v="N/A"/>
    <s v="Philippines (Asia &amp; Oceania)"/>
    <s v="Food &amp; Beverage"/>
    <s v="Bananas, papayas, pineapples, and mangoes"/>
    <s v="Trigger: Tensions regarding Scarborough Shoal in the South China Sea.94_x000a_Sanctions:_x000a_• Informal—Conversion (SPS) [2]: Philippine exports of a variety of fruit were rejected by Chinese customs. Most notably were bananas (due to apparent scale insects, such as Aonidiella comperei McKenzie,95 and other ‘quarantine concerns’)96 and papaya (due to apparent presence of mealybugs).97 Other affected fruits reported to include pineapple and mango._x000a_• Informal—Blacklist [1] / Boycott fomentation [1]: Citing a planned protest outside the Chinese embassy in Manila, the China National Tourism Association issued a travel warning [boycott] and instructed travel agencies to cancel group tours [blacklist].98 At least two major travel agencies halted organised tours and some Chinese airlines cancelled flights.99_x000a_Explanations:_x000a_• Chinese officials denied any of the restrictions were related to the political dispute.100 The Philippine Bureau of Plant Industry believed the SPS restrictions were ‘politically motivated’.101 Industry were similarly sceptical, with the executive director of the Pilipino Banana Growers and Exporters Association, Stephen Antig, quipping: ‘they [Chinese officials] just went on the Internet and found a list of all the diseases that attack bananas’.102 A team of Philippine quarantine inspectors which was dispatched to China to investigate the issue failed to find any pests.103_x000a_Annotation(s):_x000a_• Prior issues: Chinese officials had warned the Philippines about potential SPS issues several weeks earlier (in March),_x000a_however the warning only concerned one Japanese conglomerate (Sumifru Corporation, operating in Mindanao) and no_x000a_restrictions were imposed at the time.104_x000a_• Whether or not the restrictions on fruit were retaliatory has been debated by many. Most notably, Angela Poh has argued it_x000a_is a ‘myth’ that they were retaliatory,105 while Ketian Zhang has sought show they were indeed sanctions.106"/>
    <m/>
    <m/>
    <s v="Victor's data"/>
    <m/>
    <m/>
    <m/>
    <m/>
    <m/>
    <m/>
    <m/>
  </r>
  <r>
    <x v="4"/>
    <s v="China National Tourism Administration orders cancellation of Chinese group tours and issues travel warning for the Philippines following tensions over Scarborough Shoal "/>
    <x v="0"/>
    <s v="Territorial Dispute"/>
    <x v="2"/>
    <s v="• Informal—Blacklist [1] / Boycott fomentation [1]: Citing a planned protest outside the Chinese embassy in Manila, the China National Tourism Association issued a travel warning [boycott] and instructed travel agencies to cancel group tours [blacklist].98 At least two major travel agencies halted organised tours and some Chinese airlines cancelled flights.99"/>
    <s v="Blacklist"/>
    <x v="0"/>
    <s v="N/A"/>
    <s v="N/A"/>
    <s v="N/A"/>
    <s v="Philippines (Asia &amp; Oceania)"/>
    <s v="Hospitality &amp; Travel"/>
    <m/>
    <s v="Could also be classified as boycott_x000a__x000a_Trigger: Tensions regarding Scarborough Shoal in the South China Sea.94_x000a_Sanctions:_x000a_• Informal—Conversion (SPS) [2]: Philippine exports of a variety of fruit were rejected by Chinese customs. Most notably were bananas (due to apparent scale insects, such as Aonidiella comperei McKenzie,95 and other ‘quarantine concerns’)96 and papaya (due to apparent presence of mealybugs).97 Other affected fruits reported to include pineapple and mango._x000a_• Informal—Blacklist [1] / Boycott fomentation [1]: Citing a planned protest outside the Chinese embassy in Manila, the China National Tourism Association issued a travel warning [boycott] and instructed travel agencies to cancel group tours [blacklist].98 At least two major travel agencies halted organised tours and some Chinese airlines cancelled flights.99_x000a_Explanations:_x000a_• Chinese officials denied any of the restrictions were related to the political dispute.100 The Philippine Bureau of Plant Industry believed the SPS restrictions were ‘politically motivated’.101 Industry were similarly sceptical, with the executive director of the Pilipino Banana Growers and Exporters Association, Stephen Antig, quipping: ‘they [Chinese officials] just went on the Internet and found a list of all the diseases that attack bananas’.102 A team of Philippine quarantine inspectors which was dispatched to China to investigate the issue failed to find any pests.103_x000a_Annotation(s):_x000a_• Prior issues: Chinese officials had warned the Philippines about potential SPS issues several weeks earlier (in March),_x000a_however the warning only concerned one Japanese conglomerate (Sumifru Corporation, operating in Mindanao) and no_x000a_restrictions were imposed at the time.104_x000a_• Whether or not the restrictions on fruit were retaliatory has been debated by many. Most notably, Angela Poh has argued it_x000a_is a ‘myth’ that they were retaliatory,105 while Ketian Zhang has sought show they were indeed sanctions.106"/>
    <m/>
    <m/>
    <s v="Victor's data"/>
    <m/>
    <m/>
    <m/>
    <m/>
    <m/>
    <m/>
    <m/>
  </r>
  <r>
    <x v="5"/>
    <s v="Intensified inspections of imports from Japan at ports such as Shanghai and Qingdao and at Beijing Capital International Airport following Japan’s purchase of disputed Senkaku/Diaoyu Islands"/>
    <x v="0"/>
    <s v="Territorial Dispute"/>
    <x v="1"/>
    <s v="o Stepped up inspection of raw materials for optical products at Shanghai port (previously 10% of exports to Japan_x000a_inspected, increase to 100% inspected).108 In some cases, such as the port of Qingdao109 and Beijing Capital_x000a_International Airport,110 all Japanese products reportedly subject to 100% inspection.111"/>
    <s v="Bureaucratic Obstruction"/>
    <x v="0"/>
    <s v="N/A"/>
    <s v="N/A"/>
    <s v="N/A"/>
    <s v="Japan (Asia &amp; Oceania)"/>
    <s v="N/A"/>
    <m/>
    <s v="_x000a_Annotation(s): Reports suggested customs experience varied from product to product, and from one customs officer to another.120"/>
    <m/>
    <m/>
    <s v="Victor's data"/>
    <m/>
    <m/>
    <m/>
    <m/>
    <m/>
    <m/>
    <m/>
  </r>
  <r>
    <x v="5"/>
    <s v="Delayed M&amp;A approvals, visa processing, and exclusion of Japanese firms from business events, along with restrictions on Japan-related books and cultural events in Beijing, following Japan’s purchase of disputed Senkaku/Diaoyu Islands"/>
    <x v="0"/>
    <s v="Territorial Dispute"/>
    <x v="3"/>
    <s v="o There were also reports of delayed M&amp;A approvals by Chinese antitrust authorities, and Japanese firms_x000a_experiencing other difficulties such as delayed visa approvals and exclusion from business events.112"/>
    <s v="Bureaucratic Obstruction"/>
    <x v="0"/>
    <s v="N/A"/>
    <s v="N/A"/>
    <s v="N/A"/>
    <s v="Japan (Asia &amp; Oceania)"/>
    <s v="N/A"/>
    <m/>
    <s v="(bureaucratic obstruction / blacklist). Book ban is blacklist. • Informal—Bureaucratic obstruction [2]:_x000a_o Stepped up inspection of raw materials for optical products at Shanghai port (previously 10% of exports to Japan_x000a_inspected, increase to 100% inspected).108 In some cases, such as the port of Qingdao109 and Beijing Capital_x000a_International Airport,110 all Japanese products reportedly subject to 100% inspection.111_x000a_o There were also reports of delayed M&amp;A approvals by Chinese antitrust authorities, and Japanese firms_x000a_experiencing other difficulties such as delayed visa approvals and exclusion from business events.112_x000a_• Informal—Blacklist [1]: Beijing municipal authorities reported to have ordered publishers not to sell books related to Japan,_x000a_nor organize or promote cultural events involving Japanese participants.113"/>
    <m/>
    <m/>
    <s v="Victor's data"/>
    <m/>
    <m/>
    <m/>
    <m/>
    <m/>
    <m/>
    <m/>
  </r>
  <r>
    <x v="5"/>
    <s v="Launch of anti-dumping investigation into Japanese (and Indian) pyridine following Japan’s purchase of disputed Senkaku/Diaoyu Islands"/>
    <x v="0"/>
    <s v="Territorial Dispute"/>
    <x v="1"/>
    <s v="• Informal—Conversion (AD) [1]: Anti-dumping investigation into Japanese (and Indian) pyridine launched on 21 Sept.114"/>
    <s v="Conversion"/>
    <x v="0"/>
    <s v="Anti-Dumping Regulations"/>
    <s v="N/A"/>
    <s v="N/A"/>
    <s v="Japan (Asia &amp; Oceania)"/>
    <s v="Chemicals"/>
    <s v="Pyridine"/>
    <m/>
    <m/>
    <m/>
    <s v="Victor's data"/>
    <m/>
    <m/>
    <m/>
    <m/>
    <m/>
    <m/>
    <m/>
  </r>
  <r>
    <x v="5"/>
    <s v="Boycotts against Japanese brands following Japan’s purchase of disputed Senkaku/Diaoyu Islands"/>
    <x v="0"/>
    <s v="Territorial Dispute"/>
    <x v="4"/>
    <s v="o Goods: State-media gave significant coverage of consumer boycotts,115 which targeted highly visible Japanese consumer brands such as Canon, Toyota and Uniqlo.116 Although the government did not directly endorse them, researchers emphasise boycotts were ‘implicitly supported’,117 and certainly tolerated before they began to escalate.118"/>
    <s v="Boycott Fomentation"/>
    <x v="0"/>
    <s v="N/A"/>
    <s v="N/A"/>
    <s v="Canon; Toyota; Uniqlo"/>
    <s v="Japan (Asia &amp; Oceania)"/>
    <s v="Consumer Goods; Transportation"/>
    <m/>
    <m/>
    <m/>
    <m/>
    <s v="Victor's data"/>
    <m/>
    <m/>
    <m/>
    <m/>
    <m/>
    <m/>
    <m/>
  </r>
  <r>
    <x v="5"/>
    <s v="Travel warning and discouragement of trips to Japan by state media and state-owned enterprises following Japan’s purchase of disputed Senkaku/Diaoyu Islands"/>
    <x v="0"/>
    <s v="Territorial Dispute"/>
    <x v="2"/>
    <s v="Travel: CNTA issued a travel warning about ‘safety risks’ in Japan, state media discouraged travel to Japan, and some state-owned companies reportedly advised their employees against travel to Japan.119"/>
    <s v="Boycott Fomentation"/>
    <x v="0"/>
    <s v="N/A"/>
    <s v="N/A"/>
    <s v="N/A"/>
    <s v="Japan (Asia &amp; Oceania)"/>
    <s v="Hospitality &amp; Travel"/>
    <m/>
    <m/>
    <m/>
    <m/>
    <s v="Victor's data"/>
    <m/>
    <m/>
    <m/>
    <m/>
    <m/>
    <m/>
    <m/>
  </r>
  <r>
    <x v="6"/>
    <s v="Unofficial suspension of oil exports to North Korea in February, June, and July following North Korea’s long-range rocket launch and nuclear tests"/>
    <x v="0"/>
    <s v="Geopolitical Dispute"/>
    <x v="0"/>
    <s v="• Informal—Blacklist [1]: China reported to have unofficially ceased exports of oil in three different months (February, June and July).122"/>
    <s v="Blacklist"/>
    <x v="0"/>
    <s v="N/A"/>
    <s v="N/A"/>
    <s v="N/A"/>
    <s v="North Korea (Asia &amp; Oceania)"/>
    <s v="Energy"/>
    <s v="Oil"/>
    <s v="Trigger: North Korea carried out a long-range rocket launch (December 2012), threatened another nuclear test (January 2013) and carried out the third nuclear test in February 2013.121_x000a__x000a_Explanation: CNPC explained the oil supply disruption was due to ‘technical problems’.124 No explanation identified for tourism._x000a_Annotation(s): China support and took steps to implement formal multilateral sanctions during this period as well._x000a_• UNSCR 2087: China voted in favour of the resolution, which expanded travel bans and asset freezes against specific DPRK_x000a_entities, and some implementation was reported (such as increased customs inspections in Dandong and Dalian).125_x000a_• UNSCR 2094: In April 2013, the Transportation Ministry issued a public notice directing firms to enforce the UN sanctions. MOFCOM also issued a 236-page list of potential dual-use items forbidden from export.126 Bank accounts linked to the DPRK were closed with at least four state-owned banks, and customs inspections were tightened (especially in areas known_x000a_for smuggling activity, such as Dalian).127"/>
    <m/>
    <m/>
    <s v="Victor's data"/>
    <m/>
    <m/>
    <m/>
    <m/>
    <m/>
    <m/>
    <m/>
  </r>
  <r>
    <x v="6"/>
    <s v="Discouragement of travel to North Korea by the National Tourism Administration and cancellation of Chinese group tours following North Korea’s long-range rocket launch and nuclear tests"/>
    <x v="0"/>
    <s v="Geopolitical Dispute"/>
    <x v="2"/>
    <s v=" Informal—Boycott fomentation(?) [1]: Although tourism was not formally banned (nor required to be under the UNSC resolutions), the National Tourism Administration discouraged travel and reports indicate Chinese tourist agencies cancelled group tours to the country.123"/>
    <s v="Boycott Fomentation"/>
    <x v="0"/>
    <s v="N/A"/>
    <s v="N/A"/>
    <s v="N/A"/>
    <s v="North Korea (Asia &amp; Oceania)"/>
    <s v="Hospitality &amp; Travel"/>
    <m/>
    <s v="Trigger: North Korea carried out a long-range rocket launch (December 2012), threatened another nuclear test (January 2013) and carried out the third nuclear test in February 2013.121_x000a__x000a_Explanation: CNPC explained the oil supply disruption was due to ‘technical problems’.124 No explanation identified for tourism._x000a_Annotation(s): China support and took steps to implement formal multilateral sanctions during this period as well._x000a_• UNSCR 2087: China voted in favour of the resolution, which expanded travel bans and asset freezes against specific DPRK_x000a_entities, and some implementation was reported (such as increased customs inspections in Dandong and Dalian).125_x000a_• UNSCR 2094: In April 2013, the Transportation Ministry issued a public notice directing firms to enforce the UN sanctions. MOFCOM also issued a 236-page list of potential dual-use items forbidden from export.126 Bank accounts linked to the DPRK were closed with at least four state-owned banks, and customs inspections were tightened (especially in areas known_x000a_for smuggling activity, such as Dalian).127"/>
    <m/>
    <m/>
    <s v="Victor's data"/>
    <m/>
    <m/>
    <m/>
    <m/>
    <m/>
    <m/>
    <m/>
  </r>
  <r>
    <x v="7"/>
    <s v="Reported restrictions on crude oil exports to North Korea from January to September following the execution of Kim Jong-un’s uncle, Chang Song-thaek, and North Korean missile tests"/>
    <x v="0"/>
    <s v="Geopolitical Dispute"/>
    <x v="0"/>
    <s v="Informal—Blacklist(?) [1]: Crude oil supplies reported to be cut from approximately January to September.147 However, later sources suggest the trade continued but was no longer reported in Chinese trade statistics.148"/>
    <s v="Blacklist"/>
    <x v="0"/>
    <s v="N/A"/>
    <s v="N/A"/>
    <s v="N/A"/>
    <s v="North Korea (Asia &amp; Oceania)"/>
    <s v="Energy"/>
    <s v="Oil"/>
    <s v="Trigger: Execution of Chang Song Taek in December 2013 and short-range ballistic missile tests in March 2014.146_x000a__x000a_Explanation: None identified. MFA Spokeswoman Hua Chunying sidestepped questions about whether crude oil supplies had been disrupted.149"/>
    <m/>
    <m/>
    <s v="Victor's data"/>
    <m/>
    <m/>
    <m/>
    <m/>
    <m/>
    <m/>
    <m/>
  </r>
  <r>
    <x v="8"/>
    <s v="Increased customs scrutiny on imports from Vietnam, reportedly affecting perishable goods such as lychees, following Vietnamese objections to China’s deployment of the Hai Yang Shi You 981 oil rig in waters near the disputed Paracel Islands and subsequent anti-China protests in several Vietnamese cities"/>
    <x v="0"/>
    <s v="Territorial Dispute"/>
    <x v="1"/>
    <s v="• Informal—Bureaucratic obstruction(?) [1]: Several sources report that Vietnamese exports were also subjected to enhanced scrutiny by Chinese customs officers following the oil rig dispute.141 As a result, it has particularly been suggested that an unspecified volume of lychees (a major Vietnamese export to China at the time) were spoilt,142 and that exports of the fruit generally decreased during the period.143 No major news wire services reported on this at the time, and some scholarly research suggests there was not, in fact, any disruption at the border.144"/>
    <s v="Bureaucratic Obstruction"/>
    <x v="0"/>
    <s v="N/A"/>
    <s v="N/A"/>
    <s v="N/A"/>
    <s v="Vietnam (Asia &amp; Oceania)"/>
    <s v="N/A"/>
    <s v="Lychees"/>
    <s v="Trigger: Vietnamese objection to Chinese deployment of Hai Yang Shi You 981 (HYSY-981) oil rig in waters near the disputed Paracel Islands in the South China Sea in May 2014, and subsequent anti-China protests in several Vietnamese cities._x000a__x000a_Explanation: Travel warnings were justified by reference to the (not insignificant) anti-China protests that occurred in May, during which several Chinese nationals were killed and many others injured.145 None identified for apparent border scrutiny."/>
    <m/>
    <m/>
    <s v="Victor's data"/>
    <m/>
    <m/>
    <m/>
    <m/>
    <m/>
    <m/>
    <m/>
  </r>
  <r>
    <x v="9"/>
    <s v="Prolonged travel warning issued for Vietnam, seen by some as a form of punishment for Vietnamese objections to China’s deployment of the Hai Yang Shi You 981 oil rig in waters near the disputed Paracel Islands and subsequent anti-China protests in several Vietnamese cities"/>
    <x v="0"/>
    <s v="Territorial Dispute"/>
    <x v="2"/>
    <s v="• Informal—Boycott fomentation(?) [1]: Following attacks on Chinese citizens and businesses, the Chinese government issued a travel warning for Vietnam in mid-May.139 The travel warning remained in place for several months after the situation had settled, prompting some to speculate that tourism was being deliberately suppressed as a form of punishment.140"/>
    <s v="Boycott Fomentation"/>
    <x v="0"/>
    <s v="N/A"/>
    <s v="N/A"/>
    <s v="N/A"/>
    <s v="Vietnam (Asia &amp; Oceania)"/>
    <s v="Hospitality &amp; Travel"/>
    <m/>
    <s v="Trigger: Vietnamese objection to Chinese deployment of Hai Yang Shi You 981 (HYSY-981) oil rig in waters near the disputed Paracel Islands in the South China Sea in May 2014, and subsequent anti-China protests in several Vietnamese cities._x000a__x000a_Explanation: Travel warnings were justified by reference to the (not insignificant) anti-China protests that occurred in May, during which several Chinese nationals were killed and many others injured.145 None identified for apparent border scrutiny."/>
    <m/>
    <m/>
    <s v="Victor's data"/>
    <m/>
    <m/>
    <m/>
    <m/>
    <m/>
    <m/>
    <m/>
  </r>
  <r>
    <x v="10"/>
    <s v="Antitrust investigations into Microsoft and Qualcomm following US indictment of PLA members for cyberattacks"/>
    <x v="1"/>
    <s v="Geopolitical Dispute"/>
    <x v="3"/>
    <s v="Informal—Conversion (Domestic law) (?) [2]: Anti-trust investigations (under China’s 2007 Anti-Monopoly Law) targeting_x000a_US firms Microsoft and Qualcomm. Several outlets and researchers speculated that the investigations were retaliatory due to their timing.129"/>
    <s v="Conversion"/>
    <x v="0"/>
    <s v="N/A"/>
    <s v="N/A"/>
    <s v="Microsoft; Qualcomm"/>
    <s v="United States (North America)"/>
    <s v="ICT; Semiconductors"/>
    <m/>
    <s v="Trigger: US Justice Department’s indictment of five members of the People’s Liberation Army for cyberattacks targeting US firms, and revelations about US technology companies being complicit in NSA cyber espionage.128_x000a__x000a_Explanation: Chinese authorities maintained the investigations were routine anti-trust actions. Some experts confirmed the investigations had some legal merit.130 Given the limited evidence that these actions were retaliatory, coded as speculative."/>
    <m/>
    <m/>
    <s v="Victor's data"/>
    <m/>
    <m/>
    <m/>
    <m/>
    <m/>
    <m/>
    <m/>
  </r>
  <r>
    <x v="11"/>
    <s v="Travel warning issued for the Philippines, leading to cancellation of tour packages and charter flights, following Manila’s escalation of the South China Sea dispute to the Permanent Court of Arbitration"/>
    <x v="0"/>
    <s v="Territorial Dispute"/>
    <x v="2"/>
    <s v="Informal—Boycott fomentation [1]: Chinese officials issued a travel warning advising Chinese citizens to avoid all travel to the Philippines. Prompted travel agencies to cease offering tour packages,131 the cancellation of charter flights,132 and accordingly a decrease in outbound tourism to the Philippines.133"/>
    <s v="Boycott Fomentation"/>
    <x v="0"/>
    <s v="N/A"/>
    <s v="N/A"/>
    <s v="N/A"/>
    <s v="Philippines (Asia &amp; Oceania)"/>
    <s v="Hospitality &amp; Travel"/>
    <m/>
    <s v="Trigger: Ongoing tensions related to South China Sea dispute (most directly, Manila’s decision to escalate the dispute to the Permanent Court of Arbitration despite Chinese opposition)._x000a__x000a_Explanation: Chinese officials cited a series of events, including reported kidnappings of Chinese nationals and an alleged bomb plot which, among other places, allegedly targeted the Chinese embassy in Manila. “Given that the safety situation in the Philippines is deteriorating, the consular service of the foreign ministry is asking Chinese nationals not to travel to the Philippines for the time being”.134 One official explicitly denied it was a ‘travel ban’: “It’s a travel warning only, not a travel ban. It’s a result of the number of Chinese who either got robbed or kidnapped in the Philippines”.135_x000a_Annotation(s): Borderline speculative case. Widely interpreted as coercive,136 but Chinese concerns generally acknowledged as somewhat legitimate.137 Notable, however, that China’s warnings applied to the whole of the Philippines rather than specific regions where threats were deemed to exist (while some other governments had warnings in place for southern parts of the Philippines at the time, no other countries had ‘blanket advisories’ for the entire country).138"/>
    <m/>
    <m/>
    <s v="Victor's data"/>
    <m/>
    <m/>
    <m/>
    <m/>
    <m/>
    <m/>
    <m/>
  </r>
  <r>
    <x v="12"/>
    <s v="Boycott of JYP Entertainment after Chou Tzuyu, a Taiwanese member of the girl music-group TWICE, waved a Taiwanese flag on national TV"/>
    <x v="0"/>
    <s v="Foreign Support for Taiwan"/>
    <x v="4"/>
    <s v="&quot;After the singer appeared on a broadcast holding a Taiwanese flag to symbolize her nationality, Chinese netizens and broadcasting stations exploded in uproar, accusing the 16 year old singer of treason against the People’s Republic of China. The issue has since escalated dramatically, with broadcasting stations in China banning TWICE and Chinese netizens spreading the hashtag #boycottJYP on Chinese social media platform Weibo.&quot;"/>
    <s v="Boycott Fomentation"/>
    <x v="0"/>
    <s v="N/A"/>
    <s v="N/A"/>
    <s v="JYP Entertainment"/>
    <s v="South Korea (Asia &amp; Oceania)"/>
    <s v="Entertainment"/>
    <m/>
    <s v="Seemingly state-supported: Broadcasting stations in China allegedly banned TWICE._x000a__x000a_Apology issued._x000a__x000a_With all of this uproar, JYP Entertainment released an official statement clarifying that Tzuyu had no ill intentions against the communist Chinese government, and even allegedly changed Tzuyu’s profile birthplace to “China Taiwan,” a move that many have deemed as appeasing to China. However, Chinese netizens and broadcasting stations alike have refused to change their stance on the issue. Instead, Tzuyu and JYP Entertainment have found themselves gaining the support of netizens who are pro-Taiwanese independence, who have publicly shown their support for TWICE and JYP Entertainment through social media"/>
    <m/>
    <m/>
    <s v="Reporting (KoreaBoo)"/>
    <s v="Reporting (Korea Herald)"/>
    <m/>
    <m/>
    <m/>
    <m/>
    <m/>
    <m/>
  </r>
  <r>
    <x v="13"/>
    <s v="Informal order to Chinese travel agents to reduce Taiwan-bound tourism, including an 80% cut in group tour packages and reduced quotas, following Tsai Ing-wen’s election and refusal to endorse the ‘one-China’ principle of the 1992 Consensus"/>
    <x v="0"/>
    <s v="Actions of the Taiwanese Government"/>
    <x v="2"/>
    <s v=" Informal—Blacklist [1]: Taiwan’s Travel Quality Assurance Association reported that Chinese authorities unofficially ordered Chinese travel agents to cut the number of Taiwan-bound tourists as well as cut group tour packages to Taiwan by 80 - percent. Actors inside the Chinese tourism ecosystem also reported travel agents were given instructions to enforce a reduced monthly quota of 37,500 (it had previously been 150,000).151"/>
    <s v="Blacklist"/>
    <x v="0"/>
    <s v="N/A"/>
    <s v="N/A"/>
    <s v="N/A"/>
    <s v="Taiwan (Asia &amp; Oceania)"/>
    <s v="Hospitality &amp; Travel"/>
    <m/>
    <s v="Trigger: Election of Tsai Ing-wen and her unwillingness to endorse the ‘one-China’ principle of the ‘1992 Consensus’.150_x000a__x000a_Explanation: State media denied there were restrictions in place, suggesting that ‘political uncertainty’ and a sense of feeling ‘unwelcome’ among Chinese nationals were the factors behind the reduction in outbound travel to Taiwan.152"/>
    <m/>
    <m/>
    <s v="Victor's data"/>
    <m/>
    <m/>
    <m/>
    <m/>
    <m/>
    <m/>
    <m/>
  </r>
  <r>
    <x v="14"/>
    <s v="Non-renewal of charter permits for Philippine carriers, flight cancellations, and travel warnings following the Permanent Court of Arbitration ruling in favor of the Philippines’ claim in the South China Sea"/>
    <x v="0"/>
    <s v="Territorial Dispute"/>
    <x v="2"/>
    <s v="• Informal—Bureaucratic obstruction [1]: It was reported that Chinese authorities had declined to renew charter permits of Philippine carriers, resulting in flight and thus tour cancellations. At least 19 charter flights cancelled due to this permit issue.153_x000a_• Informal—Boycott fomentation [1]: Chinese officials were said to be imposing an ‘informal ban on travel to the Philippines’ by media outlets.154 Travel warnings were issued. The travel warning from 2014 (see case 2.12) remained in place, and another was introduced by the Chinese embassy in the Philippines in September 2016 after an explosion at a night market in Davao City.155"/>
    <s v="Bureaucratic Obstruction"/>
    <x v="0"/>
    <s v="N/A"/>
    <s v="N/A"/>
    <s v="N/A"/>
    <s v="Philippines (Asia &amp; Oceania)"/>
    <s v="Hospitality &amp; Travel"/>
    <m/>
    <s v="Trigger: Permanent Court of Arbitration ruled in favour of the Philippines’ claim in the South China Sea (July 12 2016)._x000a__x000a_Explanation: None identified. Some Chinese travel agents criticised the Philippine Bureau of Immigration for being discriminatory towards Chinese nationals, citing instances in which immigration officers had turned travellers from China away.156_x000a_Annotation(s): Some evidence of Chinese netizens appealing for popular boycott of Philippine products and travel.157"/>
    <m/>
    <m/>
    <s v="Victor's data"/>
    <m/>
    <m/>
    <m/>
    <m/>
    <m/>
    <m/>
    <m/>
  </r>
  <r>
    <x v="15"/>
    <s v="Calls for boycott of Philippine products and travel following the Permanent Court of Arbitration ruling in favor of the Philippines’ claim in the South China Sea"/>
    <x v="0"/>
    <s v="Territorial Dispute"/>
    <x v="4"/>
    <s v="Annotation(s): Some evidence of Chinese netizens appealing for popular boycott of Philippine products and travel.157"/>
    <s v="Boycott Fomentation"/>
    <x v="0"/>
    <s v="N/A"/>
    <s v="N/A"/>
    <s v="N/A"/>
    <s v="Philippines (Asia &amp; Oceania)"/>
    <s v="Consumer Goods; Hospitality &amp; Travel"/>
    <m/>
    <m/>
    <m/>
    <m/>
    <s v="Victor's data"/>
    <m/>
    <m/>
    <m/>
    <m/>
    <m/>
    <m/>
    <m/>
  </r>
  <r>
    <x v="16"/>
    <s v="KFC and Apple targeted in protests against international ruling against Chinese territorial claims in the South China Sea"/>
    <x v="0"/>
    <s v="Territorial Dispute"/>
    <x v="4"/>
    <s v="KFC: KFC outlets in about a dozen cities, including Hangzhou, in Zhejiang Province; Changsha, in Hunan Province; and Yangzhou, in Jiangsu Province, were targeted by protests and calls for a boycott on Monday, according to a report from Sohu News, a Chinese online news outlet. But the campaign was far smaller than previous nationalist boycotts, and state media outlets warned protesters to avoid any illegal behavior._x000a__x000a_Apple: HONG KONG (Reuters) - Apple Inc found itself on the receiving end of a small, short-lived anti-U.S. protest this week in China, the tech firm's biggest overseas market and a country where foreign firms have suffered damaging boycotts following international spats._x000a_A handful of unofficial Apple stores were picketed and social media users encouraged each other to destroy their Apple goods, in a rare instance of the tech firm being targeted as a symbol of perceived injustice following an international ruling against Chinese territorial claims."/>
    <s v="Boycott Fomentation"/>
    <x v="0"/>
    <s v="N/A"/>
    <s v="N/A"/>
    <s v="KFC; Apple"/>
    <s v="United States (North America)"/>
    <s v="Food &amp; Beverage; Other Electronics; Consumer Goods"/>
    <m/>
    <s v="No identified state support. No apology. "/>
    <m/>
    <m/>
    <s v="Reporting (NYT)"/>
    <s v="Reporting (Reuters)"/>
    <m/>
    <m/>
    <m/>
    <m/>
    <m/>
    <m/>
  </r>
  <r>
    <x v="17"/>
    <s v="Rejection of imports of diary products from Australia and suspension of import licenses following Australian criticism of Chinese actions in the South China Sea and rejection of large Chinese investment proposals"/>
    <x v="0"/>
    <s v="Territorial Dispute; Economic Dispute"/>
    <x v="1"/>
    <s v="• Informal—Conversion [3]:_x000a_o Exports rejected (TBT): 3.8 tonnes of viplus formula rejected due to incorrect labelling (June)._x000a_o Exports rejected and license suspended (SPS): Fresh milk exports (from Camperdown Dairy Company) rejected_x000a_due to apparent presence of harmful bacteria, and the company had its license suspended.170 Chinese authorities_x000a_also announced they had “strengthened supervision” for all other Australian dairy exporters.171_x000a_o License suspension (TBT): Certification and Accreditation Administration of China suspended the import license_x000a_of Viplus Dairy, without providing a reason.172"/>
    <s v="Conversion"/>
    <x v="0"/>
    <s v="N/A"/>
    <s v="N/A"/>
    <s v="N/A"/>
    <s v="Australia (Asia &amp; Oceania)"/>
    <s v="Food &amp; Beverage"/>
    <s v="Dairy"/>
    <s v="Trigger: Australian criticism of Chinese actions in the South China Sea and rejection of large Chinese investment proposals.169_x000a__x000a_Explanation: None identified._x000a_Annotation(s): Notable that the SPS rejections coincided with then-PM Malcolm Turnbull attending a G20 meeting in Hanzhou."/>
    <m/>
    <m/>
    <s v="Victor's data"/>
    <m/>
    <m/>
    <m/>
    <m/>
    <m/>
    <m/>
    <m/>
  </r>
  <r>
    <x v="18"/>
    <s v="Verbal ban on South Korean entertainment content by State Administration of Radio, Film and Television, and delays in licensing approvals for South Korean video games, reportedly in response to South Korea’s THAAD deployment"/>
    <x v="0"/>
    <s v="Geopolitical Dispute"/>
    <x v="3"/>
    <s v="o Cultural products: State Administration of Radio, Film and Television alleged to have issued a verbal ban prohibiting the distribution of Korean entertainment content (including music, TV dramas, and films) in November 2016._x000a__x000a_• Informal—Bureaucratic obstruction [1]: Korean video games not given decisions for applications for licenses beginning in March 2017.193 Decisions continued to be delayed well after the dispute appeared to be resolved, with the first decision being made in December 2020.194"/>
    <s v="Blacklist; Bureaucratic Obstruction"/>
    <x v="0"/>
    <s v="N/A"/>
    <s v="N/A"/>
    <s v="N/A"/>
    <s v="South Korea (Asia &amp; Oceania)"/>
    <s v="Entertainment"/>
    <s v="Music, TV dramas, and films, video games"/>
    <s v="Trigger: South Korean government’s decision to jointly deploy THAAD missile defence system with the US.173_x000a__x000a_Explanation: Throughout the dispute, Chinese officials denied any restrictions were in place.195 Irregularities were said to be a consequence of: the (offended) feelings of patriotic Chinese nationals,196 or the failure of ROK companies to comply with Chinese laws and regulations.197"/>
    <m/>
    <m/>
    <s v="Victor's data"/>
    <m/>
    <m/>
    <m/>
    <m/>
    <m/>
    <m/>
    <m/>
  </r>
  <r>
    <x v="19"/>
    <s v="New fees for trade at border crossings and a tariff on mining products from Mongolia following the Dalai Lama’s visit to Ulaanbaatar"/>
    <x v="0"/>
    <s v="Tibet/Dalai Lama"/>
    <x v="1"/>
    <s v="• Informal—Conversion(?) (TBT) [2]:_x000a_o Variety of new fees (for maintenance, processing, sanitation, documentation, et cetera) charged at Chinese border_x000a_crossings with Mongolia.159_x000a_o A new two percent tariff on mining products with a value exceeding 10,000 RMB also introduced at the Manjuur_x000a_(Manzhouli), Ereen and Gantsmod crossings.160 This prompted a short interruption to copper concentrate exports_x000a_from the Oyu Tolgoi mine as new logistical arrangements had to be put in place.161"/>
    <s v="Conversion"/>
    <x v="0"/>
    <s v="N/A"/>
    <s v="N/A"/>
    <s v="N/A"/>
    <s v="Mongolia (Asia &amp; Oceania)"/>
    <s v="Raw Materials"/>
    <s v="Mining products, copper concentrate"/>
    <s v="Trigger: Dalai Lama visit to Ulaanbaatar.158_x000a__x000a_Explanations: Chinese Foreign Ministry spokesman Geng Shuang said he was not aware of the situation – neither confirming nor_x000a_denying any link to the Dalai Lama’s visit.165_x000a_Annotation(s): At a press conference led by the head of the Border Department of Mongolia’s Ministry of Foreign Affairs, it was emphasised that the new fees were not only being imposed on Mongolia but on Russia as well.166 Some reports also indicate that the Mongolian government had been advised of the new rates on November 4, weeks before they were introduced.167 Documents accompanying the announcement on that date suggest the fees were motivated by the provincial government (Chinese Inner Mongolia)’s desire to offset infrastructural loan repayments: ““mainly for the repayment of principal and interest of bank loans taken out for port infrastructure construction as well as port facilities maintenance, management and other normal operating costs”.168"/>
    <m/>
    <m/>
    <s v="Victor's data"/>
    <m/>
    <m/>
    <m/>
    <m/>
    <m/>
    <m/>
    <m/>
  </r>
  <r>
    <x v="19"/>
    <s v="Forced re-routing of imports from Mongolia such as copper and coal via specific border crossings, causing delays, following the Dalai Lama’s visit to Ulaanbaatar"/>
    <x v="0"/>
    <s v="Tibet/Dalai Lama"/>
    <x v="1"/>
    <s v="• Informal—Bureaucratic obstruction(?) [2]:_x000a_o Forced re-routing of certain Mongolian exports via specific crossings: copper,162 and coal.163 This led to delays as logistical solutions were crafted._x000a_o Loan negotiations also reported to be suspended.164"/>
    <s v="Bureaucratic Obstruction"/>
    <x v="0"/>
    <s v="N/A"/>
    <s v="N/A"/>
    <s v="N/A"/>
    <s v="Mongolia (Asia &amp; Oceania)"/>
    <s v="Raw Materials"/>
    <s v="Copper, coal"/>
    <s v="Trigger: Dalai Lama visit to Ulaanbaatar.158_x000a__x000a_Explanations: Chinese Foreign Ministry spokesman Geng Shuang said he was not aware of the situation – neither confirming nor_x000a_denying any link to the Dalai Lama’s visit.165_x000a_Annotation(s): At a press conference led by the head of the Border Department of Mongolia’s Ministry of Foreign Affairs, it was emphasised that the new fees were not only being imposed on Mongolia but on Russia as well.166 Some reports also indicate that the Mongolian government had been advised of the new rates on November 4, weeks before they were introduced.167 Documents accompanying the announcement on that date suggest the fees were motivated by the provincial government (Chinese Inner Mongolia)’s desire to offset infrastructural loan repayments: ““mainly for the repayment of principal and interest of bank loans taken out for port infrastructure construction as well as port facilities maintenance, management and other normal operating costs”.168"/>
    <m/>
    <m/>
    <s v="Victor's data"/>
    <m/>
    <m/>
    <m/>
    <m/>
    <m/>
    <m/>
    <m/>
  </r>
  <r>
    <x v="19"/>
    <s v="Restrictions on Lotte following South Korea’s decision to jointly deploy the THAAD missile defense system with the U.S., including tax probe affecting over 150 offices, sudden audits, closures of Lotte businesses—including retail stores, factories, and a major development project—citing safety and fire code violations"/>
    <x v="0"/>
    <s v="Geopolitical Dispute"/>
    <x v="3"/>
    <s v="§ Approximately 600kg of Lotte candy confiscated and incinerated by quarantine officials in Qingdao_x000a_because the “products contained additives prohibited under food safety regulations”.174_x000a__x000a_§ Tax:Awide-rangingtaxprobewasconductedofLotte,affectingmorethan150ofitsoffices.Anumber_x000a_of the conglomerates businesses also faced sudden audits.178_x000a_§ Healthandsafety:_x000a_• Numerous Lotte businesses – including at least 87 Lotte Mart stores, a Lotte Advanced Materials factory, and Lotte chocolate factory – closed for violating fire safety rules.179 In one example, the alleged violations included “lack of proper fire alarm system functions, lack of proper sprinkler functions, partial damage to fire exits, and lack of a safety exit in the firefighting pump room”.180_x000a_• Lotte development project including shopping mall, hotel, movie theatre, apartments and amusement park in Shenyang suspended due to violations of safety regulations."/>
    <s v="Conversion"/>
    <x v="0"/>
    <s v="Fire safety regulations, safety standards"/>
    <s v="N/A"/>
    <s v="Lotte"/>
    <s v="South Korea (Asia &amp; Oceania)"/>
    <s v="Consumer Goods; Food &amp; Beverage"/>
    <s v="Candy"/>
    <s v="Trigger: South Korean government’s decision to jointly deploy THAAD missile defence system with the US.173_x000a__x000a_Explanation: Throughout the dispute, Chinese officials denied any restrictions were in place.195 Irregularities were said to be a consequence of: the (offended) feelings of patriotic Chinese nationals,196 or the failure of ROK companies to comply with Chinese laws and regulations.197"/>
    <m/>
    <m/>
    <s v="Victor's data"/>
    <m/>
    <m/>
    <m/>
    <m/>
    <m/>
    <m/>
    <m/>
  </r>
  <r>
    <x v="20"/>
    <s v="Rejection of South Korean goods, including cosmetics, food products, air purifiers, and electronic bidets following South Korea’s decision to jointly deploy the THAAD missile defense system with the U.S."/>
    <x v="0"/>
    <s v="Geopolitical Dispute"/>
    <x v="1"/>
    <s v="Informal—Conversion [13]:_x000a_o SPS:_x000a_o TBT:_x000a_§ Cosmetic and food products rejected in January due to insufficient documentation. While some_x000a_interpreted this as retaliation, South Korean officials reported it was plausible they were genuine violations.175_x000a__x000a_§ The rejection of ROK air purifiers and electronic bidets for failing to meet labelling requirements for Chinese safety standards were also reported as a potential form of retaliation.176_x000a__x000a__x000a_"/>
    <s v="Conversion"/>
    <x v="0"/>
    <s v="Food safety regulations, safety standards"/>
    <s v="N/A"/>
    <s v="N/A"/>
    <s v="South Korea (Asia &amp; Oceania)"/>
    <s v="Consumer Goods; Food &amp; Beverage"/>
    <s v="Cosmetics, air purifiers, electronic bidets"/>
    <s v="Trigger: South Korean government’s decision to jointly deploy THAAD missile defence system with the US.173_x000a__x000a_Explanation: Throughout the dispute, Chinese officials denied any restrictions were in place.195 Irregularities were said to be a consequence of: the (offended) feelings of patriotic Chinese nationals,196 or the failure of ROK companies to comply with Chinese laws and regulations.197"/>
    <m/>
    <m/>
    <s v="Victor's data"/>
    <m/>
    <m/>
    <m/>
    <m/>
    <m/>
    <m/>
    <m/>
  </r>
  <r>
    <x v="21"/>
    <s v="Boycott of APA Hotel Group following allegations that one of its videos contained revisionist history books denying the Nanking massacre "/>
    <x v="0"/>
    <s v="Other"/>
    <x v="4"/>
    <s v="China has ordered tour agencies and online travel bookers to boycott a Japanese hotel chain after it placed books in guest rooms denying the Nanjing Massacre took place._x000a__x000a_A spokesman for the China National Tourism Administration said the actions of hotel chain APA Group were “an open provocation to Chinese tourists.”_x000a__x000a_“We demand that all operators with international tours and online platforms completely stop all cooperation with this hotel,” Zhang said."/>
    <s v="Boycott Fomentation"/>
    <x v="0"/>
    <s v="N/A"/>
    <s v="N/A"/>
    <s v="APA Group"/>
    <s v="Japan (Asia &amp; Oceania)"/>
    <s v="Hospitality &amp; Travel"/>
    <m/>
    <s v="Visible state support. No apology. "/>
    <m/>
    <m/>
    <s v="Reporting (BBC)"/>
    <s v="China Daily Support"/>
    <m/>
    <m/>
    <m/>
    <m/>
    <m/>
    <m/>
  </r>
  <r>
    <x v="22"/>
    <s v="Instructions to travel agents by China National Tourism Association (CNTA) to halt South Korea-bound tourism services, following South Korea’s decision to jointly deploy the THAAD missile defense system with the U.S."/>
    <x v="0"/>
    <s v="Geopolitical Dispute"/>
    <x v="2"/>
    <s v="• Informal—Blacklists [2]:_x000a_o Travel: China National Tourism Association (CNTA) allegedly verbally instructed travel agents to cease offering_x000a_any South Korea-bound tourism services in March 2017. The ban remained in place until October 2017, and was then gradually wound back.185 When travel partially resumed in early 2018, travel agency executives were instructed to not include Lotte businesses on new group tours.186"/>
    <s v="Blacklist"/>
    <x v="0"/>
    <s v="N/A"/>
    <s v="N/A"/>
    <s v="N/A"/>
    <s v="South Korea (Asia &amp; Oceania)"/>
    <s v="Hospitality &amp; Travel"/>
    <m/>
    <s v="Trigger: South Korean government’s decision to jointly deploy THAAD missile defence system with the US.173_x000a__x000a_Explanation: Throughout the dispute, Chinese officials denied any restrictions were in place.195 Irregularities were said to be a consequence of: the (offended) feelings of patriotic Chinese nationals,196 or the failure of ROK companies to comply with Chinese laws and regulations.197"/>
    <m/>
    <m/>
    <s v="Victor's data"/>
    <m/>
    <m/>
    <m/>
    <m/>
    <m/>
    <m/>
    <m/>
  </r>
  <r>
    <x v="22"/>
    <s v="Boycott calls against South Korean products and services, including Lotte, travel, motor vehicles, and cultural exports, following South Korea’s decision to jointly deploy the THAAD missile defense system with the U.S."/>
    <x v="0"/>
    <s v="Geopolitical Dispute"/>
    <x v="4"/>
    <s v="• Informal—Boycott fomentation [4]:_x000a_o State media encouraged boycotts of numerous Korean products and services,187 including:_x000a_§ Lotte.188_x000a_§ Travel. This was done both via state media,189 and official travel warnings from CNTA.190 § Motorvehicles.191_x000a_§ Culturalexports(films,music,TVdramas,etc).192"/>
    <s v="Boycott Fomentation"/>
    <x v="0"/>
    <s v="N/A"/>
    <s v="N/A"/>
    <s v="N/A"/>
    <s v="South Korea (Asia &amp; Oceania)"/>
    <s v="Transportation; Consumer Goods; Entertainment; Hospitality &amp; Travel"/>
    <m/>
    <s v="Trigger: South Korean government’s decision to jointly deploy THAAD missile defence system with the US.173_x000a__x000a_Explanation: Throughout the dispute, Chinese officials denied any restrictions were in place.195 Irregularities were said to be a consequence of: the (offended) feelings of patriotic Chinese nationals,196 or the failure of ROK companies to comply with Chinese laws and regulations.197"/>
    <m/>
    <m/>
    <s v="Victor's data"/>
    <m/>
    <m/>
    <m/>
    <m/>
    <m/>
    <m/>
    <m/>
  </r>
  <r>
    <x v="23"/>
    <s v="Recall of South Korean motor vehicles by Chinese authorities citing ‘potential safety risks’ and exclusion of South Korean electric vehicle batteries from a key subsidy program, following South Korea’s decision to jointly deploy the THAAD missile defense system with the U.S."/>
    <x v="0"/>
    <s v="Geopolitical Dispute"/>
    <x v="3"/>
    <s v="§ GeneralAdministrationofQualitySupervision,InspectionandQuarantineorderedtherecallofseveral ROK motor vehicles due to ‘potential safety risks’ – including Kia Borrego (‘loose wheel nuts’), Hyundai Santa Fe (‘a defect that can cause the engine to fail’) and Kia Sorento (‘defective engine pipe that can leak and catch fire’).177_x000a__x000a_§ Subsidy scheme: Vehicles using South Korean electric vehicle batteries were consistently excluded from a subsidy regime managed by the Ministry of Industry and Information Technology. Approval for the subsidy was considered a ‘prerequisite’ for competing in the Chinese EV market, and there is some evidence to suggest that exclusion from the list was retaliatory.181"/>
    <s v="Conversion"/>
    <x v="0"/>
    <s v="Safety regulations"/>
    <s v="N/A"/>
    <s v="Kia; Hyundai"/>
    <s v="South Korea (Asia &amp; Oceania)"/>
    <s v="Transportation"/>
    <s v="Cars, EV batteries"/>
    <s v="Trigger: South Korean government’s decision to jointly deploy THAAD missile defence system with the US.173_x000a__x000a_Explanation: Throughout the dispute, Chinese officials denied any restrictions were in place.195 Irregularities were said to be a consequence of: the (offended) feelings of patriotic Chinese nationals,196 or the failure of ROK companies to comply with Chinese laws and regulations.197"/>
    <m/>
    <m/>
    <s v="Victor's data"/>
    <m/>
    <m/>
    <m/>
    <m/>
    <m/>
    <m/>
    <m/>
  </r>
  <r>
    <x v="24"/>
    <s v="Ban on meat exports from six Australian abattoirs, citing labelling and paperwork discrepancies, reportedly in response to Australian Foreign Minister Julie Bishop’s comments on freedom of navigation in the South China Sea"/>
    <x v="0"/>
    <s v="Territorial Dispute"/>
    <x v="1"/>
    <s v="• Informal—Conversion (TBT) [1]: AQSIQ placed a ban on meat exports from six Australian abattoirs, representing approximately 50 percent of Australian exports to China, due to apparent discrepancies with labelling and paperwork.218 The ban was imposed in July and not lifted until November.219"/>
    <s v="Conversion"/>
    <x v="0"/>
    <s v="N/A"/>
    <s v="N/A"/>
    <s v="N/A"/>
    <s v="Australia (Asia &amp; Oceania)"/>
    <s v="Food &amp; Beverage"/>
    <m/>
    <s v="Trigger: Speculation that the customs issues were retaliation for comments made by Australian Foreign Minister Julie Bishop about freedom of navigation in the South China Sea.217_x000a__x000a_Explanation: AQSIQ cited the fact that labels failed to comply with Chinese regulations and the provisions of the China-Australia Free Trade Agreement.220 Australian reports quoted industry sources who confirmed the issue related to “minor discrepancies, especially over labels — or labels coming off a couple of boxes out of, for instance, 200 in a container — and over paperwork”.221_x000a_Annotation(s): The link between political tensions and the export restrictions in this case is not well established. It is particularly notable that AQSIQ had also raised concerns about labelling for beef and lamb products from six Australian abattoirs—including three of those facing the new ban—earlier in the year (May).222 There was also speculation that the restrictions may have been related to trade tensions, rather than political ones, after Australia had banned imports of fresh and cooked prawns from China (and Vietnam) from January-July 2017.223 Given the uncertainty, this is coded as a speculative case."/>
    <m/>
    <m/>
    <s v="Victor's data"/>
    <m/>
    <m/>
    <m/>
    <m/>
    <m/>
    <m/>
    <m/>
  </r>
  <r>
    <x v="25"/>
    <s v="Anti-dumping investigations and duties on various petrochemical products, and duties on acrylic_x000a_fabrics following South Korea’s decision to jointly deploy the THAAD missile defense system with the U.S."/>
    <x v="0"/>
    <s v="Geopolitical Dispute"/>
    <x v="1"/>
    <s v="Informal—Conversion [13]: o Anti-dumping:_x000a_§ New anti-dumping investigations and duties on various petrochemical products, and duties on acrylic_x000a_fabrics were interpreted by some as retaliation due to their timing.183 In the latter case, it is notable that an investigation had been launched prior to the THAAD dispute.184"/>
    <s v="Conversion"/>
    <x v="0"/>
    <s v="Anti-Dumping Regulations"/>
    <s v="N/A"/>
    <s v="N/A"/>
    <s v="South Korea (Asia &amp; Oceania)"/>
    <s v="Chemicals"/>
    <s v="Petrochemical products, acrylic_x000a_fabrics"/>
    <s v="Trigger: South Korean government’s decision to jointly deploy THAAD missile defence system with the US.173_x000a__x000a_Explanation: Throughout the dispute, Chinese officials denied any restrictions were in place.195 Irregularities were said to be a consequence of: the (offended) feelings of patriotic Chinese nationals,196 or the failure of ROK companies to comply with Chinese laws and regulations.197"/>
    <m/>
    <m/>
    <s v="Victor's data"/>
    <m/>
    <m/>
    <m/>
    <m/>
    <m/>
    <m/>
    <m/>
  </r>
  <r>
    <x v="26"/>
    <s v="Reported restrictions on tourism to North Korea, including instructions to tour companies in Dandong to halt all trips to Pyongyang, following North Korea’s missile tests, nuclear tests, and the assassination of Kim Jong-nam"/>
    <x v="0"/>
    <s v="Geopolitical Dispute"/>
    <x v="2"/>
    <s v="• Informal—Blacklist (?) [1]: Restrictions on travel during 2017 have been interpreted as part of China’s retaliation,202 however these were never formally introduced. Tour companies in Dandong reported receiving instructions to halt all trips to Pyongyang (day trips to Sinuiju, opposite Dandong, were still permitted).203"/>
    <s v="Blacklist"/>
    <x v="0"/>
    <s v="N/A"/>
    <s v="N/A"/>
    <s v="N/A"/>
    <s v="North Korea (Asia &amp; Oceania)"/>
    <s v="Hospitality &amp; Travel"/>
    <m/>
    <s v="Trigger(s): The assassination of Kim Jong-un’s half-brother Kim Jong-nam (February), ballistic missile tests in February, April, May June, July and August, the sixth nuclear test (September 3) and further ballistic missile tests (September and November)._x000a__x000a_Explanation: Restrictions were not acknowledged as sanctions. Air China reported that it had indefinitely suspended flights between Beijing and Pyongyang in November, citing the fact that “business was not good”.204_x000a_Annotation(s): Note that this occurred alongside formal implementation of multilateral UN sanctions. China endorsed a raft of new UNSC resolutions—UNSCR 2371 (August) UNSCR 2375 (September) and UNSCR 2397 (December)—with incrementally expanded sanctions to include annual caps on exports of refined petroleum, natural gas and crude oil, a ban on imports of DPRK iron, coal, seafood and textile and apparel products, a ban on joint ventures with DPRK entities, and further asset freezes. Beijing took additional steps to implement the new (and old) resolutions throughout the year, including:_x000a_• On January 25 MOFCOM issued a public list of dual-use items subject to UN export controls.205_x000a_• Officially banning coal purchases in February via a public notice released by MOFCOM.206_x000a_• Placed official limits on refined petroleum and natural gas exports to the DPRK via a public notice from MOFCOM.207_x000a_• MOFCOM and GACC, via ‘Announcement No. 4’ (January 2018), prohibited or capped a wide range of exports (such as_x000a_crude oil, industrial machinery and iron) and imports (including agricultural products and electrical equipment) pursuant to_x000a_UNSCR 2397.208_x000a_• Revoking the business licenses of some companies with links to the DPRK in accordance with UNSCR 2375.209_x000a_• These implementation efforts were subsequently reflected in customs statistics.210_x000a_Multilateral sanctions had also been enforced in 2016 following the DPRK’s fourth and fifth nuclear tests that year. China endorsed UNSCRs 2270 (March) and 2321 (November) and took steps to implement sanctions contained in each. The resolutions broadened sanctions in a number of ways, including—perhaps most notably—to cover the import of minerals from DPRK (in particular 2321 imposed a quantitative cap on coal imports, which was especially relevant to China as the biggest buyer, and banning imports of copper, nickel, silver, and zinc). MOFCOM issued public statements instructing firms to comply with UNSCR 2270,211 and MOFCOM and GACC also issued detailed list of all embargoed minerals on April 5 2016.212 In December, Beijing announced it had order firms to cease imports of coal for the remainder of the year,213 and issued new instructions (Announcement No. 81) regarding implementation of UNSCR 2321 sanctions to businesses.214 Statements from Chinese officials explicitly acknowledge implementation of the UN sanctions. In March, for example, Foreign Minister Wang Yi told reporters: “We have the obligation and capability to implement all the resolutions passed by the Security Council, including Resolution 2270”.215 Chinese enforcement of UNSCR 2270 was, however, criticised for taking advantage of an exemption for transactions for “livelihood purposes” to continue importing coal.216_x000a__x000a_"/>
    <m/>
    <m/>
    <s v="Victor's data"/>
    <m/>
    <m/>
    <m/>
    <m/>
    <m/>
    <m/>
    <m/>
  </r>
  <r>
    <x v="27"/>
    <s v="Warning to travel agents against advertising group tours to Palau, citing its lack of ‘approved destination status,’ leading to a decline in Chinese tourism, following Palau’s ongoing diplomatic recognition of Taiwan (salient in wake of Tsai Ing-wen’s election)"/>
    <x v="0"/>
    <s v="Foreign Support for Taiwan"/>
    <x v="2"/>
    <s v="Sanction:_x000a_• Informal—Blacklist (?) [1]: Chinese officials reminded travel agents that Palau did not have ‘approved destination status’ and that, accordingly, they could be punished for advertising group tour services to the country.198 It prompted a sudden, sharp and ongoing drop in tourist flows. The ADS law does not technically seem to have been enforced. Rather, reports indicate Chinese officials instructed travel agencies to cease offering the services and threatened enforcement.199_x000a__x000a_One of just 20 nations keeping formal diplomatic ties with Taiwan, Palau was named in a notice issued by Chinese officials last month warning travel agencies that it was illegal to advertise group tours to destinations not on China’s approved list"/>
    <s v="Blacklist"/>
    <x v="0"/>
    <s v="N/A"/>
    <s v="N/A"/>
    <s v="N/A"/>
    <s v="Palau (Asia &amp; Oceania)"/>
    <s v="Hospitality &amp; Travel"/>
    <m/>
    <s v="Trigger: Palau’s ongoing diplomatic recognition of Taiwan (salient in wake of Tsai Ing-wen’s election)._x000a__x000a_Explanation: When asked whether the restrictions were related to Palau’s recognition of Taiwan, China’s Foreign Ministry responded: ‘The one China principle is the pre-condition and political foundation for China to maintain and develop friendly cooperative relations with all countries around the world’.200_x000a_Annotation(s): Notable that this comes close to enforcement of an existing formal legal mechanism. The ADS regime has historically not been strictly enforced, and tour operators had been offering packages to Palau for several years (China was Palau’s largest source of inbound tourists at the time of this case). Palau had declined to switch diplomatic recognition in exchange for ADS in 1999, but tourism had nevertheless increased dramatically in the 2010s.201"/>
    <m/>
    <m/>
    <s v="Victor's data"/>
    <m/>
    <m/>
    <m/>
    <m/>
    <m/>
    <m/>
    <m/>
  </r>
  <r>
    <x v="28"/>
    <s v="Boycott of Marriott and website shutdown following a customer questionnaire listing Hong Kong and Taiwan as separate from China"/>
    <x v="0"/>
    <s v="Foreign Support for Taiwan; Hong Kong"/>
    <x v="4"/>
    <s v="China’s internet regulator has accused hotel group Marriott International of breaking Chinese law and ordered it to close its Chinese website and online booking applications for a week after the company listed Taiwan as a country in some online forms._x000a__x000a_The Shanghai office of China’s cyberspace administration, the internet regulator, said in an online post on Thursday that Marriott’s listing of Taiwan as a country had “seriously violated national laws and hurt the feelings of the Chinese people”."/>
    <s v="Boycott Fomentation"/>
    <x v="0"/>
    <s v="N/A"/>
    <s v="N/A"/>
    <s v="Marriott International"/>
    <s v="United States (North America)"/>
    <s v="Hospitality &amp; Travel"/>
    <m/>
    <s v="Visible state support from the cyberspace administration. Also the website of Marriott seems to have been shut down, so, technically, this could be classified as a case of bureaucratic obstruction, but I think it is primarily a boycott as this response followed on from calls from netizens, and also seems rather minor compared to the actual boycott. _x000a__x000a_Marriott apologized"/>
    <m/>
    <m/>
    <s v="Reporting (FT)"/>
    <s v="Reporting (Guardian)"/>
    <m/>
    <m/>
    <m/>
    <m/>
    <m/>
    <m/>
  </r>
  <r>
    <x v="29"/>
    <s v="Boycott calls against Mercedes-Benz following Dalai Lama quote"/>
    <x v="0"/>
    <s v="Tibet/Dalai Lama"/>
    <x v="4"/>
    <s v="The post on the Mercedes-Benz Instagram account, which was widely viewed before being deleted, carried the hashtag “#MondayMotivation” and showed a white Mercedes car on a beach. It featured a quote popularly attributed to the Dalai Lama: “Look at the situations from all angles, and you will become more open.”_x000a__x000a_The Instagram post provoked an outcry from Chinese internet users, many of whom pledged to boycott the Mercedes brand. Though China blocks Instagram, a photo-sharing social network owned by Facebook, many users circumvent those controls by using virtual private networks."/>
    <s v="Boycott Fomentation"/>
    <x v="0"/>
    <s v="N/A"/>
    <s v="N/A"/>
    <s v="Mercedes-Benz"/>
    <s v="Germany (Europe)"/>
    <s v="Transportation"/>
    <m/>
    <s v="No identified state support_x000a__x000a_Mercedes-Benz issued an apology on Chinese social media that said it would “promptly take steps to deepen our understanding of Chinese culture and values”"/>
    <m/>
    <m/>
    <s v="Reporting (NYT)"/>
    <s v="Apology (Weibo)"/>
    <s v="Reporting (Reuters)"/>
    <m/>
    <m/>
    <m/>
    <m/>
    <m/>
  </r>
  <r>
    <x v="30"/>
    <s v="Boycott calls against Audi following the use of a map of China that left off Taiwan, South Tibet, and part of the northwestern Xinjiang region "/>
    <x v="0"/>
    <s v="Foreign Support for Taiwan; Hong Kong; Tibet/Dalai Lama"/>
    <x v="4"/>
    <s v="Audi AG was one of the first companies to be targeted in a new wave of political crackdowns on foreign companies."/>
    <s v="Boycott Fomentation"/>
    <x v="0"/>
    <s v="N/A"/>
    <s v="N/A"/>
    <s v="Audi"/>
    <s v="Germany (Europe)"/>
    <s v="Transportation"/>
    <m/>
    <s v="No identified state support_x000a__x000a_Apology: Audi said: “The map offended Chinese people. It was a serious mistake for which Audi wants to sincerely apologize."/>
    <m/>
    <m/>
    <s v="Reporting (Business Insider)"/>
    <m/>
    <m/>
    <m/>
    <m/>
    <m/>
    <m/>
    <m/>
  </r>
  <r>
    <x v="30"/>
    <s v="Boycott calls against Walmart following listing of Taiwan as the country of origin on its products "/>
    <x v="0"/>
    <s v="Foreign Support for Taiwan"/>
    <x v="4"/>
    <s v="In a viral video uploaded to Weibo last Friday, a customer at a Beijing Walmart shows how imported products from South Korea and the United Kingdom give their “place of origin” (原产地), while a sign for those products from Taiwan reads “country of origin” (原产国)._x000a__x000a_The footage quickly stirred up a storm on Chinese social media, resulting in Walmart issuing a grovelling apology on its official Weibo account."/>
    <s v="Boycott Fomentation"/>
    <x v="0"/>
    <s v="N/A"/>
    <s v="N/A"/>
    <s v="Walmart"/>
    <s v="United States (North America)"/>
    <s v="Food &amp; Beverage; Consumer Goods"/>
    <m/>
    <s v="No identified state support_x000a__x000a_Walmart issued its “sincere apologies” and said that it had always “respected and supported” China’s sovereignty and territorial integrity…”"/>
    <m/>
    <m/>
    <s v="Reporting (Medium)"/>
    <m/>
    <m/>
    <m/>
    <m/>
    <m/>
    <m/>
    <m/>
  </r>
  <r>
    <x v="31"/>
    <s v="Delays in customs clearance for Australian wine exports due to new ‘verification’ requirements following Australia’s foreign interference legislation targeting Chinese influence"/>
    <x v="0"/>
    <s v="Geopolitical Dispute"/>
    <x v="1"/>
    <s v="Informal—Bureaucratic obstruction [1]: Due to apparently new ‘verification’ requirements introduced in April, Australian wine shipments faced significant delays in being cleared by GACC during April and May.233 The verification requirements were reported to only apply to Australian wines.234 At least six different Australian winemakers experienced the delays.235 Some wine companies reported clearance taking up to two months (compared to 10 days for other countries).236 No companies appear to have been charged with violating any rules or regulations. Rather, in the words of John Casella—chief executive of Casella Wines—it was a “go-slow, a slowdown on the port documentation, that sort of thing”.237 Some exporters told reporters that they had noticed slower clearance times since late 2017.238"/>
    <s v="Bureaucratic Obstruction"/>
    <x v="0"/>
    <s v="N/A"/>
    <s v="N/A"/>
    <s v="N/A"/>
    <s v="Australia (Asia &amp; Oceania)"/>
    <s v="Food &amp; Beverage"/>
    <s v="Wine"/>
    <s v="Trigger: Australian initiatives to address foreign (in particular, apparent Chinese) interference in domestic political system. New legislation introduced to Parliament in 2017 and details from the primary report underpinning the new laws began to be revealed in May 2018.231 Disruption attributed to deterioration in China-Australia relations prompted by foreign interference legislation saga.232_x000a__x000a_Explanation: GACC did not appear to respond to requests from comments from journalists about the delays.239 Chinese officials denied any link between the delays and the political disagreements between Beijing and Canberra. In response to questions about the delays, Foreign Ministry spokeswoman Hua Chunying ‘defended the right of the country’s customs officials to inspect imported products’ and suggested that reports of delays might be speculation: “You say that it’s delayed ... I wonder if this is a fact or merely speculation by certain people and companies from Australia”.240_x000a_Annotation(s): Journalists on a 2017 study tour of China reported being warned that Australian trade might be affected by the deterioration in relations sparked by the foreign interference debate.241"/>
    <m/>
    <m/>
    <s v="Victor's data"/>
    <m/>
    <m/>
    <m/>
    <m/>
    <m/>
    <m/>
    <m/>
  </r>
  <r>
    <x v="32"/>
    <s v="First of five rounds of retaliatory tariffs on 128 U.S. products worth approximately $3 billion, including pork, fruits, nuts, and wine, following U.S. Section 232 tariffs on steel and aluminum "/>
    <x v="1"/>
    <s v="Economic Dispute"/>
    <x v="1"/>
    <s v="o After the implementation of US tariffs, China imposed five rounds of retaliatory tariffs (under Article 14 of the_x000a_Regulations of the People’s Republic of China on Import and Export Duties) between July 2018 and January 2020, ranging from 10-25%, and affecting $185 billion of US trade from a broad range of sectors, including agricultural, pharmaceuticals and consumer goods.257 I code these as a type of sanction because they were imposed not merely for reasons of political economy, but to generate coercive leverage.258 They were implemented in accordance with the Foreign Trade Law of the People's Republic of China.259"/>
    <s v="Formal"/>
    <x v="1"/>
    <s v="Foreign Trade Law;_x000a_Regulations of the People’s Republic of China on Import and Export Duties (Article 14)"/>
    <s v="N/A"/>
    <s v="N/A"/>
    <s v="United States (North America)"/>
    <s v="Agriculture; Food &amp; Beverage; Chemicals; Raw Materials"/>
    <m/>
    <s v="Trigger: US imposition of unilateral tariffs (2018) and subsequent tit-for-tat retaliations.242_x000a__x000a_After the implementation of US tariffs, China imposed five rounds of retaliatory tariffs (under Article 14 of the_x000a_Regulations of the People’s Republic of China on Import and Export Duties) between July 2018 and January 2020, ranging from 10-25%, and affecting $185 billion of US trade from a broad range of sectors, including agricultural, pharmaceuticals and consumer goods.257 I code these as a type of sanction because they were imposed not merely for reasons of political economy, but to generate coercive leverage.258 They were implemented in accordance with the Foreign Trade Law of the People's Republic of China.259_x000a__x000a_Explanations: None of the informal sanctions were linked to trade war tensions. The tariffs, however, were explicitly acknowledged as retaliatory measures.260"/>
    <m/>
    <m/>
    <s v="Announcement"/>
    <s v="Announcement"/>
    <s v="Announcement"/>
    <s v="List"/>
    <m/>
    <m/>
    <m/>
    <m/>
  </r>
  <r>
    <x v="33"/>
    <s v="Boycott calls and fines by Shanghai Administration for Industry and Commerce against Muji following listing of Taiwan as the country of origin of products"/>
    <x v="0"/>
    <s v="Foreign Support for Taiwan"/>
    <x v="4"/>
    <s v="A subsidiary of the Japanese household goods, apparel and food company Ryohin Keikaku Co was fined 200,000 yuan ($31,000) by a Shanghai bureau for not checking imported packaging that listed the island of Taiwan as a country, according to media reports on Wednesday._x000a__x000a_Muji (Shanghai) Co Ltd was fined by Shanghai Administration for Industry and Commerce for 119 clothes hangars imported from Japan that &quot;wrongly marked Taiwan as the country of some items' origin,&quot; China Industry &amp; Commerce News reported on Wednesday._x000a__x000a_In January, Muji was warned by China's mapping authorities &quot;wrongly marking Taiwan&quot; in an advertising flier. Muji could not be reached before press time._x000a__x000a_Internet users swarmed onto the company's official Sina Weibo microblog account this week demanding apologies."/>
    <s v="Boycott Fomentation"/>
    <x v="0"/>
    <s v="N/A"/>
    <s v="N/A"/>
    <s v="Muji"/>
    <s v="Japan (Asia &amp; Oceania)"/>
    <s v="Consumer Goods"/>
    <m/>
    <s v="No identified state support. No apology._x000a__x000a_The fine could potentially be seen as bureaucratic obstruction, but as with the Marriott case, official state action came after the boycott rather than before it."/>
    <m/>
    <m/>
    <s v="Reporting (Global Times)"/>
    <m/>
    <m/>
    <m/>
    <m/>
    <m/>
    <m/>
    <m/>
  </r>
  <r>
    <x v="34"/>
    <s v="Stepped-up quarantine checks and customs inspections on U.S. imports including fruit, meat, and Ford vehicles, following U.S. imposition of unilateral tariffs and subsequent tit-for-tat retaliations"/>
    <x v="1"/>
    <s v="Economic Dispute"/>
    <x v="1"/>
    <s v=" Informal—Bureaucratic obstruction [3]:_x000a_o Stepped up quarantine checks by Chinese customs. Affected products included apple and timber logs,243 pork,244_x000a_navel oranges, lemons and cherries,245 pet food,246 and at least one shipment of calf skins.247_x000a_o Ford cars were delayed after Chinese officials began inspecting individual components within the emission_x000a_systems of the vehicles.248"/>
    <s v="Bureaucratic Obstruction"/>
    <x v="0"/>
    <s v="N/A"/>
    <s v="N/A"/>
    <s v="N/A"/>
    <s v="United States (North America)"/>
    <s v="Food &amp; Beverage; Agriculture; Transportation"/>
    <s v="Apple, timber logs, pork, navel oranges, lemons, cherries, pet food, calf skins, cars"/>
    <s v="Trigger: US imposition of unilateral tariffs (2018) and subsequent tit-for-tat retaliations.242_x000a__x000a_Explanations: None of the informal sanctions were linked to trade war tensions. The tariffs, however, were explicitly acknowledged as retaliatory measures.260"/>
    <m/>
    <m/>
    <s v="Victor's data"/>
    <m/>
    <m/>
    <m/>
    <m/>
    <m/>
    <m/>
    <m/>
  </r>
  <r>
    <x v="35"/>
    <s v="Boycott calls against GAP Gap after omitting of Taiwan from T-shirt design "/>
    <x v="0"/>
    <s v="Foreign Support for Taiwan"/>
    <x v="4"/>
    <s v="The American clothing giant Gap has apologised following a social media backlash for selling T-shirts that sported a map of China which omitted contested territories such as south Tibet, Taiwan and the South China Sea islands._x000a__x000a_Pictures of the T-shirt surfaced online after a user on the Chinese social media network Weibo noticed it was on sale in Canada. The post sparked hundreds of complaints, leading Gap to issue a statement saying it would implement “rigorous reviews” to prevent such an incident happening again._x000a__x000a_“Gap Inc. respects the sovereignty and territorial integrity of China. We’ve learned that a Gap brand T-shirt sold in some overseas markets failed to reflect the correct map of China. We sincerely apologise for this unintentional error,” it said in a statement posted on its Weibo account on Monday evening."/>
    <s v="Boycott Fomentation"/>
    <x v="0"/>
    <s v="N/A"/>
    <s v="N/A"/>
    <s v="Gap"/>
    <s v="United States (North America)"/>
    <s v="Consumer Goods"/>
    <m/>
    <s v="No identified state support. Apology. "/>
    <m/>
    <m/>
    <s v="Reporting (Independent)"/>
    <m/>
    <m/>
    <m/>
    <m/>
    <m/>
    <m/>
    <m/>
  </r>
  <r>
    <x v="36"/>
    <s v="Second of five rounds of retaliatory tariffs on approximately $34 billion worth of U.S. products, primarily targeting agricultural products, automobiles, and seafood, following U.S. Section 301 tariffs on $50 billion worth of Chinese goods"/>
    <x v="1"/>
    <s v="Economic Dispute"/>
    <x v="1"/>
    <s v="o After the implementation of US tariffs, China imposed five rounds of retaliatory tariffs (under Article 14 of the_x000a_Regulations of the People’s Republic of China on Import and Export Duties) between July 2018 and January 2020, ranging from 10-25%, and affecting $185 billion of US trade from a broad range of sectors, including agricultural, pharmaceuticals and consumer goods.257 I code these as a type of sanction because they were imposed not merely for reasons of political economy, but to generate coercive leverage.258 They were implemented in accordance with the Foreign Trade Law of the People's Republic of China.259"/>
    <s v="Formal"/>
    <x v="1"/>
    <s v="Foreign Trade Law;_x000a_Regulations of the People’s Republic of China on Import and Export Duties"/>
    <s v="N/A"/>
    <s v="N/A"/>
    <s v="United States (North America)"/>
    <s v="Agriculture; Food &amp; Beverage; Transportation"/>
    <m/>
    <s v="Trigger: US imposition of unilateral tariffs (2018) and subsequent tit-for-tat retaliations.242_x000a__x000a_After the implementation of US tariffs, China imposed five rounds of retaliatory tariffs (under Article 14 of the_x000a_Regulations of the People’s Republic of China on Import and Export Duties) between July 2018 and January 2020, ranging from 10-25%, and affecting $185 billion of US trade from a broad range of sectors, including agricultural, pharmaceuticals and consumer goods.257 I code these as a type of sanction because they were imposed not merely for reasons of political economy, but to generate coercive leverage.258 They were implemented in accordance with the Foreign Trade Law of the People's Republic of China.259_x000a__x000a_Explanations: None of the informal sanctions were linked to trade war tensions. The tariffs, however, were explicitly acknowledged as retaliatory measures.261"/>
    <m/>
    <m/>
    <s v="Announcement"/>
    <s v="Announcement"/>
    <m/>
    <m/>
    <m/>
    <m/>
    <m/>
    <m/>
  </r>
  <r>
    <x v="37"/>
    <s v="Non-approval of Qualcomm’s acquisition of NXP and reported greater than usual regulatory scrutiny of US firms in China, following U.S. imposition of unilateral tariffs and subsequent tit-for-tat retaliations"/>
    <x v="1"/>
    <s v="Economic Dispute"/>
    <x v="3"/>
    <s v="Chinese anti-trust authorities (State Administration for Market Regulation) did not approve Qualcomm’s_x000a_acquisition of NXP before the deadline for the transaction. The deal had been approved in eight other jurisdictions. Technically they did not block the deal, but in not acting (to approve or not approve) it had the same effect.249_x000a_• Notable that two other major M&amp;As did go through during this period – Walt Disney’s purchase of 21st Century Fox’s entertainment assets,250 and United Technologies Corp.’s takeover of airplane-parts maker Rockwell Collins Inc.251"/>
    <s v="Bureaucratic Obstruction; Conversion"/>
    <x v="0"/>
    <s v="N/A"/>
    <s v="N/A"/>
    <s v="Qualcomm"/>
    <s v="United States (North America)"/>
    <s v="Semiconductors"/>
    <m/>
    <s v="Trigger: US imposition of unilateral tariffs (2018) and subsequent tit-for-tat retaliations.242_x000a__x000a_Explanations: None of the informal sanctions were linked to trade war tensions. The tariffs, however, were explicitly acknowledged as retaliatory measures.260"/>
    <m/>
    <m/>
    <s v="Victor's data"/>
    <m/>
    <m/>
    <m/>
    <m/>
    <m/>
    <m/>
    <m/>
  </r>
  <r>
    <x v="38"/>
    <s v="Boycott calls against IKEA following listing of Taiwan and Hong Kong as separate from China on packaging"/>
    <x v="0"/>
    <s v="Foreign Support for Taiwan; Hong Kong"/>
    <x v="4"/>
    <s v="Ikea has become the latest foreign company to fall foul of Beijing’s demand that Taiwan be referred to as part of China, with the Swedish furniture giant coming under fire from state media and mainland internet users over its packaging._x000a__x000a_On Tuesday, a report in state-run nationalist tabloid Global Times said Ikea had violated the “one China” principle by treating Taiwan and semi-autonomous Hong Kong as countries on its packaging."/>
    <s v="Boycott Fomentation"/>
    <x v="0"/>
    <s v="N/A"/>
    <s v="N/A"/>
    <s v="IKEA"/>
    <s v="Sweden (Europe)"/>
    <s v="Consumer Goods"/>
    <m/>
    <s v="State support by Global Times. No identified apology. "/>
    <m/>
    <m/>
    <s v="Reporting (SCMP)"/>
    <m/>
    <m/>
    <m/>
    <m/>
    <m/>
    <m/>
    <m/>
  </r>
  <r>
    <x v="38"/>
    <s v="Boycott against 85 C following gift to Taiwanese president"/>
    <x v="0"/>
    <s v="Foreign Support for Taiwan"/>
    <x v="4"/>
    <s v="The LA branch of Taiwanese-owned 85C Bakery Cafe gave the coffee, along with an enthusiastic welcome, to Tsai Ing-wen when she dropped in last Sunday._x000a__x000a_But many Chinese customers - who visit the chain's branches in mainland China - were furious, calling for a boycott._x000a__x000a_&quot;85C is a 'Taiwan independence' two-faced company,&quot; said one post on social media. &quot;We mainland Chinese should boycott this kind of garbage company.&quot;_x000a__x000a_Several food delivery services dropped the chain from their apps and shares in Gourmet Master, the bakery's parent company, fell 7.5%, Bloomberg said this cost the company $120m (£94m)._x000a_"/>
    <s v="Boycott Fomentation"/>
    <x v="0"/>
    <s v="N/A"/>
    <s v="N/A"/>
    <s v="85 C"/>
    <s v="Taiwan (Asia &amp; Oceania)"/>
    <s v="Food &amp; Beverage"/>
    <m/>
    <s v="No identified state support._x000a__x000a_85 C Bakery  issued an apology on Chinese social media that said it firmly supports the “One-China policy”."/>
    <m/>
    <m/>
    <s v="Reporting (BBC)"/>
    <s v="Apology (Weibo)"/>
    <m/>
    <m/>
    <m/>
    <m/>
    <m/>
    <m/>
  </r>
  <r>
    <x v="39"/>
    <s v="Third of five rounds of retaliatory tariffs on approximately $16 billion worth of U.S. products, including chemicals, fuel, and medical equipment, following U.S. imposition of tariffs on $16 billion worth of Chinese goods"/>
    <x v="1"/>
    <s v="Economic Dispute"/>
    <x v="1"/>
    <s v="o After the implementation of US tariffs, China imposed five rounds of retaliatory tariffs (under Article 14 of the_x000a_Regulations of the People’s Republic of China on Import and Export Duties) between July 2018 and January 2020, ranging from 10-25%, and affecting $185 billion of US trade from a broad range of sectors, including agricultural, pharmaceuticals and consumer goods.257 I code these as a type of sanction because they were imposed not merely for reasons of political economy, but to generate coercive leverage.258 They were implemented in accordance with the Foreign Trade Law of the People's Republic of China.259"/>
    <s v="Formal"/>
    <x v="1"/>
    <s v="Foreign Trade Law; Customs Law;_x000a_Regulations of the People’s Republic of China on Import and Export Duties"/>
    <s v="N/A"/>
    <s v="N/A"/>
    <s v="United States (North America)"/>
    <s v="Chemicals; Energy; Health"/>
    <m/>
    <s v="Trigger: US imposition of unilateral tariffs (2018) and subsequent tit-for-tat retaliations.242_x000a__x000a_After the implementation of US tariffs, China imposed five rounds of retaliatory tariffs (under Article 14 of the_x000a_Regulations of the People’s Republic of China on Import and Export Duties) between July 2018 and January 2020, ranging from 10-25%, and affecting $185 billion of US trade from a broad range of sectors, including agricultural, pharmaceuticals and consumer goods.257 I code these as a type of sanction because they were imposed not merely for reasons of political economy, but to generate coercive leverage.258 They were implemented in accordance with the Foreign Trade Law of the People's Republic of China.259_x000a__x000a_Explanations: None of the informal sanctions were linked to trade war tensions. The tariffs, however, were explicitly acknowledged as retaliatory measures.262"/>
    <m/>
    <m/>
    <s v="Announcement"/>
    <m/>
    <m/>
    <m/>
    <m/>
    <m/>
    <m/>
    <m/>
  </r>
  <r>
    <x v="40"/>
    <s v="Travel warnings issued for Sweden, following a Dalai Lama visit to the country and Swedish criticism of China's human rights record"/>
    <x v="0"/>
    <s v="Tibet/Dalai Lama; Other Human Rights Criticism"/>
    <x v="2"/>
    <s v="• Informal—Boycott fomentation(?) [2]: Chinese embassy in Sweden issued safety alerts for Chinese travellers in the country (14 September), and China’s Foreign Ministry published separate travel alerts shortly afterwards (23 September).228"/>
    <s v="Boycott Fomentation"/>
    <x v="0"/>
    <s v="N/A"/>
    <s v="N/A"/>
    <s v="N/A"/>
    <s v="Sweden (Europe)"/>
    <s v="Hospitality &amp; Travel"/>
    <m/>
    <s v="Trigger: Dalai Lama visit (speculated).227_x000a__x000a_Explanation: The travel warnings were not linked to the Dalai Lama’s visit. They were premised on the alleged treatment of a Chinese family by a hostel in Stockholm and the Swedish police (after the family apparently arrived at the hostel a day early and refused to leave).229_x000a_Annotation(s): The link in this case rests on timing. The hostel incident occurred on 2 September, the Dalai Lama visited on 11 September, and the earliest report of official travel warnings (from the Chinese embassy in Sweden) was 14 September.230"/>
    <m/>
    <m/>
    <s v="Victor's data"/>
    <m/>
    <m/>
    <m/>
    <m/>
    <m/>
    <m/>
    <m/>
  </r>
  <r>
    <x v="41"/>
    <s v="Fourth of five rounds of retaliatory tariffs on approximately $60 billion worth of U.S. products, including liquefied natural gas and agricultural products, following U.S. imposition of 10% tariffs on $200 billion worth of Chinese goods"/>
    <x v="1"/>
    <s v="Economic Dispute"/>
    <x v="1"/>
    <s v="o After the implementation of US tariffs, China imposed five rounds of retaliatory tariffs (under Article 14 of the_x000a_Regulations of the People’s Republic of China on Import and Export Duties) between July 2018 and January 2020, ranging from 10-25%, and affecting $185 billion of US trade from a broad range of sectors, including agricultural, pharmaceuticals and consumer goods.257 I code these as a type of sanction because they were imposed not merely for reasons of political economy, but to generate coercive leverage.258 They were implemented in accordance with the Foreign Trade Law of the People's Republic of China.259"/>
    <s v="Formal"/>
    <x v="1"/>
    <s v="Foreign Trade Law;_x000a_Regulations of the People’s Republic of China on Import and Export Duties (Article 14)"/>
    <s v="N/A"/>
    <s v="N/A"/>
    <s v="United States (North America)"/>
    <s v="Agriculture; Energy"/>
    <m/>
    <s v="Trigger: US imposition of unilateral tariffs (2018) and subsequent tit-for-tat retaliations.242_x000a__x000a_After the implementation of US tariffs, China imposed five rounds of retaliatory tariffs (under Article 14 of the_x000a_Regulations of the People’s Republic of China on Import and Export Duties) between July 2018 and January 2020, ranging from 10-25%, and affecting $185 billion of US trade from a broad range of sectors, including agricultural, pharmaceuticals and consumer goods.257 I code these as a type of sanction because they were imposed not merely for reasons of political economy, but to generate coercive leverage.258 They were implemented in accordance with the Foreign Trade Law of the People's Republic of China.259_x000a__x000a_Explanations: None of the informal sanctions were linked to trade war tensions. The tariffs, however, were explicitly acknowledged as retaliatory measures.263"/>
    <m/>
    <m/>
    <s v="Announcement"/>
    <s v="Announcement"/>
    <m/>
    <m/>
    <m/>
    <m/>
    <m/>
    <m/>
  </r>
  <r>
    <x v="42"/>
    <s v="Boycott calls against Canada Goose following Canada's arrest of Huawei CFO Meng Wanzhou"/>
    <x v="0"/>
    <s v="Geopolitical Dispute"/>
    <x v="4"/>
    <s v="Canada Goose shares have fallen for five days in a row after the outdoor apparel maker has become a target of Chinese consumers upset by the arrest of a high-ranking technology executive in Canada._x000a__x000a_The company has lost 20 per cent of its value since word emerged that Meng Wanzhou, the CFO of Chinese technology giant Huawei Inc. has been detained in Vancouver at the request of U.S. authorities._x000a__x000a_But that growth has seemingly hit at least a temporary rough patch this week as users on the Chinese social media website Weibo have proposed boycotting the company's products as payback for Meng's detention in Canada._x000a__x000a_The movement gained steam after Chinese state-run newspaper Global Times reported on the boycott proposal._x000a__x000a_&quot;They're governed by the state,&quot; retail consultant Bruce Winder of the Retail Adviser's Network said, &quot;and the state is going to use whatever it can from an [influence] standpoint to get its citizenry mobilized.&quot;_x000a_"/>
    <s v="Boycott Fomentation"/>
    <x v="0"/>
    <s v="N/A"/>
    <s v="N/A"/>
    <s v="Canada Goose"/>
    <s v="Canada (North America)"/>
    <s v="Consumer Goods"/>
    <m/>
    <s v="State support by Global Times. _x000a__x000a_No identified apology. "/>
    <m/>
    <m/>
    <s v="Reporting (CBC)"/>
    <m/>
    <m/>
    <m/>
    <m/>
    <m/>
    <m/>
    <m/>
  </r>
  <r>
    <x v="43"/>
    <s v="Boycott calls against McDonalds following advertisement including a student identification card listing Taiwan as a separate country "/>
    <x v="0"/>
    <s v="Foreign Support for Taiwan"/>
    <x v="4"/>
    <s v="McDonald’s China yesterday expressed regret over an advertisement posted on YouTube by McDonald’s Taiwan that sparked an outcry among Chinese netizens, who said the ad supported Taiwanese independence."/>
    <s v="Boycott Fomentation"/>
    <x v="0"/>
    <s v="N/A"/>
    <s v="N/A"/>
    <s v="McDonalds"/>
    <s v="United States (North America)"/>
    <s v="Food &amp; Beverage"/>
    <m/>
    <s v="No identified state support. _x000a__x000a_Apology issued. "/>
    <m/>
    <m/>
    <s v="Reporting (SCMP)"/>
    <s v="Reporting (Taipei Times)"/>
    <m/>
    <m/>
    <m/>
    <m/>
    <m/>
    <m/>
  </r>
  <r>
    <x v="44"/>
    <s v="Travel warning for Canada cautioning about risk of arbitrary detention, with a significant decrease in visa applications and travel numbers over the year, following the arrest of Huawei CFO Meng Wanzhou"/>
    <x v="0"/>
    <s v="Geopolitical Dispute"/>
    <x v="2"/>
    <s v="• Informal—Boycott fomentation [1]: Travel warning also issued for Canada in mid-January, with the Chinese foreign ministry cautioning travellers that they could be “arbitrarily detained at the request of a third nation” if they visit the country and “fully assess the risks”.289 Visa applications and travel numbers decreased significantly over the year.290"/>
    <s v="Boycott Fomentation"/>
    <x v="0"/>
    <s v="N/A"/>
    <s v="N/A"/>
    <s v="N/A"/>
    <s v="Canada (North America)"/>
    <s v="Hospitality &amp; Travel"/>
    <m/>
    <s v="Trigger: Arrest of the Huawei CFO Meng Wanzhou._x000a__x000a_Explanation(s):_x000a_• Canola: Foreign Ministry spokesperson Lu Kang claimed the suspension of the first company was “in accordance with laws and regulations and international practice” and due to the presence of “harmful organisms” and China’s need “to protect the health and safety of its own people”.291 Canadian foreign affairs minister Chrystia Freeland reported to have stated that officials in Ottawa “do not believe there’s any scientific basis” for the restrictions.292_x000a_• Meat shipments: China’s Ambassador to Canada, Lu Shaye, denied the inspections were retaliatory, noting “competent authorities take measures always according to (the) law and on (the) basis of (a) scientific approach”.293 MFA spokesperson Geng Shuang also denied it, noting “It is the responsibility of the Chinese government to ensure the safety of Chinese consumers and safeguard food safety in China. The relevant Chinese authorities are acting totally in accordance with law”.294_x000a_• Customs delays for other agricultural products: Foreign Ministry spokesperson Geng Shuang denied Canadian goods were being deliberately targeted, and emphasised that “All relevant measures taken by the Chinese Customs Administration are normal quarantine measures, and are compliant with relevant laws and regulations, as well as international practice”.295_x000a_Annotation(s): The travel warnings may have been a tit-for-tat, after the Canadian government issued their own travel warning cautioning travellers about the “risk of arbitrary enforcement of local laws” in China.296 Numerous reports link the travel warnings directly to political tensions.297"/>
    <m/>
    <m/>
    <s v="Victor's data"/>
    <m/>
    <m/>
    <m/>
    <m/>
    <m/>
    <m/>
    <m/>
  </r>
  <r>
    <x v="45"/>
    <s v="Ramped-up enforcement of labeling requirements for Taiwanese products, leading to the destruction of entire shipments over minor infractions, following Taiwan’s upcoming presidential elections and Tsai administration’s support for Hong Kong protesters"/>
    <x v="0"/>
    <s v="Actions of the Taiwanese Government; Hong Kong"/>
    <x v="1"/>
    <s v="• Informal—Conversion [1]:_x000a_o TBT: Ramped up enforcement of labelling requirements for Taiwanese products by GACC. Reports indicate_x000a_entire shipments of food products were destroyed because of minor infringements that had not caused issues in the past, such as labels reading “Taiwan, China” (中國台灣) instead of the requested “Taiwan Area, China” (中 國台灣地區).267"/>
    <s v="Conversion"/>
    <x v="0"/>
    <s v="N/A"/>
    <s v="N/A"/>
    <s v="N/A"/>
    <s v="Taiwan (Asia &amp; Oceania)"/>
    <s v="Food &amp; Beverage"/>
    <m/>
    <s v="Trigger: Upcoming presidential elections and Tsai administration’s support for Hong Kong protesters.264_x000a__x000a_Explanation: The stated reason for the suspension of individual tourist permits to Taiwan was the state of “current cross-strait relations” (China’s Ministry of Culture and Tourism).268 The following day, Taiwan Affairs Office spokesperson Ma Xiaoguang cited the DPP’s push for independence under Tsai as the issue in cross-strait relations.269"/>
    <m/>
    <m/>
    <s v="Victor's data"/>
    <m/>
    <m/>
    <m/>
    <m/>
    <m/>
    <m/>
    <m/>
  </r>
  <r>
    <x v="46"/>
    <s v="Boycott against Red Candle Games following reference to Xi Jinping as Winnie the Pooh in Devotion, a video game"/>
    <x v="0"/>
    <s v="Other"/>
    <x v="4"/>
    <s v="The new horror video game called “Devotion” created an uproar among Chinese netizens when a poster in the game was discovered to mock Chinese leader Xi Jinping, by referring to him as “Winnie the Pooh.”_x000a__x000a_In only a few short days, the game has been review bombed, boycotted, and finally removed from the Steam video game platform, due to efforts of enraged Chinese gamers, leading the game’s developer, Red Candle Games (赤燭), to issue a formal apology._x000a_"/>
    <s v="Boycott Fomentation"/>
    <x v="0"/>
    <s v="N/A"/>
    <s v="N/A"/>
    <s v="Red Candle Games"/>
    <s v="Taiwan (Asia &amp; Oceania)"/>
    <s v="Entertainment"/>
    <m/>
    <s v="Included as an entry because the state has long encouraged censorship of criticism against Xi._x000a__x000a_No identified state support. The company apologized."/>
    <m/>
    <m/>
    <s v="Reporting (Taiwan News)"/>
    <m/>
    <m/>
    <m/>
    <m/>
    <m/>
    <m/>
    <m/>
  </r>
  <r>
    <x v="47"/>
    <s v="Travel warning for Turkey by Chinese embassy in Ankara, cautioning Chinese nationals about personal safety, following Turkish criticism of China’s policies in Xinjiang"/>
    <x v="0"/>
    <s v="Xinjiang"/>
    <x v="2"/>
    <s v="Informal—Boycott fomentation [1]: On 12 February, the Chinese embassy in Ankara issued travel warning cautioning Chinese nationals to “be wary and pay attention to their personal safety” in Turkey.262 This was interpreted as retaliation.263"/>
    <s v="Boycott Fomentation"/>
    <x v="0"/>
    <s v="N/A"/>
    <s v="N/A"/>
    <s v="N/A"/>
    <s v="Turkey (Asia &amp; Oceania)"/>
    <s v="Hospitality &amp; Travel"/>
    <m/>
    <s v="Trigger: Turkish foreign ministry spokesperson, Hami Aksoy, criticised Chinese policies in Xinjiang – labelling the “systematic assimilation” of the Uighurs a “great shame for humanity” and calling for Beijing to close the camps.261_x000a__x000a_Explanation: None identified."/>
    <m/>
    <m/>
    <s v="Victor's data"/>
    <m/>
    <m/>
    <m/>
    <m/>
    <m/>
    <m/>
    <m/>
  </r>
  <r>
    <x v="48"/>
    <s v="State-media reports of decline in Chinese tourism to New Zealand and postponement of the launch of the 2019 China-New Zealand Year of Tourism, following New Zealand’s restrictions on Huawei"/>
    <x v="1"/>
    <s v="Geopolitical Dispute"/>
    <x v="2"/>
    <s v="New Zealand has become the latest target of a propaganda campaign in China’s state-run media, with the English language Global Times newspaper claiming that tourists are cancelling their holidays in retaliation for the country banning Huawei from being involved in the 5G rollout._x000a__x000a_In November national telecommunications company Spark was temporarily banned from using Huawei equipment in the rollout after New Zealand’s spy agency warned it would pose “significant national security risks”._x000a__x000a_A report in the English-language Global Times newspaper, a tabloid arm of the Communist party’s official newspaper group, quoted a Beijing resident identified as “Li”, saying that as a result he planned to cancel his holiday to the country and go elsewhere instead._x000a__x000a_“Is it a kind of robbery? New Zealand stabbed us in the back but asks for our money? This is double-faced,” the paper quoted him as saying._x000a__x000a_New Zealand Prime Minister Jacinda Ardern has denied any diplomatic rift with China despite the postponement of a joint tourism event and media reports that her planned visit to Beijing is in limbo._x000a__x000a_Simon Bridges, leader of the opposition National Party, asked Ardern in Parliament if five government ministers were still waiting for China to approve visits._x000a__x000a_New Zealand Prime Minister Jacinda Ardern has denied any diplomatic rift with China despite the postponement of a joint tourism event and media reports that her planned visit to Beijing is in limbo._x000a__x000a_The New Zealand Herald reported on Tuesday that the launch, at Wellington’s Te Papa museum, of the 2019 China-New Zealand Year of Tourism had been postponed after a “change of schedule” on the Chinese side."/>
    <s v="Bureaucratic Obstruction"/>
    <x v="0"/>
    <s v="N/A"/>
    <s v="N/A"/>
    <s v="N/A"/>
    <s v="New Zealand (Asia &amp; Oceania)"/>
    <s v="Hospitality &amp; Travel"/>
    <m/>
    <m/>
    <m/>
    <m/>
    <s v="Reporting (CNN)"/>
    <s v="Reporting (Guardian)"/>
    <s v="Reporting (New Zealand Herald)"/>
    <m/>
    <m/>
    <m/>
    <m/>
    <m/>
  </r>
  <r>
    <x v="49"/>
    <s v="Boycott calls against FedEx following suspected collusion with the US government to suppress shipping of Huawei products"/>
    <x v="1"/>
    <s v="Geopolitical Dispute"/>
    <x v="4"/>
    <s v="&quot;However, its short statement, without further explaining why misrouting parcels happened, failed to calm the widespread anger of Chinese netizens on the issue, particularly when many of them showed strong support for Huawei amid a US clampdown.&quot; (Global Times)"/>
    <s v="Boycott Fomentation"/>
    <x v="0"/>
    <s v="N/A"/>
    <s v="N/A"/>
    <s v="FedEx"/>
    <s v="United States (North America)"/>
    <s v="Other"/>
    <m/>
    <s v="State-support: Global Times Tweeted that FedEx was likely to be added to Chinas forthcoming unreliable entity list. The extent to which netizens were actually calling for a boycott is not documented beyond Global Times saying so. _x000a__x000a_No identified apology."/>
    <m/>
    <m/>
    <s v="Reporting (Reuters)"/>
    <s v="Boycott encouragement (Global Times)"/>
    <s v="Boycott encouragement (Global Times)"/>
    <m/>
    <m/>
    <m/>
    <m/>
    <m/>
  </r>
  <r>
    <x v="49"/>
    <s v="Revocation of permits, stricter inspections, and customs delays targeting Canadian agricultural exports, following the arrest of Huawei CFO Meng Wanzhou"/>
    <x v="0"/>
    <s v="Geopolitical Dispute"/>
    <x v="1"/>
    <s v="• Informal—Conversion [3]:_x000a_o SPS: Beginning in March, permits of Canadian Canola exporters revoked due to alleged presence of “harmful_x000a_organisms”.278 In late March the Canola Council of Canada announced that Chinese buyers had ceased purchasing canola from all Canadian processors.279_x000a_§ NB: China challenged these restrictions on canola within the WTO dispute settlement system.280 The dispute was suspended in 2022 when China announced it would remove the restrictions.281_x000a_o TBT/SPS: Citing labelling issues, Chinese authorities suspended the export permits of a number of Canadian pork facilities. 282 Later, in June 2019, Chinese authorities blocked all Canadian meat shipments due to the alleged discovery of forged veterinary health certificates.283_x000a_• Informal—Bureaucratic obstruction [4]: In March it was reported that Canadian agricultural products would be targeted for stricter inspection and face delays at Chinese customs.284 Products reported to be affected included:_x000a_o Canola.285_x000a_o Soybeans.286_x000a_o Peas.287_x000a_o Pork shipments, with Reuters reporting that the Canadian Embassy in Beijing was told that all containers of_x000a_Canadian meat and meat products would be opened and “in some cases 100% of the contents would be inspected”.288"/>
    <s v="Bureaucratic Obstruction; Conversion"/>
    <x v="0"/>
    <s v="N/A"/>
    <s v="N/A"/>
    <s v="N/A"/>
    <s v="Canada (North America)"/>
    <s v="Agriculture; Food &amp; Beverage"/>
    <s v="Canola, soybeans, peas, pork"/>
    <s v="Trigger: Arrest of the Huawei CFO Meng Wanzhou._x000a__x000a_Explanation(s):_x000a_• Canola: Foreign Ministry spokesperson Lu Kang claimed the suspension of the first company was “in accordance with laws and regulations and international practice” and due to the presence of “harmful organisms” and China’s need “to protect the health and safety of its own people”.291 Canadian foreign affairs minister Chrystia Freeland reported to have stated that officials in Ottawa “do not believe there’s any scientific basis” for the restrictions.292_x000a_• Meat shipments: China’s Ambassador to Canada, Lu Shaye, denied the inspections were retaliatory, noting “competent authorities take measures always according to (the) law and on (the) basis of (a) scientific approach”.293 MFA spokesperson Geng Shuang also denied it, noting “It is the responsibility of the Chinese government to ensure the safety of Chinese consumers and safeguard food safety in China. The relevant Chinese authorities are acting totally in accordance with law”.294_x000a_• Customs delays for other agricultural products: Foreign Ministry spokesperson Geng Shuang denied Canadian goods were being deliberately targeted, and emphasised that “All relevant measures taken by the Chinese Customs Administration are normal quarantine measures, and are compliant with relevant laws and regulations, as well as international practice”.295_x000a_Annotation(s): The travel warnings may have been a tit-for-tat, after the Canadian government issued their own travel warning cautioning travellers about the “risk of arbitrary enforcement of local laws” in China.296 Numerous reports link the travel warnings directly to political tensions.297"/>
    <m/>
    <m/>
    <s v="Victor's data"/>
    <m/>
    <m/>
    <m/>
    <m/>
    <m/>
    <m/>
    <m/>
  </r>
  <r>
    <x v="50"/>
    <s v="Boycott calls against MAC Cosmetics following email that failed to include Taiwan in a map of China"/>
    <x v="0"/>
    <s v="Foreign Support for Taiwan"/>
    <x v="4"/>
    <s v="The company drew the ire of Chinese customers after a marketing email sent by the magazine Women's day to its U.S. customers did not include Taiwan in its map of China. The ad, which went with the tagline &quot;Girl Power,&quot; showed several countries with different varieties of its makeup._x000a__x000a_However, copies of the ad somehow found their way to social media in China, where netizens quickly panicked over the lack of Taiwan on the makeup map of the communist country._x000a__x000a_Chinese netizens on China's tightly controlled social media platforms complained that MAC Cosmetics had shown no respect for China's so-called 'one China' principle and dreams of 'reunification' with Taiwan. &quot;I'm Chinese first, then a consumer. Only if you respect the market can the market support you back,&quot; wrote one netizen reported Asia &amp; Oceania Times."/>
    <s v="Boycott Fomentation"/>
    <x v="0"/>
    <s v="N/A"/>
    <s v="N/A"/>
    <s v="MAC Cosmetics"/>
    <s v="United States (North America)"/>
    <s v="Consumer Goods"/>
    <m/>
    <s v="No identified state support._x000a__x000a_Apology: MAC said it respected and supported the “One China policy” and corrected the email."/>
    <m/>
    <m/>
    <s v="Reporting (Taiwan News)"/>
    <m/>
    <m/>
    <m/>
    <m/>
    <m/>
    <m/>
    <m/>
  </r>
  <r>
    <x v="51"/>
    <s v="Delays in customs clearance for Australian coal, with processing times doubling at some locations and selective targeting of Australian shipments, following deterioration of relations and Australian Defence Minister’s comments on Chinese conduct in the South China Sea "/>
    <x v="0"/>
    <s v="Territorial Dispute"/>
    <x v="1"/>
    <s v="• Informal—Bureaucratic obstruction [1]: Early February, reports that customs clearance times for Australian coking coal doubled to approximately 40 days (and sometimes as long as three months) at major Chinese ports – initially in Liaoning province, but later spreading to southern ports.271 A variety of industry sources claimed that only Australian coal (both thermal and coking) was being targeted for lengthier than usual inspections.272 Later reports indicated that Chinese traders were avoiding ordering Australian coal due to concerns about long wait times at customs.273"/>
    <s v="Bureaucratic Obstruction"/>
    <x v="0"/>
    <s v="N/A"/>
    <s v="N/A"/>
    <s v="N/A"/>
    <s v="Australia (Asia &amp; Oceania)"/>
    <s v="Raw Materials"/>
    <s v="Coal"/>
    <s v="Trigger: Occurred in context of gradual deterioration of bilateral relations (following August 2018 ban on Huawei/ZTE participating in Australia’s 5G network), but specific trigger reported to be comments made by the Australian Defence Minister during a speech made in Singapore in January regarding Chinese conduct in the South China Sea – including calling for China “to act with great responsibility”. 270_x000a__x000a_Explanation: Chinese Foreign Ministry spokesperson Geng Shuang claimed the inspections were necessary due to quality issues with Australian coal, noting authorities had “encountered many cases of substandard coals coming in during risk monitoring and analysis on the safety of imported coals ... Therefore, in accordance with relevant laws and regulations, we have strengthened testing and inspection on imported coals on whether their quality is safe enough and up to environmental standards ... The purpose is to better protect the lawful rights and interests of Chinese enterprises and consumers on the receiving end of these imported coals and to protect China’s ecological environment.”274_x000a_• Reports indicate at least one shipment of Australian coal was flagged for having high levels of fluorine (although this was said to be “because of the high level of fluoride in the water in China, which had been used to wash down the coal when it arrived”).275_x000a_• Some comments from actors within China suggest a link between political tensions and trade issues. Cui Pijiang, the director of the China Coking Industry Association, was quoted as saying: &quot;You can't earn Chinese money and then politically make irresponsible comments about China and become unfriendly&quot; during at a conference in Beijing.276_x000a_Annotation(s): Case for retaliation typically made based on timing (relative to political tensions) and the fact that non-Australian coal (particularly from Russia and Indonesia) was not disrupted.277"/>
    <m/>
    <m/>
    <s v="Victor's data"/>
    <m/>
    <m/>
    <m/>
    <m/>
    <m/>
    <m/>
    <m/>
  </r>
  <r>
    <x v="52"/>
    <s v="Boycott calls against Leica following promotional video featuring famous Tiananmen square photo"/>
    <x v="0"/>
    <s v="Other Human Rights Criticism"/>
    <x v="4"/>
    <s v="A promotional video for camera company Leica has sparked backlash in China for featuring a famous Tiananmen Square image._x000a__x000a_The video depicts photographers working in conflicts around the world, including a photographer covering the 1989 protests._x000a__x000a_People on Chinese social media site Weibo have called for a boycott of the camera brand._x000a__x000a_Leica has distanced itself from the video."/>
    <s v="Boycott Fomentation"/>
    <x v="0"/>
    <s v="N/A"/>
    <s v="N/A"/>
    <s v="Leica"/>
    <s v="Germany (Europe)"/>
    <s v="Other Electronics; Consumer Goods"/>
    <m/>
    <s v="No identified state support._x000a__x000a_Apology: A Leica spokesperson said the film was not an officially sanctioned marketing film and added that the company “regrets any misunderstanding of false conclusions that may have been drawn”."/>
    <m/>
    <m/>
    <s v="Reporting (BBC)"/>
    <m/>
    <m/>
    <m/>
    <m/>
    <m/>
    <m/>
    <m/>
  </r>
  <r>
    <x v="53"/>
    <s v="June–July boycott movement against companies criticised for showing support for the pro-democracy protests in Hong Kong"/>
    <x v="0"/>
    <s v="Hong Kong"/>
    <x v="4"/>
    <s v="Multiple companies faced criticism and boycotts from Chinese citizens during the peak of the pro-democracy protests in Hong Kong in mid to late 2019. _x000a__x000a_Lancome announced the concert last week and Ms Ho said on her Facebook page that she would be performing. Lancome cancelled the event citing &quot;possible safety reasons&quot; without clarifying if she was set to perform. Then on Saturday, Beijing newspaper Global Times questioned her appearance, calling her a supporter of Hong Kong independence in a post on micro-blogging site Weibo._x000a__x000a_Chinese retailers halted sales of the trainers designed by Undercover, the studio of Japanese designer Jun Takahashi, after it posted a picture of protesters with the slogan “no extradition to China” — in reference to Hong Kong’s proposed extradition bill — on its Instagram account this month._x000a__x000a_The receipt, dated June 16, started making its rounds on Chinese social media on August 6. Many take it as a sign that CoCo supports Hong Kong’s pro-democracy movement. CoCo also triggered controversy for supposedly listing ‘Taiwan’ as a country in its website’s list of countries where the brand operates, separate from ‘China’. Some netizens are now vowing to boycott the brand for allegedly supporting both Hong Kong protesters and Taiwan independence."/>
    <s v="Boycott Fomentation"/>
    <x v="0"/>
    <s v="N/A"/>
    <s v="N/A"/>
    <s v="Lancôme; Undercover; CoCo; Tempo; Pocari Sweat; "/>
    <s v="France (Europe); Japan (Asia &amp; Oceania); Taiwan (Asia &amp; Oceania); Germany (Europe)"/>
    <s v="Consumer Goods; Food &amp; Beverage"/>
    <m/>
    <s v="Anti-Hong Kong protests divided up in two sanctions. One from June–July (see entry 2019-06-01), one from August–October (see entry 2019-08-01)._x000a__x000a_Some of them were encouraged by the state, others weren't._x000a__x000a_Some companies apologized, others didn't."/>
    <m/>
    <m/>
    <s v="Lancome Reporting (BBC)"/>
    <s v="Undercover Reporting (FT)"/>
    <s v="Pocari Sweat, Yoshinoya, Pizza Hut, Tempo Reporting (SCMP)"/>
    <s v="CoCo Reporting (Weibo)"/>
    <m/>
    <m/>
    <m/>
    <m/>
  </r>
  <r>
    <x v="53"/>
    <s v="Travel warnings cautioning against safety risks of traveling to the U.S., citing law enforcement agencies harassment of Chinese citizens, following U.S. imposition of unilateral tariffs and subsequent tit-for-tat retaliations"/>
    <x v="1"/>
    <s v="Economic Dispute"/>
    <x v="2"/>
    <s v="Travel warning: Several warnings cautioning against safety risks of travelling to the US were issued in early June_x000a_2019.255 Foreign Ministry spokesman Geng Shuang: &quot;For some time, US law enforcement agencies have been harassing Chinese citizens with interrogation upon entry or exit, and on-site interviews, among other forms... Therefore the Ministry of Culture and Tourism issued the tourism reminder, and the Ministry of Foreign Affairs and the Chinese Embassy and consulates in the US decided to issue the safety reminder to raise safety awareness.”256"/>
    <s v="Boycott Fomentation"/>
    <x v="0"/>
    <s v="N/A"/>
    <s v="N/A"/>
    <s v="N/A"/>
    <s v="United States (North America)"/>
    <s v="Hospitality &amp; Travel"/>
    <m/>
    <s v="Trigger: US imposition of unilateral tariffs (2018) and subsequent tit-for-tat retaliations.242_x000a__x000a_Explanations: None of the informal sanctions were linked to trade war tensions. The tariffs, however, were explicitly acknowledged as retaliatory measures.260"/>
    <m/>
    <m/>
    <s v="Victor's data"/>
    <m/>
    <m/>
    <m/>
    <m/>
    <m/>
    <m/>
    <m/>
  </r>
  <r>
    <x v="54"/>
    <s v="Suspension of program allowing solo travelers from 47 Chinese cities to visit Taiwan, restricting travel to group tours, following Taiwan’s upcoming presidential elections and Tsai administration’s support for Hong Kong protesters"/>
    <x v="0"/>
    <s v="Actions of the Taiwanese Government; Hong Kong"/>
    <x v="2"/>
    <s v="o Suspension of domestic program that had allowed solo (free independent) travellers from 47 Chinese cities to travel to Taiwan since 2011. The effect of this was that Chinese nationals could only travel to Taiwan as part of group tours,265 and it prompted a significant drop in total outbound tourism.266"/>
    <s v="Boycott Fomentation"/>
    <x v="0"/>
    <s v="N/A"/>
    <s v="N/A"/>
    <s v="N/A"/>
    <s v="Taiwan (Asia &amp; Oceania)"/>
    <s v="Hospitality &amp; Travel"/>
    <m/>
    <s v="Trigger: Upcoming presidential elections and Tsai administration’s support for Hong Kong protesters.264_x000a__x000a_Explanation: The stated reason for the suspension of individual tourist permits to Taiwan was the state of “current cross-strait relations” (China’s Ministry of Culture and Tourism).268 The following day, Taiwan Affairs Office spokesperson Ma Xiaoguang cited the DPP’s push for independence under Tsai as the issue in cross-strait relations.269"/>
    <m/>
    <m/>
    <s v="Victor's data"/>
    <m/>
    <m/>
    <m/>
    <m/>
    <m/>
    <m/>
    <m/>
  </r>
  <r>
    <x v="55"/>
    <s v="August–October boycott movement against companies criticised for showing support for the pro-democracy protests in Hong Kong"/>
    <x v="0"/>
    <s v="Hong Kong"/>
    <x v="4"/>
    <s v="Multiple companies faced criticism and boycotts from Chinese citizens during the peak of the pro-democracy protests in Hong Kong in mid to late 2019. _x000a__x000a_Amazon: Chinese social media users directed their fury at online marketplace Amazon.com on Thursday, after discovering T-shirts on its website sporting slogans that support anti-government protesters in Hong Kong. The hashtag &quot;Amazon T-Shirts&quot; became the fourth-top trending topic on China's Twitter-like Weibo on Wednesday in the latest backlash for an overseas company that broached matters regarding Hong Kong's territorial status._x000a__x000a_BNP Paribas: Internet users in China are calling for a boycott of French bank BNP Paribas after discovering that one of its employees in Hong Kong apparently supports the city’s anti-government protesters, and noticing that the company refers to Hong Kong and Taiwan as locations on its website. Since last week, China’s Twitter-like service Weibo has been flooded with accusations that the unidentified worker posted messages on Facebook calling for independence for Hong Kong. Many said the bank should take action against the person._x000a__x000a_Zara: Spanish retailer Zara has found itself embroiled in controversy in China after some of its stores were closed on a day Hong Kong was expected to see widespread strike action. Thousands of Chinese social media are calling for a boycott, accusing the retailer of supporting employees wanting to join the strike._x000a__x000a_Tiffany: Tiffany &amp; Co. have removed a tweet showing a woman covering one eye after Chinese consumers accused the jeweller of supporting the Hong Kong protesters. The photo posted on Monday showed Chinese model Sun Feifei wearing a Tiffany ring on her right hand as she covers her right eye. Angry Chinese buyers believed it was a deliberate echo of the pose adopted by Hong Kong's pro-democracy demonstrators to denounce police violence in the semi-autonomous city after protesters were struck in the eye."/>
    <s v="Boycott Fomentation"/>
    <x v="0"/>
    <s v="N/A"/>
    <s v="N/A"/>
    <s v="Amazon; BNP Paribas; Zara; Tiffany &amp; Co."/>
    <s v="United States (North America); France (Europe); Spain (Europe)"/>
    <s v="Consumer Goods; Finance"/>
    <m/>
    <s v="Anti-Hong Kong protests divided up in two sanctions. One from June–July (see entry 2019-06-01), one from August–October (see entry 2019-08-01)._x000a__x000a_Some of them were encouraged by the state, others weren't._x000a__x000a_Some companies apologized, others didn't."/>
    <m/>
    <m/>
    <s v="Amazon Reporting (Reuters)"/>
    <s v="BNP Paribas (SCMP)"/>
    <s v="Tiffany Reporting (Daily Mail)"/>
    <s v="Zara Reporting (BBC)"/>
    <m/>
    <m/>
    <m/>
    <m/>
  </r>
  <r>
    <x v="55"/>
    <s v="August boycott movement against brands criticised for listing Taiwan and/or Hong Kong as separate from China on T-shirts and/or company websites"/>
    <x v="0"/>
    <s v="Foreign Support for Taiwan; Hong Kong"/>
    <x v="4"/>
    <s v="Multiple brands faced criticism and boycotts from Chinese citizens for showing Taiwan and/or Hong Kong as separate from China"/>
    <s v="Boycott Fomentation"/>
    <x v="0"/>
    <s v="N/A"/>
    <s v="N/A"/>
    <s v="Coach; Calvin Klein; Samsung; Asics; Givenchy; Swarovski; Versace; Fresh; Valentino"/>
    <s v="United States (North America); South Korea (Asia &amp; Oceania); Japan (Asia &amp; Oceania); France (Europe); Austria (Europe); Italy (Europe); Switzerland (Europe)"/>
    <s v="Consumer Goods; Other Electronics; Hospitality &amp; Travel"/>
    <m/>
    <s v="Many companies apologized. State support was visible in a People’'s Daily article saying Western brands should “learn from their mistakes” and cannot disregard the “One China principle&quot;"/>
    <m/>
    <m/>
    <s v="Reporting on boycott movement (BBC)"/>
    <s v="Reporting Coach, Givenchy (Reuters)"/>
    <s v="Valentino apology (WEIBO)"/>
    <s v="Global Blue Reporting (Global Times)"/>
    <m/>
    <m/>
    <m/>
    <m/>
  </r>
  <r>
    <x v="55"/>
    <s v="Boycotts against Taiwanese bubble tea brands criticised for supporting Hong Kong"/>
    <x v="0"/>
    <s v="Foreign Support for Taiwan"/>
    <x v="4"/>
    <s v="Internet users on the Chinese mainland have blacklisted popular bubble tea brands from Taiwan after a Hong Kong franchise urged solidarity with street protesters in the Asia &amp; Oceanian financial hub._x000a__x000a_The online furore began when Yifang Fruit Tea, a maker of the tea-based drink, closed one of its Hong Kong shops for a day and put up a sign that said in Chinese: &quot;Stand together with Hong Kongers&quot;._x000a__x000a_Yifang and the others were blacklisted by users of China's microblog Weibo. A white list promoted &quot;good&quot; brands."/>
    <s v="Boycott Fomentation"/>
    <x v="0"/>
    <s v="N/A"/>
    <s v="N/A"/>
    <s v="Yifang Fruit Tea; Gong Cha; HeyTea; CoCo; A Little Tea"/>
    <s v="Taiwan (Asia &amp; Oceania)"/>
    <s v="Food &amp; Beverage"/>
    <m/>
    <s v="CoCo and Yifang apologized. _x000a__x000a_No state support identified"/>
    <m/>
    <m/>
    <s v="Reporting (Reuters)"/>
    <s v="Reporting (Whats on Weibo)"/>
    <m/>
    <m/>
    <m/>
    <m/>
    <m/>
    <m/>
  </r>
  <r>
    <x v="56"/>
    <s v="Fifth of five rounds of retaliatory tariffs on approximately $75 billion worth of U.S. products, with 5-10% tariffs implemented in two phases (September 1, 2019, and December 15, 2019), along with the reinstatement of a 25% tariff on U.S. automobiles, following a new U.S. tariff plan"/>
    <x v="1"/>
    <s v="Economic Dispute"/>
    <x v="1"/>
    <s v="o After the implementation of US tariffs, China imposed five rounds of retaliatory tariffs (under Article 14 of the_x000a_Regulations of the People’s Republic of China on Import and Export Duties) between July 2018 and January 2020, ranging from 10-25%, and affecting $185 billion of US trade from a broad range of sectors, including agricultural, pharmaceuticals and consumer goods.257 I code these as a type of sanction because they were imposed not merely for reasons of political economy, but to generate coercive leverage.258 They were implemented in accordance with the Foreign Trade Law of the People's Republic of China.259"/>
    <s v="Formal"/>
    <x v="1"/>
    <s v="Foreign Trade Law;_x000a_Regulations of the People’s Republic of China on Import and Export Duties (Article 14)"/>
    <s v="N/A"/>
    <s v="N/A"/>
    <s v="United States (North America)"/>
    <s v="Transportation"/>
    <m/>
    <s v="Trigger: US imposition of unilateral tariffs (2018) and subsequent tit-for-tat retaliations.242_x000a__x000a_After the implementation of US tariffs, China imposed five rounds of retaliatory tariffs (under Article 14 of the_x000a_Regulations of the People’s Republic of China on Import and Export Duties) between July 2018 and January 2020, ranging from 10-25%, and affecting $185 billion of US trade from a broad range of sectors, including agricultural, pharmaceuticals and consumer goods.257 I code these as a type of sanction because they were imposed not merely for reasons of political economy, but to generate coercive leverage.258 They were implemented in accordance with the Foreign Trade Law of the People's Republic of China.259_x000a__x000a_Explanations: None of the informal sanctions were linked to trade war tensions. The tariffs, however, were explicitly acknowledged as retaliatory measures.264"/>
    <m/>
    <m/>
    <s v="Announcement"/>
    <s v="List"/>
    <s v="List"/>
    <m/>
    <m/>
    <m/>
    <m/>
    <m/>
  </r>
  <r>
    <x v="57"/>
    <s v="Boycott calls against FedEx following accusations of shipment of controlled knives to Hong Kong"/>
    <x v="0"/>
    <s v="Hong Kong"/>
    <x v="4"/>
    <s v="FedEx has vowed to handle a problematic shipment correctly, after it allegedly violated Chinese postal delivery rules, but the US delivery firm has sparked outrage across the internet, as many web users urged an explicit explanation and strict rectification. (NB: Global Times)_x000a__x000a_FedEx allegedly handled a package bound for Hong Kong that contained controlled knives, the Xinhua News Agency reported on Tuesday. It once again allegedly violated Chinese law, at a time when it is still under formal investigation for a gun delivery in China and for &quot;misrouting&quot; shipments intended for Huawei. (NB: Global Times)_x000a__x000a_The company's latest alleged violation of the law comes at a sensitive time, when Hong Kong has been disrupted by radical rioters for over two months. This has led to a harsh backlash and criticism of FedEx. (NB: Global Times)"/>
    <s v="Boycott Fomentation"/>
    <x v="0"/>
    <s v="N/A"/>
    <s v="N/A"/>
    <s v="FedEx"/>
    <s v="United States (North America)"/>
    <s v="Transportation"/>
    <m/>
    <s v="State encouragement from Global Times. _x000a__x000a_No identified apology."/>
    <m/>
    <m/>
    <s v="Reporting (Global Times)"/>
    <s v="Reporting (SCMP)"/>
    <m/>
    <m/>
    <m/>
    <m/>
    <m/>
    <m/>
  </r>
  <r>
    <x v="58"/>
    <s v="Boycott against NBA and Houston Rockets following Daryl Morey's tweet in support for protesters in Hong Kong"/>
    <x v="0"/>
    <s v="Hong Kong"/>
    <x v="4"/>
    <s v="On October 4, Daryl Morey, the general manager of the Houston Rockets, tweeted out an image which voiced support for protests in Hong Kong. In the days following, Chinese leagues, streaming services, sponsors, and partners, have cut ties with the Rockets and the NBA. "/>
    <s v="Boycott Fomentation"/>
    <x v="0"/>
    <s v="N/A"/>
    <s v="N/A"/>
    <s v="National Basketball Association (NBA); Houston Rockets"/>
    <s v="United States (North America)"/>
    <s v="Entertainment"/>
    <m/>
    <s v="State support: The Chinese Basketball Association decided to suspend exchanges and cooperation’s with the team. The state broadcaster, CCTV announced they would stop broadcasting Houston Rockets games. _x000a__x000a_Apology: NBA issued an apology on Chinese social media: “We are extremely disappointed in the inappropriate remarks of Houston Rockets General Manager Daryl Morey. He has undoubtedly severely hurt the feelings of Chinese fans”._x000a__x000a_"/>
    <m/>
    <m/>
    <s v="Reporting (Business Insider)"/>
    <m/>
    <m/>
    <m/>
    <m/>
    <m/>
    <m/>
    <m/>
  </r>
  <r>
    <x v="59"/>
    <s v="Boycott calls against Apple following United States restrictions on Huawei"/>
    <x v="1"/>
    <s v="Geopolitical Dispute"/>
    <x v="4"/>
    <s v="People in China are calling for a boycott of Apple products after tensions between China and the US reached new heights following fresh restrictions targeting Chinese telecom giant Huawei._x000a__x000a_Declaring a national emergency, President Donald Trump signed an executive order Wednesday that banned US telecom companies from installing foreign equipment that poses a national security threat. A separate order bans Huawei from buying US technology without government approval._x000a__x000a_On Weibo, China’s version of Twitter, users reacted to US pressure on Huawei by rejecting Apple products. “The functions in Huawei are comparable to Apple iPhones or even better. We have such a good smartphone alternative, why are we still using Apple?” commented one user."/>
    <s v="Boycott Fomentation"/>
    <x v="0"/>
    <s v="N/A"/>
    <s v="N/A"/>
    <s v="Apple"/>
    <s v="United States (North America)"/>
    <s v="Other Electronics"/>
    <m/>
    <s v="No identified state support or apology. "/>
    <m/>
    <m/>
    <s v="Reporting (BuzzFeed)"/>
    <m/>
    <m/>
    <m/>
    <m/>
    <m/>
    <m/>
    <m/>
  </r>
  <r>
    <x v="60"/>
    <s v="Boycott calls against Dior following the use of a map of China excluding Taiwan"/>
    <x v="0"/>
    <s v="Foreign Support for Taiwan"/>
    <x v="4"/>
    <s v="The French luxury brand was criticised on Chinese social media after an employee reportedly used a China map in a presentation that excluded Taiwan. Dior apologised for the &quot;mistake in representation&quot; made by an employee._x000a__x000a_The row broke out after a video was posted online anonymously claiming to show a Dior employee giving a talk at a university in China and showing the map._x000a__x000a_It sparked a huge reaction on social media, as people complained that Dior was not respecting Chinese territorial claims."/>
    <s v="Boycott Fomentation"/>
    <x v="0"/>
    <s v="N/A"/>
    <s v="N/A"/>
    <s v="Dior"/>
    <s v="France (Europe)"/>
    <s v="Consumer Goods"/>
    <m/>
    <s v="Apology issued. State encouragement of this type of boycott was seen during August movements. "/>
    <m/>
    <m/>
    <s v="Reporting (BBC)"/>
    <m/>
    <m/>
    <m/>
    <m/>
    <m/>
    <m/>
    <m/>
  </r>
  <r>
    <x v="61"/>
    <s v="Restrictions on Swedish movies in China and cancellation of business trips as well as the China-Sweden Joint Committee on Economic, Industrial, and Technical Cooperation, following Swedish culture minister awarding Gui Minhai the Tucholsky Prize"/>
    <x v="0"/>
    <s v="Other Human Rights Criticism"/>
    <x v="3"/>
    <s v="(NB: Global Times) The ambassador said that the Chinese side has canceled the meeting of the China-Sweden Joint Committee on Economic, Industrial, and Technical Cooperation, scheduled to be held in Stockholm on December 10, because of the gross interference of the Swedish side in China's internal affairs. Chinese business delegations also canceled their plans to visit Sweden recently._x000a__x000a_The day after the ceremony, the embassy made a new statement on its website, referring to the ceremony as a serious mistake that will create serious difficulties for normal friendly exchanges and cooperation between China and Sweden. But for a couple of weeks nothing seemed to happen, apart from a couple of Swedish movies being banned from screening in China._x000a__x000a_Then on December 4, during a seminar in Gothenburg on Sweden-China relations arranged by The Society of International Affairs, Gui Congyou said that no one can harm China’s interests and at the same time reap economic benefits in the country. Aside from cultural exchanges, economic and trade relations will now also be affected, Gui emphasized to an audience of some 50 students at Gothenburg University."/>
    <s v="Bureaucratic Obstruction"/>
    <x v="0"/>
    <s v="N/A"/>
    <s v="N/A"/>
    <s v="N/A"/>
    <s v="Sweden (Europe)"/>
    <s v="Entertainment"/>
    <m/>
    <s v="Difficult to code &quot;form of restriction&quot; for cancellation of business trips. I coded this as &quot;obstruction of foreign business&quot; due to the restrictions on movies."/>
    <m/>
    <m/>
    <s v="Restrictions specifications (Global Times)"/>
    <s v="Reporting (Diplomat)"/>
    <s v="Reporting (Epoch Times)"/>
    <m/>
    <m/>
    <m/>
    <m/>
    <m/>
  </r>
  <r>
    <x v="62"/>
    <s v="Sanctions on NGOs and suspension of U.S. warships and aircraft rest and recuperation stays in Hong Kong, in response to the US 'Hong Kong Human Rights and Democracy Act' which authorizes sanctions on officials responsible for human rights abuses"/>
    <x v="1"/>
    <s v="Hong Kong"/>
    <x v="5"/>
    <s v="the Chinese government has decided to suspend the approval of applications for US warships and aircraft to go to Hong Kong for rest and recuperation from today, and at the same time impose sanctions on non-governmental organizations such as the &quot;National Endowment for Democracy&quot;, &quot;National Democratic Institute for International Affairs&quot;, &quot;International Republican Institute&quot;, &quot;Human Rights Watch&quot; and &quot;Freedom House&quot; that have performed badly in the Hong Kong amendment storm."/>
    <s v="Formal"/>
    <x v="1"/>
    <s v="N/A"/>
    <s v="N/A"/>
    <s v="National Endowment for Democracy; National Democratic Institute for International Affairs; International Republican Institute; Human Rights Watch; Freedom House"/>
    <s v="United States (North America)"/>
    <s v="Academia &amp; Civil Society"/>
    <s v="N/A"/>
    <m/>
    <s v="日前，美方不顾中方坚决反对，执意将所谓“香港人权与民主法案”签署成法，这严重违反国际法和国际关系基本准则，严重干涉中国内政，中方已就此表明坚决态度。针对美方无理行为，中国政府决定自即日起暂停审批美军舰机赴港休整的申请，同时对“美国国家民主基金会”、“美国国际事务民主协会”、“美国国际共和研究所”、“人权观察”、“自由之家”等在香港修例风波中表现恶劣的非政府组织实施制裁。中方敦促美方纠正错误，停止任何插手香港事务、干涉中国内政的言行，中方将根据形势发展采取进一步必要行动，坚定捍卫香港稳定繁荣，坚定捍卫中国主权、安全、发展利益。_x000a__x000a_　　问：中方为何对美国有关非政府组织实施制裁？_x000a__x000a_　　答：大量事实和证据表明，有关非政府组织通过各种方式支持反中乱港分子，极力教唆他们从事极端暴力犯罪行为，煽动“港独”分裂活动，对当前香港乱局负有重大责任。这些组织理应受到制裁，必须付出应有代价。_x000a__x000a_　　问：今天你宣布中方将对美国有关非政府组织实施制裁。能否提供更多细节？_x000a__x000a_　　答：我刚才已经说了，中国政府决定自即日起暂停审批美军舰机赴港休整的申请，同时对我刚才列名的“美国国家民主基金会”等在香港修例风波中表现恶劣的非政府组织实施制裁。_x000a__x000a_　　理由非常简单，已经有大量事实和证据表明，这些非政府组织通过各种方式支持反中乱港分子，极力教唆他们从事极端暴力犯罪行为，煽动“港独”分裂活动，对当前香港乱局负有重大责任。这些组织理应受到制裁，必须付出应有代价。这也是中方维护国家主权、安全、发展利益的应有之举。"/>
    <m/>
    <s v="Full Text Chinese (MFA)"/>
    <m/>
    <m/>
    <m/>
    <m/>
    <m/>
    <m/>
    <m/>
  </r>
  <r>
    <x v="63"/>
    <s v="Boycott calls against Arsenal following player Mesut Ozil expressing support for Uighurs in Xinjiang "/>
    <x v="0"/>
    <s v="Xinjiang"/>
    <x v="4"/>
    <s v="Chinese state broadcaster CCTV has pulled a game between Arsenal and Manchester City from its programme after Gunners midfielder Mesut Ozil expressed support for Uighurs in Xinjiang._x000a__x000a_Ozil’s comments drew anger online, with some users on Weibo calling for a ban on his games._x000a__x000a_Nationalist tabloid Global Times called Ozil’s comments “false” and said in a tweet on Sunday that he had “disappointed Chinese fans and football governing authorities”._x000a__x000a_Arsenal is the latest foreign team to face the ire of Chinese broadcasters and audiences due to a player’s political stance."/>
    <s v="Boycott Fomentation"/>
    <x v="0"/>
    <s v="N/A"/>
    <s v="N/A"/>
    <s v="Arsenal"/>
    <s v="United Kingdom (Europe)"/>
    <s v="Entertainment"/>
    <m/>
    <s v="State support: Chinese state broadcaster CCTV cancelled a game between Arsenal and Manchester City from its program; Nationalist tabloid Global Times called Ozil’s comments “false” and said in a tweet on Sunday that he had “disappointed Chinese fans and football governing authorities”._x000a__x000a_No identified apology"/>
    <m/>
    <m/>
    <s v="Reporting (Al Jazeera)"/>
    <m/>
    <m/>
    <m/>
    <m/>
    <m/>
    <m/>
    <m/>
  </r>
  <r>
    <x v="64"/>
    <s v="Cessation of Licenses to Export Graphite to Sweden"/>
    <x v="0"/>
    <s v="Economic Dispute"/>
    <x v="0"/>
    <s v="Undefined"/>
    <s v="Bureaucratic Obstruction"/>
    <x v="0"/>
    <s v="N/A"/>
    <s v="N/A"/>
    <s v="N/A"/>
    <s v="Sweden (Europe)"/>
    <s v="Raw Materials"/>
    <s v="Graphite"/>
    <s v="The process of granting export licenses presumably has a legal basis. However, this has not been publicly disclosed."/>
    <s v="N/A"/>
    <s v="N/A"/>
    <s v="European Commission"/>
    <s v="Investigation by Swedish Public Radio"/>
    <m/>
    <m/>
    <m/>
    <m/>
    <m/>
    <m/>
  </r>
  <r>
    <x v="65"/>
    <s v="Boycott movement against companies associated with messages that the coronavirus originated in China"/>
    <x v="0"/>
    <s v="Other"/>
    <x v="4"/>
    <s v="Several companies were targeted with criticism following being associated with views that the coronavirus originated in China"/>
    <s v="Boycott Fomentation"/>
    <x v="0"/>
    <s v="N/A"/>
    <s v="N/A"/>
    <s v="Amazon; Deutz; Burger King; Bottega Spa"/>
    <s v="United States (North America); France (Europe); Italy (Europe)"/>
    <s v="Consumer Goods; Food &amp; Beverage"/>
    <m/>
    <s v="State support by Global Times asking for an apology from Amazon_x000a__x000a_Some companies like Bottega Spa apologized"/>
    <m/>
    <m/>
    <s v="Reporting (Global Times)"/>
    <s v="Deutz Reporting "/>
    <s v="Bottega Spa Reporting (SCMP)"/>
    <s v="Burger King Reporting (Daily Mail)"/>
    <m/>
    <m/>
    <m/>
    <m/>
  </r>
  <r>
    <x v="66"/>
    <s v="Boycott movement against the TV show &quot;2gether: The Series&quot; following controversy regarding representations of Hong Kong as a separate country and the coronavirus originating in China"/>
    <x v="0"/>
    <s v="Hong Kong; Other"/>
    <x v="4"/>
    <s v="Following the incident, Chinese netizens expressed their opposition to Nnevvy's retweet about COVID-19 and the Instagram comment separating Taiwan from China by boycotting the show. Related hashtags for the boycott have earned more than 4.64 billion views and over 1.44 million posts on China's Twitter-like Sina Weibo._x000a__x000a_On Saturday night, one of the translation groups announced on Sina Weibo that they will no longer produce subtitles for the show nor promote it.  (NB: Global Times)_x000a__x000a_"/>
    <s v="Boycott Fomentation"/>
    <x v="0"/>
    <s v="N/A"/>
    <s v="N/A"/>
    <s v="2gether: The Series"/>
    <s v="Thailand (Asia &amp; Oceania)"/>
    <s v="Entertainment"/>
    <m/>
    <s v="State support through Global Times. _x000a__x000a_Apologies issued by individuals"/>
    <m/>
    <m/>
    <s v="Reporting (BBC)"/>
    <s v="Reporting (Global Times)"/>
    <m/>
    <m/>
    <m/>
    <m/>
    <m/>
    <m/>
  </r>
  <r>
    <x v="67"/>
    <s v="Anti-dumping and countervailing duties imposed on Australian barley and wine, following Australia’s calls for an independent investigation into COVID-19"/>
    <x v="0"/>
    <s v="Other"/>
    <x v="1"/>
    <s v="o Anti-dumping:_x000a_§ Barley:Anti-dumpingandcountervailingdutiesofacombined80.5%imposedinMay.Initial_x000a_investigation pre-dated the dispute, but imposition widely interpreted as retaliation.309_x000a_§ Wine:Anti-dumpingandcountervailingdutieswhencombinedrangingbetween107.1and212%.310"/>
    <s v="Conversion"/>
    <x v="0"/>
    <s v="Anti-Dumping Regulations"/>
    <s v="N/A"/>
    <s v="N/A"/>
    <s v="Australia (Asia &amp; Oceania)"/>
    <s v="Agriculture; Food &amp; Beverage"/>
    <s v="Barley, wine"/>
    <s v="Trigger: Occurred in context of gradual deterioration of bilateral relations, but specific trigger reported to be Australian calls for an independent investigation into origins of COVID-19.298_x000a__x000a_Explanations: Chinese officials consistently denied restrictions were retaliatory and linked them to violations of Chinese and international laws and regulations.316"/>
    <m/>
    <m/>
    <s v="Victor's data"/>
    <m/>
    <m/>
    <m/>
    <m/>
    <m/>
    <m/>
    <m/>
  </r>
  <r>
    <x v="68"/>
    <s v="Sanctions in response to the US imposition of sanctions over Xinjiang"/>
    <x v="1"/>
    <s v="Xinjiang"/>
    <x v="5"/>
    <s v="China has decided to impose corresponding sanctions on the U.S. Congressional-Executive Commission on China, as well as the U.S. State Department's Ambassador-at-Large for International Religious Freedom Brownback, Senators Rubio and Cruz, and Congressman Smith from today."/>
    <s v="Formal"/>
    <x v="1"/>
    <s v="N/A"/>
    <s v="Sam Brownback; Marco Rubio; Ted Cruz; Chris Smith"/>
    <s v="United States Congressional-Executive Commission on China"/>
    <s v="United States (North America)"/>
    <s v="Public Sector"/>
    <s v="N/A"/>
    <s v="Overlap in targets with 2020-08-10 sanctions (Marco Rubio; Ted Cruz; Chris Smith)."/>
    <s v="　　环球时报记者：7月9日，美国国务院和财政部分别宣布根据美国内法对一家中国新疆政府机构和4名官员实施制裁。中方对此表示，将对在涉疆问题上表现恶劣的有关美国机构和个人采取对等措施。请问你是否有进一步的信息？_x000a__x000a_　　华春莹：美方上述行径严重干涉中国内政，严重违反国际关系基本准则，严重损害中美关系，中方对此坚决反对、予以强烈谴责。_x000a__x000a_　　针对美方错误行径，中方决定自即日起对美国“国会-行政部门中国委员会”以及美国务院国际宗教自由无任所大使布朗巴克、联邦参议员鲁比欧、克鲁兹、联邦众议员史密斯实施相应制裁。_x000a__x000a_　　必须指出，新疆事务纯属中国内政，美方没有权利、没有资格横加干涉。中国政府捍卫国家主权安全发展利益的决心坚定不移，打击暴恐势力、分裂势力、宗教极端势力的决心坚定不移，反对任何外部势力干涉新疆事务和中国内政的决心坚定不移。_x000a__x000a_　　我们敦促美方立即撤销有关错误决定，停止任何干涉中国内政、损害中方利益的言行。中方将根据形势发展作出进一步反应。"/>
    <m/>
    <s v="Full Text Chinese (MFA)"/>
    <m/>
    <m/>
    <m/>
    <m/>
    <m/>
    <m/>
    <m/>
  </r>
  <r>
    <x v="69"/>
    <s v="Sanctions in response to the US imposition of sanctions over Hong Kong"/>
    <x v="1"/>
    <s v="Hong Kong"/>
    <x v="5"/>
    <s v="China has decided to impose sanctions on the following individuals with egregious behaviors on Hong Kong-related issues, effective today: US Senators Marco Rubio, Ted Cruz, Josh Hawley, Tom Cotton and Pat Toomey, Representative Chris Smith, and Carl Gershman, President of the National Endowment for Democracy, Derek Mitchell, President of the National Democratic Institute, Daniel Twining, President of the International Republican Institute, Kenneth Roth, Executive Director of Human Rights Watch, and Michael J. Abramowitz, President of Freedom House."/>
    <s v="Formal"/>
    <x v="1"/>
    <s v="N/A"/>
    <s v="Marco Rubio; Ted Cruz; Josh Hawley; Tom Cotton; Pat Toomey; Chris Smith; Carl Gershman; Derek Mitchell; Daniel Twining; Kenneth Roth; Michael J. Abramowitz"/>
    <s v="N/A"/>
    <s v="United States (North America)"/>
    <s v="Academia &amp; Civil Society"/>
    <s v="N/A"/>
    <s v="Overlap in targets with 2020-07-13 sanctions (Marco Rubio; Ted Cruz; Chris Smith)."/>
    <m/>
    <s v="CCTV: On August 7, the US State Department and Department of the Treasury announced sanctions on 11 officials of the Central Government and the Hong Kong SAR under the pretext of undermining Hong Kong's autonomy. What is China's response?_x000a__x000a_Zhao Lijian: Such behavior openly meddles with Hong Kong affairs, blatantly interferes in China's internal affairs, and gravely violates international law and basic norms governing international relations. China firmly rejects and condemns it._x000a__x000a_Reacting to the erroneous move by the US side, China has decided to impose sanctions on the following individuals with egregious behaviors on Hong Kong-related issues, effective today: US Senators Marco Rubio, Ted Cruz, Josh Hawley, Tom Cotton and Pat Toomey, Representative Chris Smith, and Carl Gershman, President of the National Endowment for Democracy, Derek Mitchell, President of the National Democratic Institute, Daniel Twining, President of the International Republican Institute, Kenneth Roth, Executive Director of Human Rights Watch, and Michael J. Abramowitz, President of Freedom House._x000a__x000a_I must stress again that since Hong Kong's return to the motherland, &quot;one country, two systems&quot; has achieved enormous success. Hong Kong residents enjoy unprecedented democratic rights and freedoms in accordance with law. This is an objective fact no unbiased people will deny. In the meantime, there are new risks and challenges in the implementation of &quot;one country, two systems&quot;, the most prominent of which is the heightened national security risk. When national security in Hong Kong is undermined and confronted with real threats and the SAR government had difficulty in completing national security legislation on its own, the Central Government took decisive measures to establish and improve at the state level a legal system and enforcement mechanisms to safeguard the Hong Kong SAR's national security. The Law on Safeguarding National Security in Hong Kong targets a very small number of criminals who gravely jeopardize national security and protects the law-abiding Hong Kong residents, who represent the vast majority._x000a__x000a_Hong Kong is part of China and its affairs are entirely China's internal affairs which allow no foreign interference. We urge the US to grasp the situation, correct its mistake, and immediately stop meddling in Hong Kong affairs and China's internal affairs._x000a__x000a_The Paper: A follow-up question on US sanctions on Hong Kong. We noted that Hong Kong officials including Chief Executive Carrie Lam and officials in charge of the HKSAR's departments of administration, finance and justice all responded, calling the US sanctions shameless and despicable, and blatant and barbaric interference in Hong Kong affairs. Some pointed out that the US falsely accused Chinese companies of data leak, but the US Treasury is disclosing personal information of 11 officials in the name of sanctions, which violates respect for privacy as the US claims to champion. According to the Hong Kong Social Sciences Research Centre's statistics, 65.7% of the surveyed Hong Kong residents expressed opposition to any sanctions by the US. Do you have any comment?_x000a__x000a_Zhao Lijian: The US gross interference in China's internal affairs and unscrupulous sanctions have met with unanimous strong opposition and condemnation from the Chinese people, including those in Hong Kong. The egregious and hegemonic behavior of the US has been denounced by all. Relevant officials have publicly stated their &quot;fear nothing&quot; position in the face of the sanctions, which speaks volumes of the character of the Chinese people._x000a__x000a_Intimidation will never work on the Chinese people. The so-called sanctions by the US will only further expose their hegemonic bullying and double standards and give the international community another laughingstock and farce to mock at._x000a__x000a_Let me share with you some of the responses made by Chief Executive Carrie Lam and others. Carrie said that according to the information released by the US side, she is supposed to live in Victoria House, but that is the official residence of the Chief Secretary for Administration's Office. Who can imagine that the US side cannot even get the Chief Executive's address right? Teresa Cheng, HKSAR Secretary for Justice said that it is an honor to serve the country and personal interest pales in front of the motherland and the people. With the strong backing of the country, she fears nothing at all. US sanctions are wasted efforts._x000a__x000a_I want to give them a big &quot;Thumb Up&quot; on behalf of the Chinese people._x000a__x000a_Reuters: First question, you just announced some sanctions against US officials. Are they effective today? Second question, Hong Kong media tycoon Jimmy Lai was arrested today in Hong Kong under the national security law for suspected collusion with foreign forces. Can the foreign ministry specify in what ways did Lai collude with foreign forces? Third question, Chinese fighter jets crossed the median line of the Taiwan Strait this morning. Is this China's countermeasure for the visit by US health chief Azar to Taiwan?_x000a__x000a_Zhao Lijian: On your first question, these sanctions take effect as of today._x000a__x000a_On your second question, Hong Kong is governed by rule of law. We support SAR law enforcement authorities in discharging their duties in accordance with law._x000a__x000a_On your third question, I would refer you to the defense department."/>
    <s v="Full Text English (MFA)"/>
    <m/>
    <m/>
    <m/>
    <m/>
    <m/>
    <m/>
    <m/>
  </r>
  <r>
    <x v="70"/>
    <s v="Expansion of restricted export list to include 23 areas of technology, including drones, lasers, and encryption, alongside revisions to 21 previously restricted or banned technologies, following U.S. restrictions on Chinese tech firms"/>
    <x v="1"/>
    <s v="Geopolitical Dispute"/>
    <x v="0"/>
    <s v="the Ministry of Commerce and the Ministry of Science and Technology have made some adjustments to the Catalogue of Technologies Prohibited or Restricted from Export from China"/>
    <s v="Formal"/>
    <x v="1"/>
    <s v="Foreign Trade Law;_x000a_Regulations on the Administration of Technology Import and Export"/>
    <s v="N/A"/>
    <s v="N/A"/>
    <s v="N/A"/>
    <s v="Drones; Other Electronics; Chemicals; Health; Aerospace; AI; Energy; Transportation; Agriculture"/>
    <s v=" 23 areas of innovation – ranging from space materials to 3D printing, encryption and large-scale high-speed wind tunnel design"/>
    <s v="_x000a_China has added drone technology to its list of restricted exports. _x000a__x000a_Drones and lasers are among the nearly two dozen technologies added to China’s restricted export list in the first major overhaul of the rules in more than a decade._x000a_As tensions with the United States grow over trade and tech, China’s Ministry of Commerce said on Friday that 23 areas of innovation – ranging from space materials to 3D printing, encryption and large-scale high-speed wind tunnel design – had been added to the restricted export list._x000a__x000a_“The main purpose is to regulate technology exports, promote scientific and technological progress and economic and technological cooperation, and maintain national economic security,” the ministry said. _x000a__x000a_It is the first time the list has been overhauled since 2008 and means that any exports of technology in those 23 fields will require government approval._x000a__x000a_The overhaul follows a tightening of regulations in the US. In June, the US Commerce Department’s Bureau of Industry and Security expanded licence requirements for exports of technologies intended for military end users and military end use in China._x000a__x000a_China also revised details for 21 technologies that are already either restricted or banned, including crop breeding, chemical raw material production, biological pesticide production and spacecraft measurement and control._x000a__x000a_Iris Pang, chief economist for Greater China from ING Wholesale Banking, said the revisions were in retaliation for “the US ban on Chinese tech companies”."/>
    <s v="商务部 科技部公告2020年第38号 关于调整发布《中国禁止出口限制出口技术目录》的公告【已废止】_x000a_根据《中华人民共和国对外贸易法》和《中华人民共和国技术进出口管理条例》，商务部、科技部对《中国禁止出口限制出口技术目录》（商务部 科技部令2008年第12号附件）内容作部分调整，现予以公布。属于军民两用技术的，纳入出口管制管理。_x000a__x000a__x000a__x000a_商务部 科技部_x000a__x000a_2020年8月28日_x000a__x000a__x000a_《中国禁止出口限制出口技术目录》调整内容.pdf"/>
    <m/>
    <s v="Full Text Chinese (MOFCOM)"/>
    <s v="Reporting (SCMP)"/>
    <m/>
    <m/>
    <m/>
    <m/>
    <m/>
    <m/>
  </r>
  <r>
    <x v="71"/>
    <s v="Broad import restrictions on Australian goods, including customs delays, suspended export licenses, and state instructions to Chinese firms to cease imports, following Australia’s calls for an independent investigation into COVID-19"/>
    <x v="0"/>
    <s v="Other"/>
    <x v="1"/>
    <s v="• Bureaucratic obstruction [3]:_x000a_o Lobster: Cited concerns about the presence of minerals and heavy metals, Chinese customs officials held up_x000a_Australian lobster exports for lengthy inspections leading them to perish on tarmacs.299_x000a_o Wine: In November 2020 reports emerged that the few remaining exports to China were experiencing_x000a_significant delays in Chinese customs due to increased testing and closer scrutiny of documentation.300_x000a_o Table grapes,301 citrus fruit,302 and wheat303 may also have experienced customs delays due to stepped up_x000a_inspection however these products do not appear to have been targeted systematically. • Conversion [7]:_x000a_o SPS:_x000a_§ Barley:ExportlicensesofmajorAustralianexportersCBHandEmeraldsuspendedinSeptember_x000a_2020 after apparent discovery of pest and weed contamination.304_x000a_§ Forages:GACCdeclinedtorenewlapsedexportlicensesof25of28Australianfodderexportersin_x000a_February 2021, citing the need for SPS testing at facilities which was impossible due to COVD-19_x000a_travel restrictions.305_x000a_§ Beef:Sixabattoirs,representingapproximatelyonefifthoftotalAustralianexports,hadexport_x000a_licenses suspended – one due to the apparent discovery of residues of cat and dog eye ointment in a_x000a_shipment.306_x000a_§ Timberlogs:ImportsoflogsfromseveralAustralianjurisdictionsbannedduetoapparentdiscovery_x000a_o TBT:_x000a__x000a_§ Beef:Sixabattoirs,representingapproximatelyonefifthoftotalAustralianexports,hadexport licenses suspended – four due to apparent ‘inconsistencies with labelling and consignment certificates’.308_x000a__x000a_• Blacklists [4]:_x000a_o Coal: State-owned utilities and steel mills reportedly received verbal notice from authorities to stop importing_x000a_Australian coal (thermal and coking) in October.311_x000a_o Cotton: State-owned mills, importers and storage companies reportedly instructed by China’s Ministry of_x000a_Commerce and National Development and Reform Commission to cease importing Australian cotton in October_x000a_2020.312_x000a_o Copper ore: Chinese importers allegedly given ‘verbal’ instructions to cease imports in November 2020.313_x000a_o Other: Reports in November 2020 suggested that Chinese importers had also been instructed to cease imports of_x000a_other Australian products—barley, sugar, red wine, timber and lobster—and cite ‘commercial reasons’ for doing so.314 However, wine, lobster, barley and timber were subsequently restricted via conversion and bureaucratic obstruction, suggesting that importers either ignored directions or that these other forms of implementation were prioritised for other reasons. It is unclear whether sugar experienced disruption.315"/>
    <s v="Bureaucratic Obstruction; Conversion; Blacklist"/>
    <x v="0"/>
    <s v="N/A"/>
    <s v="N/A"/>
    <s v="N/A"/>
    <s v="Australia (Asia &amp; Oceania)"/>
    <s v="Food &amp; Beverage; Agriculture"/>
    <s v="Barley, beef, wine, lobster, timber, coal, cotton, copper ore, table grapes, citrus fruit, wheat, forages"/>
    <s v="Trigger: Occurred in context of gradual deterioration of bilateral relations, but specific trigger reported to be Australian calls for an independent investigation into origins of COVID-19.298_x000a__x000a_Explanations: Chinese officials consistently denied restrictions were retaliatory and linked them to violations of Chinese and international laws and regulations.316"/>
    <m/>
    <m/>
    <s v="Victor's data"/>
    <m/>
    <m/>
    <m/>
    <m/>
    <m/>
    <m/>
    <m/>
  </r>
  <r>
    <x v="72"/>
    <s v="Boycott of Czech pianos following senate speaker's visit to Taiwan"/>
    <x v="0"/>
    <s v="Foreign Support for Taiwan"/>
    <x v="4"/>
    <s v="(NB: Global Times) According to the article, many netizens suggested to impose sanctions, or even cut economic or diplomatic ties with the Czech Republic. So far, in protest of Vystrčil’s visit to Taiwan China canceled a 5 million CZK order from Petrof Pianos._x000a__x000a_Czech businesses will be hurt by deteriorating relations between China and the Czech Republic due to the provocation of the Czech senate speaker's visit to China's Taiwan in August. Experts said that the cancelation of piano orders by Chinese importers is a natural business response that may signal a broader impact._x000a__x000a_The remarks came after a Chinese piano trader canceled an order valued at $23.8 million from leading Czech piano producer Petrof amid bilateral tensions triggered by Czech senate speaker Milos Vystrcil's Taiwan visit, a blatant move that sparked a nationwide outcry in China, which is the second-largest export destination for Czech pianos._x000a__x000a_A manager of Fuda Music, a Beijing-based piano company and an official partner of Petrof, told the Global Times on Sunday that it temporarily suspended new orders to the Czech supplier in early September in light of the huge impact of the Czech official's visit._x000a__x000a_Data that the China Chamber of Commerce for Import and Export of Light Industrial Products and Arts-Crafts sent to the Global Times on Monday showed that imports of pianos from the Czech Republic fell 55.8 percent from January to July to $1.33 million. Logistics disruptions caused by the pandemic were among the reasons, experts said._x000a__x000a_China is the second-largest export market for Czech pianos - including automatic pianos, harpsichords and other keyboard stringed instruments - which took a share of 20 percent in 2019, after Germany's 23 percent, the UN Comtrade Database showed."/>
    <s v="Boycott Fomentation"/>
    <x v="0"/>
    <s v="N/A"/>
    <s v="N/A"/>
    <s v="Petrof"/>
    <s v="Czech Republic (Europe)"/>
    <s v="Consumer Goods"/>
    <m/>
    <s v="State support by Global Times. _x000a__x000a_No apology issued"/>
    <m/>
    <m/>
    <s v="Reporting (Global Times)"/>
    <s v="Reporting (CEIAS)"/>
    <m/>
    <m/>
    <m/>
    <m/>
    <m/>
    <m/>
  </r>
  <r>
    <x v="73"/>
    <s v="Restrictions on Ericsson's Operations in China Following Swedish Decision to Exclude Huawei and ZTE from Central Functions of its 5G Networks"/>
    <x v="1"/>
    <s v="Geopolitical Dispute"/>
    <x v="3"/>
    <s v="Based on this assessment, PTS announced its decision to exclude these Chinese vendors from central functions of Sweden’s 5G telecommunications networks in October 2020._x000a__x000a_In October 2021, Ericsson reported a significant loss of market share in China.253 Huawei recently sued the Swedish state for the decision."/>
    <s v="Bureaucratic Obstruction"/>
    <x v="0"/>
    <s v="N/A"/>
    <s v="N/A"/>
    <s v="Ericsson"/>
    <s v="Sweden (Europe)"/>
    <s v="ICT"/>
    <m/>
    <s v="In late 2019, the Swedish government proposed amendments to the law on the protection of national security in the use of radio equipment.248 These amendments entered into force on 1 January 2020. In practice, they meant that the authority responsible for the auctioning of Sweden’s 5G spectrums, the Post and Telecom Authority (PTS), should consult the Swedish Security Police and Armed Forces on such decisions. These authorities found that the Chinese party-state and intelligence agencies could influence and exert pressure on Huawei and ZTE, which could potentially be harmful to Swedish security. Based on this assessment, PTS announced its decision to exclude these Chinese vendors from central functions of Sweden’s 5G telecommunications networks in October 2020.249 The decision sparked strong reactions from the Chinese side and has received global attention. The Chinese MFA said that Sweden should ‘correct its mistake and avoid negative impact on China-Sweden economic cooperation and the Swedish businesses operating in China’.250 When asked about the potential consequences of the Swedish decision, the Chinese ambassador said that it would ‘negatively affect China-Sweden practical cooperation and the operation of Swedish companies in China’.251 This"/>
    <m/>
    <m/>
    <s v="Summary"/>
    <m/>
    <m/>
    <m/>
    <m/>
    <m/>
    <m/>
    <m/>
  </r>
  <r>
    <x v="74"/>
    <s v="Foreign Ministry Spokesperson Announces Sanctions on Pompeo and Others"/>
    <x v="1"/>
    <s v="Hong Kong"/>
    <x v="5"/>
    <s v="China has decided to sanction 28 persons who have seriously violated China's sovereignty and who have been mainly responsible for such U.S. moves on China-related issues. They include Michael R. Pompeo, Peter K. Navarro, Robert C. O'Brien, David R. Stilwell, Matthew Pottinger, Alex M. Azar II, Keith J. Krach, and Kelly D. K. Craft of the Trump administration as well as John R. Bolton and Stephen K. Bannon. These individuals and their immediate family members are prohibited from entering the mainland, Hong Kong and Macao of China. They and companies and institutions associated with them are also restricted from doing business with China."/>
    <s v="Formal"/>
    <x v="1"/>
    <s v="N/A"/>
    <s v="Michael R. Pompeo; Peter K. Navarro; Robert C. O'Brien; David R. Stilwell; Matthew Pottinger; Alex M. Azar II; Keith J. Krach; Kelly D. K. Craft; John R. Bolton; Stephen K. Bannon"/>
    <s v="N/A"/>
    <s v="United States (North America)"/>
    <s v="Public Sector"/>
    <s v="N/A"/>
    <s v="Only 10 out of 28 people are mentioned. The remaining people are presumably the family members of names people."/>
    <s v="_x000a_外交部发言人宣布中方对蓬佩奥等人实施制裁_x000a_2021-01-21 01:01_x000a__x000a_【中大小】 打印 _x000a_  _x000a_　　过去几年，美国一些反华政客出于一己政治私利和对华偏见仇恨，罔顾中美两国人民的利益，策划、推动实施了一系列疯狂的行径，严重干涉中国内政、损害了中国的利益、伤害了中国人民的感情，也严重破坏了中美关系。中国政府捍卫国家主权安全发展利益的决心坚定不移。中方决定对在涉华问题上严重侵犯中国主权、负有主要责任的28名人员实施制裁，包括特朗普政府中的蓬佩奥、纳瓦罗、奥布莱恩、史达伟、波廷杰、阿扎、克拉奇、克拉夫特以及博尔顿、班农等。这些人及其家属被禁止入境中国内地和香港、澳门，他们及其关联企业、机构也已被限制与中国打交道、做生意。"/>
    <s v="Foreign Ministry Spokesperson Announces Sanctions on Pompeo and Others_x000a_2021/01/20_x000a_Over the past few years, some anti-China politicians in the United States, out of their selfish political interests and prejudice and hatred against China and showing no regard for the interests of the Chinese and American people, have planned, promoted and executed a series of crazy moves which have gravely interfered in China's internal affairs, undermined China's interests, offended the Chinese people, and seriously disrupted China-U.S. relations. The Chinese government is firmly resolved to defend China's national sovereignty, security and development interests. China has decided to sanction 28 persons who have seriously violated China's sovereignty and who have been mainly responsible for such U.S. moves on China-related issues. They include Michael R. Pompeo, Peter K. Navarro, Robert C. O'Brien, David R. Stilwell, Matthew Pottinger, Alex M. Azar II, Keith J. Krach, and Kelly D. K. Craft of the Trump administration as well as John R. Bolton and Stephen K. Bannon. These individuals and their immediate family members are prohibited from entering the mainland, Hong Kong and Macao of China. They and companies and institutions associated with them are also restricted from doing business with China."/>
    <s v="Full Text English (MFA)"/>
    <s v="Full Text Chinese (MFA)"/>
    <s v="Countersanctions evidence"/>
    <m/>
    <m/>
    <m/>
    <m/>
    <m/>
  </r>
  <r>
    <x v="75"/>
    <s v="Suspension of Taiwanese pineapple imports, citing pest concerns, following ongoing tensions regarding the orientation of Taiwanese policy under Tsai Ing-wen, including efforts to strengthen relations with the U.S., Japan, and European states such as Lithuania"/>
    <x v="0"/>
    <s v="Actions of the Taiwanese Government"/>
    <x v="1"/>
    <s v="o SPS: Pineapples: In late February 2021 GACC announced the suspension of pineapple imports from Taiwan._x000a_Officials cited concerns about the presence of pests: “The mainland's customs has intercepted quarantine pests_x000a_among pineapples from Taiwan since 2020” (Taiwan Affairs Office of China's State Council Ma Xiaoguang).328"/>
    <s v="Conversion"/>
    <x v="0"/>
    <s v="Food safety regulations"/>
    <s v="N/A"/>
    <s v="N/A"/>
    <s v="Taiwan (Asia &amp; Oceania)"/>
    <s v="Food &amp; Beverage; Agriculture"/>
    <m/>
    <s v="Trigger: Ongoing tensions regarding the orientation of Taiwanese policy under Tsai-ing Wen, including efforts to strengthen relations with the US, Japan and European states (such as Lithuania).327_x000a__x000a_Explanation: Officials denied the measures were retaliatory. The pineapple restriction was described as “a normal biosafety precaution in line with China's laws, regulations and standards”.339 The sugar and wax apple restrictions were also said to be in accordance with ‘laws, regulations and standards’ and necessary for phytosanitary protection.340 Zhu Fenglian, spokesperson for the Taiwan Affairs Office of the State Council, rejected allegations the treatment of Far Eastern Group companies was politically motivated and emphasised they were “punished in accordance with the law” and “based on the facts”, although curiously added that &quot;Taiwan independence’ stubborn elements...affiliates and financial backers must be punished.”.341"/>
    <m/>
    <m/>
    <s v="Victor's data"/>
    <m/>
    <m/>
    <m/>
    <m/>
    <m/>
    <m/>
    <m/>
  </r>
  <r>
    <x v="76"/>
    <s v="Boycott movement starting in March against H&amp;M and other clothing brands for voicing concern over human rights violations in Xinjiang or ending sourcing from the region"/>
    <x v="1"/>
    <s v="Xinjiang"/>
    <x v="4"/>
    <s v="In early 2021, Western companies were coming under pressure to stop sourcing cotton from Xinjiang due to human rights violations in the region. Simultaneously, especially from March 2021 onwards, they faced Chinese consumer boycotts for voicing concerns about such human rights violations or withdrawing from relationships with producers in the region. _x000a__x000a_Many of the targeted firms were members of the Better Cotton Initiative (BCI)"/>
    <s v="Boycott Fomentation"/>
    <x v="0"/>
    <s v="N/A"/>
    <s v="N/A"/>
    <s v="H&amp;M; Hugo Boss; Puma; Adidas; Asics; ZARA; Burberry; Nike"/>
    <s v="Germany (Europe); Japan (Asia &amp; Oceania); Spain (Europe); Sweden (Europe); United Kingdom (Europe); United States (North America)"/>
    <s v="Consumer Goods"/>
    <m/>
    <s v="Visibly large economic effect on the concerned businesses. See reporting. _x000a__x000a_State support visible in the encouragement by the youth leauge of the boycott against H&amp;M (and possibly other state media encouragement)_x000a__x000a_Asics and Hugo Boss apologized. _x000a__x000a_"/>
    <m/>
    <m/>
    <s v="Reporting (BBC)"/>
    <s v="Reporting (CNBC)"/>
    <s v="Reporting (Forbes)"/>
    <s v="Reporting (BBC)"/>
    <s v="Reporting (Bloomberg)"/>
    <m/>
    <m/>
    <m/>
  </r>
  <r>
    <x v="77"/>
    <s v="Foreign Ministry Spokesperson Announces Sanctions on Relevant EU Entities and Personnel"/>
    <x v="1"/>
    <s v="Xinjiang"/>
    <x v="5"/>
    <s v="Individuals concerned and their families are prohibited from entering the mainland, Hong Kong and Macao of China. They and companies and institutions associated with them are also restricted from doing business with China."/>
    <s v="Formal"/>
    <x v="1"/>
    <s v="N/A"/>
    <s v="Reinhard Butikofer; Michael Gahler; Raphaël Glucksmann; Ilhan Kyuchyuk; Miriam Lexmann; Sjoerd Wiemer Sjoerdsma; Samuel Cogolati; Dovile Sakaliene; Adrian Zenz; Björn Jerdén"/>
    <s v="Political and Security Committee of the Council of the European Union; Subcommittee on Human Rights of the European Parliament; the Mercator Institute for China Studies in Germany; the Alliance of Democracies Foundation in Denmark"/>
    <s v="Germany (Europe); France (Europe); Bulgaria (Europe); Slovakia (Europe); Netherlands (Europe); Belgium (Europe); Lithuania (Europe); Sweden (Europe); European Union (Europe); Denmark (Europe)"/>
    <s v="Public Sector; Academia &amp; Civil Society"/>
    <s v="N/A"/>
    <s v="Significant step (escalation) in China's formal use of sanctions._x000a__x000a_Imposed together with sanctions against the US and Canada (2021-03-27)"/>
    <s v="外交部发言人宣布中方对欧盟有关机构和人员实施制裁_x000a_2021-03-22 20:26_x000a__x000a_【中大小】 打印 _x000a_　　3月22日，欧盟基于谎言和虚假信息，以所谓新疆人权问题为借口对中国有关个人和实体实施单边制裁。欧方此举罔顾事实、颠倒黑白，粗暴干涉中国内政，公然违反国际法和国际关系基本准则，严重损害中欧关系。中方对此表示坚决反对和强烈谴责。中国政府捍卫国家主权、安全、发展利益的决心坚定不移。中方决定对欧方严重损害中方主权和利益、恶意传播谎言和虚假信息的10名人员和4个实体实施制裁，包括：欧洲议会议员彼蒂科菲尔、盖勒、格鲁克斯曼、库楚克、莱克斯曼，荷兰议会议员舍尔茨玛，比利时议会议员科格拉蒂，立陶宛议会议员萨卡利埃内，德国学者郑国恩，瑞典学者叶必扬，欧盟理事会政治与安全委员会，欧洲议会人权分委会，德国墨卡托中国研究中心，丹麦民主联盟基金会。相关人员及其家属被禁止入境中国内地及香港、澳门特别行政区，他们及其关联企业、机构也已被限制同中国进行往来。_x000a__x000a_　　中方敦促欧方认识到错误的严重性，反躬自省，纠正错误，不要再以“人权教师爷”自居，不要再玩弄虚伪的双重标准，不要再四处干涉别国内政，不要在错误的道路上越走越远。否则，中方将做出进一步坚决的反应。"/>
    <s v="Foreign Ministry Spokesperson Announces Sanctions on Relevant EU Entities and Personnel_x000a_2021/03/22_x000a_The European Union (EU) imposed unilateral sanctions on relevant Chinese individuals and entity on March 22, citing the so-called human rights issues in Xinjiang. This move, based on nothing but lies and disinformation, disregards and distorts facts, grossly interferes in China's internal affairs, flagrantly breaches international law and basic norms governing international relations, and severely undermines China-EU relations. China firmly opposes and strongly condemns this. The Chinese government is firmly determined to safeguard national sovereignty, security and development interests. The Chinese side decides to sanction the following ten individuals and four entities on the EU side that severely harm China's sovereignty and interests and maliciously spread lies and disinformation: Reinhard Butikofer, Michael Gahler, Raphaël Glucksmann, Ilhan Kyuchyuk and Miriam Lexmann of the European Parliament, Sjoerd Wiemer Sjoerdsma of the Dutch Parliament, Samuel Cogolati of the Belgian Federal Parliament, Dovile Sakaliene of the Seimas of the Republic of Lithuania, German scholar Adrian Zenz, Swedish scholar Björn Jerdén, Political and Security Committee of the Council of the European Union, Subcommittee on Human Rights of the European Parliament, the Mercator Institute for China Studies in Germany, and the Alliance of Democracies Foundation in Denmark. The individuals concerned and their families are prohibited from entering the mainland, Hong Kong and Macao of China. They and companies and institutions associated with them are also restricted from doing business with China._x000a__x000a_The Chinese side urges the EU side to reflect on itself, face squarely the severity of its mistake and redress it. It must stop lecturing others on human rights and interfering in their internal affairs. It must end the hypocritical practice of double standards and stop going further down the wrong path. Otherwise, China will resolutely make further reactions."/>
    <s v="Full Text Chinese (MFA)"/>
    <s v="Full Text English (MFA)"/>
    <m/>
    <m/>
    <m/>
    <m/>
    <m/>
    <m/>
  </r>
  <r>
    <x v="78"/>
    <s v="Foreign Ministry Spokesperson: China imposes sanctions on relevant British individuals and entities"/>
    <x v="1"/>
    <s v="Xinjiang"/>
    <x v="5"/>
    <s v="China has decided to impose sanctions on nine British individuals and four entities who maliciously spread lies and false information, including: Tugendhat, Duncan-Smith, O'Brien, Alton, Loughton, Ghani, Kennedy, Nice, Finley, as well as the &quot;China Research Group&quot;, the Conservative Party Human Rights Commission, the &quot;Uyghur Independent Tribunal&quot;, and Essex Garden Chambers. From now on, the relevant personnel and their immediate family members are prohibited from entering (including Hong Kong and Macao), their assets in China are frozen, and Chinese citizens and institutions are prohibited from trading with them. China reserves the right to take further measures."/>
    <s v="Formal"/>
    <x v="1"/>
    <s v="N/A"/>
    <s v="David Alton; Geoffrey Nice; Helena Kennedy; Iain Duncan Smith; Joanne Nicola Smith Finley; Neil O'Brien; Nusrat Ghani; Tim Loughton; Tom Tugendhat"/>
    <s v="China Research Group; Conservative Party Human Rights Commission; Essex Court Chambers; Uyghur Tribunal"/>
    <s v="United Kingdom (Europe)"/>
    <s v="Public Sector; Academia &amp; Civil Society"/>
    <s v="N/A"/>
    <m/>
    <s v="外交部发言人宣布中方对英国有关人员和实体实施制裁_x000a__x000a_日前，英方基于谎言和虚假信息，以所谓新疆人权问题为借口对中国有关个人和实体实施单边制裁，公然违反国际法和国际关系基本准则，粗暴干涉中国内政，严重损害中英关系。外交部负责人已召见英国驻华大使提出严正抗议，表示坚决反对和强烈谴责。中方决定对恶意传播谎言和虚假信息的英方9名人员和4个实体实施制裁，包括：图根哈特、邓肯—史密斯、奥布莱恩、奥尔顿、劳顿、加尼、肯尼迪、尼斯、芬利以及“中国研究小组”、保守党人权委员会、“维吾尔独立法庭”、埃塞克斯园大律师事务所。自即日起禁止有关人员及其直系家属入境（包括香港、澳门），冻结其在华财产，禁止中国公民及机构同其交易。中方保留采取进一步措施的权利。_x000a__x000a_中方维护国家主权、安全、发展利益的决心坚定不移，正告英方不要在错误的道路上越走越远。否则，中方将做出进一步坚决的反应。"/>
    <m/>
    <s v="Full Text Chinese (MFA)"/>
    <m/>
    <m/>
    <m/>
    <m/>
    <m/>
    <m/>
    <m/>
  </r>
  <r>
    <x v="79"/>
    <s v="Foreign Ministry Spokesperson_x000a_Announces Sanctions on Relevant US and_x000a_Canadian Individuals and Entity"/>
    <x v="1"/>
    <s v="Xinjiang"/>
    <x v="5"/>
    <s v="prohibiting the above-mentioned individuals from entering the Chinese mainland and the Hong Kong and Macao Special Administrative Regions, and prohibiting Chinese citizens and institutions from trading with the above-mentioned individuals or dealing with the above-mentioned entities"/>
    <s v="Formal"/>
    <x v="1"/>
    <s v="N/A"/>
    <s v="Gayle Manchin; Tony Perkins; Michael Chong"/>
    <s v="United States Commission on International Religious Freedom (USCIRF); Subcommittee on International Human Rights of the Standing Committee on Foreign Affairs and International Development of the House of Commons of Canada"/>
    <s v="United States (North America); Canada (North America)"/>
    <s v="Public Sector"/>
    <s v="N/A"/>
    <s v="Imposed together with sanctions against the EU (2021-03-22)"/>
    <s v="外交部发言人宣布对美国、加拿大有关人员和实体实施制裁_x000a_2021-03-27 21:36 来源： 外交部网站字号：默认 大 超大|打印|     _x000a_针对美国、加拿大基于谎言和虚假信息于3月22日对中国新疆有关人员和实体实施单边制裁的行径，中方决定对美国国际宗教自由委员会主席曼钦、副主席伯金斯，加拿大联邦众议员庄文浩、众议院外委会国际人权小组委员会实施制裁，禁止上述人员入境中国内地及香港、澳门特别行政区，禁止中国公民及机构同上述人员交易或同上述实体往来。同时，此前中方对美方在涉疆问题上严重损害中方主权和利益人员的制裁仍然有效。_x000a__x000a_中国政府捍卫国家主权、安全和发展利益的决心坚定不移。中方敦促有关方面认清形势，纠正错误，停止在涉疆问题上搞政治操弄，停止以任何方式干涉中国内政，不要在错误的道路上越走越远，否则必将玩火自焚。"/>
    <s v="Foreign Ministry Spokesperson Announces Sanctions on Relevant US and Canadian Individuals and Entity_x000a_Updated: March 27, 2021 20:51_x000a__x000a_The United States (US) and Canada imposed unilateral sanctions on relevant individuals and entity in Xinjiang on March 22 based on rumors and disinformation. In response, the Chinese side decides to sanction Chair of the United States Commission on International Religious Freedom (USCIRF) Gayle Manchin, Vice Chair of the USCIRF Tony Perkins, Member of Parliament of Canada Michael Chong, and the Subcommittee on International Human Rights of the Standing Committee on Foreign Affairs and International Development of the House of Commons of Canada. The individuals concerned are prohibited from entering the mainland, Hong Kong and Macao of China, and Chinese citizens and institutions are prohibited from doing business with the relevant individuals and having exchanges with the relevant entity. In the meantime, China's previous sanctions on US individuals who have seriously undermined China's sovereignty and interests on Xinjiang-related issues remain effective._x000a__x000a_The Chinese government is firmly determined to safeguard its national sovereignty, security and development interests, and urges the relevant parties to clearly understand the situation and redress their mistakes. They must stop political manipulation on Xinjiang-related issues, stop interfering in China's internal affairs in any form and refrain from going further down the wrong path. Otherwise,they will get their fingers burnt."/>
    <s v="Full Text Chinese (MFA)"/>
    <s v="Full Text English (MFA)"/>
    <m/>
    <m/>
    <m/>
    <m/>
    <m/>
    <m/>
  </r>
  <r>
    <x v="80"/>
    <s v="Icelandic pensioner placed on Chinese blacklist, following public criticism of the Chinese government and Iceland's plans to participate in Western sanctions on Xinjiang officials"/>
    <x v="1"/>
    <s v="Other Human Rights Criticism"/>
    <x v="5"/>
    <s v="An Icelandic man, who works as a lawyer and has criticized the Chinese government in writings in Morgunblaðið, was summoned to a meeting at the Ministry of Foreign Affairs this morning where he was informed that he had been blacklisted by the Chinese government, one of the few Icelanders. "/>
    <s v="Formal"/>
    <x v="1"/>
    <s v="N/A"/>
    <s v="Jónas Haraldsson"/>
    <s v="N/A"/>
    <s v="Iceland (Europe)"/>
    <s v="Academia &amp; Civil Society"/>
    <s v="N/A"/>
    <s v="Likely for the Xinjiang March sanctions Iceland was set to participate in with the EU, the US and other western countries._x000a__x000a_He had been writing op-eds critical of China."/>
    <m/>
    <m/>
    <s v="Reporting (Icelandic)"/>
    <s v="Reporting (Icelandic)"/>
    <m/>
    <m/>
    <m/>
    <m/>
    <m/>
    <m/>
  </r>
  <r>
    <x v="81"/>
    <s v="Foreign Ministry Spokesperson's Remarks on China's Decision to Impose Sanctions on Relevant US Individuals and Entity"/>
    <x v="1"/>
    <s v="Hong Kong"/>
    <x v="5"/>
    <s v="China has decided to take reciprocal countermeasures, and impose sanctions on seven US individuals and entity according to the Anti-Foreign Sanctions Law, including former US Secretary of Commerce Wilbur Louis Ross, Chairman of US-China Economic and Security Review Commission (USCC) Carolyn Bartholomew, former Staff Director of Congressional-Executive Commission on China (CECC) Jonathan Stivers, DoYun Kim at National Democratic Institute for International Affairs, senior program manager of the International Republican Institute (IRI) Adam Joseph King, China Director at Human Rights Watch Sophie Richardson, and Hong Kong Democratic Council."/>
    <s v="Formal"/>
    <x v="1"/>
    <s v="Anti-Foreign Sanctions Law"/>
    <s v="Wilbur Louis Ross; Carolyn Bartholomew; Jonathan Stivers; DoYun Kim; Adam Joseph King; Sophie Richardson"/>
    <s v="Hong Kong Democratic Council"/>
    <s v="United States (North America)"/>
    <s v="Public Sector; Academia &amp; Civil Society"/>
    <s v="N/A"/>
    <m/>
    <m/>
    <s v="Foreign Ministry Spokesperson's Remarks on China's Decision to Impose Sanctions on Relevant US Individuals and Entity_x000a_2021-07-23 23:01_x000a_Q: On July 16, the US Department of State, the US Department of the Treasury, the US Department of Commerce, and the US Department of Homeland Security, issued the so-called &quot;Hong Kong Business Advisory&quot;. The US Treasury Department's Office of Foreign Assets Control (OFAC) imposed financial sanctions on seven deputy directors of the Liaison Office of the Central People's Government in HKSAR by adding them to its list of Specially Designated Nationals. In response, China has stated its determination to take all measures necessary in accordance with law to defend itssovereignty, security and development interests. What specific measures will China take?_x000a__x000a_A: The US has concocted the so-called &quot;Hong Kong Business Advisory&quot; to groundlessly smear Hong Kong's business environment, and illegally imposed sanctions on several officials of the Liaison Office of the Central People's Government in the Hong Kong SAR. These acts gravely violate international law and basic norms governing international relations, and severely interfere in China's internal affairs. China firmly opposes and strongly condemns this._x000a__x000a_In response to the erroneous practice of the US side, China has decided to take reciprocal countermeasures, and impose sanctions on seven US individuals and entity according to the Anti-Foreign Sanctions Law, including former US Secretary of Commerce Wilbur Louis Ross, Chairman of US-China Economic and Security Review Commission (USCC) Carolyn Bartholomew, former Staff Director of Congressional-Executive Commission on China (CECC) Jonathan Stivers, DoYun Kim at National Democratic Institute for International Affairs, senior program manager of the International Republican Institute (IRI) Adam Joseph King, China Director at Human Rights Watch Sophie Richardson, and Hong Kong Democratic Council._x000a__x000a_I would like to stress once again that Hong Kong is China's Special Administrative Region and its affairs are an integral part of China's internal affairs. Any attempt by external forces to interfere in Hong Kong's affairs would be as futile as an ant trying to shake a big tree."/>
    <s v="Full Text English (MFA)"/>
    <m/>
    <m/>
    <m/>
    <m/>
    <m/>
    <m/>
    <m/>
  </r>
  <r>
    <x v="82"/>
    <s v="Broad import restrictions on Lithuanian goods, including removal of Lithuania as a country of origin in customs system, customs delays, halted freight train connections, and revoked export licenses, following Lithuania’s deepening ties with Taiwan, including the opening of a Taiwanese Representative Office in Lithuania"/>
    <x v="0"/>
    <s v="Foreign Support for Taiwan"/>
    <x v="1"/>
    <s v="• Informal—Bureaucratic obstruction [4]:_x000a_o Lithuania removed as country of origin in Chinese customs clearance system, which made it impossible for Lithuanian products to be cleared or for import applications to be processed.343 This problem apparently only lasted for four days.344 Subsequently, a wide range of Lithuanian actors reported extensive delays in customs processing.345 In its WTO request for consultations, the EU described the delays as “novel, numerous, recurrent, persisting and strongly correlated in temporal and substantive terms”.346 Export permits for different products, such as foods, also stopped being issued to Lithuanian firms by Chinese authorities.347_x000a__x000a_o Freight trains between China and Lithuania reportedly stopped for a brief period.350_x000a__x000a_Informal—Conversion [5]:_x000a_o TBT: Licenses for Lithuanian grain exports to China were revoked in December 2021.351_x000a_o TBT: In February 2022, GACC suspended Lithuanian exports of beef, dairy products and beer due to a “lack of_x000a_documentation”.352 More specifically, for beef and dairy, GACC claimed had not submitted any ‘materials’ since August 2019, and “that there was a problem of tampering with the production date and expiry date of Lithuanian beer exported to China”.353 Rosvaldas Gorbačiovas, spokesman for Lithuania's State Food and Veterinary Service told reporters they had “not received any note on any lack of documents or information from [China] before”.354_x000a_o SPS: GACC suspended imports of Lithuanian timber logs in February 2022, citing the apparent presence of pests (“sirex noctilio, monochamus impluviatus and pissodes validirostris”).355"/>
    <s v="Bureaucratic Obstruction; Conversion"/>
    <x v="0"/>
    <s v="Customs labelling requirements"/>
    <s v="N/A"/>
    <s v="N/A"/>
    <s v="Lithuania (Europe)"/>
    <s v="Food &amp; Beverage; Agriculture"/>
    <s v="Grain, beef, dairy products, beer, timber"/>
    <s v="Trigger: Lithuania’s departure from the 17+1 ‘Cooperation between China and Central and Eastern European Countries’ initiative (May 2021) and opening of Taiwanese Representative Office in Lithuania (November 2021)._x000a__x000a_Explanation: Chinese officials denied occurrence of trade disruption and any links between irregularities and the state of China- Lithuania relations.363 For example, FMA spokesman Zhao Lijian on 22 December 2021: “The Lithuanian side bears the sole responsibility for the severe difficulties in China-Lithuania relations. The claim that China’s authorities “are not clearing Lithuanian shipments” and that “they are rejecting import applications from Lithuania” is not true. If companies face technical problems in exporting certain products to China, they can report to competent Chinese authorities through normal channels ... China doesn’t bully or wantonly sanction others, wield long-arm jurisdiction or suppress foreign businesses. How can anyone accuse it of coercion?”.364_x000a_Annotation(s): Restrictions were initially only imposed via blacklists and bureaucratic obstruction. After the EU filed a case in the WTO, conversion began. Some have interpreted this as an effort “to strengthen [China’s] very thin legal basis for actions taken against Vilnius”.365"/>
    <m/>
    <m/>
    <s v="Victor's data"/>
    <m/>
    <m/>
    <m/>
    <m/>
    <m/>
    <m/>
    <m/>
  </r>
  <r>
    <x v="83"/>
    <s v="Ban on Taiwanese wax and sugar apple imports, citing repeated pest detections, following ongoing tensions regarding the orientation of Taiwanese policy under Tsai Ing-wen, including efforts to strengthen relations with the U.S., Japan, and European states such as Lithuania"/>
    <x v="0"/>
    <s v="Actions of the Taiwanese Government"/>
    <x v="1"/>
    <s v="o SPS: Wax and sugar apples: On 19 September, citing repeated discoveries of pests (Planococcus minor, a_x000a_mealybug), GACC announced a sudden ban on Taiwanese wax and sugar apple imports.329"/>
    <s v="Conversion"/>
    <x v="0"/>
    <s v="Food safety regulations"/>
    <s v="N/A"/>
    <s v="N/A"/>
    <s v="Taiwan (Asia &amp; Oceania)"/>
    <s v="Food &amp; Beverage; Agriculture"/>
    <m/>
    <s v="Trigger: Ongoing tensions regarding the orientation of Taiwanese policy under Tsai-ing Wen, including efforts to strengthen relations with the US, Japan and European states (such as Lithuania).327_x000a__x000a_Explanation: Officials denied the measures were retaliatory. The pineapple restriction was described as “a normal biosafety precaution in line with China's laws, regulations and standards”.339 The sugar and wax apple restrictions were also said to be in accordance with ‘laws, regulations and standards’ and necessary for phytosanitary protection.340 Zhu Fenglian, spokesperson for the Taiwan Affairs Office of the State Council, rejected allegations the treatment of Far Eastern Group companies was politically motivated and emphasised they were “punished in accordance with the law” and “based on the facts”, although curiously added that &quot;Taiwan independence’ stubborn elements...affiliates and financial backers must be punished.”.341"/>
    <m/>
    <m/>
    <s v="Victor's data"/>
    <m/>
    <m/>
    <m/>
    <m/>
    <m/>
    <m/>
    <m/>
  </r>
  <r>
    <x v="84"/>
    <s v="Restrictions on exports to Lithuania, with Chinese suppliers refusing to fulfill orders for materials such as glass and electronic components, citing &quot;power cuts,&quot; following Lithuania’s deepening ties with Taiwan, including the opening of a Taiwanese Representative Office in Lithuania"/>
    <x v="0"/>
    <s v="Foreign Support for Taiwan"/>
    <x v="0"/>
    <s v="o Lithuanian entities also reported disruptions to their imports from Chinese entities.357 Chinese entities sent ‘nearly identical letters’ blaming ‘power cuts’ for their inability to fulfil orders for different materials (such as glass and electronic components).358"/>
    <s v="Blacklist"/>
    <x v="0"/>
    <s v="N/A"/>
    <s v="N/A"/>
    <s v="N/A"/>
    <s v="Lithuania (Europe)"/>
    <s v="Other Electronics"/>
    <m/>
    <s v="Trigger: Lithuania’s departure from the 17+1 ‘Cooperation between China and Central and Eastern European Countries’ initiative (May 2021) and opening of Taiwanese Representative Office in Lithuania (November 2021)._x000a__x000a_Explanation: Chinese officials denied occurrence of trade disruption and any links between irregularities and the state of China- Lithuania relations.363 For example, FMA spokesman Zhao Lijian on 22 December 2021: “The Lithuanian side bears the sole responsibility for the severe difficulties in China-Lithuania relations. The claim that China’s authorities “are not clearing Lithuanian shipments” and that “they are rejecting import applications from Lithuania” is not true. If companies face technical problems in exporting certain products to China, they can report to competent Chinese authorities through normal channels ... China doesn’t bully or wantonly sanction others, wield long-arm jurisdiction or suppress foreign businesses. How can anyone accuse it of coercion?”.364_x000a_Annotation(s): Restrictions were initially only imposed via blacklists and bureaucratic obstruction. After the EU filed a case in the WTO, conversion began. Some have interpreted this as an effort “to strengthen [China’s] very thin legal basis for actions taken against Vilnius”.365"/>
    <m/>
    <m/>
    <s v="Victor's data"/>
    <m/>
    <m/>
    <m/>
    <m/>
    <m/>
    <m/>
    <m/>
  </r>
  <r>
    <x v="85"/>
    <s v="Punitive Measures Imposed on Staunch &quot;Taiwan Independence&quot; Separatists Su Tseng-chang, You Si-kun, and Joseph Wu"/>
    <x v="0"/>
    <s v="Actions of the Taiwanese Government"/>
    <x v="5"/>
    <s v="The mainland will punish the above-mentioned &quot;Taiwan independence&quot; diehards listed in the list in accordance with the law, prohibiting them and their families from entering the mainland and the Hong Kong and Macao Special Administrative Regions, restricting their affiliated institutions from cooperating with relevant organizations and individuals in the mainland, and never allowing their affiliated companies and financiers to make profits in the mainland, and taking other necessary disciplinary measures._x000a__x000a_　She pointed out that we warn these &quot;Taiwan independence&quot; diehards that anyone who forgets his ancestors, betrays the motherland, and splits the country will never have a good end and will be spurned by the people and judged by history. The mainland will hold the &quot;Taiwan independence&quot; diehards criminally responsible in accordance with the law, and the sentence will be valid for life."/>
    <s v="Formal"/>
    <x v="1"/>
    <s v="N/A"/>
    <s v="Su Tseng-chang (苏贞昌); You Si-kun (游锡堃); Joseph Wu (吴钊燮)"/>
    <s v="N/A"/>
    <s v="Taiwan (Asia &amp; Oceania)"/>
    <s v="Public Sector"/>
    <s v="N/A"/>
    <m/>
    <s v="国台办：依法对苏贞昌、游锡堃、吴钊燮等极少数“台独”顽固分子实施惩戒_x000a_2021-11-05 20:42 来源：新华网_x000a_　　新华社北京11月5日电 国台办发言人朱凤莲5日应询表示，一段时期以来，苏贞昌、游锡堃、吴钊燮等极少数“台独”顽固分子极力煽动两岸对立、恶意攻击诬蔑大陆、谋“独”言行恶劣、勾连外部势力分裂国家，严重破坏两岸关系，严重危害台海和平稳定，严重损害两岸同胞共同利益和中华民族根本利益。大陆方面依法对清单在列的上述“台独”顽固分子实施惩戒，禁止其本人及家属进入大陆和香港、澳门特别行政区，限制其关联机构与大陆有关组织、个人进行合作，绝不允许其关联企业和金主在大陆谋利，以及采取其它必要的惩戒措施。_x000a__x000a_　　有记者问，有媒体报道称，大陆方面正在研究针对“台独”顽固分子的惩戒措施，请问是否属实？朱凤莲在答问时作上述表示。_x000a__x000a_　　她指出，我们正告此类“台独”顽固分子，凡是数典忘祖、背叛祖国、分裂国家的人，从来没有好下场，必将遭到人民的唾弃和历史的审判。大陆方面将依法对“台独”顽固分子追究刑事责任，终身有效。"/>
    <m/>
    <s v="Full Text Chinese (Taiwan Affairs Office)"/>
    <m/>
    <m/>
    <m/>
    <m/>
    <m/>
    <m/>
    <m/>
  </r>
  <r>
    <x v="86"/>
    <s v="Fines on Taiwanese conglomerate Far Eastern Group, known as major donor to Taiwan’s Democratic Progressive Party, for alleged violations of tax, environmental, and safety regulations, following tensions regarding the orientation of Taiwanese policy under Tsai Ing-wen, including efforts to strengthen relations with the U.S., Japan, and European states such as Lithuania"/>
    <x v="0"/>
    <s v="Actions of the Taiwanese Government"/>
    <x v="3"/>
    <s v="o Domestic law: Mainland authorities charged companies owned by Taiwanese conglomerate Far Eastern Group_x000a_numerous fines, totalling approximately $US 75 million, for alleged violations of different domestic laws at their factories in China, including tax rules, environmental protection laws, and fire safety and other employee safety regulations.330 Far Eastern Group known to be a major donor to Taiwan’s Democratic Progressive Party.331 Shortly afterwards, Far Eastern Chairman Douglas Hsu penned a letter to Taiwan’s United Daily News in which he wrote “I have always opposed Taiwan independence”.332"/>
    <s v="Conversion"/>
    <x v="0"/>
    <s v="Tax rules, environmental protection laws, and fire safety and other employee safety regulations"/>
    <s v="N/A"/>
    <s v="N/A"/>
    <s v="Taiwan (Asia &amp; Oceania)"/>
    <s v="N/A"/>
    <m/>
    <s v="Trigger: Ongoing tensions regarding the orientation of Taiwanese policy under Tsai-ing Wen, including efforts to strengthen relations with the US, Japan and European states (such as Lithuania).327_x000a__x000a_Explanation: Officials denied the measures were retaliatory. The pineapple restriction was described as “a normal biosafety precaution in line with China's laws, regulations and standards”.339 The sugar and wax apple restrictions were also said to be in accordance with ‘laws, regulations and standards’ and necessary for phytosanitary protection.340 Zhu Fenglian, spokesperson for the Taiwan Affairs Office of the State Council, rejected allegations the treatment of Far Eastern Group companies was politically motivated and emphasised they were “punished in accordance with the law” and “based on the facts”, although curiously added that &quot;Taiwan independence’ stubborn elements...affiliates and financial backers must be punished.”.341"/>
    <m/>
    <m/>
    <s v="Victor's data"/>
    <m/>
    <m/>
    <m/>
    <m/>
    <m/>
    <m/>
    <m/>
  </r>
  <r>
    <x v="87"/>
    <s v="Cancellation of Lithuanian cultural events in China, suspension of visa issuance to Lithuanians due to “technical reasons,” and difficulties for Lithuanian entities in obtaining financial services from Chinese institutions, following Lithuania’s deepening ties with Taiwan, including the opening of a Taiwanese Representative Office in Lithuania"/>
    <x v="0"/>
    <s v="Foreign Support for Taiwan"/>
    <x v="3"/>
    <s v="o Cancellation of Lithuanian cultural events within China.348_x000a_o Suspension of visa issuance to Lithuanians due to ‘technical reasons’.349_x000a__x000a_o Lithuanian entities also reported to experience difficulty obtaining financial services (such as credit insurance_x000a_for trading) from entities in China.356"/>
    <s v="Blacklist; Bureaucratic Obstruction"/>
    <x v="0"/>
    <s v="N/A"/>
    <s v="N/A"/>
    <s v="N/A"/>
    <s v="Lithuania (Europe)"/>
    <s v="Entertainment; Finance"/>
    <m/>
    <s v="Trigger: Lithuania’s departure from the 17+1 ‘Cooperation between China and Central and Eastern European Countries’ initiative (May 2021) and opening of Taiwanese Representative Office in Lithuania (November 2021)._x000a__x000a_Explanation: Chinese officials denied occurrence of trade disruption and any links between irregularities and the state of China- Lithuania relations.363 For example, FMA spokesman Zhao Lijian on 22 December 2021: “The Lithuanian side bears the sole responsibility for the severe difficulties in China-Lithuania relations. The claim that China’s authorities “are not clearing Lithuanian shipments” and that “they are rejecting import applications from Lithuania” is not true. If companies face technical problems in exporting certain products to China, they can report to competent Chinese authorities through normal channels ... China doesn’t bully or wantonly sanction others, wield long-arm jurisdiction or suppress foreign businesses. How can anyone accuse it of coercion?”.364_x000a_Annotation(s): Restrictions were initially only imposed via blacklists and bureaucratic obstruction. After the EU filed a case in the WTO, conversion began. Some have interpreted this as an effort “to strengthen [China’s] very thin legal basis for actions taken against Vilnius”.365"/>
    <m/>
    <m/>
    <s v="Victor's data"/>
    <m/>
    <m/>
    <m/>
    <m/>
    <m/>
    <m/>
    <m/>
  </r>
  <r>
    <x v="88"/>
    <s v="Boycott movement against Intel and Walmart for ending sourcing from Xinjiang"/>
    <x v="1"/>
    <s v="Xinjiang"/>
    <x v="4"/>
    <s v="On Friday, CCDI accused H&amp;M, Intel, and Sam’s Club of collaborating with “western anti-China forces” to destabilize Xinjiang by suppressing and boycotting products from the region._x000a__x000a_“These Western companies, which once boasted that they were free from political interference, have slapped themselves in the face with their own actions.”_x000a__x000a_China’s anti-graft agency on Friday accused Walmart of “stupidity and shorted-sightedness” after reports that its membership-based chain Sam’s Club had removed Xinjiang-sourced products from stores._x000a__x000a_Last week, Sam’s Club came under fire in China after several news outlets shared videos and screenshots on the Weibo social media platform that they said showed products from the far-western Chinese region of Xinjiang had been removed from the store’s online app._x000a__x000a_The social media row erupted after U.S. President Joe Biden signed into law on Dec. 23 legislation banning imports from Xinjiang over concern about forced labor there."/>
    <s v="Boycott Fomentation"/>
    <x v="0"/>
    <s v="N/A"/>
    <s v="N/A"/>
    <s v="Intel; Walmart"/>
    <s v="United States (North America)"/>
    <s v="Food &amp; Beverage; Consumer Goods; Semiconductors "/>
    <m/>
    <s v="State encouragement from the CCDI against Intel, H&amp;M and Sam's Club (Walmart)."/>
    <m/>
    <m/>
    <s v="Reporting (Guardian)"/>
    <s v="Reporting (CNBC)"/>
    <m/>
    <m/>
    <m/>
    <m/>
    <m/>
    <m/>
  </r>
  <r>
    <x v="89"/>
    <s v="Pressure on multinational firms to exclude Lithuanian inputs from supply chains or face exclusion from the Chinese market, targeting industries such as automotive components, textiles, and telecommunications, following Lithuania’s deepening ties with Taiwan, including the opening of a Taiwanese Representative Office in Lithuania"/>
    <x v="0"/>
    <s v="Foreign Support for Taiwan"/>
    <x v="1"/>
    <s v="&quot;But I can reveal that the pressure on Lithuania is much worse than reported. Thermo Fisher Scientific, the country’s flagship foreign investor, has been told that its operations in mainland China are at risk if the government in Vilnius does not back down. Together with other Chinese sanctions, this could potentially cost Lithuania 2.5% of GDP, or more than €1billion,&quot; (Edward Lucas)_x000a__x000a_&quot;Lithuanian officials told me that, in addition to widely reported steps to halt rail traffic and eliminate food export permits, China had closed a facility that grants Lithuanian importers interest-free three-month credits and closed the Hong Kong bank accounts of a leading Lithuanian telecommunications firm.&quot; (Noah Barkin, Watching China in Europe)_x000a__x000a_o Reports indicate Chinese officials told multinational firms359 to ‘sever ties’ with Lithuanian suppliers, or be excluded from the mainland market.360 This initiative appears to have targeted firms that produced goods that included Lithuanian inputs (such as automotive components) and then exported them to the Chinese market,361 as well as firms that had goods (eg, textiles) manufactured in Lithuania before selling them to third markets.362"/>
    <s v="Blacklist"/>
    <x v="0"/>
    <s v="N/A"/>
    <s v="N/A"/>
    <s v="Continental; Thermo Fisher Scientific"/>
    <s v="Lithuania (Europe)"/>
    <s v="Transportation; Consumer Goods"/>
    <s v="Automotive components, textiles, telecommunications"/>
    <s v="This seems more like an extraterritorial attempt to make multinational firms withdraw from Lithuania than an import control. The mechanism used is threatening to not import through the multinational firms, but the restriction imposed is in practice a transactional ban, like an extraterritorial targeted sanction almost. I think its fine to code like import control for now but maybe something to think about in the future._x000a__x000a_Trigger: Lithuania’s departure from the 17+1 ‘Cooperation between China and Central and Eastern European Countries’ initiative (May 2021) and opening of Taiwanese Representative Office in Lithuania (November 2021)._x000a__x000a_Explanation: Chinese officials denied occurrence of trade disruption and any links between irregularities and the state of China- Lithuania relations.363 For example, FMA spokesman Zhao Lijian on 22 December 2021: “The Lithuanian side bears the sole responsibility for the severe difficulties in China-Lithuania relations. The claim that China’s authorities “are not clearing Lithuanian shipments” and that “they are rejecting import applications from Lithuania” is not true. If companies face technical problems in exporting certain products to China, they can report to competent Chinese authorities through normal channels ... China doesn’t bully or wantonly sanction others, wield long-arm jurisdiction or suppress foreign businesses. How can anyone accuse it of coercion?”.364_x000a_Annotation(s): Restrictions were initially only imposed via blacklists and bureaucratic obstruction. After the EU filed a case in the WTO, conversion began. Some have interpreted this as an effort “to strengthen [China’s] very thin legal basis for actions taken against Vilnius”.365"/>
    <m/>
    <m/>
    <s v="Reporting (Edward Lucas)"/>
    <s v="Reporting (Noah Barkin)"/>
    <s v="Reporting (Reuters)"/>
    <m/>
    <m/>
    <m/>
    <m/>
    <m/>
  </r>
  <r>
    <x v="90"/>
    <s v="Sanctions on Officials of the United States Commission on International Religious Freedom (USCIRF) in Response to US Xinjiang Sanctions"/>
    <x v="1"/>
    <s v="Xinjiang"/>
    <x v="5"/>
    <s v="China has decided to take reciprocal countermeasures in accordance with the Anti-Foreign Sanctions Law of the People’s Republic of China. Effective today, China will take countermeasures against Chair Nadine Maenza, Vice Chair Nury Turkel, Commissioner Anurima Bhargava and Commissioner James W. Carr of the United States Commission on International Religious Freedom (USCIRF). These individuals are prohibited from entering the mainland, Hong Kong and Macao of China. Their assets in China will be frozen, and Chinese citizens and institutions will be prohibited from doing business with them. "/>
    <s v="Formal"/>
    <x v="1"/>
    <s v="Anti-Foreign Sanctions Law"/>
    <s v="Nadine Maenza; Nury Turkel; Anurima Bhargava; James W. Carr"/>
    <s v="N/A"/>
    <s v="United States (North America)"/>
    <s v="Public Sector; Academia &amp; Civil Society"/>
    <s v="N/A"/>
    <m/>
    <m/>
    <s v="CCTV: On December 10, the US Department of State and Department of the Treasury announced sanctions on four Chinese officials citing “human rights abuse” in Xinjiang pursuant to its domestic law. Does China have any comment on that?_x000a__x000a_Zhao Lijian: The US imposed illegal sanctions on Chinese officials under the pretext of so-called human rights issue in Xinjiang in accordance with its domestic law. Such action seriously interferes in China’s internal affairs, seriously violates basic norms governing international relations and seriously undermines China-US relations. China firmly opposes and strongly condemns this._x000a__x000a_In response to the above-mentioned erroneous practice of the US side, China has decided to take reciprocal countermeasures in accordance with the Anti-Foreign Sanctions Law of the People’s Republic of China. Effective today, China will take countermeasures against Chair Nadine Maenza, Vice Chair Nury Turkel, Commissioner Anurima Bhargava and Commissioner James W. Carr of the United States Commission on International Religious Freedom (USCIRF). These individuals are prohibited from entering the mainland, Hong Kong and Macao of China. Their assets in China will be frozen, and Chinese citizens and institutions will be prohibited from doing business with them. _x000a__x000a_It must be pointed out that Xinjiang affairs are purely China’s internal affairs and the US has no right and is in no position to interfere. The US should lift the so-called sanctions and stop interfering in Xinjiang affairs and China’s other internal affairs. China will make further response as the situation evolves."/>
    <s v="Full Text English (MFA)"/>
    <m/>
    <m/>
    <m/>
    <m/>
    <m/>
    <m/>
    <m/>
  </r>
  <r>
    <x v="91"/>
    <s v="Restrictions on Taiwanese fish imports and destruction of mango shipments, citing chemical contamination and COVID-19 concerns, following ongoing tensions regarding the orientation of Taiwanese policy under Tsai Ing-wen, including efforts to strengthen relations with the U.S., Japan, and European states such as Lithuania"/>
    <x v="0"/>
    <s v="Actions of the Taiwanese Government"/>
    <x v="1"/>
    <s v="o SPS: Grouper: In early January 2022 the export licenses (for all fish) of two Taiwanese companies were suspended after Xiamen Customs allegedly detected banned substances (leucomalachite green and leuco crystal violet) in their shipments of grouper.333 Taiwanese authorities were unable to detect any issues during investigations of the affected companies.334 On June 13 2022 Chinese officials suspended all grouper imports, citing “repeated detection of banned chemicals and excessive levels of oxytetracycline in the fish”.335_x000a__x000a_o SPS: Frozen white ribbon fish: On June 10 2022 Chinese officials banned imports from one Taiwanese company for a week, citing the detection of COVID-19 on the packaging of their ribbon fish.336_x000a_o SPS: Frozen horse mackerel: In late June 2022, Chinese officials banned imports from another Taiwanese company for a week, citing the detection of COVID-19 on the packaging of their horse mackerel.337_x000a_o SPS: Mango: On 29 June 2022 Chinese officials destroyed 20 shipments containing 100 kilograms of mango after allegedly discovering traces of COVID-19.338"/>
    <s v="Conversion"/>
    <x v="0"/>
    <s v="Food safety regulations"/>
    <s v="N/A"/>
    <s v="N/A"/>
    <s v="Taiwan (Asia &amp; Oceania)"/>
    <s v="Food &amp; Beverage; Agriculture"/>
    <m/>
    <s v="Trigger: Ongoing tensions regarding the orientation of Taiwanese policy under Tsai-ing Wen, including efforts to strengthen relations with the US, Japan and European states (such as Lithuania).327_x000a__x000a_Explanation: Officials denied the measures were retaliatory. The pineapple restriction was described as “a normal biosafety precaution in line with China's laws, regulations and standards”.339 The sugar and wax apple restrictions were also said to be in accordance with ‘laws, regulations and standards’ and necessary for phytosanitary protection.340 Zhu Fenglian, spokesperson for the Taiwan Affairs Office of the State Council, rejected allegations the treatment of Far Eastern Group companies was politically motivated and emphasised they were “punished in accordance with the law” and “based on the facts”, although curiously added that &quot;Taiwan independence’ stubborn elements...affiliates and financial backers must be punished.”.341"/>
    <m/>
    <m/>
    <s v="Victor's data"/>
    <m/>
    <m/>
    <m/>
    <m/>
    <m/>
    <m/>
    <m/>
  </r>
  <r>
    <x v="92"/>
    <s v="Foreign Ministry Spokesperson Announces China's Sanctions Against Lithuanian Deputy Minister of Transport and Communications Vaiciukevičiūtė, Following Taiwan Visit"/>
    <x v="0"/>
    <s v="Foreign Support for Taiwan"/>
    <x v="5"/>
    <s v="China decides to adopt sanctions on Vaiciukevičiūtė, to suspend all forms of exchange with the Ministry of Transport and Communications of Lithuania, and to suspend exchange and cooperation with Lithuania in the field of international road transport."/>
    <s v="Formal"/>
    <x v="1"/>
    <s v="N/A"/>
    <s v="Agnė Vaiciukevičiūtė"/>
    <s v="Ministry of Transport and Communications of Lithuania"/>
    <s v="Lithuania (Europe)"/>
    <s v="Public Sector; Transportation"/>
    <s v="Lithuania's international road transport activities"/>
    <m/>
    <s v="外交部发言人宣布中方针对立陶宛交通与通讯部副部长瓦伊丘凯维丘特实施制裁_x000a_2022-08-12 19:20_x000a__x000a_立陶宛交通与通讯部副部长瓦伊丘凯维丘特窜访中国台湾地区，践踏一个中国原则，严重干涉中国内政，损害中国主权和领土完整。针对瓦伊丘凯维丘特恶劣挑衅行径，中方决定：对瓦伊丘凯维丘特采取制裁措施；暂停同立交通与通讯部任何形式的交往，暂停同立国际道路运输领域交流合作。"/>
    <s v="Foreign Ministry Spokesperson Announces China’s Sanctions on Lithuanian Deputy Minister of Transport and Communications Agnė Vaiciukevičiūtė_x000a_2022/08/12 19:26_x000a_Deputy Minister of Transport and Communications of Lithuania Agnė Vaiciukevičiūtė visited China’s Taiwan region. The visit tramples on the one-China principle, seriously interferes in China’s internal affairs, and undermines China’s sovereignty and territorial integrity. In response to the egregious and provocative act of Vaiciukevičiūtė, China decides to adopt sanctions on Vaiciukevičiūtė, to suspend all forms of exchange with the Ministry of Transport and Communications of Lithuania, and to suspend exchange and cooperation with Lithuania in the field of international road transport."/>
    <s v="Full Text Chinese (MFA)"/>
    <m/>
    <m/>
    <m/>
    <m/>
    <m/>
    <m/>
    <m/>
  </r>
  <r>
    <x v="93"/>
    <s v="Suspension of natural sand exports to Taiwan following U.S. Speaker of the House Nancy Pelosi’s visit to Taiwan"/>
    <x v="0"/>
    <s v="Foreign Support for Taiwan"/>
    <x v="0"/>
    <s v="The Ministry of Commerce (MOC) has decided to suspend the export of natural sand to Taiwan in accordance with relevant laws and regulations, a spokesperson said on Wednesday. The relevant measures will take effect from August 3, 2022."/>
    <s v="Conversion"/>
    <x v="0"/>
    <s v="&quot;relevant laws and regulations&quot;"/>
    <s v="N/A"/>
    <s v="N/A"/>
    <s v="Taiwan (Asia &amp; Oceania)"/>
    <s v="Raw Materials"/>
    <s v="Sand"/>
    <s v="Announcement made the day Pelosi visited Taiwan."/>
    <s v="商务部回应暂停天然砂对台湾地区出口_x000a_2022-08-03 17:02 来源：新华网_x000a_　　新华社北京8月3日电 商务部新闻发言人3日表示，根据相关法律规定，决定暂停天然砂对台湾地区出口。相关措施自2022年8月3日起实施。_x000a__x000a_　　商务部新闻发言人在回答关于对台湾地区出口天然砂政策是否有调整的记者提问时作出上述回应。"/>
    <m/>
    <s v="Full Text Chinese (MOFCOM)"/>
    <m/>
    <m/>
    <m/>
    <m/>
    <m/>
    <m/>
    <m/>
  </r>
  <r>
    <x v="93"/>
    <s v="Broad restrictions on imports from Taiwan, including suspensions of food and beverage products, seafood, and citrus fruits, citing regulatory and labeling issues, following U.S. Speaker of the House Nancy Pelosi’s visit to Taiwan"/>
    <x v="0"/>
    <s v="Foreign Support for Taiwan"/>
    <x v="1"/>
    <s v="• Informal—Conversion [6]:_x000a_o TBT: GACC suspended imports from a wide range of food companies. Reporting varies on the number of_x000a_companies affected. Some note that imports were listed as ‘suspended’ from 2,066 of the 3,200 Taiwanese companies registered under ‘food’,396 while others put the figure at 180 food companies and more than 100 food products (particularly including biscuits, pastries, and bread) being suspended.397 The reason given by GACC was failure to renew registration with customs as required under ‘Administrative Provisions on Registration of Overseas Manufacturers of Imported Foods (Decree No. 248)’ [248 號《中華人⺠共和國進口食品境外生產企_x000a_業註冊管理規定》].398_x000a_o TBT: Reports emerged that Taiwanese shipments to China were being rejected for labelling issues regarding the_x000a_“Taiwan Area, China” (中國台灣地區) requirement that caused issues during Case 2.33 in 2019.399_x000a_o SPS: GACC suspended imports of citrus fruits (grapefruit, lemons, oranges and others), chilled white striped hairtail and frozen horse mackerel from August 3, citing positive COVID-19 tests for the latter two and the detection of pests and excessive residues for the former.400 Note these products were also disrupted in Case 2.39._x000a__x000a_o TBT: Seafood Products: On December 8, GACC suspended imports of seafood from 178 Taiwanese producers,_x000a_citing failure to comply with documentation requirements necessitated by Decree No. 248 (as discussed above).403 Reports suggested that the products most affected were squid, fourfinger threadfin, Pacific saury, and_x000a_skipjack tuna.404_x000a_o TBT: Alcoholic and other beverages: On 9 December, GACC announced the suspension of imports of eleven_x000a_alcoholic beverages, including Taiwan Beer (produced by the state-owned Taiwan Tobacco and Liquor Corporation) and Kinmen Kaoliang (owned by the Kinmen County Government), and 123 of the 354 beverages registered by Taiwanese traders for export to China.405 The restrictions on beverages were also apparently due to failure to comply with documentation requirements arising from Decree No. 248, though many Taiwanese firms disputed the alleged violations.406_x000a_Since last year, mainland customs has repeatedly detected quarantine pests - Planococcus minor, as well as excessive residues of fenthion and dimethoate in citrus fruits exported from Taiwan to the mainland. In June this year, COVID-19 nucleic acid was detected on the packaging of fresh white hairtail and frozen horse mackerel exported from Taiwan to the mainland. In order to prevent risks, in accordance with relevant mainland laws, regulations and standards, it is decided to suspend the import of citrus fruits and fresh white hairtail and frozen horse mackerel from Taiwan to the mainland from August 3, 2022."/>
    <s v="Conversion"/>
    <x v="0"/>
    <s v="&quot;in accordance with relevant mainland laws, regulations and standards&quot;"/>
    <s v="N/A"/>
    <s v="N/A"/>
    <s v="Taiwan (Asia &amp; Oceania)"/>
    <s v="Food &amp; Beverage; Agriculture"/>
    <s v="Biscuits, pastries, bread, citrus fruits (grapefruit, lemons, oranges), chilled white striped hairtail, frozen horse mackerel, seafood (squid, fourfinger threadfin, Pacific saury, skipjack tuna), alcoholic beverages (Taiwan Beer, Kinmen Kaoliang), other beverages"/>
    <s v="Announcement made the day Pelosi visited Taiwan."/>
    <s v="海关总署动植物检疫司 进出口食品安全局关于暂停台湾地区柑橘类水果和冰鲜白带鱼、冻竹荚鱼输入大陆的通知_x000a_动植检函〔2022〕34号_x000a_广东分署，各直属海关：_x000a__x000a_　　去年以来，大陆海关多次从台湾地区输大陆柑橘类水果中检出检疫性有害生物——大洋臀纹粉蚧Planococcus minor，以及倍硫磷和乐果残留超标；今年6月，从台湾地区输大陆冰鲜白带鱼和冻竹荚鱼包装上检出新冠病毒核酸阳性。为防范风险，依据大陆相关法律法规和标准，兹决定自2022年8月3日起暂停台湾地区柑橘类水果和冰鲜白带鱼、冻竹荚鱼输入大陆。_x000a__x000a_　　各海关自2022年8月3日起暂停受理台湾地区柑橘类水果和冰鲜白带鱼、冻竹荚鱼报关，并及时将上述情况通知辖区内相关企业。_x000a__x000a_　　特此通知。_x000a__x000a_　　_x000a__x000a_　　动植检司_x000a__x000a_　　2022年8月3日"/>
    <m/>
    <s v="Full Text Chinese (Customs)"/>
    <m/>
    <m/>
    <m/>
    <m/>
    <m/>
    <m/>
    <m/>
  </r>
  <r>
    <x v="93"/>
    <s v="Taiwan Affairs Office Sanctions on Taiwan Foundation for Democracy and Other Institutions Linked to 'Staunch Taiwan Independence Separatists'"/>
    <x v="0"/>
    <s v="Foreign Support for Taiwan"/>
    <x v="5"/>
    <s v="The mainland has decided to take disciplinary measures against the above-mentioned foundations, prohibiting them from cooperating with mainland organizations, enterprises, and individuals, and punishing organizations, enterprises, and individuals that provide funding or services to the above-mentioned foundations in accordance with the law, and taking other necessary measures. Mainland organizations, enterprises, and individuals are prohibited from conducting any transactions or cooperation with Xuande Energy, Lingwang Technology, Tianliang Medical, Tianyan Satellite Technology and other companies that have donated to the above-mentioned foundations, and the heads of relevant companies are prohibited from entering the country."/>
    <s v="Formal"/>
    <x v="1"/>
    <s v="N/A"/>
    <s v="N/A"/>
    <s v="Taiwan Foundation for Democracy (台湾民主基金会); Taiwan International Cooperation and Development Fund (国际合作发展基金会); Speedtech Energy (宣德能源); Hyweb Technology (凌网科技); Skyla Corporation (天亮医疗); SkyEyes GPS Technology (天眼卫星科技)"/>
    <s v="Taiwan (Asia &amp; Oceania)"/>
    <s v="Academia &amp; Civil Society; Energy; ICT; Health; Other Electronics"/>
    <s v="N/A"/>
    <s v="Hints at extraterritoriality: &quot;The mainland has decided to take disciplinary measures against the above-mentioned foundations, ... and punishing organizations, enterprises, and individuals that provide funding or services to the above-mentioned foundations in accordance with the law, and taking other necessary measures.&quot;_x000a__x000a_Sanctions on Skyla ended 2023-07-13, according to OpenSanctions."/>
    <s v="国台办宣布对“台独”顽固分子关联机构予以惩戒_x000a_2022-08-03 09:06 来源：新华网_x000a_　　新华社北京8月3日电 国台办发言人马晓光8月3日表示，“台独”顽固分子关联机构“台湾民主基金会”、“国际合作发展基金会”打着“民主”和“合作发展”的幌子，在国际上大肆从事“台独”分裂活动，极力拉拢贴靠外部反华势力，攻击抹黑大陆，以金钱等为诱饵拓展台所谓“国际空间”，企图破坏国际社会一个中国格局。大陆方面决定对上述基金会采取惩戒措施，禁止其与大陆组织、企业、个人合作，依法惩治为上述基金会提供资助或服务的组织、企业、个人，以及采取其他必要措施。禁止大陆组织、企业、个人与为上述基金会捐款的宣德能源、凌网科技、天亮医疗、天眼卫星科技等企业进行任何交易、合作，禁止有关企业负责人入境。"/>
    <m/>
    <s v="Full Text Chinese (Taiwan Affairs Office)"/>
    <m/>
    <m/>
    <m/>
    <m/>
    <m/>
    <m/>
    <m/>
  </r>
  <r>
    <x v="94"/>
    <s v="Foreign Ministry Spokesperson Announces China's Sanctions on U.S. House Speaker Pelosi"/>
    <x v="0"/>
    <s v="Foreign Support for Taiwan"/>
    <x v="5"/>
    <s v="In response to Pelosi's vile provocative behavior, China has decided to impose sanctions on Pelosi and her immediate family members in accordance with the relevant laws of the People's Republic of China."/>
    <s v="Formal"/>
    <x v="1"/>
    <s v="&quot;in accordance with the relevant laws&quot;"/>
    <s v="Nancy Pelosi"/>
    <s v="N/A"/>
    <s v="United States (North America)"/>
    <s v="Public Sector"/>
    <s v="N/A"/>
    <m/>
    <s v="外交部发言人宣布中方对美国国会众议长佩洛西实施制裁_x000a_2022-08-05 16:15_x000a__x000a_【中大小】 打印 _x000a_美国国会众议长佩洛西不顾中方严重关切和坚决反对执意窜台，严重干涉中国内政，严重损害中国主权和领土完整，严重践踏一个中国原则，严重威胁台海和平稳定。针对佩洛西恶劣挑衅行径，中方决定，根据中华人民共和国有关法律，对佩洛西及其直系亲属采取制裁措施。"/>
    <m/>
    <s v="Full Text Chinese (MFA)"/>
    <m/>
    <m/>
    <m/>
    <m/>
    <m/>
    <m/>
    <m/>
  </r>
  <r>
    <x v="95"/>
    <s v="Taiwan Affairs Office Announces Sanctions on Staunch 'Taiwan Independence' Separatists and Related Individuals"/>
    <x v="0"/>
    <s v="Actions of the Taiwanese Government"/>
    <x v="5"/>
    <s v="The spokesperson said that in order to safeguard the peaceful development of cross-strait relations and the vital interests of compatriots on both sides of the strait and resolutely crack down on &quot;Taiwan independence&quot; diehards, it has been decided to announce Hsiao Mei-chin, Gu Li-hsiung, Tsai Chi-chang, Ke Jian-ming, Lin Fei-fan, Chen Jia-hua, Wang Ding-yu and others as &quot;Taiwan independence&quot; diehards on the list, and take the following disciplinary measures against them and the previously announced Su Zhen-chang, You Si-kun and Wu Zhaoxie: prohibiting them and their families from entering the mainland and the Hong Kong and Macao Special Administrative Regions, restricting their affiliated institutions from cooperating with relevant organizations and individuals on the mainland, and never allowing their affiliated companies and financiers to make profits on the mainland, and taking other necessary disciplinary measures, and holding them accountable for life in accordance with the law. It has been decided to impose sanctions on the CEO of the &quot;Taiwan Foundation for Democracy&quot; chaired by You Si-kun and the Secretary-General of the &quot;International Cooperation and Development Foundation&quot; chaired by Wu Zhaoxie, prohibiting them from entering the mainland and the Hong Kong and Macao Special Administrative Regions._x000a__x000a_　　The spokesperson pointed out that reunification is the general trend of history and the right path. &quot;Taiwan independence&quot; is a historical countercurrent and a dead end. The list of &quot;Taiwan independence&quot; diehards announced today is not the entire list. We warn the &quot;Taiwan independence&quot; diehards to stop before it is too late. If they dare to test the law, they will be severely punished."/>
    <s v="Formal"/>
    <x v="1"/>
    <s v="N/A"/>
    <s v="Hsiao Bi-khim (萧美琴); Koo Li-hsiung (顾立雄); Tsai Chi-chang (蔡其昌); Ker Chien-ming (柯建铭); Lin Fei-fan (林飞帆); Chen Jiau-hua (陈椒华); Wang Ting-yu (王定宇); Su Tseng-chang (苏贞昌); You Si-kun (游锡堃); Joseph Wu (吴钊燮); CEO of the Taiwan Foundation for Democracy; Secretary-General of the Taiwan International Cooperation and Development Foundation"/>
    <s v="N/A"/>
    <s v="Taiwan (Asia &amp; Oceania)"/>
    <s v="Public Sector; Academia &amp; Civil Society"/>
    <s v="N/A"/>
    <s v="Reiterates sanctions against Joseph Wu and two others. Also imposes sanctions specifically on CEO and general-secretary position of Taiwan Democracy Foundation and development agency."/>
    <s v="中共中央台办发言人受权宣布对列入清单的一批“台独”顽固分子等人员实施制裁_x000a_2022-08-16 10:23 来源：新华网_x000a_　　新华社北京8月16日电 中共中央台办发言人16日受权宣布对列入清单的一批“台独”顽固分子等人员实施制裁。_x000a__x000a_　　发言人指出，“台独”分裂是祖国统一的最大障碍，是民族复兴的严重隐患。一段时期以来，少数“台独”顽固分子为一己之私，极力勾连外部势力进行谋“独”挑衅，蓄意挑动两岸对立，肆意破坏台海和平稳定，在佩洛西窜台期间表现尤为恶劣，进一步暴露其冥顽不化的谋“独”本性。大陆方面绝不容忍任何分裂国家的行径，绝不容任何外部势力干涉祖国统一进程，绝不为任何形式的“台独”分裂活动留下任何空间。_x000a__x000a_　　发言人说，为维护两岸关系和平发展和两岸同胞切身利益、坚决打击“台独”顽固分子，决定公布萧美琴、顾立雄、蔡其昌、柯建铭、林飞帆、陈椒华、王定宇等为列入清单的“台独”顽固分子，对他们及前已公布的苏贞昌、游锡堃、吴钊燮采取以下惩戒措施：禁止其本人及家属进入大陆和香港、澳门特别行政区，限制其关联机构与大陆有关组织、个人进行合作，绝不允许其关联企业和金主在大陆谋利，以及采取其它必要的惩戒措施，依法终身追责。决定对游锡堃担任董事长的“台湾民主基金会”的执行长、吴钊燮担任董事长的“国际合作发展基金会”的秘书长实施制裁，禁止其进入大陆和香港、澳门特别行政区。_x000a__x000a_　　发言人指出，统一是历史大势，是正道。“台独”是历史逆流，是绝路。今天公布的“台独”顽固分子名单，不是清单的全部。我们正告“台独”顽固分子必须悬崖勒马，胆敢以身试法，必将遭受严厉惩罚。任何人不要低估我们捍卫国家主权和领土完整的坚强决心、坚定意志、强大能力！我们希望广大台湾同胞认清极少数“台独”分裂分子的害台本性，看清自身利益福祉所系，自觉与“台独”分裂分子划清界线，坚决抵制、反对“台独”分裂活动，与大陆同胞携手推动两岸关系和平发展，推进祖国统一进程。"/>
    <m/>
    <s v="Full Text Chinese (Taiwan Affairs Office)"/>
    <m/>
    <m/>
    <m/>
    <m/>
    <m/>
    <m/>
    <m/>
  </r>
  <r>
    <x v="96"/>
    <s v="Decision on taking counter-sanctions against Yu Maochun and Todd Stein"/>
    <x v="1"/>
    <s v="Tibet/Dalai Lama"/>
    <x v="5"/>
    <s v="China has decided to take the following counter-sanction measures against Yu Maochun, Todd Stein and other individuals listed in the attached &quot;Counter-Sanctions List&quot;:_x000a__x000a_　　1. Freeze movable property, immovable property and other types of property within the territory of my country;_x000a__x000a_　　2. Prohibit organizations and individuals within the territory of my country from engaging in relevant transactions with them;_x000a__x000a_　　3. Visas will not be issued to the person and his/her immediate family members, and entry will not be permitted."/>
    <s v="Formal"/>
    <x v="1"/>
    <s v="Anti-Foreign Sanctions Law (Articles 4, 5 and 6)"/>
    <s v="Yu Maochun; Todd Stein"/>
    <s v="N/A"/>
    <s v="United States (North America)"/>
    <s v="Public Sector"/>
    <s v="N/A"/>
    <m/>
    <s v="关于对余茂春、托德·斯坦恩采取反制裁措施的决定_x000a_2022-12-23 08:00_x000a__x000a_【中大小】 打印 _x000a_中华人民共和国外交部令_x000a__x000a_第 4 号_x000a__x000a_　　现公布《关于对余茂春、托德·斯坦恩采取反制裁措施的决定》，自2022年12月23日起施行。_x000a__x000a_部  长　王  毅_x000a__x000a_2022年12月23日_x000a__x000a__x000a__x000a_关于对余茂春、托德·斯坦恩采取反制裁措施的决定_x000a__x000a_　　12月9日，美方借口所谓“西藏人权”问题，对两名中方官员进行非法制裁。依据《中华人民共和国反外国制裁法》第四条、第五条、第六条规定，中方决定对余茂春、托德·斯坦恩等后附《反制裁清单》列明的个人采取以下反制裁措施：_x000a__x000a_　　一、冻结在我国境内的动产、不动产和其他各类财产；_x000a__x000a_　　二、禁止我国境内的组织、个人与其进行有关交易活动；_x000a__x000a_　　三、对其本人及直系亲属不予签发签证、不准入境。_x000a__x000a_　　本决定自2022年12月23日起施行。_x000a__x000a_　　附件：反制裁清单_x000a__x000a_外交部_x000a__x000a_2022年12月23日_x000a__x000a__x000a__x000a_附件_x000a__x000a_反制裁清单_x000a__x000a_　　一、余茂春，男_x000a__x000a_　　二、托德·斯坦恩（Todd Stein），男"/>
    <m/>
    <s v="Full Text Chinese (MFA)"/>
    <m/>
    <m/>
    <m/>
    <m/>
    <m/>
    <m/>
    <m/>
  </r>
  <r>
    <x v="97"/>
    <s v="Announcement of the Working Mechanism of the Unreliable Entity List on the inclusion of Lockheed Martin and Raytheon Missiles &amp; Defense in the Unreliable Entity List, following U.S. arms sales to Taiwan"/>
    <x v="0"/>
    <s v="Arms Sales to Taiwan"/>
    <x v="5"/>
    <s v="_x000a_1. The above-mentioned enterprises are prohibited from engaging in import and export activities related to China;_x000a__x000a_2. Prohibit the above-mentioned enterprises from making new investments in China;_x000a__x000a_3. Prohibit entry of senior management personnel of the above-mentioned enterprises;_x000a__x000a_4. Not approving and canceling the work permit, stay and residence qualification in China of the above-mentioned senior executives of the enterprises;_x000a__x000a_5. The above-mentioned enterprises shall be fined twice the amount of their arms sales contracts to Taiwan since the implementation of the &quot;Regulations on the Unreliable Entity List&quot;. The above-mentioned enterprises shall pay the fines in accordance with relevant laws and regulations within 15 days from the date of publication of this announcement. If they fail to comply with this decision within the time limit, the Unreliable Entity List Working Mechanism will take measures such as additional fines in accordance with the law."/>
    <s v="Formal"/>
    <x v="1"/>
    <s v="Unreliable Entity List_x000a__x000a_Foreign Trade Law;_x000a_National Security Law;_x000a_Article 2, Article 8 and Article 10 of the Unreliable Entity List Regulations"/>
    <s v="N/A"/>
    <s v="Lockheed Martin; Raytheon Missiles &amp; Defense"/>
    <s v="United States (North America)"/>
    <s v="Defense"/>
    <m/>
    <s v="Is this a &quot;sanction&quot; or &quot;restriction on foreign business in China&quot;? It is a peculiar set of restrictions: _x000a__x000a_- Prohibition of Import and Export Activities_x000a_- Investment Restrictions_x000a_- Entry Ban for Senior Executives_x000a_- Revocation of Work and Residence Permits_x000a_- Financial Penalties_x000a__x000a_Seems intended to hit their business in China, so possibly best characterized as &quot;restriction on foreign business in China&quot;. _x000a__x000a_Raytheon apparently had some partnerships in China in the commercial aerospace sector"/>
    <s v="不可靠实体清单工作机制关于将洛克希德·马丁公司、雷神导弹与防务公司列入不可靠实体清单的公告_x000a_【发布单位】安全与管制局_x000a_【发布文号】不可靠实体清单工作机制公告〔2023〕1号_x000a_【发文日期】2023年02月16日_x000a__x000a_不 可 靠 实 体 清 单 工 作 机 制_x000a__x000a_公　 告_x000a__x000a_2023年 第1号_x000a__x000a_为维护国家主权、安全和发展利益，根据《中华人民共和国对外贸易法》《中华人民共和国国家安全法》等有关法律，不可靠实体清单工作机制依据《不可靠实体清单规定》第二条、第八条和第十条等有关规定，决定将参与对台湾地区军售的洛克希德·马丁公司（Lockheed Martin Corporation）、雷神导弹与防务公司（Raytheon Missiles &amp; Defense）列入不可靠实体清单，并采取以下处理措施：_x000a__x000a_一、禁止上述企业从事与中国有关的进出口活动；_x000a__x000a_二、禁止上述企业在中国境内新增投资；_x000a__x000a_三、禁止上述企业高级管理人员入境；_x000a__x000a_四、不批准并取消上述企业高级管理人员在中国境内工作许可、停留以及居留资格；_x000a__x000a_五、对上述企业分别处以罚款，金额为《不可靠实体清单规定》实施以来各企业对台军售合同金额的两倍。上述企业应当自本公告公布之日起15日内，按照相关法律法规办理缴款。若逾期不履行本决定，不可靠实体清单工作机制将依法采取加处罚款等措施。_x000a__x000a_本公告未尽事宜，按《不可靠实体清单规定》执行。_x000a__x000a_本公告自公布之日起实施。_x000a__x000a__x000a__x000a_不可靠实体清单工作机制_x000a__x000a_（商务部代章）_x000a__x000a_2023年2月16日"/>
    <m/>
    <s v="Full Text Chinese (MOFCOM)"/>
    <m/>
    <m/>
    <m/>
    <m/>
    <m/>
    <m/>
    <m/>
  </r>
  <r>
    <x v="98"/>
    <s v="Inclusion of two US defence companies and associated individuals on the Unreliable Entity List, following U.S. arms sales to Taiwan"/>
    <x v="0"/>
    <s v="Arms Sales to Taiwan"/>
    <x v="5"/>
    <s v="To safeguard national sovereignty, security and development interests, in accordance with the Anti-Foreign Sanctions Law of the People's Republic of China, the Foreign Trade Law of the People's Republic of China, the National Security Law of the People's Republic of China and other relevant laws, the Unreliable Entity List Working Mechanism, in accordance with the Unreliable Entity List Regulations, decided to prohibit James Donald Taiclet, Frank Andrew St. John, Jesus Malave of Lockheed Martin, Wesley D. Kremer, Agnes Soeder, Chander Nijhon of Raytheon Missiles &amp; Defense, and other senior management of the above two companies from entering, working, staying and residing in China from February 16, 2023._x000a__x000a_Lockheed Martin and Raytheon Missiles &amp; Defense have long been involved in arms sales to Taiwan, which is of a bad nature. This time, I decided to ban two US companies from engaging in import and export activities related to China, aiming to prevent Chinese products from being used in their military business. In their business activities, our companies should strengthen due diligence and compliance system construction and verify transaction information. When our companies engage in export, transit, transshipment, and transportation activities, if they know that the actual importer or user is the above two US companies, they shall not carry out related import and export activities. For those who violate relevant regulations, the relevant departments will hold them accountable in accordance with the law."/>
    <s v="Formal"/>
    <x v="1"/>
    <s v="Unreliable Entity List_x000a__x000a_Anti-Foreign Sanctions Law;_x000a_Foreign Trade Law;_x000a_National Security Law;  &quot;other relevant laws&quot;"/>
    <s v="James Donald Taiclet; Frank Andrew St. John; Jesus Malave; Wesley D. Kremer; Agnes Soeder; Chander Nijhon"/>
    <s v="Lockheed Martin Corporation; Raytheon Missiles &amp; Defense"/>
    <s v="United States (North America)"/>
    <s v="Defense"/>
    <m/>
    <s v="Asks Chinese companies to carry out due diligence: &quot;In their business activities, our companies should strengthen due diligence and compliance system construction and verify transaction information. When our companies engage in export, transit, transshipment, and transportation activities, if they know that the actual importer or user is the above two US companies, they shall not carry out related import and export activities. For those who violate relevant regulations, the relevant departments will hold them accountable in accordance with the law.&quot;"/>
    <s v="商务部新闻发言人就不可靠实体清单实施有关问题答记者问_x000a_问：2月16日发布的不可靠实体清单公告中禁止企业高级管理人员入境，请问有何具体措施？_x000a__x000a_答：为维护国家主权、安全和发展利益，根据《中华人民共和国反外国制裁法》《中华人民共和国对外贸易法》《中华人民共和国国家安全法》等有关法律，不可靠实体清单工作机制依据《不可靠实体清单规定》，决定自2023年2月16日起，禁止洛克希德·马丁公司的詹姆斯·唐纳德·泰克里特（James Donald Taiclet）、弗兰克·安德鲁·圣约翰（Frank Andrew St. John）、杰西·马莱夫（Jesus Malave），雷神导弹与防务公司的韦斯利·克雷默（Wesley D. Kremer）、阿格内斯·苏德（Agnes Soeder）、钱德尔·尼赫恩（Chander Nijhon）以及上述2家企业的其他高级管理人员入境、在华工作、停留以及居留。_x000a__x000a_问：公告中明确禁止2家企业从事与中国有关的进出口活动，我国有关企业应当如何准确理解和执行该规定？_x000a__x000a_答：洛克希德·马丁公司、雷神导弹与防务公司长期参与对台军售，性质恶劣。此次我决定禁止2家美企从事与中国有关的进出口活动，旨在防范中国产品用于其军工业务。我企业在经营活动中，应加强尽职调查和合规体系建设，核实交易信息。我企业从事出口、过境、转运、通运等活动时，明知实际进口商或用户为上述2家美企的，不得开展相关进出口活动。对于违反相关规定的，有关部门将依法依规追究责任。"/>
    <m/>
    <s v="Full Text Chinese (MOFCOM)"/>
    <m/>
    <m/>
    <m/>
    <m/>
    <m/>
    <m/>
    <m/>
  </r>
  <r>
    <x v="99"/>
    <s v="Restrictions on Micron"/>
    <x v="1"/>
    <s v="Geopolitical Dispute"/>
    <x v="3"/>
    <s v="In accordance with the Cybersecurity Law and other laws and regulations, operators of China's critical information infrastructure should stop purchasing Micron's products."/>
    <s v="Formal"/>
    <x v="1"/>
    <s v="National Security Law;_x000a_Cybersecurity Law"/>
    <s v="N/A"/>
    <s v="Micron"/>
    <s v="United States (North America)"/>
    <s v="Semiconductors "/>
    <m/>
    <s v="Investigation led to restriction of purchases from Micron."/>
    <s v="为保障关键信息基础设施供应链安全，防范产品问题隐患造成网络安全风险，维护国家安全，依据《中华人民共和国国家安全法》《中华人民共和国网络安全法》，网络安全审查办公室按照《网络安全审查办法》，对美光公司（Micron）在华销售的产品实施网络安全审查。_x000a__x000a_特此公告。_x000a__x000a_网络安全审查办公室_x000a__x000a_2023年3月31日_x000a__x000a_美光公司在华销售的产品未通过网络安全审查_x000a_2023年05月21日 20:00来源： 中国网信网_x000a_【打印】【纠错】_x000a_日前，网络安全审查办公室依法对美光公司在华销售产品进行了网络安全审查。_x000a__x000a_审查发现，美光公司产品存在较严重网络安全问题隐患，对我国关键信息基础设施供应链造成重大安全风险，影响我国国家安全。为此，网络安全审查办公室依法作出不予通过网络安全审查的结论。按照《网络安全法》等法律法规，我国内关键信息基础设施的运营者应停止采购美光公司产品。_x000a__x000a_此次对美光公司产品进行网络安全审查，目的是防范产品网络安全问题危害国家关键信息基础设施安全，是维护国家安全的必要措施。中国坚定推进高水平对外开放，只要遵守中国法律法规要求，欢迎各国企业、各类平台产品服务进入中国市场。"/>
    <m/>
    <s v="Full Text Chinese Investgation Launch (CAC)"/>
    <s v="Full Text Chinese Investgation Result (CAC)"/>
    <m/>
    <m/>
    <m/>
    <m/>
    <m/>
    <m/>
  </r>
  <r>
    <x v="100"/>
    <s v="Decision on taking countermeasures against the Hudson Institute, the Ronald Reagan Library and their directors, following Tsai Ing-wen Transit Through the U.S."/>
    <x v="0"/>
    <s v="Foreign Support for Taiwan"/>
    <x v="5"/>
    <s v="China has decided to take the following countermeasures against the Hudson Institute, the Ronald Reagan Library and its leaders, and other institutions and individuals listed in the attached Countermeasures List:_x000a__x000a_　　1. To the Hudson Institute and the Ronald Reagan Library:_x000a__x000a_　　Strictly restrict universities, institutions and other organizations and individuals within my country from engaging in transactions, exchanges, cooperation and other activities with them._x000a__x000a_　　Second, four individuals, including Sarah Stern, chairwoman of the Hudson Institute Board of Directors, John Watters, director of the Hudson Institute, John Hibschy, former executive director of the Reagan Foundation who is responsible for the daily maintenance of the Reagan Library, and Joanne Drake, chief administrative officer:_x000a__x000a_　　(1) Freeze movable property, immovable property and other types of property within the territory of my country;_x000a__x000a_　　(2) Prohibit organizations and individuals within the territory of my country from engaging in relevant transactions, cooperation and other activities with them;_x000a__x000a_　　(3) Denying the person a visa or entry into the country."/>
    <s v="Formal"/>
    <x v="1"/>
    <s v="Anti-Foreign Sanctions Law (Articles 4, 5, 6 and 15)"/>
    <s v="Sarah May Stern; John P. Walters; John Heubusch; Joanne M. Drake"/>
    <s v="Hudson Institute; Ronald Reagan Library"/>
    <s v="United States (North America)"/>
    <s v="Academia &amp; Civil Society"/>
    <s v="N/A"/>
    <m/>
    <s v="关于对美国哈德逊研究所、里根图书馆及其负责人采取反制措施的决定_x000a_2023-04-07 10:55_x000a__x000a_【中大小】 打印 _x000a_中华人民共和国外交部令_x000a__x000a_第 1 号_x000a__x000a_　　现公布《关于对美国哈德逊研究所、里根图书馆及其负责人采取反制措施的决定》，自2023年4月7日起施行。_x000a__x000a_部  长  秦  刚_x000a__x000a_2023年4月7日_x000a__x000a__x000a__x000a_关于对美国哈德逊研究所、里根图书馆及其负责人采取反制措施的决定_x000a__x000a_　　美方不顾中方反复交涉和坚决反对，执意允许台湾地区领导人蔡英文于2023年3月29日至31日和4月4日至6日“过境”窜美从事政治活动。美国哈德逊研究所、里根图书馆为蔡英文在美从事“台独”分裂活动提供平台和便利，严重违反一个中国原则和中美三个联合公报规定，严重损害中方主权和领土完整。_x000a__x000a_　　依据《中华人民共和国反外国制裁法》第四条、第五条、第六条、第十五条规定，中方决定对美国哈德逊研究所、里根图书馆及其负责人等后附《反制清单》列明的机构和个人采取以下反制措施：_x000a__x000a_　　一、对哈德逊研究所、里根图书馆等2家机构：_x000a__x000a_　　严格限制我国境内的高校、机构等组织和个人与其进行有关交易、交流、合作等活动。_x000a__x000a_　　二、对哈德逊研究所董事会主席萨拉·斯特恩、所长约翰·瓦特斯，负责里根图书馆日常维护的里根基金会前执行主任约翰·希布斯奇、首席行政官乔安妮·德雷克等4名个人：_x000a__x000a_　　（一）冻结在我国境内的动产、不动产和其他各类财产；_x000a__x000a_　　（二）禁止我国境内的组织、个人与其进行有关交易、合作等活动；_x000a__x000a_　　（三）对其本人不予签发签证、不准入境。_x000a__x000a_　　本决定自2023年4月7日起施行。_x000a__x000a_　　附件：反制清单_x000a__x000a_外交部    _x000a__x000a_2023年4月7日_x000a__x000a__x000a__x000a_附件_x000a__x000a_反制清单_x000a__x000a_　　一、哈德逊研究所_x000a__x000a_　　二、里根图书馆_x000a__x000a_　　三、哈德逊研究所董事会主席萨拉·斯特恩（Sarah May Stern），女_x000a__x000a_　　四、哈德逊研究所所长约翰·瓦特斯（John P. Walters），男_x000a__x000a_　　五、里根基金会前执行主任约翰·希布斯奇（John Heubusch），男_x000a__x000a_　　六、里根基金会首席行政官乔安妮·德雷克（Joanne M. Drake），女"/>
    <m/>
    <s v="Full Text Chinese (MFA)"/>
    <m/>
    <m/>
    <m/>
    <m/>
    <m/>
    <m/>
    <m/>
  </r>
  <r>
    <x v="100"/>
    <s v="Taiwan Affairs Office Announces Sanctions on Institutions Promoting 'Taiwan Independence'"/>
    <x v="0"/>
    <s v="Foreign Support for Taiwan"/>
    <x v="5"/>
    <s v="the mainland has decided to impose punitive measures on these two institutions. These measures include:_x000a__x000a_Prohibiting leaders of the Prospect Foundation and the Asia &amp; Oceanian Alliance for Freedom and Democracy from entering the mainland, Hong Kong, and Macau._x000a_Prohibiting mainland organizations and individuals from cooperating with these institutions."/>
    <s v="Formal"/>
    <x v="1"/>
    <s v="N/A"/>
    <s v="N/A"/>
    <s v="Prospect Foundation; Asia &amp; Oceanian Pacific League for Freedom and Democracy"/>
    <s v="Taiwan (Asia &amp; Oceania)"/>
    <s v="Academia &amp; Civil Society"/>
    <s v="N/A"/>
    <m/>
    <s v="国台办宣布对宣扬“台独”的有关机构予以惩戒_x000a_2023-04-07 09:11 来源：新华网_x000a_　　新华社北京4月7日电 国台办发言人朱凤莲4月7日表示，台湾“远景基金会”、“亚洲自由民主联盟”在民进党当局指使下，以“民主”、“自由”、“合作”为借口，打着“学术交流”、“研讨”等旗号，在国际上大肆兜售“台独”主张，极力拉拢贴靠反华势力，制造“一中一台”、“两个中国”等违反一个中国原则的事件，拓展台所谓“国际空间”。大陆方面决定对上述2家机构采取惩戒措施，禁止其负责人进入大陆和香港、澳门特别行政区，禁止大陆有关组织和个人与其进行合作。"/>
    <m/>
    <s v="Full Text Chinese (Taiwan Affairs Office)"/>
    <m/>
    <m/>
    <m/>
    <m/>
    <m/>
    <m/>
    <m/>
  </r>
  <r>
    <x v="100"/>
    <s v="The spokesperson of the Taiwan Affairs Office of the CPC Central Committee was authorized to announce sanctions against the diehard &quot;Taiwan independence&quot; activist Hsiao Bi-khim"/>
    <x v="0"/>
    <s v="Actions of the Taiwanese Government"/>
    <x v="5"/>
    <s v="The mainland has decided to impose further sanctions on Hsiao Bi-khim, strictly prohibiting Hsiao and her family from entering the mainland and the Hong Kong and Macao Special Administrative Regions, prohibiting her financial backers and affiliated companies from cooperating with mainland organizations and individuals, and taking all other necessary disciplinary measures to hold her accountable for life in accordance with the law."/>
    <s v="Formal"/>
    <x v="1"/>
    <s v="N/A"/>
    <s v="Hsiao Bi-khim"/>
    <s v="N/A"/>
    <s v="Taiwan (Asia &amp; Oceania)"/>
    <s v="N/A"/>
    <m/>
    <s v="Trigger: Taiwanese President Tsai Ing-wen's meeting with U.S. House Speaker Kevin McCarthy.410 A Chinese spokesperson explicitly foreshadowed retaliation: &quot;We firmly oppose this and will resolutely respond with countermeasures”.411_x000a__x000a_Explanation: Regarding the formal sanctions, the Council of Asia &amp; Oceanian Liberals and Democrats and the Prospect Foundation said to have “wantonly peddled the idea of ‘Taiwan independence’ in the international arena”, “ingratiate[d] themselves with anti-China forces” and “engaged in incidents that promoted ‘one China, one Taiwan,’ ‘two Chinas’, and other violations of the one-China principle”.413 "/>
    <m/>
    <m/>
    <s v="Full Text Chinese (Taiwan Affairs Office)"/>
    <m/>
    <m/>
    <m/>
    <m/>
    <m/>
    <m/>
    <m/>
  </r>
  <r>
    <x v="101"/>
    <s v="Decision on taking countermeasures against anti-China US Congressman Mike McCaul, following Delegation Visit to Taiwan"/>
    <x v="0"/>
    <s v="Foreign Support for Taiwan"/>
    <x v="5"/>
    <s v="In accordance with Articles 3, 4, 6 and 15 of the Anti-Foreign Sanctions Law of the People's Republic of China, China has decided to take the following countermeasures against McCaul:_x000a__x000a_1. Freeze movable property, immovable property and other types of property within the territory of my country;_x000a__x000a_2. Prohibit organizations and individuals within the territory of my country from engaging in transactions, cooperation and other activities with them;_x000a__x000a_3. Deny the person a visa and deny entry._x000a__x000a_This decision shall come into force on April 13, 2023."/>
    <s v="Formal"/>
    <x v="1"/>
    <s v="Anti-Foreign Sanctions Law"/>
    <s v="Michael McCaul"/>
    <s v="N/A"/>
    <s v="United States (North America)"/>
    <s v="Public Sector"/>
    <s v="N/A"/>
    <m/>
    <s v="关于对美国反华议员迈克·麦考尔采取反制措施的决定_x000a_2023-04-13 17:36_x000a__x000a_【中大小】 打印 _x000a_美国得克萨斯州共和党联邦众议员迈克·麦考尔（Michael McCaul）近年来频繁采取干涉中国内政、损害中方利益的言行，并于近期率团窜访中国台湾地区，严重违反一个中国原则和中美三个联合公报规定，严重损害中国主权和领土完整，向“台独”分裂势力发出严重错误信号。_x000a__x000a_依据《中华人民共和国反外国制裁法》第三条、第四条、第六条、第十五条规定，中方决定对麦考尔采取以下反制措施：_x000a__x000a_一、冻结在我国境内的动产、不动产和其他各类财产；_x000a__x000a_二、禁止我国境内的组织、个人与其进行有关交易、合作等活动；_x000a__x000a_三、对其本人不予签发签证、不准入境。_x000a__x000a_本决定自2023年4月13日起施行。_x000a__x000a_附件：反制清单_x000a__x000a_外交部_x000a__x000a_2023年4月13日_x000a__x000a_附件_x000a__x000a_反制清单_x000a__x000a_美国得克萨斯州共和党联邦众议员迈克·麦考尔（Michael McCaul），男"/>
    <m/>
    <s v="Full Text Chinese (MFA)"/>
    <m/>
    <m/>
    <m/>
    <m/>
    <m/>
    <m/>
    <m/>
  </r>
  <r>
    <x v="102"/>
    <s v="Announcement No. 23 of 2023 of the Ministry of Commerce and the General Administration of Customs on the Implementation of Export Control on Gallium and Germanium Related Items"/>
    <x v="1"/>
    <s v="Geopolitical Dispute"/>
    <x v="0"/>
    <m/>
    <s v="Formal"/>
    <x v="1"/>
    <s v="Export Control Law;_x000a_Foreign Trade Law;_x000a_Customs Law"/>
    <s v="N/A"/>
    <s v="N/A"/>
    <s v="N/A"/>
    <s v="Raw Materials"/>
    <s v="Gallium and germanium"/>
    <s v="Introduces export license requirements for gallium- and germanium-related items._x000a__x000a_Very similar to graphite controls (2024-10-20)._x000a__x000a_Application requires information on exporter, importer, end-user, and end-use._x000a__x000a_According to Hendrix (PIIE), these license requirements have as of October 2024 not led to any significant drop in exports. However, it may have served as an information gathering mechanism. With information on exporters and users, China can impose more costly and targeted sanctions in the future. This may serve as a useful deterrent._x000a__x000a_&quot;Following the implementation of gallium restrictions in July 2023, exports flatlined for several months before slowly creeping back up. Still, a year after the export controls were implemented, gallium exports are significantly below pre-restriction levels.&quot;"/>
    <s v="商务部 海关总署公告2023年第23号 关于对镓、锗相关物项实施出口管制的公告_x000a_【发布单位】安全与管制局_x000a_【发布文号】商务部公告2023年第23号_x000a_【发文日期】2023年07月03日_x000a_根据《中华人民共和国出口管制法》《中华人民共和国对外贸易法》《中华人民共和国海关法》有关规定，为维护国家安全和利益，经国务院批准，决定对镓、锗相关物项实施出口管制。有关事项公告如下：_x000a__x000a_一、满足以下特性的物项，未经许可，不得出口：_x000a__x000a_（一）镓相关物项。_x000a__x000a_1.金属镓（单质）（参考海关商品编号：8112929010、8112929090、8112999000）。_x000a__x000a_2.氮化镓（包括但不限于晶片、粉末、碎料等形态）（参考海关商品编号：2850001901、3818009001、3825690001）。_x000a__x000a_3.氧化镓（包括但不限于多晶、单晶、晶片、外延片、粉末、碎料等形态）（参考海关商品编号：2825909001、3818009002、3825690002）。_x000a__x000a_4.磷化镓（包括但不限于多晶、单晶、晶片、外延片等形态）（参考海关商品编号：2853904030、3818009003、3825690003）。_x000a__x000a_5.砷化镓（包括但不限于多晶、单晶、晶片、外延片、粉末、碎料等形态）（参考海关商品编号：2853909026、3818009004、3825690004）。_x000a__x000a_6.铟镓砷（参考海关商品编号：2853909028、3818009005、3825690005）。_x000a__x000a_7.硒化镓（包括但不限于多晶、单晶、晶片、外延片、粉末、碎料等形态）（参考海关商品编号：2842909024、3818009006、3825690006）。_x000a__x000a_8.锑化镓（包括但不限于多晶、单晶、晶片、外延片、粉末、碎料等形态）（参考海关商品编号：2853909029、3818009007、3825690007）。_x000a__x000a_（二）锗相关物项。_x000a__x000a_1.金属锗（单质，包括但不限于晶体、粉末、碎料等形态）（参考海关商品编号：8112921010、8112921090、8112991000）。_x000a__x000a_2.区熔锗锭（参考海关商品编号：8112921090）。_x000a__x000a_3.磷锗锌（包括但不限于晶体、粉末、碎料等形态）（参考海关商品编号：2853904040、3818009008、3825690008）。_x000a__x000a_4.锗外延生长衬底（参考海关商品编号：8112921090）。_x000a__x000a_5.二氧化锗（参考海关商品编号：2825600002、3818009009、3825690009）。_x000a__x000a_6.四氯化锗（参考海关商品编号：2827399001、3818009010、3825690010）。_x000a__x000a_二、出口经营者应按照相关规定办理出口许可手续，通过省级商务主管部门向商务部提出申请，填写两用物项和技术出口申请表并提交下列文件：_x000a__x000a_（一）出口合同、协议的原件或者与原件一致的复印件、扫描件；_x000a__x000a_（二）拟出口物项的技术说明或者检测报告；_x000a__x000a_（三）最终用户和最终用途证明；_x000a__x000a_（四）进口商和最终用户情况介绍；_x000a__x000a_（五）申请人的法定代表人、主要经营管理人以及经办人的身份证明。_x000a__x000a_三、商务部应当自收到出口申请文件之日起进行审查，或者会同有关部门进行审查，并在法定时限内作出准予或者不予许可的决定。_x000a__x000a_对国家安全有重大影响的本公告所列物项的出口，商务部会同有关部门报国务院批准。_x000a__x000a_四、经审查准予许可的，由商务部颁发两用物项和技术出口许可证件（以下简称出口许可证件）。_x000a__x000a_五、出口许可证件申领和签发程序、特殊情况处理、文件资料保存年限等，依照商务部、海关总署令2005年第29号（《两用物项和技术进出口许可证管理办法》）的相关规定执行。_x000a__x000a_六、出口经营者应当向海关出具出口许可证件，依照《中华人民共和国海关法》的规定办理海关手续，并接受海关监管。海关凭商务部签发的出口许可证件办理验放手续。_x000a__x000a_七、出口经营者未经许可出口、超出许可范围出口或有其他违法情形的，由商务部或者海关等部门依照有关法律法规的规定给予行政处罚。构成犯罪的，依法追究刑事责任。_x000a__x000a_八、本公告自2023年8月1日起正式实施。_x000a__x000a__x000a_                                                                     商务部 海关总署_x000a__x000a_                                                                       2023年7月3日"/>
    <m/>
    <s v="Full Text Chinese (MOFCOM)"/>
    <s v="Analysis (PIIE)"/>
    <s v="Analysis (IFRI)"/>
    <m/>
    <m/>
    <m/>
    <m/>
    <m/>
  </r>
  <r>
    <x v="103"/>
    <s v="Boycott calls against Bulgari following listing of Taiwan as separate from China"/>
    <x v="0"/>
    <s v="Foreign Support for Taiwan"/>
    <x v="4"/>
    <s v="Italian luxury brand Bulgari has landed in hot water for appearing to list Taiwan as independent from China on an overseas website._x000a__x000a_On Tuesday, July 11, netizens discovered that a page about Bulgari’s store locations had added the word “China” before Hong Kong and Macau, but not before Taiwan._x000a__x000a_This prompted them to suspect the LVMH-owned brand of classifying Taiwan as an independent country, with the related hashtag on Weibo, which translates to “Bulgari's official website suspected of listing Taiwan as a country” (#宝格丽官网疑将台湾列为国家), attracting over 830 million views as of writing._x000a__x000a_Bulgari has since issued an apology on the platform, stating that the incident was caused by a lack of oversight. “Bulgari’s position of respecting China’s sovereignty and territorial integrity remains firm as always,” it said."/>
    <s v="Boycott Fomentation"/>
    <x v="0"/>
    <s v="N/A"/>
    <s v="N/A"/>
    <s v="Bulgari"/>
    <s v="Italy (Europe)"/>
    <s v="Consumer Goods"/>
    <m/>
    <s v="State support by People's Daily. _x000a__x000a_Apology issued. "/>
    <m/>
    <m/>
    <s v="Reporting (Jing Daily)"/>
    <s v="Apology (Weibo)"/>
    <m/>
    <m/>
    <m/>
    <m/>
    <m/>
    <m/>
  </r>
  <r>
    <x v="104"/>
    <s v="Temporary export controls on certain drones, following Western accusations of Chinese drones used by Russia in Ukraine"/>
    <x v="2"/>
    <s v="Geopolitical Dispute"/>
    <x v="0"/>
    <s v="it is decided to implement temporary export controls on certain unmanned aerial vehicles."/>
    <s v="Formal"/>
    <x v="1"/>
    <s v="Export Control Law;_x000a_ Foreign Trade Law;_x000a_ Customs Law"/>
    <s v="N/A"/>
    <s v="N/A"/>
    <s v="Russia (Asia &amp; Oceania)"/>
    <s v="Drones"/>
    <s v="Lower-end drones – extended flight time, payload capacity, basic sensors, wireless controls."/>
    <s v="Seems designed to accomodate western accusations of Chinese drones used by Russia in Ukraine._x000a__x000a_Included on account of being a sanction against Russia._x000a__x000a_See decision from same day."/>
    <s v="商务部 海关总署 国家国防科工局 中央军委装备发展部公告2023年第28号 关于对部分无人机实施临时出口管制的公告_x000a_【发布单位】安全与管制局_x000a_【发布文号】商务部公告2023年第28号_x000a_【发文日期】2023年07月31日_x000a_根据《中华人民共和国出口管制法》《中华人民共和国对外贸易法》《中华人民共和国海关法》有关规定，为维护国家安全和利益，经国务院、中央军委批准，决定对特定无人驾驶航空飞行器实施临时出口管制。有关事项公告如下：_x000a__x000a_一、性能指标未达到现有管制指标，但已达到下述指标的无人驾驶航空飞行器（参考海关商品编号：8806100010、8806221011、8806229010、8806231011、8806239010、8806241011、8806249010、8806291011、8806299010、8806921011、8806929010、8806931011、8806939010、8806941011、8806949010、8806990010），未经许可，不得出口：_x000a__x000a_在操作人员自然视距以外能够可控飞行，最大续航时间大于等于30分钟，且最大起飞重量大于7千克（kg）或空机重量大于4千克（kg），并具有下述任一特性的无人驾驶航空飞行器或无人驾驶飞艇：_x000a__x000a_（一）机载无线电设备功率超过国际民用无线电产品核准认证的功率限制值；_x000a__x000a_（二）携带具有抛投功能的载荷或者自带抛投器；_x000a__x000a_（三）携带高光谱相机，或者携带支持560纳米（nm）、650纳米（nm）、730纳米（nm）、860纳米（nm）以外波段的多光谱相机；_x000a__x000a_（四）携带的红外相机噪声等效温差（NETD）小于40毫开尔文（mK）；_x000a__x000a_（五）携带的激光测距定位模块符合以下任一要求的：_x000a__x000a_1.携带的激光测距定位模块属于GB7247.1-2012规定的3R类、3B类或4类激光产品；_x000a__x000a_2.携带的激光测距定位模块属于GB7247.1-2012规定的1类激光产品，同时可达发射极限（AEL）大于等于263.89纳焦（nJ），参考口径大于22毫米（mm），在5纳秒的时间内激光脉冲最大发射功率大于52.78瓦（W）；_x000a__x000a_3.携带的激光测距定位模块属于GB7247.1-2012规定的1M类激光产品，同时可达发射极限（AEL）大于等于339.03纳焦（nJ），参考口径大于19毫米（mm），在5纳秒的时间内激光脉冲最大发射功率大于67.81瓦（W）。_x000a__x000a_（六）可支持非认证载荷。_x000a__x000a_“现有管制指标”指的是商务部、海关总署、国家国防科工局、中央军委装备发展部公告2015年第20号（《关于对军民两用无人驾驶航空飞行器实施临时出口管制的公告》）所规定的技术指标，以及商务部、海关总署公告2015年第31号（《关于加强部分两用物项出口管制的公告》）所规定的技术指标。达到这两类指标的无人机出口应当按照上述公告的要求取得出口许可。_x000a__x000a_二、在临时管制期间，对指标未达到现有管制指标和第一条规定指标的所有无人驾驶航空飞行器，出口经营者明知或者应当知道出口将用于大规模杀伤性武器扩散、恐怖主义活动或者军事目的的，不得出口。_x000a__x000a_三、出口经营者应按照相关规定办理出口许可手续，通过省级商务主管部门向商务部提出申请，填写两用物项和技术出口申请表并提交下列文件：_x000a__x000a_（一）出口合同、协议的原件或者与原件一致的复印件、扫描件；_x000a__x000a_（二）拟出口物项的技术说明或者检测报告；_x000a__x000a_（三）最终用户和最终用途证明；_x000a__x000a_（四）进口商和最终用户情况介绍；_x000a__x000a_（五）申请人的法定代表人、主要经营管理人以及经办人的身份证明。_x000a__x000a_四、商务部应当自收到出口申请文件之日起进行审查，或者会同有关部门进行审查，并在法定时限内作出准予或者不予许可的决定。_x000a__x000a_对国家安全有重大影响的本公告所列物项的出口，商务部会同有关部门报国务院批准。_x000a__x000a_五、经审查准予许可的，由商务部颁发两用物项和技术出口许可证件（以下简称出口许可证件）。_x000a__x000a_六、出口许可证件申领和签发程序、特殊情况处理、文件资料保存年限等，依照商务部、海关总署令2005年第29号（《两用物项和技术进出口许可证管理办法》）的相关规定执行。_x000a__x000a_七、出口经营者应当向海关出具出口许可证件，依照《中华人民共和国海关法》的规定办理海关手续，并接受海关监管。海关凭商务部签发的出口许可证件办理验放手续。_x000a__x000a_八、出口经营者未经许可出口、超出许可范围出口或有其他违法情形的，由商务部或者海关等部门依照有关法律法规的规定给予行政处罚。构成犯罪的，依法追究刑事责任。_x000a__x000a_九、本公告自2023年9月1日起正式实施。临时管制的实施期限不超过二年。_x000a__x000a__x000a_                     商务部 海关总署 国家国防科工局 中央军委装备发展部_x000a__x000a_                                    2023年7月31日"/>
    <m/>
    <s v="Full Text Chinese (MOFCOM)"/>
    <s v="Analysis (Geopolitechs)"/>
    <s v="Reporting (Reuters)"/>
    <m/>
    <m/>
    <m/>
    <m/>
    <m/>
  </r>
  <r>
    <x v="104"/>
    <s v="Export Controls on UAV-Related Items, following Western accusations of Chinese drones used by Russia in Ukraine"/>
    <x v="2"/>
    <s v="Geopolitical Dispute"/>
    <x v="0"/>
    <s v="it is decided to implement export controls on certain unmanned aerial vehicles or unmanned airship-related items"/>
    <s v="Formal"/>
    <x v="1"/>
    <s v="Export Control Law;_x000a_ Foreign Trade Law;_x000a_ Customs Law"/>
    <s v="N/A"/>
    <s v="N/A"/>
    <s v="Russia (Asia &amp; Oceania)"/>
    <s v="Drones"/>
    <s v="High-end components – engines, advanced sensors, lasers, anti-drone systems."/>
    <s v="Seems designed to accomodate western accusations of Chinese drones used by Russia in Ukraine._x000a__x000a_Included on account of being a sanction against Russia._x000a__x000a_See decision from same day."/>
    <s v="商务部 海关总署 国家国防科工局 中央军委装备发展部公告2023年第27号 关于对无人机相关物项实施出口管制的公告_x000a_【发布单位】安全与管制局_x000a_【发布文号】商务部公告2023年第27号_x000a_【发文日期】2023年07月31日_x000a_根据《中华人民共和国出口管制法》《中华人民共和国对外贸易法》《中华人民共和国海关法》有关规定，为维护国家安全和利益，经国务院、中央军委批准，决定对特定无人驾驶航空飞行器或无人驾驶飞艇相关物项实施出口管制。有关事项公告如下：_x000a__x000a_一、满足以下特性的物项，未经许可，不得出口：_x000a__x000a_（一）最大持续功率超过16千瓦（kW）的专门用于特定无人驾驶航空飞行器或无人驾驶飞艇的航空发动机（参考海关商品编号：8501200010、8501320010、8501330010、8501340010、8501400010、8501520010、8501530010、8407101010、8407102010、8408909230、8408909320、8411111010、8411119010、8411121010、8411129020、8411210010、8411221010、8411222010、8411223010、8411810002）。_x000a__x000a_（二）满足一定技术指标的专门用于特定无人驾驶航空飞行器或无人驾驶飞艇的载荷，包括红外成像设备、合成孔径雷达和用于目标指示的激光器。_x000a__x000a_1.具有下述任一特性的红外成像设备（参考海关商品编号：8525891110、8525892110、8525893110）：_x000a__x000a_（1）波长范围在780纳米（nm）至30000纳米（nm）之间；_x000a__x000a_（2）瞬时视场角（IFOV）小于2.5毫弧度（mrad）。_x000a__x000a_2.作用距离大于5千米（km），且具有下述任一特性的合成孔径雷达（SAR）（参考海关商品编号：8526109011）：_x000a__x000a_（1）条带模式分辨率优于0.3米（m）；_x000a__x000a_（2）聚束模式分辨率优于0.1米（m）。_x000a__x000a_3.可在高于55摄氏度（℃）环境中稳定工作，且具有下述任一特性的用于目标指示的激光器（参考海关商品编号：9013200093）：_x000a__x000a_（1）免温控型；_x000a__x000a_（2）能量大于80毫焦（mJ）；_x000a__x000a_（3）稳定度优于15%；_x000a__x000a_（4）光束发散角小于0.3毫弧度（mrad）。_x000a__x000a_（三）专门用于特定无人驾驶航空飞行器或无人驾驶飞艇，且具有下述任一特性的无线电通信设备（参考海关商品编号：8517629910、8517691002、8526920010）：_x000a__x000a_1.无线电视距传输距离大于50千米（km）；_x000a__x000a_2.一站控多机能力大于10架。_x000a__x000a_（四）民用反无人机系统：_x000a__x000a_1.干扰范围大于5千米（km）的反无人机电子干扰设备（参考海关商品编号：8543709960）；_x000a__x000a_2.专门用于反无人机系统的输出功率大于1.5千瓦（kW）的高功率激光器（参考海关商品编号：9013200093）。_x000a__x000a_技术说明：“特定无人驾驶航空飞行器或无人驾驶飞艇”是指满足商务部、海关总署公告2015年第31号（《关于加强部分两用物项出口管制的公告》）中1.1款所列条件的无人驾驶航空飞行器或无人驾驶飞艇。_x000a__x000a_二、出口经营者应按照相关规定办理出口许可手续，通过省级商务主管部门向商务部提出申请，填写两用物项和技术出口申请表并提交下列文件：_x000a__x000a_（一）出口合同、协议的原件或者与原件一致的复印件、扫描件；_x000a__x000a_（二）拟出口物项的技术说明或者检测报告；_x000a__x000a_（三）最终用户和最终用途证明；_x000a__x000a_（四）进口商和最终用户情况介绍；_x000a__x000a_（五）申请人的法定代表人、主要经营管理人以及经办人的身份证明。_x000a__x000a_三、商务部应当自收到出口申请文件之日起进行审查，或者会同有关部门进行审查，并在法定时限内作出准予或者不予许可的决定。_x000a__x000a_对国家安全有重大影响的本公告所列物项的出口，商务部会同有关部门报国务院批准。_x000a__x000a_四、经审查准予许可的，由商务部颁发两用物项和技术出口许可证件（以下简称出口许可证件）。_x000a__x000a_五、出口许可证件申领和签发程序、特殊情况处理、文件资料保存年限等，依照商务部、海关总署令2005年第29号（《两用物项和技术进出口许可证管理办法》）的相关规定执行。_x000a__x000a_六、出口经营者应当向海关出具出口许可证件，依照《中华人民共和国海关法》的规定办理海关手续，并接受海关监管。海关凭商务部签发的出口许可证件办理验放手续。_x000a__x000a_七、出口经营者未经许可出口、超出许可范围出口或有其他违法情形的，由商务部或者海关等部门依照有关法律法规的规定给予行政处罚。构成犯罪的，依法追究刑事责任。_x000a__x000a_八、本公告自2023年9月1日起正式实施。_x000a__x000a__x000a_                      商务部 海关总署 国家国防科工局 中央军委装备发展部_x000a__x000a_                                          2023年7月31日"/>
    <m/>
    <s v="Full Text Chinese (MOFCOM)"/>
    <s v="Analysis (Geopolitechs)"/>
    <s v="Reporting (Reuters)"/>
    <m/>
    <m/>
    <m/>
    <m/>
    <m/>
  </r>
  <r>
    <x v="105"/>
    <s v="Preliminary anti-dumping tariffs of 16.9 to 22.4 percent imposed on Taiwanese polycarbonate, following DPP presidential candidate Lai Ching-te’s transit via the United States"/>
    <x v="0"/>
    <s v="Actions of the Taiwanese Government"/>
    <x v="1"/>
    <s v="Informal—Conversion (AD) [1]: On the back of an investigation launched in November 2022, China imposed preliminary anti-dumping tariffs of 16.9 to 22.4 percent on Taiwanese polycarbonate. China announced the restrictions one day after Lai’s passage through New York City.424"/>
    <s v="Conversion"/>
    <x v="0"/>
    <s v="Anti-Dumping Regulations"/>
    <s v="N/A"/>
    <s v="Formosa Chemicals &amp; Fibre Corp. (台湾化学纤维股份有限公司); Idemitsu Chemicals Taiwan Corporation (台湾出光石油化学股份有限公司); CHIMEI Corporation (奇美实业股份有限公司); Chilin Technology Co., Ltd. (奇菱科技股份有限公司)"/>
    <s v="Taiwan (Asia &amp; Oceania)"/>
    <s v="Chemicals"/>
    <s v="Polycarbonate"/>
    <s v="Trigger: DPP Presidential Candidate Lai Ching-te’s transit via the United States.423_x000a__x000a_Explanation(s): Anti-dumping tariffs described as the result of a “normal anti-dumping investigation case” in which “the authorities are committed to conducting further investigation in a fair and just manner”.427_x000a__x000a_Investigation launch in August 2023, following Lai visit to US, and results in April 2024, one month before Lai's inauguration"/>
    <s v="商务部公告2024年第13号 关于原产于台湾地区的进口聚碳酸酯反倾销调查最终裁定的公告_x000a_【发布单位】贸易救济局_x000a_【发布文号】商务部公告2024年第13号_x000a_【发文日期】2024年04月19日_x000a_根据《中华人民共和国反倾销条例》（以下简称《反倾销条例》）的规定，2022年11月30日，商务部（以下称调查机关）发布2022年第35号公告，决定对原产于台湾地区的进口聚碳酸酯（以下称被调查产品）进行反倾销立案调查。_x000a__x000a_调查机关对被调查产品是否存在倾销和倾销幅度、被调查产品是否对大陆聚碳酸酯产业造成损害及损害程度以及倾销与损害之间的因果关系进行了调查。根据调查结果和《反倾销条例》第二十四条的规定，2023年8月14日，调查机关发布初裁公告，初步认定被调查产品存在倾销，大陆聚碳酸酯产业受到实质损害，而且倾销与实质损害之间存在因果关系。_x000a__x000a_初步裁定后，调查机关对倾销和倾销幅度、损害及损害程度以及倾销与损害之间的因果关系进行了继续调查。现本案调查结束，根据《反倾销条例》第二十五条的规定，调查机关作出最终裁定（见附件）。现将有关事项公告如下：_x000a__x000a_一、最终裁定_x000a__x000a_调查机关最终认定，被调查产品存在倾销，大陆聚碳酸酯产业受到实质损害，而且倾销与实质损害之间存在因果关系。_x000a__x000a_二、征收反倾销税_x000a__x000a_根据《反倾销条例》第三十八条的规定，商务部向国务院关税税则委员会提出征收反倾销税的建议，国务院关税税则委员会根据商务部的建议作出决定，自2024年4月20日起，对被调查产品征收反倾销税。_x000a__x000a_被调查产品的具体描述如下：_x000a__x000a_调查范围：原产于台湾地区的进口聚碳酸酯。_x000a__x000a_被调查产品名称：聚碳酸酯。_x000a__x000a_英文名称：Polycarbonate，简称PC。_x000a__x000a_结构式：_x000a__x000a__x000a__x000a_物化特性：被调查产品是分子主链含双酚A型碳酸酯基结构的高分子聚合物，外观通常为透明的圆柱状或球形粒子或固体粉末，具有抗冲击强度高、加工性能好、透光率高、耐热及耐寒性好等性能。_x000a__x000a_主要用途：聚碳酸酯可用于电子电器、板材/薄膜、汽车、光学、包装、医疗器械、安全防护等诸多领域。_x000a__x000a_该产品归在《中华人民共和国进出口税则》：39074000。该税则号项下双酚A型聚碳酸酯按重量计含量小于99%的产品不在本次被调查产品范围内。_x000a__x000a_对台湾地区公司征收的反倾销税税率如下：_x000a__x000a_1. 台湾化学纤维股份有限公司 　　　　 9.0%_x000a__x000a_(FORMOSA CHEMICALS &amp; FIBRE CORP.)_x000a__x000a_2. 台湾出光石油化学股份有限公司 　　 9.0%_x000a__x000a_(IDEMITSU CHEMICALS TAIWAN CORPORATION)_x000a__x000a_3. 奇美实业股份有限公司 　　　　　　 12.2%　_x000a__x000a_(CHIMEI CORPORATION)_x000a__x000a_4. 奇菱科技股份有限公司 　　　　　　 12.2%_x000a__x000a_(CHILIN TECHNOLOGY CO.,LTD.)_x000a__x000a_5. 其他台湾地区公司 　　　　　　　　 22.4%_x000a__x000a_三、征收反倾销税的方法_x000a__x000a_自2024年4月20日起，进口经营者在进口被调查产品时，应向中华人民共和国海关缴纳相应的反倾销税。反倾销税以海关审定的完税价格从价计征，计算公式为：反倾销税额=海关审定的完税价格×反倾销税税率。进口环节增值税以海关审定的完税价格加上关税和反倾销税作为计税价格从价计征。_x000a__x000a_四、反倾销税的追溯征收_x000a__x000a_对自2023年8月15日至2023年12月14日有关进口经营者依初裁公告向中华人民共和国海关所提供的保证金，按终裁所确定的征收反倾销税的产品范围和反倾销税税率计征并转为反倾销税，并按相应的增值税税率计征进口环节增值税。在此期间有关进口经营者所提供的保证金超出反倾销税的部分，以及由此多征的进口环节增值税部分，海关予以退还，少征部分则不再征收。对自2023年12月15日至2024年4月19日有关进口经营者依初裁公告向中华人民共和国海关所提供的相关保证金，海关予以退还。_x000a__x000a_对2023年8月15日之前进口的被调查产品不追溯征收反倾销税。_x000a__x000a_五、征收反倾销税的期限_x000a__x000a_对被调查产品征收反倾销税的实施期限自2024年4月20日起5年。_x000a__x000a_六、新出口商复审_x000a__x000a_对于台湾地区未在调查期内向中华人民共和国出口被调查产品的新出口经营者，符合条件的，可依据《反倾销条例》第四十七条的规定，向调查机关书面申请新出口商复审。_x000a__x000a_七、期间复审_x000a__x000a_在征收反倾销税期间，有关利害关系方可以根据《反倾销条例》第四十九条的规定，向调查机关书面申请期间复审。_x000a__x000a_八、行政复议和行政诉讼_x000a__x000a_对本案终裁决定及征收反倾销税的决定不服的，根据《反倾销条例》第五十三条的规定，可以依法申请行政复议，也可以依法向人民法院提起诉讼。_x000a__x000a_九、本公告自2024年4月20日起执行_x000a__x000a__x000a_附件：中华人民共和国商务部关于原产于台湾地区的进口聚碳酸酯反倾销调查的最终裁定_x000a__x000a_                                     　　　　　　商务部_x000a__x000a_                         　　　　　　　  2024年4月19日"/>
    <m/>
    <s v="Final results (MOFCOM)"/>
    <m/>
    <m/>
    <m/>
    <m/>
    <m/>
    <m/>
    <m/>
  </r>
  <r>
    <x v="106"/>
    <s v="Suspension of Taiwanese mango imports, citing pest concerns, following DPP presidential candidate Lai Ching-te’s transit via the United States"/>
    <x v="0"/>
    <s v="Actions of the Taiwanese Government"/>
    <x v="1"/>
    <s v="• Informal—Conversion (SPS) [1]: On Monday 21 August, the week following Lai’s transit through the USA, GACC announced China would be suspending the import of mangoes from Taiwan due to concerns about pest detection.425"/>
    <s v="Conversion"/>
    <x v="0"/>
    <s v="N/A"/>
    <s v="N/A"/>
    <s v="N/A"/>
    <s v="Taiwan (Asia &amp; Oceania)"/>
    <s v="Agriculture"/>
    <s v="Mangoes"/>
    <s v="Trigger: DPP Presidential Candidate Lai Ching-te’s transit via the United States.423_x000a__x000a_Explanation(s): Mango ban described as “normal, scientific and reasonable biosecurity precaution” that is “in line with the mainland's laws, regulations and standards”.426 Anti-dumping tariffs described as the result of a “normal anti-dumping investigation case” in which “the authorities are committed to conducting further investigation in a fair and just manner”.427"/>
    <m/>
    <m/>
    <s v="Victor's data"/>
    <s v="Report (CD)"/>
    <m/>
    <m/>
    <m/>
    <m/>
    <m/>
    <m/>
  </r>
  <r>
    <x v="107"/>
    <s v="Ban on Japanese seafood products following Fukushima water discharge"/>
    <x v="0"/>
    <s v="Geopolitical Dispute"/>
    <x v="1"/>
    <s v="• Informal—Conversion (SPS) [1]: On August 24 the China’s customs agency announced the suspension of all imports of aquatic products originating from Japan. Citing China’s domestic Food Safety Law, and the WTO agreement on SPS measures, the announcement stated the restrictions were motivated by the need to protect domestic consumers.429_x000a__x000a_the General Administration of Customs has decided to suspend the import of aquatic products (including edible aquatic animals) originating from Japan from August 24, 2023 (inclusive)."/>
    <s v="Conversion"/>
    <x v="0"/>
    <s v="Food Safety Law"/>
    <s v="N/A"/>
    <s v="N/A"/>
    <s v="Japan (Asia &amp; Oceania)"/>
    <s v="Food &amp; Beverage"/>
    <s v="Seafood products"/>
    <s v="Trigger: Japan’s commencement of the release of treated water from the Fukushima Daiichi nuclear plant into the Pacific Ocean.428_x000a_Sanction:_x000a_• Informal—Conversion (SPS) [1]: On August 24 the China’s customs agency announced the suspension of all imports of aquatic products originating from Japan. Citing China’s domestic Food Safety Law, and the WTO agreement on SPS measures, the announcement stated the restrictions were motivated by the need to protect domestic consumers.429_x000a_Explanation: Chinese officials framed the ban as “necessary to safeguard food safety and the health of our people”.430 The Japanese government, and many of its supporters,431 rejected this explanation as unscientific given the International Atomic Energy Agency had concluded Japan’s plans were safe.432_x000a_Annotation(s): While Japanese officials began by describing the seafood ban as ‘economic coercion’,433 the use of that language decreased over time. Nevertheless, the Japanese government and its supporters (notably the United States, and in particular Ambassador to Japan Rahm Emmanuel)434 continued to object to the restriction as being a politically motivated barrier to trade._x000a__x000a_No evidence that the ban had something to do with Japan meeting with South Korea and the United States at Camp David, so we assume the objective is the stated one: reversing Japan's Fukushima water discharge decision. "/>
    <s v="海关总署公告_x000a_2023年第103号_x000a__x000a_为全面防范日本福岛核污染水排海对食品安全造成的放射性污染风险，保护中国消费者健康，确保进口食品安全，依据《中华人民共和国食品安全法》及其实施条例、《中华人民共和国进出口食品安全管理办法》有关规定，以及世界贸易组织《实施卫生与植物卫生措施协定》有关规定，海关总署决定自2023年8月24日（含）起全面暂停进口原产地为日本的水产品（含食用水生动物）。_x000a__x000a_特此公告。_x000a__x000a_海关总署_x000a_2023年8月24日"/>
    <m/>
    <s v="Full Text Chinese (Customs)"/>
    <s v="Full Text English (MFA)"/>
    <s v="Analysis (The Interpreter)"/>
    <m/>
    <m/>
    <m/>
    <m/>
    <m/>
  </r>
  <r>
    <x v="107"/>
    <s v="Boycott calls against Japanese beauty brands and several firms following Fukushima water discharge"/>
    <x v="0"/>
    <s v="Geopolitical Dispute"/>
    <x v="4"/>
    <s v="According to the boycott list of Japanese products circulated online, the brands cover clothing, food, housing and transportation, from MUJI, UNIQLO, AEON to Yoshinoya, Nikon, Canon, etc., among which Shiseido and Yoshinoya are the first to be affected. Some mainland consumers said that they have returned all the cosmetics they had. About 30% of Shiseido's revenue comes from China. If the boycott continues, similar Japanese companies will suffer heavy losses._x000a_"/>
    <s v="Boycott Fomentation"/>
    <x v="0"/>
    <s v="N/A"/>
    <s v="N/A"/>
    <s v="Shiseido; Kosé; Uniqlo; MUJI; FamilyMart; Lawson; 7-Eleven; Yoshinoya; Glico; Kao; Panasonic; Canon; Sony; Nikon; Takashimaya; Yamaha; Nintendo; Pola Orbis Holdings"/>
    <s v="Japan (Asia &amp; Oceania)"/>
    <s v="Consumer Goods; Food &amp; Beverage; Other Electronics; Entertainment"/>
    <s v="Beauty products"/>
    <s v="See image of all companies shared, as reported by Yahoo."/>
    <m/>
    <m/>
    <s v="Reporting (FT)"/>
    <s v="Reporting (Yahoo)"/>
    <m/>
    <m/>
    <m/>
    <m/>
    <m/>
    <m/>
  </r>
  <r>
    <x v="108"/>
    <s v="Sanctions on Lockheed Martin and Northrop Grumman Over Arms Sales to Taiwan"/>
    <x v="0"/>
    <s v="Arms Sales to Taiwan"/>
    <x v="5"/>
    <s v="Lockheed Martin Corporation, St. Louis, MO directly participated in the US arms sale to Taiwan announced on August 24 as the principal contractor. Northrop Grumman participated in several US arms sales to Taiwan. In accordance with the Anti-Foreign Sanctions Law of the People’s Republic of China, China decides to impose sanctions on these two above-mentioned US defense corporations."/>
    <s v="Formal"/>
    <x v="1"/>
    <s v="Anti-Foreign Sanctions Law"/>
    <s v="N/A"/>
    <s v="Lockheed Martin Corporation; Northrop Grumman"/>
    <s v="United States (North America)"/>
    <s v="Defense"/>
    <m/>
    <m/>
    <m/>
    <s v="China Daily: Lately the US has provided advanced weaponry to China’s Taiwan region through arms sales, military assistance and loans. China’s foreign ministry spokesperson said earlier that China would take strong measures to defend its sovereignty and territorial integrity. I wonder if you have anything new on that?_x000a__x000a_Mao Ning: In disregard of China’s firm opposition, the US government deliberately supplies weapons to China’s Taiwan region. This seriously violates the one-China principle and the stipulations of the three China-US joint communiqués, contravenes international law and basic norms governing international relations, and undermines China’s sovereignty and security interests. The US is going further down the wrong and dangerous path of arming Taiwan._x000a__x000a_Lockheed Martin Corporation, St. Louis, MO directly participated in the US arms sale to Taiwan announced on August 24 as the principal contractor. Northrop Grumman participated in several US arms sales to Taiwan. In accordance with the Anti-Foreign Sanctions Law of the People’s Republic of China, China decides to impose sanctions on these two above-mentioned US defense corporations._x000a__x000a_Let me stress, the Chinese government never wavers in its resolve of safeguarding national sovereignty and territorial integrity. We call on the US to earnestly abide by the one-China principle and the stipulations of the three China-US joint communiqués, stop arms sales to Taiwan, stop military collusion with Taiwan, and stop arming Taiwan, otherwise it will be met with China’s resolute response."/>
    <s v="Full Text Chinese (MFA)"/>
    <m/>
    <m/>
    <m/>
    <m/>
    <m/>
    <m/>
    <m/>
  </r>
  <r>
    <x v="109"/>
    <s v="Export controls on graphite, entailing license requirements for graphite-related items, following U.S. semiconductor restrictions"/>
    <x v="1"/>
    <s v="Geopolitical Dispute"/>
    <x v="0"/>
    <s v="Introduces export license requirements for graphite-related items._x000a__x000a_Application requires information on exporter, importer, end-user, and end-use"/>
    <s v="Formal"/>
    <x v="1"/>
    <s v="Export Control Law;_x000a_Foreign Trade Law;_x000a_Customs Law"/>
    <s v="N/A"/>
    <s v="N/A"/>
    <s v="N/A"/>
    <s v="Raw Materials"/>
    <s v="Graphite"/>
    <s v="Very similar to germanium and gallium controls (2024-07-03).._x000a__x000a_According to Hendrix (PIIE), these license requirements have as of October 2024 not led to any significant drop in exports. However, it may have served as an information gathering mechanism. With information on exporters and users, China can impose more costly and targeted sanctions in the future. This may serve as a useful deterrent."/>
    <s v="商务部 海关总署公告2023年第39号 关于优化调整石墨物项临时出口管制措施的公告_x000a__x000a_【发布单位】 安全与管制局_x000a_【发布文号】 商务部 海关总署公告2023年第39号_x000a_【发文日期】 2023年10月20日_x000a__x000a_根据《中华人民共和国出口管制法》《中华人民共和国对外贸易法》《中华人民共和国海关法》有关规定，为维护国家安全和利益，经国务院批准，决定对商务部、国家国防科工委、海关总署公告2006年第50号（《决定对石墨类相关制品实施临时出口管制措施》）中所列的物项范围进行优化调整，对部分物项实施出口管制。有关事项公告如下：_x000a__x000a_一、满足以下特性的物项，未经许可，不得出口：_x000a__x000a_（一）高纯度（纯度&gt;99.9%)、高强度（抗折强度&gt;30Mpa）、高密度（密度&gt;1.73克/立方厘米）的人造石墨材料及其制品（参考海关商品编号：3801100030、3801909010、6815190020）。_x000a__x000a_（二）天然鳞片石墨及其制品（包含球化石墨、膨胀石墨等）（参考海关商品编号：2504101000、2504109100、3801901000、3801909010、3824999940、6815190020）。_x000a__x000a_二、除上述物项外，商务部、国家国防科工委、海关总署公告2006年第50号（《决定对石墨类相关制品实施临时出口管制措施》）中其他物项取消临时出口管制。_x000a__x000a_三、出口经营者应按照相关规定办理出口许可手续，通过省级商务主管部门向商务部提出申请，填写两用物项和技术出口申请表并提交下列文件：_x000a__x000a_（一）出口合同、协议的原件或者与原件一致的复印件、扫描件；_x000a__x000a_（二）拟出口物项的技术说明或者检测报告；_x000a__x000a_（三）最终用户和最终用途证明；_x000a__x000a_（四）进口商和最终用户情况介绍；_x000a__x000a_（五）申请人的法定代表人、主要经营管理人以及经办人的身份证明。_x000a__x000a_四、商务部应当自收到出口申请文件之日起进行审查，或者会同有关部门进行审查，并在法定时限内作出准予或者不予许可的决定。_x000a__x000a_对国家安全有重大影响的本公告所列物项的出口，商务部会同有关部门报国务院批准。_x000a__x000a_五、经审查准予许可的，由商务部颁发两用物项和技术出口许可证件（以下简称出口许可证件）。_x000a__x000a_六、出口许可证件申领和签发程序、特殊情况处理、文件资料保存年限等，依照商务部、海关总署令2005年第29号（《两用物项和技术进出口许可证管理办法》）的相关规定执行。_x000a__x000a_七、出口经营者应当向海关出具出口许可证件，依照《中华人民共和国海关法》的规定办理海关手续，并接受海关监管。海关凭商务部签发的出口许可证件办理验放手续。_x000a__x000a_八、出口经营者未经许可出口、超出许可范围出口或有其他违法情形的，由商务部或者海关等部门依照有关法律法规的规定给予行政处罚。构成犯罪的，依法追究刑事责任。_x000a__x000a_九、本公告自2023年12月1日起正式实施，商务部、国家国防科工委、海关总署公告2006年第50号（《决定对石墨类相关制品实施临时出口管制措施》）同时废止。_x000a__x000a_商务部 海关总署  _x000a__x000a_2023年10月20日"/>
    <m/>
    <s v="Full Text Chinese (MOFCOM)"/>
    <s v="Analysis (PIIE)"/>
    <m/>
    <m/>
    <m/>
    <m/>
    <m/>
    <m/>
  </r>
  <r>
    <x v="110"/>
    <s v="First batch of suspensions of tariff concessions on certain products under the Cross-Strait Economic Cooperation Framework Agreement (ECFA), ahead of Taiwanese elections"/>
    <x v="0"/>
    <s v="Actions of the Taiwanese Government"/>
    <x v="1"/>
    <s v="In accordance with the Cross-Strait Economic Cooperation Framework Agreement, the State Council Tariff Commission has decided to suspend tariff concessions on some products in the Cross-Strait Economic Cooperation Framework Agreement in accordance with regulations and procedures. ... From January 1, 2024, the application of the agreed tariff rates of the Cross-Strait Economic Cooperation Framework Agreement will be terminated for imported products originating in Taiwan, including propylene and paraxylene, listed in the appendix, and the current relevant regulations will be followed. "/>
    <s v="Conversion"/>
    <x v="0"/>
    <s v="Cross-Strait Economic Cooperation Framework Agreement"/>
    <s v="N/A"/>
    <s v="N/A"/>
    <s v="Taiwan (Asia &amp; Oceania)"/>
    <s v="Raw Materials"/>
    <s v="Propylene; butadiene; isoprene; mixed xylene isomers; orthoxylene; metaxylene; paraxylene; dodecylbenzene; chloroform; vinyl chloride; ethylene propylene copolymer; other olefin polymers in primary form"/>
    <s v="Imposed ahead of Taiwanese elections. A second batch came in May 2024 after the inauguration speech."/>
    <s v="国务院关税税则委员会关于中止《海峡两岸经济合作框架协议》_x000a_部分产品关税减让的公告_x000a_发布日期：2023年12月21日 _x000a_税委会公告2023年第9号_x000a__x000a_　　台湾地区单方面对大陆产品出口采取歧视性的禁止、限制等措施，违反了《海峡两岸经济合作框架协议》规定。根据《海峡两岸经济合作框架协议》，国务院关税税则委员会按规定和程序决定，中止《海峡两岸经济合作框架协议》部分产品关税减让。希望台湾地区采取有效措施，取消对大陆的贸易限制。现将有关事项公告如下：_x000a__x000a_　　自2024年1月1日起，对原产于台湾地区的附件所列丙烯、对二甲苯等12个税目进口产品，中止适用《海峡两岸经济合作框架协议》协定税率，按现行有关规定执行。 _x000a__x000a_　　附件：中止《海峡两岸经济合作框架协议》关税减让产品清单_x000a__x000a_　　国务院关税税则委员会_x000a__x000a_　　2023年12月20日_x000a__x000a_附件下载：_x000a__x000a_附件：中止《海峡两岸经济合作框架协议》关税减让产品清单.pdf_x000a_相关文章：_x000a__x000a_国务院关税税则委员会发布公告决定中止《海峡两岸经济合作框架协议》部分产品关税减让"/>
    <m/>
    <s v="Full Text Chinese (Ministry of Finance)"/>
    <s v="Investigation (MOFCOM)"/>
    <m/>
    <m/>
    <m/>
    <m/>
    <m/>
    <m/>
  </r>
  <r>
    <x v="111"/>
    <s v="Sanctions on US Firm Kharon and Two Researchers Over Xinjiang-Related Allegations"/>
    <x v="1"/>
    <s v="Xinjiang"/>
    <x v="5"/>
    <s v="In accordance with China’s Anti-Foreign Sanctions Law, we will take countermeasures against American intelligence data company Kharon, which has long collected Xinjiang-related sensitive information and provided so-called evidence for America’s illegal sanctions related to Xinjiang, Edmund Xu, director of investigations of Kharon, and Nicole Morgret, former researcher of the Center for Advanced Defense Studies. The two persons will be prohibited from entering China (including China’s mainland, the Hong Kong SAR and the Macau SAR). China will freeze the property of Kharon and the two persons in China, including their movable and immovable property, and prohibit organizations and individuals in China from transactions and cooperation with them."/>
    <s v="Formal"/>
    <x v="1"/>
    <s v="Anti-Foreign Sanctions Law"/>
    <s v="Edmund Xu; Nicole Morgret"/>
    <s v="Kharon"/>
    <s v="United States (North America)"/>
    <s v="Defense"/>
    <m/>
    <m/>
    <m/>
    <s v="Xinhua News Agency: The US issued an annual human rights report related to Xinjiang and sanctioned China’s two officials and three companies. China said it will take resolute countermeasures. What are these specific measures?_x000a__x000a_Mao Ning: By issuing the report, the US once again spread false stories on Xinjiang and illegally sanctioned Chinese officials and companies citing so-called human rights issues. This move constitutes grave interference in China’s internal affairs and violates the international law and the basic norms of international relations. The move is designed to vilify China and harmful to the lawful rights and interests of relevant Chinese officials and companies. We firmly oppose and strongly condemn the move and have made serious démarches to the US over this. _x000a__x000a_In accordance with China’s Anti-Foreign Sanctions Law, we will take countermeasures against American intelligence data company Kharon, which has long collected Xinjiang-related sensitive information and provided so-called evidence for America’s illegal sanctions related to Xinjiang, Edmund Xu, director of investigations of Kharon, and Nicole Morgret, former researcher of the Center for Advanced Defense Studies. The two persons will be prohibited from entering China (including China’s mainland, the Hong Kong SAR and the Macau SAR). China will freeze the property of Kharon and the two persons in China, including their movable and immovable property, and prohibit organizations and individuals in China from transactions and cooperation with them._x000a__x000a_We again urge the US to stop smearing China, cancel the illegal unilateral sanctions on Chinese officials and companies, and stop implementing wrongful acts such as the Uyghur Forced Labor Prevention Act. If the US refuses to change course, China will not flinch and will respond in kind."/>
    <s v="Full Text Chinese (MFA)"/>
    <m/>
    <m/>
    <m/>
    <m/>
    <m/>
    <m/>
    <m/>
  </r>
  <r>
    <x v="112"/>
    <s v="Sanctions against five US defense companies, following U.S. sanctions and arms sales to Taiwan"/>
    <x v="1"/>
    <s v="Arms Sales to Taiwan"/>
    <x v="5"/>
    <s v="In response to these gravely wrong actions taken by the US and in accordance with China’s Anti-Foreign Sanctions Law, China has decided to sanction five US defense industry companies, namely BAE Systems Land and Armament, Alliant Techsystems Operation, AeroVironment, ViaSat and Data Link Solutions. The countermeasures consist of freezing the properties of those companies in China, including their movable and immovable property, and prohibiting organizations and individuals in China from transactions and cooperation with them."/>
    <s v="Formal"/>
    <x v="1"/>
    <s v="Anti-Foreign Sanctions Law"/>
    <s v="N/A"/>
    <s v="BAE Systems Land and Armament; Alliant Techsystems Operation; AeroVironment; ViaSat; Data Link Solutions"/>
    <s v="United States (North America)"/>
    <s v="Defense"/>
    <m/>
    <m/>
    <m/>
    <s v="Foreign Ministry Spokesperson’s Remarks on Countermeasures on US Arms Sales to China’s Taiwan Region and Sanctions on Chinese Entities_x000a_2024-01-07 09:00_x000a_Q: The US recently announced new arms sales to Taiwan and sanctioned Chinese businesses and individuals under various pretexts. China said it would take countermeasures. Could you tell us specifically what those measures are?_x000a__x000a_A: The US arms sales to China’s Taiwan region in blatant violation of the one-China principle and the stipulations of the three China-US joint communiqués, particularly the August 17 joint communiqué of 1982, and the illegal unilateral sanctions the US has imposed on Chinese companies and individuals under various false pretexts seriously harm China’s sovereignty and security interests, undermine the peace and stability across the Taiwan Strait, and violate the legitimate and lawful rights and interests of Chinese companies and individuals. China strongly deplores and firmly opposes this and has made solemn démarches to the US. _x000a__x000a_In response to these gravely wrong actions taken by the US and in accordance with China’s Anti-Foreign Sanctions Law, China has decided to sanction five US defense industry companies, namely BAE Systems Land and Armament, Alliant Techsystems Operation, AeroVironment, ViaSat and Data Link Solutions. The countermeasures consist of freezing the properties of those companies in China, including their movable and immovable property, and prohibiting organizations and individuals in China from transactions and cooperation with them._x000a__x000a_I would like to stress that the Chinese government remains unwavering in our resolve to safeguard national sovereignty, security and territorial integrity and protect the lawful rights and interests of Chinese companies and citizens. We urge the United States to abide by the one-China principle and the three China-US joint communiqués, observe international law and the basic norms governing international relations, stop arming Taiwan, and stop targeting China with illegal unilateral sanctions. Otherwise there will be strong and resolute response from China."/>
    <s v="Full Text Chinese (MFA)"/>
    <m/>
    <m/>
    <m/>
    <m/>
    <m/>
    <m/>
    <m/>
  </r>
  <r>
    <x v="113"/>
    <s v="Decision on taking countermeasures against General Atomics Aeronautical Systems and General Dynamics Land Systems of the United States, following U.S. arms sales to Taiwan"/>
    <x v="0"/>
    <s v="Arms Sales to Taiwan"/>
    <x v="5"/>
    <s v="China has decided to take the following countermeasures against General Atomics Aeronautical Systems, General Dynamics Land Systems and other companies listed in the attached &quot;Countermeasure List&quot; that are involved in selling weapons to the Taiwan region of China:_x000a__x000a_1. Freeze movable property, immovable property and other types of property within the territory of my country;_x000a__x000a_2. Visas will not be issued to senior management personnel and they will not be allowed to enter the country."/>
    <s v="Formal"/>
    <x v="1"/>
    <s v="Anti-Foreign Sanctions Law (Articles 3, 4, 5, 6, 9 and 15)"/>
    <s v="N/A"/>
    <s v="General Atomics Aeronautical Systems; General Dynamics Land Systems"/>
    <s v="United States (North America)"/>
    <s v="Defense; Drones"/>
    <m/>
    <m/>
    <s v="关于对美国通用原子航空系统公司、通用动力陆地系统公司采取反制措施的决定_x000a_2024-04-11 17:00_x000a__x000a_【中大小】 打印 _x000a_（2024年4月11日中华人民共和国外交部令第5号公布，自2024年4月11日起施行）_x000a__x000a_美国持续向中国台湾地区出售武器，严重违反一个中国原则和中美三个联合公报规定，严重干涉中国内政，严重损害中国主权和领土完整。依据《中华人民共和国反外国制裁法》第三条、第四条、第五条、第六条、第九条、第十五条规定，中方决定对参与向中国台湾地区出售武器的美国通用原子航空系统公司、通用动力陆地系统公司等后附《反制清单》列明的企业采取以下反制措施：_x000a__x000a_一、冻结在我国境内的动产、不动产和其他各类财产；_x000a__x000a_二、对高级管理人员不予签发签证、不准入境。_x000a__x000a_本决定自2024年4月11日起施行。_x000a__x000a_附件：反制清单_x000a__x000a_   外交部   _x000a__x000a_2024年4月11日_x000a__x000a_附件_x000a__x000a_反制清单_x000a__x000a_一、通用原子航空系统公司（General Atomics Aeronautical Systems)_x000a__x000a_二、通用动力陆地系统公司（General Dynamics Land Systems)"/>
    <m/>
    <s v="Full Text Chinese (MFA)"/>
    <m/>
    <m/>
    <m/>
    <m/>
    <m/>
    <m/>
    <m/>
  </r>
  <r>
    <x v="114"/>
    <s v="Inclusion of General Atomics Aeronautical Systems, Inc. and Three Other U.S. Companies on the Unreliable Entity List, following U.S. arms sales to Taiwan"/>
    <x v="0"/>
    <s v="Arms Sales to Taiwan"/>
    <x v="5"/>
    <s v="To safeguard national sovereignty, security and development interests, in accordance with the Foreign Trade Law of the People's Republic of China, the National Security Law of the People's Republic of China and other relevant laws, the Unreliable Entity List Working Mechanism has decided to include General Atomics Aeronautical Systems and General Dynamics Land Systems of the United States, which are involved in arms sales to Taiwan, in the Unreliable Entity List in accordance with Articles 2, 8 and 10 of the Unreliable Entity List Regulations, and to take the following measures:_x000a__x000a_(1) Prohibit the above-mentioned enterprises from engaging in import and export activities related to China;_x000a__x000a_(2) Prohibit the above-mentioned enterprises from making new investments within the territory of China;_x000a__x000a_(3) Prohibit the entry of senior management personnel of the above-mentioned enterprises;_x000a__x000a_(iv) Not approving and cancelling the work permit, stay or residence permit of the above-mentioned senior management personnel in China."/>
    <s v="Formal"/>
    <x v="1"/>
    <s v="Unreliable Entity List (Article 2, Article 8 and Article 10 of the Unreliable Entity List Regulations)_x000a__x000a_Foreign Trade Law;_x000a_National Security Law;_x000a_&quot;other relevant laws&quot;"/>
    <s v="N/A"/>
    <s v="General Atomics Aeronautical Systems; General Dynamics Land Systems"/>
    <s v="United States (North America)"/>
    <s v="Defense"/>
    <m/>
    <s v="Step towards extraterritoriality._x000a__x000a_In addition to sanctions against two US defense companies, this decision claims that Caplugs has circumvented previous UEL sanctions against Lockheed and Raytheon. It issues a threat against Caplugs; requesting Chinese companies to exercise due diligence when selling to Caplugs and asks Caplugs for documentation._x000a__x000a_Caplugs thus not officially under sanctions."/>
    <s v="不可靠实体清单工作机制关于对通用原子航空系统公司等三家美国企业采取不可靠实体清单措施的公告_x000a_【发布单位】安全与管制局_x000a_【发布文号】不可靠实体清单工作机制公告〔2024〕1号_x000a_【发文日期】2024年05月20日_x000a_不 可 靠 实 体 清 单 工 作 机 制_x000a__x000a_公   告_x000a__x000a_2024年 第1号_x000a__x000a_一、为维护国家主权、安全和发展利益，根据《中华人民共和国对外贸易法》《中华人民共和国国家安全法》等有关法律，不可靠实体清单工作机制依据《不可靠实体清单规定》第二条、第八条和第十条等有关规定，决定将参与对台湾地区军售的美国通用原子航空系统公司（General Atomics Aeronautical Systems）、美国通用动力陆地系统公司（General Dynamics Land Systems）列入不可靠实体清单，并采取以下处理措施：_x000a__x000a_（一）禁止上述企业从事与中国有关的进出口活动；_x000a__x000a_（二）禁止上述企业在中国境内新增投资；_x000a__x000a_（三）禁止上述企业高级管理人员入境；_x000a__x000a_（四）不批准并取消上述企业高级管理人员在中国境内工作许可、停留或者居留资格。_x000a__x000a_二、2023年2月16日，不可靠实体清单工作机制将洛克希德·马丁公司（Lockheed Martin Corporation）、雷神导弹与防务公司（Raytheon Missiles &amp; Defense）列入不可靠实体清单，并采取相关处理措施（详见不可靠实体清单工作机制公告2023年第1号）。有证据显示，美国凯普拉格斯公司（Caplugs）规避《不可靠实体清单规定》等相关规定，将自中国采购的货物转移至不可靠实体清单中企业。为提示可能存在通过美国凯普拉格斯公司与不可靠实体清单中企业交易的风险，现就有关事项公告如下：_x000a__x000a_（一）境内企业与美国凯普拉格斯公司开展出口业务时，应当注意识别违规转移的风险，履行尽职调查，提升注意义务，加强贸易流向管理，采取适当方式确保相关货物、技术、服务等不被转移至不可靠实体清单中的外国实体。_x000a__x000a_（二）美国凯普拉格斯公司须尽快采取措施，确保自中国采购的相关货物、技术、服务等不向不可靠实体清单中的外国实体转移，并向不可靠实体清单工作机制办公室提交相关证明材料。否则，不可靠实体清单工作机制将依法依规对其采取相关措施。_x000a__x000a_不可靠实体清单工作机制办公室联系方式：_x000a__x000a_地址：北京市东城区东长安街2号_x000a__x000a_邮编：100731_x000a__x000a_电子邮箱：agjasc@mofcom.gov.cn_x000a__x000a_本公告未尽事宜，按《不可靠实体清单规定》执行。_x000a__x000a_本公告自公布之日起实施。_x000a__x000a_不可靠实体清单工作机制_x000a__x000a_（商务部代章）_x000a__x000a_2024年5月20日"/>
    <m/>
    <s v="Full Text Chinese (MOFCOM)"/>
    <m/>
    <m/>
    <m/>
    <m/>
    <m/>
    <m/>
    <m/>
  </r>
  <r>
    <x v="114"/>
    <s v="Announcement of the Working Mechanism of the Unreliable Entity List on the inclusion of Boeing Defense, Space &amp; Security Group in the Unreliable Entity List"/>
    <x v="0"/>
    <s v="Arms Sales to Taiwan"/>
    <x v="5"/>
    <s v="To safeguard national sovereignty, security and development interests, in accordance with the Foreign Trade Law of the People's Republic of China, the National Security Law of the People's Republic of China and other relevant laws, the Unreliable Entity List Working Mechanism has decided to include Boeing Defense, Space &amp; Security, a US company involved in arms sales to Taiwan, in the Unreliable Entity List in accordance with Article 2, Article 8 and Article 10 of the Unreliable Entity List Regulations, and to take the following measures:_x000a__x000a_1. The above-mentioned enterprises are prohibited from engaging in import and export activities related to China;_x000a__x000a_2. Prohibit the above-mentioned enterprises from making new investments in China;_x000a__x000a_3. Prohibit the entry of senior management personnel of the above-mentioned enterprises;_x000a__x000a_4. Not approving and canceling the work permit, stay or residence qualification in China of the above-mentioned senior executives of the enterprises;_x000a__x000a_5. A fine of twice the amount of the arms sales contract to Taiwan since the implementation of the Unreliable Entity List Regulations will be imposed on the above-mentioned enterprises. The above-mentioned enterprises shall pay the fine in accordance with relevant laws and regulations within 15 days from the date of publication of this announcement. If they fail to comply with this decision within the time limit, the Unreliable Entity List Working Mechanism will take measures such as additional fines in accordance with the law."/>
    <s v="Formal"/>
    <x v="1"/>
    <s v="Unreliable Entity List (Article 2, Article 8 and Article 10 of the Unreliable Entity List Regulations)_x000a__x000a_Foreign Trade Law;_x000a_National Security Law;_x000a_&quot;other relevant laws&quot;"/>
    <s v="N/A"/>
    <s v="Boeing Defense, Space &amp; Security"/>
    <s v="United States (North America)"/>
    <s v="Defense"/>
    <m/>
    <m/>
    <s v="不可靠实体清单工作机制关于将波音防务、空间与安全集团列入不可靠实体清单的公告_x000a_【发布单位】安全与管制局_x000a_【发布文号】不可靠实体清单工作机制公告〔2024〕2号_x000a_【发文日期】2024年05月20日_x000a_不 可 靠 实 体 清 单 工 作 机 制_x000a__x000a_公  告_x000a__x000a_2024年 第2号_x000a__x000a_为维护国家主权、安全和发展利益，根据《中华人民共和国对外贸易法》《中华人民共和国国家安全法》等有关法律，不可靠实体清单工作机制依据《不可靠实体清单规定》第二条、第八条和第十条等有关规定，决定将参与对台湾地区军售的美国波音防务、空间与安全集团（Boeing Defense, Space &amp; Security）列入不可靠实体清单，并采取以下处理措施：_x000a__x000a_一、禁止上述企业从事与中国有关的进出口活动；_x000a__x000a_二、禁止上述企业在中国境内新增投资；_x000a__x000a_三、禁止上述企业高级管理人员入境；_x000a__x000a_四、不批准并取消上述企业高级管理人员在中国境内工作许可、停留或者居留资格；_x000a__x000a_五、对上述企业处以罚款，金额为《不可靠实体清单规定》实施以来对台军售合同金额的两倍。上述企业应当自本公告公布之日起15日内，按照相关法律法规办理缴款。若逾期不履行本决定，不可靠实体清单工作机制将依法采取加处罚款等措施。_x000a__x000a_本公告未尽事宜，按《不可靠实体清单规定》执行。_x000a__x000a_本公告自公布之日起实施。_x000a__x000a_不可靠实体清单工作机制_x000a__x000a_（商务部代章）_x000a__x000a_2024年5月20日"/>
    <m/>
    <s v="Full Text Chinese (MOFCOM)"/>
    <m/>
    <m/>
    <m/>
    <m/>
    <m/>
    <m/>
    <m/>
  </r>
  <r>
    <x v="115"/>
    <s v="Decision on taking countermeasures against former U.S. Congressman Gallagher, following U.S. Secretary of State Antony Blinken Congratulating Taiwan’s New President, Lai Ching-te on His Inauguration"/>
    <x v="0"/>
    <s v="Foreign Support for Taiwan"/>
    <x v="5"/>
    <s v="China has decided to take the following countermeasures against Gallagher:_x000a__x000a_1. Freeze movable property, immovable property and other types of property within the territory of my country;_x000a__x000a_2. Prohibit organizations and individuals within the territory of my country from engaging in transactions, cooperation and other activities with the individual;_x000a__x000a_3. Deny the person a visa and deny entry."/>
    <s v="Formal"/>
    <x v="1"/>
    <s v="Anti-Foreign Sanctions Law (Articles 3, 4, 6, 9 and 15)"/>
    <s v="Mike Gallagher"/>
    <s v="N/A"/>
    <s v="United States (North America)"/>
    <s v="Public Sector"/>
    <s v="N/A"/>
    <s v="Excludes art 5 of AFSL_x000a__x000a_China Daily: Last year, he proposed a bill seeking to block companies of China and other &quot;foreign adversaries&quot; from purchasing land near military bases and other sensitive sites._x000a__x000a_Last month, Gallagher worked together with congressional fellows, including Representative Jimmy Panetta, on proposing a bill to impose sanctions on any Chinese military firm that provides material support to Russia."/>
    <s v="关于对美国国会前议员加拉格尔采取反制措施的决定_x000a_2024-05-21 16:30_x000a__x000a_【中大小】 打印 _x000a_（2024年5月21日中华人民共和国外交部令第6号公布，自2024年5月21日起施行）_x000a__x000a_美国威斯康星州前联邦众议员麦克·加拉格尔近年来频繁采取干涉中国内政、损害中国主权和领土完整、侵犯中方利益的言行。依据《中华人民共和国反外国制裁法》第三条、第四条、第六条、第九条、第十五条规定，中方决定对加拉格尔采取以下反制措施：_x000a__x000a_一、冻结在我国境内的动产、不动产和其他各类财产；_x000a__x000a_二、禁止我国境内的组织、个人与其本人进行有关交易、合作等活动；_x000a__x000a_三、对其本人不予签发签证、不准入境。_x000a__x000a_本决定自2024年5月21日起施行。_x000a__x000a_附件：反制清单_x000a__x000a_外交部    _x000a__x000a_2024年5月21日_x000a__x000a_附件_x000a__x000a_反制清单_x000a__x000a_美国国会众议院“中国特设委”前任主席、威斯康星州前联邦众议员麦克·加拉格尔（Mike Gallagher）"/>
    <m/>
    <s v="Full Text Chinese (MFA)"/>
    <s v="China Daily"/>
    <m/>
    <m/>
    <m/>
    <m/>
    <m/>
    <m/>
  </r>
  <r>
    <x v="116"/>
    <s v="Decision on taking countermeasures against U.S. military-industrial enterprises and senior managers (I), following U.S. U.S. sanctions against China and arms sales to Taiwan"/>
    <x v="1"/>
    <s v="Arms Sales to Taiwan"/>
    <x v="5"/>
    <s v="For the 12 companies as listed in the attached List of Targets of Countermeasures ..._x000a_Their movable and immovable properties, and other kinds of assets within China shall be frozen._x000a__x000a_For the 10 senior executives as listed in the attached List of Targets of Countermeasures ... They shall be denied visas or entry into China (including Hong Kong and Macao)."/>
    <s v="Formal"/>
    <x v="1"/>
    <s v="Anti-Foreign Sanctions Law (Articles 3, 4, 5, 6, 9 and 15)"/>
    <s v="Kathy J. Warden; Matthew Bromberg; Benjamin R. Davies; Thomas H. Jones; Stephen O’Bryan; Roshan Roeder; Firat H. Gezen; Jason W. Aiken; Amy Gilliland; Christopher J. Brady"/>
    <s v="Lockheed Martin Missiles and Fire Control; Lockheed Martin Aeronautics; Raytheon/Lockheed Martin Javelin Joint Venture; Raytheon Missile Systems; General Dynamics Ordnance and Tactical Systems; General Dynamics Information Technology; General Dynamics Mission Systems; Inter-Coastal Electronics; System Studies &amp; Simulation; IronMountain Solutions; Applied Technologies Group; Axient"/>
    <s v="United States (North America)"/>
    <s v="Defense"/>
    <s v="Missiles, missile defense, munitions, aerospace, defense systems"/>
    <s v="&quot;For some time, the United States has ignored China's objective and fair position and constructive role in the Ukrainian crisis, and has abused illegal unilateral sanctions against a number of Chinese entities on the grounds of so-called Russian-related factors, engaged in unilateral bullying and economic coercion, and seriously violated the legitimate rights and interests of Chinese companies, institutions and individuals. At the same time, the United States continues to sell weapons to the Taiwan region of China, seriously violating the one-China principle and the provisions of the three Sino-US joint communiqués, seriously interfering in China's internal affairs, and seriously undermining China's sovereignty and territorial integrity.&quot;_x000a__x000a_Very similar in form to subsequent sanctions decisions on US defence industry, but more limited in substance in that it only consists of an asset freeze on firms and entry ban on individuals. Subsequent decisions have gradually become more expansive, including more restrictions. "/>
    <s v="关于对美国军工企业及高级管理人员采取反制措施的决定_x000a_2024-05-22 17:00_x000a__x000a_【中大小】 打印 _x000a_（2024年5月22日中华人民共和国外交部令第7号公布，自2024年5月22日起施行）_x000a__x000a_一段时间以来，美国无视中方在乌克兰危机上的客观公正立场和建设性作用，以所谓涉俄罗斯因素为由对多家中国实体滥施非法单边制裁，大搞单边霸凌和经济胁迫，严重侵犯中方企业、机构和个人正当合法权益。同时，美国持续向中国台湾地区出售武器，严重违反一个中国原则和中美三个联合公报规定，严重干涉中国内政，严重损害中国主权和领土完整。_x000a__x000a_依据《中华人民共和国反外国制裁法》第三条、第四条、第五条、第六条、第九条、第十五条规定，中方决定对以下美国军工企业及高级管理人员采取反制措施：_x000a__x000a_一、对洛克希德·马丁导弹与火控公司、洛克希德·马丁航空公司、标枪合资公司、雷神导弹系统公司、通用动力军械与战术系统公司、通用动力信息技术公司、通用动力任务系统公司、海岸间电子公司、系统研究与模拟公司、铁山解决方案公司、应用技术集团、阿克西恩特公司等12家后附《反制清单》列明的企业，冻结在我国境内的动产、不动产和其他各类财产。_x000a__x000a_二、对凯西·沃登（诺斯罗普·格鲁曼公司董事长、首席执行官、总裁）、马修·布朗伯格（诺斯罗普·格鲁曼公司全球运营副总裁）、本杰明·戴维斯（诺斯罗普·格鲁曼公司战略威慑系统副总裁、总经理）、托马斯·琼斯（诺斯罗普·格鲁曼公司副总裁、航空系统总裁）、斯蒂芬·奥布莱恩（诺斯罗普·格鲁曼公司副总裁、全球业务发展官）、罗珊·罗德（诺斯罗普·格鲁曼公司副总裁、防务系统总裁）、菲拉特·盖曾（通用动力公司副总裁、通用动力军械与战术系统公司总裁）、贾森·艾肯（通用动力公司负责技术部门执行副总裁）、艾米·吉格兰（通用动力公司高级副总裁、通用动力信息技术公司总裁）、克里斯托弗·布雷迪（通用动力公司副总裁、通用动力任务系统公司总裁）等10名后附《反制清单》列明的企业高级管理人员，不予签发签证、不准入境（包括香港、澳门）。_x000a__x000a_本决定自2024年5月22日起施行。_x000a__x000a_附件：反制清单                      _x000a__x000a_外交部　　_x000a__x000a_2024年5月22日_x000a__x000a_附件_x000a__x000a_反制清单_x000a__x000a_一、企业_x000a__x000a_　　（一）洛克希德·马丁导弹与火控公司（Lockheed Martin Missiles and Fire Control）_x000a__x000a_　　（二）洛克希德·马丁航空公司（Lockheed Martin Aeronautics）_x000a__x000a_　　（三）标枪合资公司（Raytheon/Lockheed Martin Javelin Joint Venture）_x000a__x000a_　　（四）雷神导弹系统公司（Raytheon Missile Systems）_x000a__x000a_　　（五）通用动力军械与战术系统公司（General Dynamics Ordnance and Tactical Systems）_x000a__x000a_　　（六）通用动力信息技术公司（General Dynamics Information Technology）_x000a__x000a_　　（七）通用动力任务系统公司（General Dynamics Mission Systems）_x000a__x000a_　　（八）海岸间电子公司（Inter-Coastal Electronics）_x000a__x000a_　　（九）系统研究与模拟公司（System Studies &amp; Simulation）_x000a__x000a_　　（十）铁山解决方案公司 （IronMountain Solutions）_x000a__x000a_　　（十一）应用技术集团（Applied Technologies Group）_x000a__x000a_　　（十二）阿克西恩特公司（Axient）_x000a__x000a_二、高级管理人员_x000a__x000a_　　（一）凯西·沃登（Kathy J. Warden），女，诺斯罗普·格鲁曼公司董事长、首席执行官、总裁_x000a__x000a_　　（二）马修·布朗伯格（Matthew Bromberg），男，诺斯罗普·格鲁曼公司全球运营副总裁_x000a__x000a_　　（三）本杰明·戴维斯（Benjamin R. Davies），男，诺斯罗普·格鲁曼公司战略威慑系统副总裁、总经理_x000a__x000a_　　（四）托马斯·琼斯（Thomas H. Jones），男，诺斯罗普·格鲁曼公司副总裁、航空系统总裁_x000a__x000a_　　（五）斯蒂芬·奥布莱恩（Stephen O’Bryan），男，诺斯罗普·格鲁曼公司副总裁、全球业务发展官_x000a__x000a_　　（六）罗珊·罗德（Roshan Roeder），女，诺斯罗普·格鲁曼公司副总裁、防务系统总裁_x000a__x000a_　　（七）菲拉特·盖曾（Firat H. Gezen），男，通用动力公司副总裁、通用动力军械与战术系统公司总裁_x000a__x000a_　　（八）贾森·艾肯（Jason W. Aiken），男，通用动力公司负责技术部门执行副总裁_x000a__x000a_　　（九）艾米·吉格兰（Amy Gilliland），女，通用动力公司高级副总裁、通用动力信息技术公司总裁_x000a__x000a_　　（十）克里斯托弗·布雷迪（Christopher J. Brady），男，通用动力公司副总裁、通用动力任务系统公司总裁"/>
    <s v="Decision on Taking Countermeasures Against_x000a_U.S. Military Companies and Senior Executives_x000a_Updated: May 27, 2024 17:28_x000a__x000a_(Issued on May 22, 2024 as Decree of the Ministry of Foreign Affairs of the People’s Republic of China No.7, effective as of May 22, 2024)_x000a__x000a_In disregard of China’s fair and objective position and constructive role on the Ukraine crisis, the United States has recently arbitrarily imposed illegal unilateral sanctions on a number of Chinese entities on the basis of so-called Russia-related factors, and engaged in unilateral acts of bullying and economic coercion. This has seriously undermined the legitimate and lawful rights and interests of Chinese companies, institutions and individuals. In the meantime, the continued U.S. arms sales to China’s Taiwan region seriously violate the one-China principle and the provisions of the three China-U.S. Joint Communiqués, interfere in China’s internal affairs, and undermine China’s sovereignty and territorial integrity._x000a__x000a_Pursuant to Articles 3, 4, 5, 6, 9 and 15 of the Law of the People’s Republic of China on Countering Foreign Sanctions, China hereby decides to take countermeasures against the following U.S. military companies and senior executives:_x000a__x000a_For the 12 companies as listed in the attached List of Targets of Countermeasures, i.e., Lockheed Martin Missiles and Fire Control, Lockheed Martin Aeronautics, Raytheon/Lockheed Martin Javelin Joint Venture, Raytheon Missile Systems, General Dynamics Ordnance and Tactical Systems, General Dynamics Information Technology, General Dynamics Mission Systems, Inter-Coastal Electronics, System Studies &amp; Simulation, IronMountain Solutions, Applied Technologies Group, and Axient:_x000a__x000a_Their movable and immovable properties, and other kinds of assets within China shall be frozen._x000a__x000a_For the 10 senior executives as listed in the attached List of Targets of Countermeasures, i.e., Kathy J. Warden (Chair, Chief Executive Officer and President, Northrop Grumman Corporation), Matthew Bromberg (Corporate Vice President, Global Operations, Northrop Grumman Corporation), Benjamin R. Davies (Vice President and General Manager, Strategic Deterrent Systems, Northrop Grumman Space Systems), Thomas H. Jones (Corporate Vice President and President, Northrop Grumman Aeronautics Systems), Stephen O’Bryan (Corporate Vice President and Global Business Development Officer, Northrop Grumman Corporation), Roshan Roeder (Corporate Vice President and President, Northrop Grumman Defense Systems), Firat H. Gezen (Vice President of General Dynamics, President of General Dynamics Ordnance and Tactical Systems), Jason W. Aiken (Executive Vice President of the Technologies Segment of General Dynamics), Amy Gilliland (Senior Vice President of General Dynamics, President of General Dynamics Information Technology), and Christopher J. Brady (Vice President of General Dynamics, President of General Dynamics Mission Systems):_x000a__x000a_They shall be denied visas or entry into China (including Hong Kong and Macao)._x000a__x000a_This decision shall come into force as of May 22, 2024._x000a__x000a_Appendix: List of Targets of Countermeasures_x000a__x000a_Ministry of Foreign Affairs_x000a__x000a_May 22, 2024_x000a__x000a_Appendix_x000a__x000a_List of Targets of Countermeasures_x000a__x000a_I. Companies_x000a__x000a_1. Lockheed Martin Missiles and Fire Control_x000a__x000a_2. Lockheed Martin Aeronautics_x000a__x000a_3. Raytheon/Lockheed Martin Javelin Joint Venture_x000a__x000a_4. Raytheon Missile Systems_x000a__x000a_5. General Dynamics Ordnance and Tactical Systems_x000a__x000a_6. General Dynamics Information Technology_x000a__x000a_7. General Dynamics Mission Systems_x000a__x000a_8. Inter-Coastal Electronics_x000a__x000a_9. System Studies &amp; Simulation_x000a__x000a_10. IronMountain Solutions_x000a__x000a_11. Applied Technologies Group_x000a__x000a_12. Axient_x000a__x000a_II. Senior Executives_x000a__x000a_1. Kathy J. Warden, female, Chair, Chief Executive Officer and President, Northrop Grumman Corporation_x000a__x000a_2. Matthew Bromberg, male, Corporate Vice President, Global Operations, Northrop Grumman Corporation_x000a__x000a_3. Benjamin R. Davies, male, Vice President and General Manager, Strategic Deterrent Systems, Northrop Grumman Space Systems_x000a__x000a_4. Thomas H. Jones, male, Corporate Vice President and President, Northrop Grumman Aeronautics Systems_x000a__x000a_5. Stephen O’Bryan, male, Corporate Vice President and Global Business Development Officer, Northrop Grumman Corporation_x000a__x000a_6. Roshan Roeder, female, Corporate Vice President and President, Northrop Grumman Defense Systems_x000a__x000a_7. Firat H. Gezen, male, Vice President of General Dynamics, President of General Dynamics Ordnance and Tactical Systems_x000a__x000a_8. Jason W. Aiken, male, Executive Vice President of the Technologies Segment of General Dynamics_x000a__x000a_9. Amy Gilliland, female, Senior Vice President of General Dynamics, President of General Dynamics Information Technology_x000a__x000a_10. Christopher J. Brady, male, Vice President of General Dynamics, President of General Dynamics Mission Systems"/>
    <s v="Full Text Chinese (MFA)"/>
    <s v="Full Text English (MFA)"/>
    <m/>
    <m/>
    <m/>
    <m/>
    <m/>
    <m/>
  </r>
  <r>
    <x v="117"/>
    <s v="Export controls on certain aerospace, energy, and defence technologies, following esclalating tensions with the U.S. "/>
    <x v="1"/>
    <s v="Geopolitical Dispute"/>
    <x v="0"/>
    <s v="in order to safeguard national security and interests and fulfill international obligations such as non-proliferation, ... it is decided to implement export controls on the following items."/>
    <s v="Formal"/>
    <x v="1"/>
    <s v="Export Control Law;_x000a_ Foreign Trade Law;_x000a_ Customs Law"/>
    <s v="N/A"/>
    <s v="N/A"/>
    <s v="N/A"/>
    <s v="Aerospace; Energy; Defense"/>
    <s v="Aerospace manufacturing equipment and software; gas turbine manufacturing equipment and software; space suit visor manufacturing equipment and software; high-strength polyethylene fiber materials"/>
    <s v="I checked trade data for the aerospace HS codes (2022, 2023) and China seems to make make up a big portion of world exports (25-60%) in these categories. Suggests China is trying to leverage its dominance -- i.e., it's probably a sanction."/>
    <s v="商务部 海关总署 中央军委装备发展部公告2024年第21号 关于对有关物项实施出口管制的公告_x000a_【发布单位】安全与管制局_x000a_【发布文号】商务部 海关总署 中央军委装备发展部公告2024年第21号_x000a_【发文日期】2024年05月30日_x000a__x000a_根据《中华人民共和国出口管制法》《中华人民共和国对外贸易法》《中华人民共和国海关法》有关规定，为维护国家安全和利益、履行防扩散等国际义务，经国务院、中央军委批准，决定对下列物项实施出口管制。有关事项公告如下：_x000a__x000a_一、满足以下特性的物项，未经许可，不得出口：_x000a__x000a_（一）航空航天结构件及发动机制造相关装备及软件、技术。_x000a__x000a_1.为制造下列任一物项而专门设计用于钛、铝及其合金超塑成形/扩散连接的工具、模具、夹具等工艺装备（参考海关商品编号：8203200010、8204110010、8204120010、8205400010、8205900010、8206000010、8480419010、7326901910）：_x000a__x000a_（1）航空器结构件或航天器结构件；_x000a__x000a_（2）航空发动机或航天发动机；_x000a__x000a_（3）为航空器结构件或航天器结构件专门设计的部件；_x000a__x000a_（4）为航空发动机或航天发动机专门设计的部件。_x000a__x000a_2.用于研发、生产或使用上述1所列物项而专门设计或改进的软件。_x000a__x000a_3.用于研发、生产或使用上述1所列物项的技术及其载体，包括设计图纸、工艺规范、工艺参数、加工程序、仿真数据等。_x000a__x000a_技术说明：_x000a__x000a_超塑成形，是指利用超塑性金属材料在特定温度和应变速率条件下表现出的超高延伸率及不易断裂的超塑性，在模具型腔内将超塑性金属板料作为被成形坯料实现成形加工，以获得各种所需形状零件的成形工艺。_x000a__x000a_扩散连接，是指相互接触的两个材料表面，在温度和压力的作用下相互靠近，局部发生塑性变形，原子间产生相互扩散，在界面接触处形成扩散层，从而实现可靠连接的成形工艺。_x000a__x000a_（二）燃气涡轮发动机/燃气轮机制造相关装备及软件、技术。_x000a__x000a_1.用于制造燃气涡轮发动机/燃气轮机叶片、导向器等涡轮构型部件所需高温合金的定向晶或单晶铸造设备（参考海关商品编号：8454301010、8454309010）。_x000a__x000a_2.专门设计用于制造燃气涡轮发动机/燃气轮机叶片、导向器、机匣等涡轮构型部件的精密铸造中间产品（包括陶瓷型芯、蜡模模组、型壳），以及专门设计用于制造上述中间产品的工具、模具、夹具等工艺装备（参考海关商品编号：6903100010、6903200010、6903900010、6909110010、6909120010、6909190010、8480490010、8205900020、8428909030、8480600010、7326901920、7616991020、9031809081）。_x000a__x000a_3.专门设计用于燃气涡轮发动机/燃气轮机的高温合金、钛合金或金属间化合物等材料的盘片固态连接所需的工具、模具、夹具等工艺装备（参考海关商品编号：8205900030、6804219010、6804229010、8207201010、8207209010、8207300030、8480419020、8466200010、7326901930、9031809082）。_x000a__x000a_4.用于研发、生产或使用上述1、2、3所列物项而专门设计或改进的软件。_x000a__x000a_5.用于研发、生产或使用上述1、2、3所列物项的技术及其载体，包括设计图纸、工艺规范、工艺参数、加工程序、仿真数据等。_x000a__x000a_技术说明：_x000a__x000a_高温合金，是指含难熔金属的镍基合金、钴基合金或铁基合金，可在600摄氏度（℃）及以上的氧化和热腐蚀条件下承受复杂应力，仍具有良好的综合性能，并能长期可靠工作的金属材料，又被称为“超合金”。_x000a__x000a_（三）航天服面窗相关装备及软件、技术。_x000a__x000a_1.专门设计用于制造航天服面窗的模具（参考海关商品编号：8480719020）。_x000a__x000a_2.用于研发、生产或使用上述1所列物项而专门设计或改进的软件。_x000a__x000a_3.用于研发、生产或使用上述1所列物项的技术及其载体，包括设计图纸、工艺规范、工艺参数、加工程序、仿真数据等。_x000a__x000a_（四）超高分子量聚乙烯纤维相关物项。_x000a__x000a_1.断裂强度≥40cN/dtex、初始模量≥1600cN/dtex且未加捻的超高分子量聚乙烯纤维（参考海关商品编号：5402491010、5501900010、5503909010）。_x000a__x000a_2.由超高分子量聚乙烯纤维制成的软质无纬布叠层（不经加压）在面密度≤5.3kg/m2的情况下，防1.1g标准模拟破片（17格令模拟破片FSP）V50≥700m/s（按照GJB4300A-2012附录B《弹道极限V50试验方法》测试）（参考海关商品编号：5806409010）。_x000a__x000a_3.生产上述1、2所列物项的技术及其载体，包括设计图纸、工艺规范、工艺参数、加工程序、仿真数据等。_x000a__x000a_二、出口经营者应按照相关规定办理出口许可手续，通过省级商务主管部门向商务部提出申请，填写两用物项和技术出口申请表并提交下列文件：_x000a__x000a_（一）出口合同、协议的原件或者与原件一致的复印件、扫描件；_x000a__x000a_（二）拟出口物项的技术说明或者检测报告；_x000a__x000a_（三）最终用户和最终用途证明；_x000a__x000a_（四）进口商和最终用户情况介绍；_x000a__x000a_（五）申请人的法定代表人、主要经营管理人以及经办人的身份证明。_x000a__x000a_三、商务部应当自收到出口申请文件之日起进行审查，或者会同有关部门进行审查，并在法定时限内作出准予或者不予许可的决定。_x000a__x000a_对国家安全有重大影响的本公告所列物项的出口，商务部会同有关部门报国务院批准。_x000a__x000a_四、经审查准予许可的，由商务部颁发两用物项和技术出口许可证件（以下简称出口许可证件）。_x000a__x000a_五、出口许可证件申领和签发程序、特殊情况处理、文件资料保存年限等，依照商务部、海关总署令2005年第29号（《两用物项和技术进出口许可证管理办法》）的相关规定执行。_x000a__x000a_六、出口经营者应当向海关出具出口许可证件，依照《中华人民共和国海关法》的规定办理海关手续，并接受海关监管。海关凭商务部签发的出口许可证件办理验放手续。_x000a__x000a_七、出口经营者未经许可出口、超出许可范围出口或有其他违法情形的，由商务部或者海关等部门依照有关法律法规的规定给予行政处罚。构成犯罪的，依法追究刑事责任。_x000a__x000a_八、由超高分子量聚乙烯纤维制成的防弹头盔、防弹衣、防弹插板、防弹板（防弹装甲板、复合防弹板）等防护装备，以及用于制作防护装备的超高分子量聚乙烯纤维无纬布靶板的出口，按照《中华人民共和国军品出口管理条例》有关规定执行。_x000a__x000a_九、本公告自2024年7月1日起正式实施。_x000a__x000a__x000a__x000a_商务部 海关总署 中央军委装备发展部     _x000a__x000a_2024年5月30日              "/>
    <m/>
    <s v="Full Text Chinese (MOFCOM)"/>
    <m/>
    <m/>
    <m/>
    <m/>
    <m/>
    <m/>
    <m/>
  </r>
  <r>
    <x v="118"/>
    <s v="Second batch of suspensions of tariff concessions on certain products under the Cross-Strait Economic Cooperation Framework Agreement (ECFA), following Lai Ching-te's inauguration speech in May 2024."/>
    <x v="0"/>
    <s v="Actions of the Taiwanese Government"/>
    <x v="1"/>
    <s v="Starting from June 15, 2024, the application of the agreed tariff rates of the Cross-Strait Economic Cooperation Framework Agreement will be terminated for imported products of 134 tariff items, including lubricant base oils, listed in the appendix originating in Taiwan, and the current relevant regulations will be followed. "/>
    <s v="Conversion"/>
    <x v="0"/>
    <s v="Cross-Strait Economic Cooperation Framework Agreement"/>
    <s v="N/A"/>
    <s v="N/A"/>
    <s v="Taiwan (Asia &amp; Oceania)"/>
    <s v="Chemicals; Raw Materials"/>
    <m/>
    <s v="In response to Lai's inauguration speech in May 2024."/>
    <s v="国务院关税税则委员会关于中止《海峡两岸经济合作框架协议》_x000a_部分产品（第二批）关税减让的公告_x000a_发布日期：2024年05月31日 _x000a_税委会公告2024年第4号_x000a__x000a_　　台湾地区单方面对大陆产品出口采取歧视性的禁止、限制等措施，违反了《海峡两岸经济合作框架协议》规定。2023年12月21日，国务院关税税则委员会发布税委会公告2023年第9号，中止《海峡两岸经济合作框架协议》部分产品关税减让，但台湾地区仍未采取任何有效措施取消对大陆的贸易限制。 _x000a__x000a_　　根据《海峡两岸经济合作框架协议》，国务院关税税则委员会按规定和程序决定进一步中止《海峡两岸经济合作框架协议》部分产品关税减让。现将有关事项公告如下： _x000a__x000a_　　自2024年6月15日起，对原产于台湾地区的附件所列润滑油基础油等134个税目进口产品，中止适用《海峡两岸经济合作框架协议》协定税率，按现行有关规定执行。 _x000a__x000a_　　附件：中止《海峡两岸经济合作框架协议》关税减让产品（第二批）清单_x000a__x000a_　　国务院关税税则委员会_x000a__x000a_　　2024年5月30日"/>
    <m/>
    <s v="Full Text Chinese (Ministry of Finance)"/>
    <s v="Investigation (MOFCOM)"/>
    <s v="Reporting (Reuters)"/>
    <m/>
    <m/>
    <m/>
    <m/>
    <m/>
  </r>
  <r>
    <x v="119"/>
    <s v="Decision to Take Countermeasures Against Lockheed Martin Entities and Senior Executives, following U.S. arms sales to Taiwan"/>
    <x v="0"/>
    <s v="Arms Sales to Taiwan"/>
    <x v="5"/>
    <s v="China has decided to take countermeasures against relevant entities and senior executives of Lockheed Martin:_x000a__x000a_1. Freeze the movable, immovable and other properties within the territory of my country of Lockheed Martin Missile System Integration Laboratory, Lockheed Martin Advanced Technology Laboratory, Lockheed Martin Venture Capital and other entities listed in the attached Countermeasure List._x000a__x000a_2. For Lockheed Martin Chairman, President, and CEO James Taikrit, Chief Operating Officer Frank St. John, Chief Financial Officer Jesse Malef and other senior executives listed in the attached Countermeasure List, their movable, immovable and other types of property within the territory of my country will be frozen; organizations and individuals within the territory of my country will be prohibited from conducting related transactions, cooperation and other activities with them; visas will not be issued to them, and they will not be allowed to enter (including Hong Kong and Macao)."/>
    <s v="Formal"/>
    <x v="1"/>
    <s v="Anti-Foreign Sanctions Law (Articles 3, 4, 5, 6, 9 and 15)"/>
    <s v="James Donald Taiclet; Frank Andrew St. John; Jesus Malave"/>
    <s v="Lockheed Martin Missile System Integration Lab; Lockheed Martin Advanced Technology Laboratories; Lockheed Martin Ventures"/>
    <s v="United States (North America)"/>
    <s v="Defense"/>
    <m/>
    <m/>
    <s v="关于对洛克希德·马丁公司实体和高级管理人员采取反制措施的决定_x000a_2024-06-21 17:00_x000a__x000a_【中大小】 打印 _x000a_（2024年6月21日中华人民共和国外交部令第8号公布，自2024年6月21日起施行）_x000a__x000a_美国近日再次宣布向中国台湾地区出售武器，严重违反一个中国原则和中美三个联合公报，严重干涉中国内政，严重损害中国主权和领土完整。依据《中华人民共和国反外国制裁法》第三条、第四条、第五条、第六条、第九条、第十五条规定，中方决定对洛克希德·马丁公司相关实体和高级管理人员采取反制措施：_x000a__x000a_一、对洛克希德·马丁导弹系统集成实验室、洛克希德·马丁先进技术实验室、洛克希德·马丁风险投资公司等后附《反制清单》列明的实体，冻结在我国境内的动产、不动产和其他各类财产。_x000a__x000a_二、对洛克希德·马丁公司董事长、总裁、首席执行官詹姆斯·泰克里特、首席运营官弗兰克·圣约翰、首席财务官杰西·马莱夫等后附《反制清单》列明的企业高级管理人员，冻结在我国境内的动产、不动产和其他各类财产；禁止我国境内的组织、个人与其本人进行有关交易、合作等活动；不予签发签证、不准入境（包括香港、澳门）。_x000a__x000a_本决定自2024年6月21日起施行。_x000a__x000a_附件：反制清单_x000a__x000a_外交部    _x000a__x000a_2024年6月21日_x000a__x000a_附件_x000a__x000a_反制清单_x000a__x000a_一、实体_x000a__x000a_（一）洛克希德·马丁导弹系统集成实验室（Lockheed Martin Missile System Integration Lab)_x000a__x000a_（二）洛克希德·马丁先进技术实验室（Lockheed Martin Advanced Technology Laboratories)_x000a__x000a_（三）洛克希德·马丁风险投资公司（Lockheed Martin Ventures)_x000a__x000a_二、高级管理人员_x000a__x000a_（一）詹姆斯·泰克里特（James Donald Taiclet），男，洛克希德·马丁公司董事长、总裁、首席执行官_x000a__x000a_（二）弗兰克·圣约翰（Frank Andrew St. John），男，洛克希德·马丁公司首席运营官_x000a__x000a_（三）杰西·马莱夫（Jesus Malave），男，洛克希德·马丁公司首席财务官"/>
    <m/>
    <s v="Full Text Chinese (MFA)"/>
    <m/>
    <m/>
    <m/>
    <m/>
    <m/>
    <m/>
    <m/>
  </r>
  <r>
    <x v="120"/>
    <s v="Decision on taking countermeasures against U.S. military-industrial enterprises and senior managers (II), following U.S. arms sales to Taiwan"/>
    <x v="0"/>
    <s v="Arms Sales to Taiwan"/>
    <x v="5"/>
    <s v="For the six companies ..._x000a_Their movable and immovable properties, and other kinds of assets within China shall be frozen._x000a__x000a_For the five senior executives ..._x000a_Their movable and immovable properties, and other kinds of assets within China shall be frozen; All organizations and individuals within China shall be prohibited from engaging in transaction, cooperation and other activities with them; They shall be denied visas or entry into China (including Hong Kong and Macao)."/>
    <s v="Formal"/>
    <x v="1"/>
    <s v="Anti-Foreign Sanctions Law (Articles 3, 4, 5, 6, 9 and 15)"/>
    <s v="Wahid Nawabi; Kevin McDonnell; Brian William Schimpf; Matthew Marley Grimm; Gregory Michael Kausner"/>
    <s v="Anduril Industries; Maritime Tactical Systems; Pacific Rim Defense; AEVEX Aerospace; LKD Aerospace; Summit Technologies Inc."/>
    <s v="United States (North America)"/>
    <s v="Defense"/>
    <s v="Aerospace, maritime systems, defense systems"/>
    <s v="Very similar to other sanctions decisions on US defence industry."/>
    <s v="关于对美国军工企业及高级管理人员采取反制措施的决定_x000a_2024-07-12 18:10_x000a__x000a_【中大小】 打印 _x000a_（2024年7月12日中华人民共和国外交部令第10号公布，自2024年7月12日起施行）_x000a__x000a_美国近日再次宣布向中国台湾地区出售武器，严重违反一个中国原则和中美三个联合公报，严重干涉中国内政，严重损害中国主权和领土完整。依据《中华人民共和国反外国制裁法》第三条、第四条、第五条、第六条、第九条、第十五条规定，中方决定对以下美国军工企业及高级管理人员采取反制措施：_x000a__x000a_一、对安杜里尔公司、海上战术系统公司、环太平洋防务公司、AEVEX航天公司、LKD航天公司、顶峰科技公司等6家后附《反制清单》列明的企业，冻结在我国境内的动产、不动产和其他各类财产。_x000a__x000a_二、对宇航环境公司董事长、总裁、首席执行官瓦希德·纳瓦比、宇航环境公司高级副总裁、首席财务官凯文·麦克唐奈、安杜里尔公司首席执行官布赖恩·申普夫、安杜里尔公司首席运营官马修·格里姆、安杜里尔公司负责全球防务的高级副总裁格雷戈里·考斯纳等5名后附《反制清单》列明的企业高级管理人员，冻结在我国境内的动产、不动产和其他各类财产；禁止我国境内的组织、个人与其本人进行有关交易、合作等活动；对其本人不予签发签证、不准入境（包括香港、澳门）。_x000a__x000a_　　本决定自2024年7月12日起施行。_x000a__x000a_　　附件：反制清单_x000a__x000a_外交部　　_x000a__x000a_2024年7月12日_x000a__x000a_　　附件_x000a__x000a_反制清单_x000a__x000a_　　一、企业_x000a__x000a_　　（一）安杜里尔公司（Anduril Industries）_x000a__x000a_　　（二）海上战术系统公司（Maritime Tactical Systems）_x000a__x000a_　　（三）环太平洋防务公司（Pacific Rim Defense）_x000a__x000a_　　（四）AEVEX航天公司（AEVEX Aerospace）_x000a__x000a_　　（五）LKD航天公司（LKD Aerospace）_x000a__x000a_　　（六）顶峰科技公司（Summit Technologies Inc.）_x000a__x000a_　　二、高级管理人员_x000a__x000a_　　（一）瓦希德·纳瓦比（Wahid Nawabi），男，宇航环境公司董事长、总裁、首席执行官_x000a__x000a_　　（二）凯文·麦克唐奈（Kevin McDonnell），男，宇航环境公司高级副总裁、首席财务官_x000a__x000a_　　（三）布赖恩·申普夫（Brian William Schimpf），男，安杜里尔公司首席执行官_x000a__x000a_　　（四）马修·格里姆（Matthew Marley Grimm），男，安杜里尔公司首席运营官_x000a__x000a_　　（五）格雷戈里·考斯纳（Gregory Michael Kausner），男，安杜里尔公司负责全球防务的高级副总裁"/>
    <s v="Decision on Taking Countermeasures Against U.S. Military Companies and Senior Executives_x000a_Updated: July 12, 2024 18:10_x000a__x000a_(Issued on July 12, 2024 as Decree of the Ministry of Foreign Affairs of the People’s Republic of China No.10, effective as of July 12, 2024)_x000a__x000a_Recently, the U.S. announced another arms sale to China’s Taiwan region. This seriously violates the one-China principle and the three China-U.S. Joint Communiqués, interferes in China’s internal affairs, and undermines China’s sovereignty and territorial integrity. Pursuant to Articles 3, 4, 5, 6, 9 and 15 of the Law of the People’s Republic of China on Countering Foreign Sanctions, China hereby decides to take countermeasures against the following U.S. military companies and senior executives:_x000a__x000a_For the six companies as listed in the attached List of Targets of Countermeasures, i.e., Anduril Industries, Maritime Tactical Systems, Pacific Rim Defense, AEVEX Aerospace, LKD Aerospace, and Summit Technologies Inc.:_x000a__x000a_Their movable and immovable properties, and other kinds of assets within China shall be frozen._x000a__x000a_For the five senior executives as listed in the attached List of Targets of Countermeasures, i.e., Wahid Nawabi, Chairman, President and Chief Executive Officer, AeroVironment; Kevin McDonnell, Senior Vice President and Chief Financial Officer, AeroVironment; Brian William Schimpf, Chief Executive Officer, Anduril Industries; Matthew Marley Grimm, Chief Operating Officer, Anduril Industries; and Gregory Michael Kausner, Senior Vice President of Global Defense, Anduril Industries:_x000a__x000a_Their movable and immovable properties, and other kinds of assets within China shall be frozen._x000a__x000a_All organizations and individuals within China shall be prohibited from engaging in transaction, cooperation and other activities with them._x000a__x000a_They shall be denied visas or entry into China (including Hong Kong and Macao)._x000a__x000a_This decision shall come into force as of July 12, 2024._x000a__x000a_Appendix: List of Targets of Countermeasures_x000a__x000a_Ministry of Foreign Affairs_x000a__x000a_July 12, 2024_x000a__x000a_Appendix_x000a__x000a_List of Targets of Countermeasures_x000a__x000a_I. Companies_x000a__x000a_1. Anduril Industries_x000a__x000a_2. Maritime Tactical Systems_x000a__x000a_3. Pacific Rim Defense_x000a__x000a_4. AEVEX Aerospace_x000a__x000a_5. LKD Aerospace_x000a__x000a_6. Summit Technologies Inc._x000a__x000a_II. Senior Executives_x000a__x000a_1. Wahid Nawabi, male, Chairman, President and Chief Executive Officer, AeroVironment_x000a__x000a_2. Kevin McDonnell, male, Senior Vice President and Chief Financial Officer, AeroVironment_x000a__x000a_3. Brian William Schimpf, male, Chief Executive Officer, Anduril Industries_x000a__x000a_4. Matthew Marley Grimm, male, Chief Operating Officer, Anduril Industries_x000a__x000a_5. Gregory Michael Kausner, male, Senior Vice President of Global Defense, Anduril Industries"/>
    <s v="Full Text Chinese (MFA)"/>
    <s v="Full Text English (MFA)"/>
    <m/>
    <m/>
    <m/>
    <m/>
    <m/>
    <m/>
  </r>
  <r>
    <x v="121"/>
    <s v="Targeted Sanctions Against U.S. Congressman Jim McGovern, Following the Signing into Law of the 'Resolve Tibet Act'"/>
    <x v="0"/>
    <s v="Tibet/Dalai Lama"/>
    <x v="5"/>
    <s v="China has decided to take the following countermeasures against McGovern:_x000a__x000a_1. Freeze movable property, immovable property and other types of property within the territory of my country;_x000a__x000a_2. Prohibit organizations and individuals within the territory of my country from engaging in transactions, cooperation and other activities with the individual;_x000a__x000a_3. The person, his/her spouse, and children will not be issued a visa and will not be allowed to enter the country."/>
    <s v="Formal"/>
    <x v="1"/>
    <s v="Anti-Foreign Sanctions Law (Articles 3, 4, 5, 6, 9 and 15)"/>
    <s v="Jim McGovern"/>
    <s v="N/A"/>
    <s v="United States (North America)"/>
    <s v="Public Sector"/>
    <s v="N/A"/>
    <m/>
    <s v="关于对美国国会议员麦戈文采取反制措施的决定_x000a_2024-07-31 18:21_x000a__x000a_【中大小】 打印 _x000a_（2024年7月31日中华人民共和国外交部令第11号公布，自2024年7月31日起施行）_x000a__x000a_美国马萨诸塞州民主党联邦众议员吉姆·麦戈文近年来频繁采取干涉中国内政、损害中国主权安全发展利益的言行。依据《中华人民共和国反外国制裁法》第三条、第四条、第五条、第六条、第九条、第十五条规定，中方决定对麦戈文采取以下反制措施：_x000a__x000a_一、冻结在我国境内的动产、不动产和其他各类财产；_x000a__x000a_二、禁止我国境内的组织、个人与其本人进行有关交易、合作等活动；_x000a__x000a_三、对其本人及其配偶、子女不予签发签证、不准入境。_x000a__x000a_本决定自2024年7月31日起施行。_x000a__x000a_附件：反制清单_x000a__x000a_外交部  _x000a__x000a_2024年7月31日_x000a__x000a_附件_x000a__x000a_反制清单_x000a__x000a_美国马萨诸塞州民主党联邦众议员吉姆·麦戈文（Jim McGovern）"/>
    <m/>
    <s v="Full Text Chinese (MFA)"/>
    <s v="Reporting (VoA)"/>
    <m/>
    <m/>
    <m/>
    <m/>
    <m/>
    <m/>
  </r>
  <r>
    <x v="121"/>
    <s v="Consolidation and tightening of export controls on UAVs, building on two restrictions imposed on July 31, 2023"/>
    <x v="2"/>
    <s v="Geopolitical Dispute"/>
    <x v="0"/>
    <s v="it is decided to adjust the export control measures for certain unmanned aerial vehicles and related items"/>
    <s v="Formal"/>
    <x v="1"/>
    <s v="Export Control Law;_x000a_ Foreign Trade Law;_x000a_ Customs Law"/>
    <s v="N/A"/>
    <s v="N/A"/>
    <s v="Russia (Asia &amp; Oceania)"/>
    <s v="Drones"/>
    <m/>
    <s v="Consolidates and tightens frameworks No. 27 and 28 (2023-07-31) and makes them permanent. _x000a__x000a_Seems designed to accomodate western accusations of Chinese drones used by Russia in Ukraine._x000a__x000a_Included on account of being a sanction against Russia."/>
    <s v="商务部 海关总署 中央军委装备发展部公告2024年第31号 关于优化调整无人机出口管制措施的公告_x000a_【发布单位】安全与管制局_x000a_【发布文号】商务部公告2024年第31号_x000a_【发文日期】2024年07月31日_x000a__x000a_       根据《中华人民共和国出口管制法》《中华人民共和国对外贸易法》《中华人民共和国海关法》有关规定，为维护国家安全和利益，经国务院、中央军委批准，决定调整特定无人驾驶航空飞行器及其相关物项的出口管制措施。有关事项公告如下：_x000a__x000a__x000a_一、满足以下特性的物项，未经许可，不得出口：_x000a__x000a_（一）最大持续功率超过16千瓦（kW）的专门用于特定无人驾驶航空飞行器或无人驾驶飞艇的航空发动机（参考海关商品编号：8501200010、8501320010、8501330010、8501340010、8501400010、8501520010、8501530010、8407101010、8407102010、8408909230、8408909320、8411111010、8411119010、8411121010、8411129020、8411210010、8411221010、8411222010、8411223010、8411810002）。_x000a__x000a_（二）满足一定技术指标的专门用于特定无人驾驶航空飞行器或无人驾驶飞艇的载荷，包括红外成像设备、合成孔径雷达、用于目标指示的激光器和惯性测量设备。_x000a__x000a_1.具有以下所有特性的红外成像设备（参考海关商品编号：8525891110、8525892110、8525893110）：_x000a__x000a_（1）波长范围在780纳米（nm）至30000纳米（nm）之间；_x000a__x000a_（2）瞬时视场角（IFOV）小于2.5毫弧度（mrad）。_x000a__x000a_2.作用距离大于5千米（km），且具有以下任一特性的合成孔径雷达（SAR）（参考海关商品编号：8526109011）：_x000a__x000a_（1）条带模式分辨率优于0.3米（m）；_x000a__x000a_（2）聚束模式分辨率优于0.1米（m）。_x000a__x000a_3.可在高于55摄氏度（℃）环境中稳定工作，且具有以下所有特性的用于目标指示的激光器（参考海关商品编号：9013200093）：_x000a__x000a_（1）免温控型；_x000a__x000a_（2）能量大于80毫焦（mJ）；_x000a__x000a_（3）稳定度优于15%；_x000a__x000a_（4）光束发散角小于0.3毫弧度（mrad）。_x000a__x000a_4.具有以下所有特性的惯性测量设备（参考海关商品编号：9014209014）：_x000a__x000a_（1）航向精度小于2度（°）；_x000a__x000a_（2）姿态精度小于0.5度（°）；_x000a__x000a_（3）分辨率小于0.1度（°）。_x000a__x000a_（三）专门用于特定无人驾驶航空飞行器或无人驾驶飞艇，且具有下述任一特性的无线电通信设备（参考海关商品编号：8517629910、8517691002、8526920010）：_x000a__x000a_1.无线电视距传输距离大于50千米（km）；_x000a__x000a_2.一站控多机能力大于10架。_x000a__x000a_（四）民用反无人机系统：_x000a__x000a_1.干扰范围大于5千米（km）的反无人机电子干扰设备（参考海关商品编号：8543709960）；_x000a__x000a_2.专门用于反无人机系统的输出功率大于1.5千瓦（kW）的高功率激光器（参考海关商品编号：9013200093）。_x000a__x000a_技术说明：“特定无人驾驶航空飞行器或无人驾驶飞艇”是指满足商务部、海关总署公告2015年第31号（《关于加强部分两用物项出口管制的公告》）中1.1款所列条件的无人驾驶航空飞行器或无人驾驶飞艇。_x000a__x000a_二、对于未列入出口管制清单或者未实施临时管制的所有无人驾驶航空飞行器，出口经营者明知或者应当知道出口将用于大规模杀伤性武器扩散、恐怖主义活动或者军事目的的，不得出口。违反规定的，按照《中华人民共和国出口管制法》第三十四条处罚。_x000a__x000a_三、出口经营者应按照相关规定办理出口许可手续，通过省级商务主管部门向商务部提出申请，填写两用物项和技术出口申请表并提交下列文件：_x000a__x000a_（一）出口合同、协议的原件或者与原件一致的复印件、扫描件；_x000a__x000a_（二）拟出口物项的技术说明或者检测报告；_x000a__x000a_（三）最终用户和最终用途证明；_x000a__x000a_（四）进口商和最终用户情况介绍；_x000a__x000a_（五）申请人的法定代表人、主要经营管理人以及经办人的身份证明。_x000a__x000a_四、商务部应当自收到出口申请文件之日起进行审查，或者会同有关部门进行审查，并在法定时限内作出准予或者不予许可的决定。_x000a__x000a_对国家安全有重大影响的本公告所列物项的出口，商务部会同有关部门报国务院批准。_x000a__x000a_五、经审查准予许可的，由商务部颁发两用物项和技术出口许可证件（以下简称出口许可证件）。_x000a__x000a_六、出口许可证件申领和签发程序、特殊情况处理、文件资料保存年限等，依照商务部、海关总署令2005年第29号（《两用物项和技术进出口许可证管理办法》）的相关规定执行。_x000a__x000a_七、出口经营者应当向海关出具出口许可证件，依照《中华人民共和国海关法》的规定办理海关手续，并接受海关监管。海关凭商务部签发的出口许可证件办理验放手续。_x000a__x000a_八、出口经营者未经许可出口、超出许可范围出口或有其他违法情形的，由商务部或者海关等部门依照有关法律法规的规定给予行政处罚。构成犯罪的，依法追究刑事责任。_x000a__x000a_九、本公告自2024年9月1日起正式实施。商务部 海关总署 国家国防科工局 中央军委装备发展部公告2023年第27号和第28号同时废止。_x000a__x000a__x000a__x000a_                                                                                              商务部 海关总署 中央军委装备发展部_x000a__x000a__x000a_                                                                                     2024年7月31日"/>
    <m/>
    <s v="Full Text Chinese (MOFCOM)"/>
    <s v="Press Release (Xinhua)"/>
    <m/>
    <m/>
    <m/>
    <m/>
    <m/>
    <m/>
  </r>
  <r>
    <x v="122"/>
    <s v="Export controls on antimony, entailing license requirements for antimony-related items, following U.S. technology restrictions"/>
    <x v="1"/>
    <s v="Geopolitical Dispute"/>
    <x v="0"/>
    <m/>
    <s v="Formal"/>
    <x v="1"/>
    <s v="Export Control Law;_x000a_Foreign Trade Law;_x000a_Customs Law"/>
    <s v="N/A"/>
    <s v="N/A"/>
    <s v="N/A"/>
    <s v="Raw Materials"/>
    <s v="Antimony, superhard materials"/>
    <s v="Introduces export license requirements for antimony-related items._x000a__x000a_Antimony is a critical input for the defense industry … China is the world’s leading producer of antimony, accounting for 48 percent of global production and 63 percent of U.S. antimony imports. (CSIS)"/>
    <s v="商务部 海关总署公告2024年第33号 关于对锑等物项实施出口管制的公告_x000a_【发布单位】安全与管制局_x000a_【发布文号】商务部 海关总署公告2024年第33号_x000a_【发文日期】2024年08月15日_x000a__x000a__x000a__x000a__x000a_根据《中华人民共和国出口管制法》《中华人民共和国对外贸易法》《中华人民共和国海关法》有关规定，为维护国家安全和利益、履行防扩散等国际义务，经国务院批准，决定对下列物项实施出口管制。现将有关事项公告如下：_x000a__x000a_一、满足以下特性的物项，未经许可，不得出口：_x000a__x000a_（一）锑相关物项。_x000a__x000a_1.锑矿及原料，包括但不限于块、颗粒、粉末、结晶体等形态。（参考海关商品编号：2617101000、2617109001、2617109090、2830902000）_x000a__x000a_2.金属锑及制品，包括但不限于锭、块、珠、颗粒、粉末等形态。（参考海关商品编号：8110101000、8110102000、8110200000、8110900000）_x000a__x000a_3.锑的氧化物，纯度大于等于99.99%，包括但不限于粉末形态。（参考海关商品编号：2825800010）_x000a__x000a_4.三甲基锑、三乙基锑及其他有机锑化合物，纯度（无机元素基准）大于99.999%。（参考海关商品编号：2931900032）_x000a__x000a_5.锑的氢化物，纯度大于99.999%（含在惰性气体或氢气中稀释的锑的氢化物）。（参考海关商品编号：2850009020）_x000a__x000a_6.锑化铟，具有以下所有特性：位错密度小于50个/平方厘米的单晶，以及纯度大于99.99999%的多晶，包括但不限于锭（棒）、块、片、靶材、颗粒、粉末、碎料等形态。（参考海关商品编号：2853909031）_x000a__x000a_7.金锑冶炼分离技术。_x000a__x000a_（二）超硬材料相关物项。_x000a__x000a_1.六面顶压机设备，具有以下所有特性：专门设计或制造的X/Y/Z三轴六面同步加压的大型液压机，缸径尺寸大于等于500毫米或设计使用压力大于等于5千兆帕。（参考海关商品编号：8479899956）_x000a__x000a_2.六面顶压机专用关键零部件，包括铰链梁、顶锤、合成压力大于5千兆帕的高压控制系统。（参考海关商品编号：8479909020、9032899094）_x000a__x000a_3.微波等离子体化学气相沉积法（MPCVD）设备，具有以下所有特性：专门设计或制造的MPCVD设备，微波功率在10千瓦以上，且微波频率为915兆赫或2450兆赫。（参考海关商品编号：8479899957）_x000a__x000a_4.金刚石窗口材料，包括曲面金刚石窗口材料，或具有以下全部特征的平面金刚石窗口材料：（1）直径3英寸及以上的单晶或多晶；（2）可见光透过率65%及以上。（参考海关商品编号：7104911010）_x000a__x000a_5.用六面顶压机合成人造金刚石单晶或立方氮化硼单晶工艺技术。_x000a__x000a_6.用于制造已列管的六面顶压机设备的技术。_x000a__x000a_二、出口经营者应按照相关规定办理出口许可手续，通过省级商务主管部门向商务部提出申请，填写两用物项和技术出口申请表并提交下列文件：_x000a__x000a_（一）出口合同、协议的原件或者与原件一致的复印件、扫描件；_x000a__x000a_（二）拟出口物项的技术说明或者检测报告；_x000a__x000a_（三）最终用户和最终用途证明；_x000a__x000a_（四）进口商和最终用户情况介绍；_x000a__x000a_（五）申请人的法定代表人、主要经营管理人以及经办人的身份证明。_x000a__x000a_三、商务部应当自收到出口申请文件之日起进行审查，或者会同有关部门进行审查，并在法定时限内作出准予或者不予许可的决定。_x000a__x000a_对国家安全有重大影响的本公告所列物项的出口，由商务部会同有关部门报国务院批准。_x000a__x000a_四、经审查准予许可的，由商务部颁发两用物项和技术出口许可证件（以下简称出口许可证件）。_x000a__x000a_五、出口许可证件申领和签发程序、特殊情况处理、文件资料保存年限等，依照商务部、海关总署令2005年第29号（《两用物项和技术进出口许可证管理办法》）的相关规定执行。_x000a__x000a_六、出口经营者应当向海关出具出口许可证件，依照《中华人民共和国海关法》的规定办理海关手续，并接受海关监管。海关凭商务部签发的出口许可证件办理验放手续。_x000a__x000a_七、出口经营者未经许可出口、超出许可范围出口或有其他违法情形的，由商务部或者海关等部门依照有关法律法规的规定给予行政处罚。构成犯罪的，依法追究刑事责任。_x000a__x000a_八、本公告自2024年9月15日起正式实施。_x000a__x000a__x000a__x000a_ _x000a__x000a_                                                             商务部 海关总署_x000a__x000a_                                                              2024年8月15日"/>
    <m/>
    <s v="Full Text Chinese (MOFCOM)"/>
    <s v="Analysis (CSIS)"/>
    <s v="Reporting (Reuters)"/>
    <m/>
    <m/>
    <m/>
    <m/>
    <m/>
  </r>
  <r>
    <x v="123"/>
    <s v="Decision on taking countermeasures against U.S. military-industrial enterprises (III), following U.S. arms sales to Taiwan"/>
    <x v="0"/>
    <s v="Arms Sales to Taiwan"/>
    <x v="5"/>
    <s v="China has decided to take the following countermeasures against 9 companies ... 1. Freeze movable property, immovable property and other types of property within the territory of my country; 2. Organizations and individuals within the territory of my country are prohibited from engaging in transactions, cooperation and other activities with them."/>
    <s v="Formal"/>
    <x v="1"/>
    <s v="Anti-Foreign Sanctions Law (Articles 3, 4, 6, 9 and 15) [Note: not art. 5)"/>
    <s v="N/A"/>
    <s v="Sierra Nevada Corporation; Stick Rudder Enterprises LLC; Cubic Corporation; S3 AeroDefense; TCOM, Limited Partnership; TextOre; Planate Management Group; ACT1 Federal; Exovera"/>
    <s v="United States (North America)"/>
    <s v="Defense"/>
    <s v="Aerospace, defense transport and communications, maintenance, aerial surveillance, management"/>
    <s v="Does not reference article 5 of the Anti-Foreign Sanctions Law as other sanctions on US defence industry._x000a__x000a_Very similar to other sanctions decisions on US defence industry."/>
    <s v="关于对美国军工企业采取反制措施的决定_x000a_2024-09-18 14:43_x000a__x000a_【中大小】 打印 _x000a_（2024年9月18日中华人民共和国外交部令第12号公布，自2024年9月18日起施行）_x000a__x000a_美国近日再次宣布向中国台湾地区出售武器，严重违反一个中国原则和中美三个联合公报，严重干涉中国内政，严重损害中国主权和领土完整。依据《中华人民共和国反外国制裁法》第三条、第四条、第六条、第九条、第十五条规定，中方决定对美国内华达山脉公司、摇杆舵公司、立方公司、S3航空防务公司、特科姆公司、文本矿公司、扁平地球管理公司、ACT1联邦公司、埃克索维拉公司等9家后附《反制清单》列明的企业采取以下反制措施：_x000a__x000a_一、冻结在我国境内的动产、不动产和其他各类财产；_x000a__x000a_二、禁止我国境内的组织、个人与其进行有关交易、合作等活动。_x000a__x000a_本决定自2024年9月18日起施行。_x000a__x000a_　　附件：反制清单_x000a__x000a_外交部　　_x000a__x000a_2024年9月18日_x000a__x000a_附件_x000a__x000a_反制清单_x000a__x000a_　　一、内华达山脉公司（Sierra Nevada Corporation）_x000a__x000a_　　二、摇杆舵公司（Stick Rudder Enterprises LLC）_x000a__x000a_　　三、立方公司（Cubic Corporation)_x000a__x000a_　　四、S3航空防务公司（S3 AeroDefense）_x000a__x000a_　　五、特科姆公司（TCOM, Limited Partnership）_x000a__x000a_　　六、文本矿公司（TextOre）_x000a__x000a_　　七、扁平地球管理公司（Planate Management Group）_x000a__x000a_　　八、ACT1联邦公司（ACT1 Federal）_x000a__x000a_　　九、埃克索维拉公司（Exovera）"/>
    <s v="Decision on Taking Countermeasures Against U.S. Military Companies_x000a_Updated: September 23, 2024 15:33_x000a__x000a_(Issued on September 18, 2024 as Decree _x000a_of the Ministry of Foreign Affairs of the People’s Republic of China_x000a_No.12, effective as of September 18, 2024)_x000a__x000a_Recently, the U.S. announced another arms sale to China’s Taiwan region. This seriously violates the one-China principle and the three China-U.S. Joint Communiqués, interferes in China’s internal affairs, and undermines China’s sovereignty and territorial integrity. Pursuant to Articles 3, 4, 6, 9 and 15 of the Law of the People’s Republic of China on Countering Foreign Sanctions, China hereby decides to take the following countermeasures against the nine U.S. companies as listed in the attached List of Targets of Countermeasures, i.e., Sierra Nevada Corporation, Stick Rudder Enterprises LLC, Cubic Corporation, S3 AeroDefense, TCOM, Limited Partnership, TextOre, Planate Management Group, ACT1 Federal and Exovera:_x000a__x000a_1. Their movable and immovable properties, and other kinds of assets within China shall be frozen._x000a__x000a_2. All organizations and individuals within China shall be prohibited from engaging in transaction, cooperation and other activities with them._x000a__x000a_This decision shall come into force as of September 18, 2024._x000a__x000a_Appendix: List of Targets of Countermeasures_x000a__x000a_Ministry of Foreign Affairs_x000a__x000a_September 18, 2024_x000a__x000a_Appendix_x000a__x000a_List of Targets of Countermeasures_x000a__x000a_1. Sierra Nevada Corporation_x000a__x000a_2. Stick Rudder Enterprises LLC_x000a__x000a_3. Cubic Corporation_x000a__x000a_4. S3 AeroDefense_x000a__x000a_5. TCOM, Limited Partnership_x000a__x000a_6. TextOre_x000a__x000a_7.Planate Management Group_x000a__x000a_8.ACT1 Federal_x000a__x000a_9.Exovera"/>
    <s v="Full Text Chinese (MFA)"/>
    <s v="Full Text English (MFA)"/>
    <m/>
    <m/>
    <m/>
    <m/>
    <m/>
    <m/>
  </r>
  <r>
    <x v="124"/>
    <s v="Anti-dumping Measures on Imports of Brandy Originating in the European Union, following EU tariffs on Evs"/>
    <x v="1"/>
    <s v="Economic Dispute"/>
    <x v="1"/>
    <s v="In accordance with Articles 28 and 29 of the Anti-dumping Regulations, the investigating authority decides to implement temporary anti-dumping measures in the form of a deposit or letter of guarantee._x000a__x000a_       From November 15, 2024, when importing the investigated products, import operators shall provide the corresponding deposit or guarantee to the Customs of the People's Republic of China based on the deposit ratio of each company determined in this announcement._x000a__x000a_     The deposit is levied on the basis of the dutiable price approved by the customs, and the calculation formula is: Deposit amount = (Dutiable price approved by the customs × Deposit collection rate) × (1 + Value-added tax rate at the import stage) ÷ (1 - Consumption tax rate at the import stage); the amount of the letter of guarantee should be equal to the deposit amount."/>
    <s v="Conversion"/>
    <x v="0"/>
    <s v="Anti-dumping Regulations (Articles 28 and 29)"/>
    <s v="N/A"/>
    <s v="N/A"/>
    <s v="European Union (Europe); France (Europe)"/>
    <s v="Food &amp; Beverage"/>
    <s v="Brandy"/>
    <s v="Investigation extended to April 2025_x000a__x000a_Announcement No. 42 (October 8, 2024): Introduced temporary anti-dumping measures in the form of a cash deposit._x000a_Announcement No. 50 (November 11, 2024): Supplemented the initial measures by adding the option of a letter of guarantee as an alternative to a cash deposit and set a new effective date for implementation._x000a_In short, Announcement No. 50 refines and expands the procedural options introduced in Announcement No. 42, providing more flexibility for importers while keeping the core anti-dumping measures intact."/>
    <s v="商务部公告2024年第42号 关于对原产于欧盟的进口相关白兰地实施临时反倾销措施的公告_x000a_【发布单位】贸易救济局_x000a_【发布文号】商务部公告2024年第42号_x000a_【发文日期】2024年10月08日_x000a__x000a_根据《中华人民共和国反倾销条例》（以下称《反倾销条例》）的规定和有关调查结果，2024年8月29日，商务部（以下称调查机关）发布2024年第35号公告，初步认定原产于欧盟的进口相关白兰地存在倾销，国内相关白兰地产业受到实质损害威胁，而且倾销与实质损害威胁之间存在因果关系。_x000a__x000a_　　一、征收保证金_x000a__x000a_根据《反倾销条例》第二十八条和第二十九条的规定，调查机关决定采用保证金形式实施临时反倾销措施。自2024年10月11日起，进口经营者在进口被调查产品时，应依据本公告所确定的各公司的保证金比率向中华人民共和国海关提供相应的保证金。_x000a__x000a_被调查产品的具体描述如下：_x000a__x000a_调查范围：原产于欧盟的进口装入200升以下容器的蒸馏葡萄酒制得的烈性酒。_x000a__x000a_被调查产品名称：装入200升以下容器的蒸馏葡萄酒制得的烈性酒（通常称白兰地）。_x000a__x000a_英文名称：Spirits obtained by distilling grape wine in containers holding less than 200 liters (usually called Brandy)。_x000a__x000a_产品描述：以葡萄、葡萄汁（浆）、葡萄皮渣、葡萄酒等为原料制得的烈性酒。_x000a__x000a_用途：主要作为饮料酒供人消费。_x000a__x000a_该产品归在《中华人民共和国进出口税则》：22082000。该税则号项下装入200升及以上容器的蒸馏葡萄酒制得的烈性酒不在本次调查范围之内。_x000a__x000a_对各公司征收的保证金比率在本公告附件中列明。_x000a__x000a_　　二、征收保证金的方法_x000a__x000a_自2024年10月11日起，进口经营者在进口原产于欧盟的相关白兰地时，应向中华人民共和国海关提供相应的保证金。保证金以海关审定的完税价格从价计征，计算公式为：保证金金额=（海关审定的完税价格×保证金征收比率）×（1+进口环节增值税税率）÷（1－进口环节消费税比例税率）。_x000a__x000a_附件：各公司保证金比率列表_x000a__x000a_商务部     _x000a__x000a_2024年10月8日"/>
    <m/>
    <s v="Full Text Chinese (MOFCOM, Nov 11)"/>
    <s v="Full Text Chinese (MOFCOM Oct 8)"/>
    <s v="Extension of Investigation (MOFCOM)"/>
    <s v="Reporting (Reuters)"/>
    <m/>
    <m/>
    <m/>
    <m/>
  </r>
  <r>
    <x v="125"/>
    <s v="Decision on taking countermeasures against U.S. military-industrial enterprises and senior managers (IV), following U.S. arms sales to Taiwan"/>
    <x v="0"/>
    <s v="Arms Sales to Taiwan"/>
    <x v="5"/>
    <s v="For the three companies … Their movable and immovable properties, and other kinds of assets within China shall be frozen; All organizations and individuals within China shall be prohibited from engaging in transaction, cooperation and other activities with them. _x000a__x000a_For the 10 senior executives ... Their movable and immovable properties, and other kinds of assets within China shall be frozen; All organizations and individuals within China shall be prohibited from engaging in transaction, cooperation and other activities with them; They shall be denied visas or entry into China (including Hong Kong and Macao)."/>
    <s v="Formal"/>
    <x v="1"/>
    <s v="Anti-Foreign Sanctions Law (Articles 3, 4, 5, 6, 9 and 15)"/>
    <s v="Steven Roger Rudder; James William Ickes II; David Keith Sutton; Yeong-Tae Pak; Patrick Edward Jankowski; John Purvis; Josh Brungardt; Christopher Douglas Kastner; Adam Bry; Tom Moss"/>
    <s v="Edge Autonomy Operations LLC; Huntington Ingalls Industries Inc.; Skydio Inc."/>
    <s v="United States (North America)"/>
    <s v="Defense"/>
    <s v="Ships, aerospace, defense systems"/>
    <s v="Several media reports on impact on Skydio. _x000a__x000a_Very similar to other sanctions decisions on US defence industry."/>
    <s v="关于对美国军工企业及高级管理人员采取反制措施的决定_x000a_2024-10-10 17:00_x000a__x000a_【中大小】 打印 _x000a_（2024年10月10日中华人民共和国外交部令第13号公布，自2024年10月10日起施行）_x000a__x000a_美国近日宣布向中国台湾地区提供大额武器援助，严重违反一个中国原则和中美三个联合公报，严重干涉中国内政，严重损害中国主权和领土完整。依据《中华人民共和国反外国制裁法》第三条、第四条、第五条、第六条、第九条、第十五条规定，中方决定对以下美国军工企业及高级管理人员采取反制措施：_x000a__x000a_一、对边缘自治运营公司、亨廷顿·英格尔斯工业公司、斯凯迪奥公司等3家后附《反制清单》列明的企业，冻结在我国境内的动产、不动产和其他各类财产；禁止我国境内的组织、个人与其进行有关交易、合作等活动。_x000a__x000a_二、对史蒂文·鲁德（摇杆舵公司创始人）、詹姆斯·伊克斯（内华达山脉公司副总裁）、大卫·萨顿（洛克希德·马丁公司亚洲区主任）、朴英泰（宇航环境公司副总裁）、帕特里克·扬科夫斯基（诺斯罗普·格鲁曼公司印太项目主任）、约翰·普维斯（边缘自治运营公司前首席执行官）、乔什·布伦加特（边缘自治运营公司首席运营官）、克里斯托弗·卡斯特纳（亨廷顿·英格尔斯工业公司总裁、首席执行官）、亚当·布赖（斯凯迪奥公司联合创始人、首席执行官）、汤姆·莫斯（斯凯迪奥公司亚太区总经理）等10名后附《反制清单》列明的企业高级管理人员，冻结在我国境内的动产、不动产和其他各类财产；禁止我国境内的组织、个人与其本人进行有关交易、合作等活动；对其本人不予签发签证、不准入境（包括香港、澳门）。_x000a__x000a_本决定自2024年10月10日起施行。_x000a__x000a_附件：反制清单_x000a__x000a_外交部    _x000a__x000a_2024年10月10日_x000a__x000a_附件_x000a__x000a_反制清单_x000a__x000a_一、企业_x000a__x000a_（一）边缘自治运营公司（Edge Autonomy Operations LLC）_x000a__x000a_（二）亨廷顿·英格尔斯工业公司（Huntington Ingalls Industries Inc.）_x000a__x000a_（三）斯凯迪奥公司（Skydio Inc.）_x000a__x000a_二、高级管理人员_x000a__x000a_（一）史蒂文·鲁德（Steven Roger Rudder），男，摇杆舵公司创始人_x000a__x000a_（二）詹姆斯·伊克斯（James William Ickes II），男，内华达山脉公司副总裁_x000a__x000a_（三）大卫·萨顿（David Keith Sutton），男，洛克希德·马丁公司亚洲区主任_x000a__x000a_（四）朴英泰（Yeong-Tae Pak），男，宇航环境公司副总裁_x000a__x000a_（五）帕特里克·扬科夫斯基（Patrick Edward Jankowski），男，诺斯罗普·格鲁曼公司印太项目主任_x000a__x000a_（六）约翰·普维斯（John Purvis），男，边缘自治运营公司前首席执行官_x000a__x000a_（七）乔什·布伦加特（Josh Brungardt），男，边缘自治运营公司首席运营官_x000a__x000a_（八）克里斯托弗·卡斯特纳（Christopher Douglas Kastner），男，亨廷顿·英格尔斯工业公司总裁、首席执行官_x000a__x000a_（九）亚当·布赖（Adam Bry），男，斯凯迪奥公司联合创始人、首席执行官_x000a__x000a_（十）汤姆·莫斯（Tom Moss），男，斯凯迪奥公司亚太区总经理"/>
    <s v="Decision on Taking Countermeasures Against U.S. Military Companies and Senior Executives_x000a_Updated: October 11, 2024 14:59_x000a__x000a_(Issued on October 10, 2024 as Decree of the Ministry of Foreign Affairs_x000a_of the People’s Republic of China No.13, _x000a_effective as of October 10, 2024)_x000a__x000a_Recently, the U.S. made an announcement on providing substantial military assistance to China’s Taiwan region. This seriously violates the one-China principle and the three China-U.S. Joint Communiqués, interferes in China’s internal affairs, and undermines China’s sovereignty and territorial integrity. Pursuant to Articles 3, 4, 5, 6, 9 and 15 of the Law of the People’s Republic of China on Countering Foreign Sanctions, China hereby decides to take countermeasures against the following U.S. military companies and senior executives:_x000a__x000a_For the three companies as listed in the attached List of Targets of Countermeasures, i.e., Edge Autonomy Operations LLC, Huntington Ingalls Industries Inc. and Skydio Inc.:_x000a__x000a_Their movable and immovable properties, and other kinds of assets within China shall be frozen; _x000a__x000a_All organizations and individuals within China shall be prohibited from engaging in transaction, cooperation and other activities with them._x000a__x000a_For the 10 senior executives as listed in the attached List of Targets of Countermeasures, i.e., Steven Roger Rudder, Founder, Stick Rudder Enterprises LLC; James William Ickes II, Vice President, Sierra Nevada Corporation; David Keith Sutton, Director for Asia &amp; Oceania, Lockheed Martin; Yeong-Tae Pak, Vice President, AeroVironment; Patrick Edward Jankowski, Director, Strategy &amp; Policy INDOPACIFIC Programs, Northrop Grumman Corporation; John Purvis, Former Chief Executive Officer, Edge Autonomy Operations LLC; Josh Brungardt, Chief Operating Officer, Edge Autonomy Operations LLC; Christopher Douglas Kastner, President and Chief Executive Officer, Huntington Ingalls Industries Inc.; Adam Bry, Co-founder and Chief Executive Officer, Skydio Inc.; and Tom Moss, General Manager, APAC, Skydio Inc.:_x000a__x000a_Their movable and immovable properties, and other kinds of assets within China shall be frozen._x000a__x000a_All organizations and individuals within China shall be prohibited from engaging in transaction, cooperation and other activities with them._x000a__x000a_They shall be denied visas or entry into China (including Hong Kong and Macao)._x000a__x000a_This decision shall come into force as of October 10, 2024._x000a__x000a_Appendix: List of Targets of Countermeasures _x000a__x000a_Ministry of Foreign Affairs_x000a__x000a_October 10, 2024   _x000a__x000a_Appendix_x000a__x000a_List of Targets of Countermeasures_x000a__x000a_I. Companies_x000a__x000a_1. Edge Autonomy Operations LLC_x000a__x000a_2. Huntington Ingalls Industries Inc._x000a__x000a_3. Skydio Inc._x000a__x000a_II. Senior Executives_x000a__x000a_1. Steven Roger Rudder, male, Founder, Stick Rudder Enterprises LLC_x000a__x000a_2. James William Ickes II, male, Vice President, Sierra Nevada Corporation_x000a__x000a_3. David Keith Sutton, male, Director for Asia &amp; Oceania, Lockheed Martin_x000a__x000a_4. Yeong-Tae Pak, male, Vice President, AeroVironment_x000a__x000a_5. Patrick Edward Jankowski, male, Director, Strategy &amp; Policy INDOPACIFIC Programs, Northrop Grumman Corporation_x000a__x000a_6. John Purvis, male, Former Chief Executive Officer, Edge Autonomy Operations LLC_x000a__x000a_7. Josh Brungardt, male, Chief Operating Officer, Edge Autonomy Operations LLC_x000a__x000a_8. Christopher Douglas Kastner, male, President and Chief Executive Officer, Huntington Ingalls Industries Inc._x000a__x000a_9. Adam Bry, male, Co-founder and Chief Executive Officer, Skydio Inc._x000a__x000a_10. Tom Moss, male, General Manager, APAC, Skydio Inc."/>
    <s v="Full Text Chinese (MFA)"/>
    <s v="Full Text English (MFA)"/>
    <s v="Skydio Statement"/>
    <m/>
    <m/>
    <m/>
    <m/>
    <m/>
  </r>
  <r>
    <x v="126"/>
    <s v="Four Chinese industry associations urge caution when purchasing American microchips, following U.S. semiconductor export controls"/>
    <x v="1"/>
    <s v="Geopolitical Dispute"/>
    <x v="1"/>
    <s v="The China Association of Automobile Manufacturers, China Semiconductor Industry Association, China Internet Association, and China Communications Enterprise Association all stated that relevant U.S. chip products are no longer safe and reliable. In the future, the associations recommend that relevant companies purchase U.S. chips with caution."/>
    <s v="Blacklist"/>
    <x v="0"/>
    <s v="N/A"/>
    <s v="N/A"/>
    <s v="N/A"/>
    <s v="United States (North America)"/>
    <s v="Semiconductors "/>
    <m/>
    <m/>
    <m/>
    <m/>
    <s v="Reporting "/>
    <m/>
    <m/>
    <m/>
    <m/>
    <m/>
    <m/>
    <m/>
  </r>
  <r>
    <x v="127"/>
    <s v="Export controls prohibiting the export of certain materials like gallium, germanium, antimony and superhard materials to the United States, alongside stricted reviews for graphite, building on export controls introduced in 2023 and 2024"/>
    <x v="1"/>
    <s v="Geopolitical Dispute"/>
    <x v="0"/>
    <s v="_x000a_The export of dual-use items to U.S. military users or for military uses is prohibited._x000a__x000a_In principle, the export of the relevant dual-use items gallium, germanium, antimony, and superhard materials to the United States is not permitted; stricter end-user and end-use checks will be implemented on exports of dual-use graphite items to the United States._x000a__x000a_Any organization or individual from any country or region found to have transferred or provided dual-use items originating from the People's Republic of China to U.S. organizations or individuals in violation of the above provisions will be held legally accountable in accordance with the law."/>
    <s v="Formal"/>
    <x v="1"/>
    <s v="Export Control Law"/>
    <s v="N/A"/>
    <s v="N/A"/>
    <s v="United States (North America)"/>
    <s v="Raw Materials"/>
    <s v="Gallium, germanium, antimony, superhard materials, graphite"/>
    <s v="1. First proper export restriction since 2010?_x000a__x000a_2. First extraterritorial export control ever (&quot;transshipment&quot; regulation)_x000a__x000a_&quot;The order is the first time China has included a broad ban on so-called transshipment in a government regulation on exports.&quot; (NYT)_x000a__x000a_&quot;In December 2023, China expanded the controls even further, to the technology and processes that turn refined rare earths into the metals and permanent magnets used in electric vehicles, wind turbines and electronics.&quot; (FT)"/>
    <s v="商务部公告2024年第46号 关于加强相关两用物项对美国出口管制的公告_x000a_【发布单位】安全与管制局_x000a_【发布文号】商务部公告2024年第46号_x000a_【发文日期】2024年12月03日_x000a__x000a__x000a_根据《中华人民共和国出口管制法》等法律法规有关规定，为维护国家安全和利益、履行防扩散等国际义务，决定加强相关两用物项对美国出口管制。现将有关事项公告如下：_x000a__x000a_一、禁止两用物项对美国军事用户或军事用途出口。_x000a__x000a_二、原则上不予许可镓、锗、锑、超硬材料相关两用物项对美国出口；对石墨两用物项对美国出口，实施更严格的最终用户和最终用途审查。_x000a__x000a_任何国家和地区的组织和个人，违反上述规定，将原产于中华人民共和国的相关两用物项转移或提供给美国的组织和个人，将依法追究法律责任。_x000a__x000a_本公告自公布之日起正式实施。_x000a__x000a__x000a__x000a_商务部       _x000a__x000a_2024年12月3日"/>
    <s v="Ministry of Commerce Notice 2024 No. 46: Notice Concerning Strengthening Controls on Exports of Relevant Dual-Use Items to the United States_x000a_Notifying Unit:   Bureau of Industrial Security and Import and Export Controls of the Ministry of Commerce (MOFCOM)_x000a__x000a_Notice Document Number:   MOFCOM Notice 2024 No. 46_x000a__x000a_Publication Date:   December 3, 2024_x000a__x000a_In accordance with the provisions of the Export Control Law of the People’s Republic of China and other relevant laws and regulations, in order to safeguard the security and interests of the nation and to honor international obligations in areas such as nonproliferation, we have decided to strengthen controls on exports of relevant dual-use items to the United States. The notice on relevant matters is as follows:_x000a__x000a_The export of dual-use items to U.S. military users or for military uses is prohibited._x000a_In principle, the export of the relevant dual-use items gallium, germanium, antimony, and superhard materials to the United States is not permitted; stricter end-user and end-use checks will be implemented on exports of dual-use graphite items to the United States._x000a_Any organization or individual of any country or region that, in violation of the aforementioned provisions, transfers or provides relevant dual-use items originally produced in the People’s Republic of China to a U.S. organization or individual, shall be investigated in accordance with the law and shall be held legally responsible._x000a__x000a_This notice is officially in force from the date on which it was promulgated._x000a__x000a_Ministry of Commerce_x000a__x000a_December 3, 2024"/>
    <s v="Full Text Chinese (MOFCOM)"/>
    <s v="Reporting (NYT)"/>
    <s v="Reporting (FT)"/>
    <m/>
    <m/>
    <m/>
    <m/>
    <m/>
  </r>
  <r>
    <x v="128"/>
    <s v="Decision on taking countermeasures against U.S. military-industrial enterprises and senior managers (V), following U.S. arms sales to Taiwan"/>
    <x v="0"/>
    <s v="Arms Sales to Taiwan"/>
    <x v="5"/>
    <s v="For the 13 companies … Their movable and immovable properties, and other kinds of assets within China shall be frozen._x000a__x000a_All organizations and individuals within China shall be prohibited from engaging in transaction, cooperation and other activities with them._x000a__x000a_For the six senior executives ... Their movable and immovable properties, and other kinds of assets within China shall be frozen. _x000a__x000a_All organizations and individuals within China shall be prohibited from engaging in transaction, cooperation and other activities with them. _x000a__x000a_They shall be denied visas or entry into China (including Hong Kong and Macao)."/>
    <s v="Formal"/>
    <x v="1"/>
    <s v="Anti-Foreign Sanctions Law (Articles 3, 4, 5, 6, 9 and 15)"/>
    <s v="Barbara Borgonovi; Gerard Hueber; Charles Woodburn; Richard D. Crawford; Beth Edler; Blake Resnick"/>
    <s v="Teledyne Brown Engineering, Inc.; BRINC Drones, Inc.; Rapid Flight LLC; Red Six Solutions; Shield AI, Inc.; SYNEXXUS, Inc.; Firestorm Labs, Inc.; Kratos Unmanned Aerial Systems, Inc.; HavocAI; Neros Technologies; Cyberlux Corporation; Domo Tactical Communications; Group W"/>
    <s v="United States (North America)"/>
    <s v="Defense"/>
    <s v="Aerospace, AI, drones, surveillance, naval"/>
    <s v="Very similar to other sanctions decisions on US defence industry."/>
    <s v="_x000a_关于对美国军工企业及高级管理人员采取反制措施的决定_x000a_2024-12-05 15:00_x000a__x000a_【中大小】 打印 _x000a_（2024年12月5日中华人民共和国外交部令第14号公布，自2024年12月5日起施行）_x000a__x000a_美国近日再次宣布向中国台湾地区出售武器，严重违反一个中国原则和中美三个联合公报，严重干涉中国内政，严重损害中国主权和领土完整。依据《中华人民共和国反外国制裁法》第三条、第四条、第五条、第六条、第九条、第十五条规定，中方决定对以下美国军工企业及高级管理人员采取反制措施：_x000a__x000a_一、对特励达·布朗工程公司、BRINC无人机公司、急速飞行公司、红色六方案公司、护盾人工智能公司、赛尼克斯公司、火风暴实验室公司、奎托斯无人机系统公司、浩劫人工智能公司、尼罗斯科技公司、赛博勒克斯公司、多莫战术通信公司、Group W公司等13家后附《反制清单》列明的企业，冻结在我国境内的动产、不动产和其他各类财产；禁止我国境内的组织、个人与其进行有关交易、合作等活动。_x000a__x000a_二、对芭芭拉·博尔戈诺维（雷神公司海军力量战略业务部总裁）、杰拉德·许贝尔（雷神公司海军力量战略业务部副总裁）、查尔斯·伍德伯恩（贝宜陆上和武器系统公司首席执行官）、理查德·克劳福德（联合技术系统运营公司创始人、首席执行官）、贝丝·艾德勒（数据链路解决方案公司总裁）、布莱克·雷斯尼克（BRINC无人机公司创始人、首席执行官）等6名后附《反制清单》列明的企业高级管理人员，冻结在我国境内的动产、不动产和其他各类财产；禁止我国境内的组织、个人与其本人进行有关交易、合作等活动；对其本人不予签发签证、不准入境（包括香港、澳门）。_x000a__x000a_本决定自2024年12月5日起施行。_x000a__x000a_附件：反制清单_x000a__x000a_外交部    _x000a__x000a_2024年12月5日_x000a__x000a_附件_x000a__x000a_反制清单_x000a__x000a_　　一、企业_x000a__x000a_　　（一）特励达·布朗工程公司（Teledyne Brown Engineering, Inc.）_x000a__x000a_　　（二）BRINC无人机公司（BRINC Drones, Inc.）_x000a__x000a_　　（三）急速飞行公司（Rapid Flight LLC）_x000a__x000a_　　（四）红色六方案公司（Red Six Solutions）_x000a__x000a_　　（五）护盾人工智能公司（Shield AI, Inc.）_x000a__x000a_　　（六）赛尼克斯公司（SYNEXXUS, Inc.）_x000a__x000a_　　（七）火风暴实验室公司（Firestorm Labs, Inc.）_x000a__x000a_　　（八）奎托斯无人机系统公司（Kratos Unmanned Aerial Systems, Inc.）_x000a__x000a_　　（九）浩劫人工智能公司（HavocAI）_x000a__x000a_　　（十）尼罗斯科技公司（Neros Technologies）_x000a__x000a_　　（十一）赛博勒克斯公司（Cyberlux Corporation）_x000a__x000a_　　（十二）多莫战术通信公司（Domo Tactical Communications)_x000a__x000a_　　（十三）Group W公司（Group W）_x000a__x000a_　　二、高级管理人员_x000a__x000a_　　（一）芭芭拉·博尔戈诺维（Barbara Borgonovi），女，雷神公司海军力量战略业务部总裁_x000a__x000a_　　（二）杰拉德·许贝尔（Gerard Hueber），男，雷神公司海军力量战略业务部副总裁_x000a__x000a_　　（三）查尔斯·伍德伯恩（Charles Woodburn），男，贝宜陆上和武器系统公司首席执行官_x000a__x000a_　　（四）理查德·克劳福德（Richard D. Crawford），男，联合技术系统运营公司创始人、首席执行官_x000a__x000a_　　（五）贝丝·艾德勒（Beth Edler），女，数据链路解决方案公司总裁_x000a__x000a_　　（六）布莱克·雷斯尼克（Blake Resnick），男，BRINC无人机公司创始人、首席执行官"/>
    <s v="Decision on Taking Countermeasures Against U.S. Military Companies and Senior Executives_x000a_Updated: December 05, 2024 19:45_x000a__x000a_(Issued on December 5, 2024 as Decree of the Ministry of Foreign Affairs ofthe People’s Republic of China No. 14, effective as of December 5, 2024)_x000a__x000a_Recently, the United States announced another arms sale to China’s Taiwan region. This seriously violates the one-China principle and the three China-U.S. Joint Communiqués, interferes in China’s internal affairs, and undermines China’s sovereignty and territorial integrity. Pursuant to Articles 3, 4, 5, 6, 9 and 15 of the Law of the People’s Republic of China on Countering Foreign Sanctions, China hereby decides to take countermeasures against the following U.S. military companies and senior executives:_x000a__x000a_For the 13 companies listed in the attached List of Targets of Countermeasures, i.e., Teledyne Brown Engineering, Inc., BRINC Drones, Inc., Rapid Flight LLC, Red Six Solutions, Shield AI, Inc., SYNEXXUS, Inc., Firestorm Labs, Inc., Kratos Unmanned Aerial Systems, Inc., HavocAI, Neros Technologies, Cyberlux Corporation, Domo Tactical Communications, and Group W:_x000a__x000a_Their movable and immovable properties, and other kinds of assets within China shall be frozen._x000a__x000a_All organizations and individuals within China shall be prohibited from engaging in transaction, cooperation and other activities with them._x000a__x000a_For the six senior executives as listed in the attached List of Targets of Countermeasures, i.e., Barbara Borgonovi, President of Naval Power strategic business unit of Raytheon, Gerard Hueber, Vice President of Naval Power strategic business unit of Raytheon, Charles Woodburn, Chief Executive Officer of BAE Systems Land and Armaments, Richard D. Crawford, Founder and Chief Executive Officer of Alliant Techsystems Operations, Beth Edler, President of Data Link Solutions, and Blake Resnick, Founder and Chief Executive Officer of BRINC Drones, Inc.:_x000a__x000a_Their movable and immovable properties, and other kinds of assets within China shall be frozen. _x000a__x000a_All organizations and individuals within China shall be prohibited from engaging in transaction, cooperation and other activities with them. _x000a__x000a_They shall be denied visas or entry into China (including Hong Kong and Macao)._x000a__x000a_This decision shall come into force as of December 5, 2024._x000a__x000a_Appendix: List of Targets of Countermeasures_x000a__x000a_Ministry of Foreign Affairs_x000a__x000a_December 5, 2024_x000a__x000a_Appendix_x000a__x000a_List of Targets of Countermeasures_x000a__x000a_I. Companies_x000a__x000a_1.Teledyne Brown Engineering, Inc._x000a__x000a_2.BRINC Drones, Inc._x000a__x000a_3.Rapid Flight LLC_x000a__x000a_4.Red Six Solutions_x000a__x000a_5.Shield AI, Inc._x000a__x000a_6.SYNEXXUS, Inc._x000a__x000a_7.Firestorm Labs, Inc._x000a__x000a_8.Kratos Unmanned Aerial Systems, Inc._x000a__x000a_9.HavocAI_x000a__x000a_10.Neros Technologies_x000a__x000a_11.Cyberlux Corporation_x000a__x000a_12.Domo Tactical Communications_x000a__x000a_13.Group W_x000a__x000a_II. Senior Executives_x000a__x000a_1.Barbara Borgonovi, female, President of Naval Power strategic business unit of Raytheon_x000a__x000a_2.Gerard Hueber, male, Vice President of Naval Power strategic business unit of Raytheon_x000a__x000a_3.Charles Woodburn, male, Chief Executive Officer of BAE Systems Land and Armaments_x000a__x000a_4.Richard D. Crawford, male, Founder and Chief Executive Officer of Alliant Techsystems Operations_x000a__x000a_5.Beth Edler, female, President of Data Link Solutions_x000a__x000a_6.Blake Resnick, male, Founder and Chief Executive Officer of BRINC Drones, Inc."/>
    <s v="Full Text Chinese (MFA)"/>
    <s v="Full Text English (MFA)"/>
    <m/>
    <m/>
    <m/>
    <m/>
    <m/>
    <m/>
  </r>
  <r>
    <x v="129"/>
    <s v="Boycott calls against Uniclo following CEO statement on not sourcing cotton from Xinjiang"/>
    <x v="1"/>
    <s v="Xinjiang"/>
    <x v="4"/>
    <s v="A Chinese industry association urged international companies to use cotton produced in Xinjiang after the head of Uniqlo’s parent said the fashion retailer doesn’t source fibre from the region._x000a__x000a_Tadashi Yanai, the chief executive officer of Japan’s Fast Retailing Co., made the remark last week in an interview with the BBC, which led to calls on Chinese social media for a boycott of Uniqlo. The US has restricted trade on goods made in Xinjiang on concerns over forced labor, a claim disputed by China._x000a__x000a_“We hope international brands like Uniqlo can give Xinjiang cotton full respect and trust,” and resume its use to maintain the development of the global textile industry, the Xinjiang Uighur Autonomous Region’s Cotton Association said in a statement on its official WeChat account on Thursday._x000a__x000a_China is the world’s top cotton consumer and producer, with more than 90 percent of its output coming from Xinjiang. The Asia &amp; Oceanian nation is also the biggest textile exporter, but it faces increasing competition from neighbouring countries such as Bangladesh and Vietnam due to rising production costs._x000a__x000a_Other global companies have been caught up in controversy relating to Xinjiang. H&amp;M faced a nationalistic backlash in 2021 after a decision to stop using cotton from the region, while more recently, China said it would investigate US apparel maker PVH Corp. for suspected boycotting Xinjiang cotton._x000a__x000a_PVH has cooperated fully with China’s Ministry of Commerce, CEO Stefan Larsson said on an earnings call on Thursday, adding that it’s not yet known when the investigation will be concluded. The probe could result in fines and restrict business activities of PVH, the parent of fashion brands Tommy Hilfiger and Calvin Klein, which have a big retail presence in China._x000a__x000a_For Uniqlo, a Fast Retailing spokesperson told Bloomberg News on Nov. 30 that the company was “watching the situation carefully.”"/>
    <s v="Boycott Fomentation"/>
    <x v="0"/>
    <s v="N/A"/>
    <s v="N/A"/>
    <s v="Uniclo"/>
    <s v="Japan (Asia &amp; Oceania)"/>
    <s v="Consumer Goods"/>
    <m/>
    <s v="Potential state support through statements from the industry association: &quot;We hope international brands like Uniqlo can give Xinjiang cotton full respect and trust,” and resume its use to maintain the development of the global textile industry, the Xinjiang Uighur Autonomous Region’s Cotton Association said in a statement on its official WeChat account on Thursday. "/>
    <m/>
    <m/>
    <s v="Reporting (Bloomberg)"/>
    <s v="Reporting (Reuters)"/>
    <s v="Reporting (Yahoo)"/>
    <m/>
    <m/>
    <m/>
    <m/>
    <m/>
  </r>
  <r>
    <x v="130"/>
    <s v="Decision on taking countermeasures against Canadian institutions and personnel "/>
    <x v="1"/>
    <s v="Xinjiang; Tibet/Dalai Lama; Other Human Rights Criticism"/>
    <x v="5"/>
    <s v="China has decided to take countermeasures against the following Canadian institutions and personnel (see the attached countermeasure list for details):_x000a__x000a_1. Freeze the movable, immovable and other properties of the Uyghur Human Rights Advocacy Project and the Canadian Tibet Committee in my country; prohibit any organization or individual in my country from engaging in related transactions or cooperation with them._x000a__x000a_2. Freeze the movable, immovable and other properties of relevant personnel of the Uyghur Human Rights Advocacy Project and the Canadian Tibet Committee in China; prohibit organizations and individuals in my country from conducting transactions and cooperation with them; and refuse to issue visas to them and prohibit them from entering the country (including Hong Kong and Macao)."/>
    <s v="Formal"/>
    <x v="1"/>
    <s v="Anti-Foreign Sanctions Law (Articles 3, 4, 5, 6, 9 and 15)"/>
    <s v="Clive Ansley; Geoffrey Aharon; Justine Bernatchez; Charles Burton; Linden Dales; Yonah Diamond; Luisa Durante; Conor Healy; Jasmine Kainth; Marcus Kolga; Samphe Lhalungpa; David Matas; Margarett Mccuaig Johnston; John Packer; Scott Simon; Sarah Teich; Sherap Therchin; Mehmet Tohti; Eliza von Baeyer; Youngdoung Tenzin"/>
    <s v="Uyghur Rights Advocacy Project in Canada; Canada-Tibet Committee"/>
    <s v="Canada (North America)"/>
    <s v="Academia &amp; Civil Society"/>
    <s v="N/A"/>
    <m/>
    <s v="关于对加拿大机构及人员采取反制措施的决定 2024-12-21 16:50【(2024年12月21日中华人民共和国外交部令第15号公布，自2024年12月21日起施行） 依据《中华人民共和国反外国制裁法》第三条、第四条、第五条、第六条、第九条、第十五条规定，中方决定对以下加拿大机构及人员（详见后附反制清单）采取反制措施： 一、对加拿大“维吾尔人权倡导项目”、“加拿大西藏委员会”，冻结在我国境内的动产、不动产和其他各类财产；禁止我国境内的组织、个人与其进行有关交易、合作等活动。 二、对加拿大“维吾尔人权倡导项目”、“加拿大西藏委员会”相关人员，冻结在我国境内的动产、不动产和其他各类财产；禁止我国境内的组织、个人与其本人进行有关交易、合作等活动；对其本人不予签发签证、不准入境（包括香港、澳门）。 本决定自2024年12月21日起施行。 附件：反制清单 外交部 2024年12月21日 反制清单 一、机构（共2家） （一）加拿大“维吾尔人权倡导项目”（Uyghur Rights Advocacy Project） （二）加拿大“加拿大西藏委员会”（Canada-Tibet Committee） 二、机构人员（共计20人） （一）“维吾尔人权倡导项目”相关人员，包括执行主任穆罕默德·土赫提（Mehmet Tohti），政策及宣传主任贾丝明·凯因特（Jasmine Kainth），法律顾问戴维·马塔斯（David Matas）、萨拉·泰什（Sarah Teich）、约翰·帕克（John Packer）、克莱夫·安斯利（Clive Ansley）、约纳·戴蒙德（Yonah Diamond）、贾丝廷·柏纳茨（Justine Bernatchez）、林登·达莱斯（Linden Dales），政策顾问查尔斯·伯顿（Charles Burton）、玛格丽特·麦凯格·约翰斯顿（Margarett Mccuaig Johnston）、马库斯·科尔加（Marcus Kolga）、斯科特·西蒙（Scott Simon），研究顾问康纳·希利（Conor Healy）、杰弗里·阿哈龙（Geoffrey Aharon）等，共15人 （二）“加拿大西藏委员会”相关人员，包括主席桑佩·拉隆巴（Samphe Lhalungpa），副主席路易莎·杜兰特（Luisa Durante），执行董事谢拉普·特钦（Sherap Therchin），董事艾丽莎·冯·拜尔（Eliza von Baeyer），社区活动经理永东丹增（Youngdoung Tenzin）等，共5人"/>
    <s v="Decision on taking countermeasures against Canadian institutions and personnel 2024-12-21 16:50 (Promulgated by Order No. 15 of the Ministry of Foreign Affairs of the People's Republic of China on December 21, 2024, and effective from December 21, 2024) In accordance with Articles 3, 4, 5, 6, 9 and 15 of the Anti-Foreign Sanctions Law of the People's Republic of China, China has decided to take countermeasures against the following Canadian institutions and personnel (see the attached countermeasure list for details): 1. Freeze the movable, immovable and other properties of the Uyghur Human Rights Advocacy Project and the Canadian Tibet Committee in my country; prohibit any organization or individual in my country from engaging in related transactions or cooperation with them. 2. Freeze the movable, immovable and other properties of relevant personnel of the Uyghur Human Rights Advocacy Project and the Canadian Tibet Committee in my country; prohibit organizations and individuals in my country from conducting transactions and cooperation with them; and refuse to issue visas to them and prohibit them from entering the country (including Hong Kong and Macao). This decision shall come into force on December 21, 2024. Attachment: Countermeasures List Ministry of Foreign Affairs December 21, 2024 Countermeasures List 1. Institutions (2 in total) 1. Uyghur Rights Advocacy Project in Canada 2. Canada-Tibet Committee II. Organizational staff (20 people in total) (1) Personnel of the Uyghur Human Rights Advocacy Project, including Executive Director Mehmet Tohti, Policy and Advocacy Director Jasmine Kainth, Legal Advisors David Matas, Sarah Teich, John Packer, Clive Ansley, Yonah Diamond, Justine Bernatchez, Linden Dales, Policy Advisors Charles Burton, Margarett Mccuaig Johnston, Marcus Kolga, Scott Simon, Research Advisors Conor Healy, Geoffrey Aharon, etc., a total of 15 people 2. Personnel from the Canadian Tibet Committee, including Chairperson Samphe Lhalungpa, Vice Chairperson Luisa Durante, Executive Director Sherap Therchin, Director Eliza von Baeyer, Community Activities Manager Youngdoung Tenzin, etc., a total of 5 people"/>
    <s v="Full Text Chinese (MFA)"/>
    <s v="Canada Sanctions"/>
    <m/>
    <m/>
    <m/>
    <m/>
    <m/>
    <m/>
  </r>
  <r>
    <x v="131"/>
    <s v="Ministry of Commerce adds 28 U.S. entities to the export control list, following growing tensions with the U.S. including the passing of the &quot;National Defense Authorization Act of 2025 Fiscal Year&quot;"/>
    <x v="0"/>
    <s v="Geopolitical Dispute"/>
    <x v="0"/>
    <s v="and take the following measures:_x000a__x000a_1. The export of dual-use items to the above-mentioned 28 US entities is prohibited; any related export activities currently underway should be stopped immediately._x000a__x000a_2. If export is really necessary under special circumstances, the export operator shall apply to the Ministry of Commerce."/>
    <s v="Formal"/>
    <x v="1"/>
    <s v="Export Control Law;_x000a_Dual-Use Regulations (2024-09-30)"/>
    <s v="N/A"/>
    <s v="General Dynamics; L3 Harris Technologies; Intelligent Epitaxy Technology; Clear Align LLC; Boeing Defense, Space &amp; Security; Lockheed Martin Corporation; Raytheon Missiles &amp; Defense; Lockheed Martin Missiles and Fire Control; Lockheed Martin Aeronautics; Raytheon/Lockheed Martin Javelin Joint Venture; Raytheon Missile Systems; General Dynamics Ordnance and Tactical Systems; General Dynamics Information Technology; General Dynamics Mission Systems; Inter-Coastal Electronics; System Studies &amp; Simulation; IronMountain Solutions; Applied Technologies Group; Axient; Lockheed Martin Missile System Integration Lab; Lockheed Martin Advanced Technology Laboratories; Lockheed Martin Ventures; Anduril Industries; Maritime Tactical Systems; Pacific Rim Defense; AEVEX Aerospace; LKD Aerospace; Summit Technologies Inc."/>
    <s v="United States (North America)"/>
    <s v="Defense"/>
    <s v="Missile systems; military aircraft; surveillance; laser; aerospace; command and control software; simulation; communication; dual-use electronics; autonomous systems."/>
    <s v="First use of dual-use regulations and &quot;export control list&quot;._x000a__x000a_This round of sanctions occurred shortly after the US Congress passed the &quot;National Defense Authorization Act of 2025 Fiscal Year,&quot; which was signed by President Biden and viewed by China as containing multiple &quot;negative provisions related to China&quot;. China’s Ministry of Foreign Affairs and the Foreign Affairs Committee of the National People's Congress both expressed &quot;strong dissatisfaction and firm opposition&quot; to the act, accusing it of continuing to hype the &quot;China threat,&quot; &quot;advocate military support for Taiwan, suppress China's technological and economic development, restrict Sino-U.S. economic and trade exchanges as well as people-to-people interactions, blatantly interfere in China's internal affairs, and undermine China's sovereignty, security, and development interests.&quot; Both vows that &quot;China will take necessary measures in accordance with the law to resolutely safeguard its national sovereignty, security, and development interests.&quot;"/>
    <s v="商务部公告2025年第1号 公布将28家美国实体列入出口管制管控名单_x000a_【发布单位】安全与管制局_x000a_【发布文号】商务部公告2025年第1号_x000a_【发文日期】2025年01月02日_x000a__x000a_       根据《中华人民共和国出口管制法》和《中华人民共和国两用物项出口管制条例》等法律法规有关规定，为维护国家安全和利益，履行防扩散等国际义务，决定将通用动力公司等28家美国实体列入出口管制管控名单（见附件），并采取以下措施：_x000a__x000a_一、禁止向上述28家美国实体出口两用物项；正在开展的相关出口活动应当立即停止。_x000a__x000a_二、特殊情况下确需出口的，出口经营者应当向商务部提出申请。_x000a__x000a_本公告自公布之日起正式实施。_x000a__x000a_附件：出口管制管控名单（2025年1月2日）_x000a__x000a__x000a__x000a_商务部      _x000a__x000a_2025年1月2日_x000a__x000a__x000a_       附件_x000a__x000a_出口管制管控名单_x000a__x000a_      （2025年1月2日）_x000a__x000a__x000a__x000a_1. 通用动力公司（General Dynamics）_x000a__x000a_2. L3哈里斯公司（L3 Harris Technologies）_x000a__x000a_3. 英特磊公司（Intelligent Epitaxy Technology）_x000a__x000a_4. 可利尔阿莱恩公司（Clear Align LLC）_x000a__x000a_5. 波音防务、空间与安全集团（Boeing Defense, Space &amp; Security）_x000a__x000a_6. 洛克希德·马丁公司（Lockheed Martin Corporation）_x000a__x000a_7. 雷神导弹与防务公司（Raytheon Missiles &amp; Defense）_x000a__x000a_8. 洛克希德·马丁导弹与火控公司（Lockheed Martin Missiles and Fire Control）_x000a__x000a_9. 洛克希德·马丁航空公司（Lockheed Martin Aeronautics）_x000a__x000a_10. 标枪合资公司（Raytheon/Lockheed Martin Javelin Joint Venture）_x000a__x000a_11. 雷神导弹系统公司（Raytheon Missile Systems）_x000a__x000a_12. 通用动力军械与战术系统公司（General Dynamics Ordnance and Tactical Systems）_x000a__x000a_13. 通用动力信息技术公司（General Dynamics Information Technology）_x000a__x000a_14. 通用动力任务系统公司（General Dynamics Mission Systems）_x000a__x000a_15. 海岸间电子公司（Inter-Coastal Electronics）_x000a__x000a_16. 系统研究与模拟公司（System Studies &amp; Simulation）_x000a__x000a_17. 铁山解决方案公司（IronMountain Solutions）_x000a__x000a_18. 应用技术集团（Applied Technologies Group）_x000a__x000a_19. 阿克西恩特公司（Axient）_x000a__x000a_20. 洛克希德·马丁导弹系统集成实验室（Lockheed Martin Missile System Integration Lab）_x000a__x000a_21. 洛克希德·马丁先进技术实验室（Lockheed Martin Advanced Technology Laboratories）_x000a__x000a_22. 洛克希德·马丁风险投资公司（Lockheed Martin Ventures）_x000a__x000a_23. 安杜里尔公司（Anduril Industries）_x000a__x000a_24. 海上战术系统公司（Maritime Tactical Systems）_x000a__x000a_25. 环太平洋防务公司（Pacific Rim Defense）_x000a__x000a_26. AEVEX航天公司（AEVEX Aerospace）_x000a__x000a_27. LKD航天公司（LKD Aerospace）_x000a__x000a_28. 顶峰科技公司（Summit Technologies Inc.）"/>
    <m/>
    <s v="Full Text Chinese (MOFCOM)"/>
    <s v="Q&amp;A &quot;Export Control List&quot; (MOFCOM)"/>
    <s v="Analysis (Geopolitechs)"/>
    <m/>
    <m/>
    <m/>
    <m/>
    <m/>
  </r>
  <r>
    <x v="131"/>
    <s v="Inclusion of 10 U.S. Companies Including Lockheed Martin Missiles and Fire Control on the Unreliable Entity List, following growing tensions with the U.S. including the passing of the &quot;National Defense Authorization Act of 2025 Fiscal Year&quot;"/>
    <x v="0"/>
    <s v="Geopolitical Dispute"/>
    <x v="5"/>
    <s v="1. The above-mentioned enterprises are prohibited from engaging in import and export activities related to China;_x000a__x000a_2. Prohibit the above-mentioned enterprises from making new investments in China;_x000a__x000a_3. Prohibit entry of senior management personnel of the above-mentioned enterprises;_x000a__x000a_4. Do not approve and cancel the work permit, stay or residence qualification in China of the above-mentioned senior managers of the enterprises."/>
    <s v="Formal"/>
    <x v="1"/>
    <s v="Unreliable Entity List_x000a__x000a_Foreign Trade Law;_x000a_National Security Law;_x000a_Anti-Foreign Sanctions Law;_x000a__x000a_(Article 2, 8 and 10 of the Regulations on the Unreliable Entity List)"/>
    <s v="N/A"/>
    <s v="Lockheed Martin Missiles and Fire Control; Lockheed Martin Aeronautics; Lockheed Martin Missile System Integration Lab; Lockheed Martin Advanced Technology Laboratories; Lockheed Martin Ventures; Raytheon/Lockheed Martin Javelin Joint Venture; Raytheon Missile Systems; General Dynamics Ordnance and Tactical Systems; General Dynamics Information Technology; General Dynamics Mission Systems"/>
    <s v="United States (North America)"/>
    <s v="Defense"/>
    <s v="Missiles; military aircraft; aerospace R&amp;D; system integration; advanced defense tech; tactical weapons; electronic warfare; command systems; military communications."/>
    <s v="Suggests UEL is used for most severe violations._x000a__x000a_The 10 firms listed here were also included on the &quot;export control list&quot; with a decision from the same day (all where Lockheed, Raytheon, General Dynamics entities). _x000a__x000a_The UEL restrictions are more extensive than the Export Control List. Also, this formulation suggests that China reserves the UEL for what it perceives to be the most severe violations:_x000a__x000a_&quot;10 companies including Lockheed Martin Missiles and Fire Control have participated in arms sales to Taiwan  ... China has always handled the issue of the unreliable entity list with caution, targeting only a few foreign entities that endanger China's national security. Honest and law-abiding foreign entities have nothing to worry about.&quot;"/>
    <s v="不可靠实体清单工作机制关于对洛克希德·马丁导弹与火控公司等10家美国企业采取不可靠实体清单措施的公告_x000a_【发布单位】安全与管制局_x000a_【发布文号】不可靠实体清单工作机制公告〔2025〕1号_x000a_【发文日期】2025年01月02日_x000a__x000a_不 可 靠 实 体 清 单 工 作 机 制_x000a__x000a_公   告_x000a__x000a_2025年 第1号_x000a__x000a__x000a__x000a_为维护国家主权、安全和发展利益，根据《中华人民共和国对外贸易法》《中华人民共和国国家安全法》《中华人民共和国反外国制裁法》等有关法律，不可靠实体清单工作机制依据《不可靠实体清单规定》第二条、第八条和第十条等有关规定，决定将参与对台湾地区军售的洛克希德·马丁导弹与火控公司（Lockheed Martin Missiles and Fire Control）、洛克希德·马丁航空公司（Lockheed Martin Aeronautics）、洛克希德·马丁导弹系统集成实验室（Lockheed Martin Missile System Integration Lab)、洛克希德·马丁先进技术实验室（Lockheed Martin Advanced Technology Laboratories)、洛克希德·马丁风险投资公司（Lockheed Martin Ventures)、标枪合资公司（Raytheon/Lockheed Martin Javelin Joint Venture）、雷神导弹系统公司（Raytheon Missile Systems）、通用动力军械与战术系统公司（General Dynamics Ordnance and Tactical Systems）、通用动力信息技术公司（General Dynamics Information Technology）、通用动力任务系统公司（General Dynamics Mission Systems）列入不可靠实体清单，并采取以下处理措施：_x000a__x000a_一、禁止上述企业从事与中国有关的进出口活动；_x000a__x000a_二、禁止上述企业在中国境内新增投资；_x000a__x000a_三、禁止上述企业高级管理人员入境；_x000a__x000a_四、不批准并取消上述企业高级管理人员在中国境内工作许可、停留或者居留资格。_x000a__x000a_本公告未尽事宜，按《不可靠实体清单规定》执行。_x000a__x000a_本公告自公布之日起实施。_x000a__x000a__x000a__x000a_不可靠实体清单工作机制_x000a__x000a_（商务部代章）      _x000a__x000a_          2025年1月2日       "/>
    <m/>
    <s v="Full Text Chinese (MOFCOM)"/>
    <s v="Q&amp;A on UEL (MOFCOM)"/>
    <s v="Analysis (Geopolitechs)"/>
    <m/>
    <m/>
    <m/>
    <m/>
    <m/>
  </r>
  <r>
    <x v="132"/>
    <s v="Inclusion of Coastal Electronics and 7 other U.S. Companies in the Unreliable Entity List, following a set of sanctions introduced by the outgoing Biden administration"/>
    <x v="1"/>
    <s v="Arms Sales to Taiwan"/>
    <x v="5"/>
    <s v="to include … which are involved in arms sales to Taiwan, in the Unreliable Entity List, and to take the following measures: 1. The above-mentioned enterprises are prohibited from engaging in import and export activities related to China;_x000a__x000a_2. Prohibit the above-mentioned enterprises from making new investments in China;_x000a__x000a_3. Prohibit entry of senior management personnel of the above-mentioned enterprises;_x000a__x000a_4. Do not approve and cancel the work permit, stay or residence qualification in China of the above-mentioned senior managers of the enterprises."/>
    <s v="Formal"/>
    <x v="1"/>
    <s v="Unreliable Entity List_x000a__x000a_Foreign Trade Law;_x000a_National Security Law; _x000a_Anti-Foreign Sanctions Law"/>
    <s v="N/A"/>
    <s v="Inter-Coastal Electronics; System Studies &amp; Simulation; IronMountain Solutions; Applied Technologies Group; Axient; Anduril Industries; Maritime Tactical Systems"/>
    <s v="United States (North America)"/>
    <s v="Defense"/>
    <m/>
    <s v="Part of China's response to outgoing Biden administration's &quot;sanctions week&quot;"/>
    <s v="不可靠实体清单工作机制关于对海岸间电子公司等7家美国企业采取不可靠实体清单措施的公告_x000a_【发布单位】安全与管制局_x000a_【发布文号】不可靠实体清单工作机制公告〔2025〕2号_x000a_【发文日期】2025年01月14日_x000a__x000a_不 可 靠 实 体 清 单 工 作 机 制_x000a__x000a_公    告_x000a__x000a_2025年 第2号_x000a__x000a__x000a__x000a_为维护国家主权、安全和发展利益，根据《中华人民共和国对外贸易法》《中华人民共和国国家安全法》《中华人民共和国反外国制裁法》等有关法律，不可靠实体清单工作机制依据《不可靠实体清单规定》第二条、第八条和第十条等有关规定，决定将参与对台湾地区军售的海岸间电子公司（Inter-Coastal Electronics）、系统研究与模拟公司（System Studies &amp; Simulation）、铁山解决方案公司 （IronMountain Solutions）、应用技术集团（Applied Technologies Group）、阿克西恩特公司（Axient）、安杜里尔公司（Anduril Industries）、海上战术系统公司（Maritime Tactical Systems）列入不可靠实体清单，并采取以下处理措施：_x000a__x000a_一、禁止上述企业从事与中国有关的进出口活动；_x000a__x000a_二、禁止上述企业在中国境内新增投资；_x000a__x000a_三、禁止上述企业高级管理人员入境；_x000a__x000a_四、不批准并取消上述企业高级管理人员在中国境内工作许可、停留或者居留资格。_x000a__x000a_本公告未尽事宜，按《不可靠实体清单规定》执行。_x000a__x000a_本公告自公布之日起实施。_x000a__x000a__x000a__x000a_不可靠实体清单工作机制   _x000a__x000a_（商务部代章）          _x000a__x000a_2025年1月14日"/>
    <m/>
    <s v="Full Text Chinese (MOFCOM)"/>
    <s v="Analysis (Geopolitechs)"/>
    <s v="FAQ (MOFCOM)"/>
    <m/>
    <m/>
    <m/>
    <m/>
    <m/>
  </r>
  <r>
    <x v="133"/>
    <s v="Inclusion of 4 U.S. Companies including Pacific Rim Defense on the Unreliable Entity List, following a set of sanctions introduced by the outgoing Biden administration"/>
    <x v="1"/>
    <s v="Arms Sales to Taiwan"/>
    <x v="5"/>
    <s v="_x000a_1. The above-mentioned enterprises are prohibited from engaging in import and export activities related to China;_x000a__x000a_2. Prohibit the above-mentioned enterprises from making new investments in China;_x000a__x000a_3. Prohibit entry of senior management personnel of the above-mentioned enterprises;_x000a__x000a_4. Do not approve and cancel the work permit, stay or residence qualification in China of the above-mentioned senior managers of the enterprises."/>
    <s v="Formal"/>
    <x v="1"/>
    <s v="Unreliable Entity List_x000a__x000a_Foreign Trade Law;_x000a_National Security Law; _x000a_Anti-Foreign Sanctions Law"/>
    <s v="N/A"/>
    <s v="Pacific Rim Defense; AEVEX Aerospace; LKD Aerospace; Summit Technologies Inc."/>
    <s v="United States (North America)"/>
    <s v="Defense"/>
    <m/>
    <s v="Part of China's response to outgoing Biden administration's &quot;sanctions week&quot;"/>
    <s v="不可靠实体清单工作机制关于对环太平洋防务公司等4家美国企业采取不可靠实体清单措施的公告_x000a_【发布单位】安全与管制局_x000a_【发布文号】不可靠实体清单工作机制公告〔2025〕3号_x000a_【发文日期】2025年01月15日_x000a__x000a_不 可 靠 实 体 清 单 工 作 机 制_x000a__x000a_公    告_x000a__x000a_2025年 第3号_x000a__x000a__x000a__x000a_为维护国家主权、安全和发展利益，根据《中华人民共和国对外贸易法》《中华人民共和国国家安全法》《中华人民共和国反外国制裁法》等有关法律，不可靠实体清单工作机制依据《不可靠实体清单规定》第二条、第八条和第十条等有关规定，决定将参与对台湾地区军售的环太平洋防务公司（Pacific Rim Defense）、AEVEX 航天公司（AEVEX Aerospace）、LKD 航天公司（LKD Aerospace）、顶峰科技公司（Summit Technologies Inc.）列入不可靠实体清单，并采取以下处理措施：_x000a__x000a_一、禁止上述企业从事与中国有关的进出口活动；_x000a__x000a_二、禁止上述企业在中国境内新增投资；_x000a__x000a_三、禁止上述企业高级管理人员入境；_x000a__x000a_四、不批准并取消上述企业高级管理人员在中国境内工作许可、停留或者居留资格。_x000a__x000a_本公告未尽事宜，按《不可靠实体清单规定》执行。_x000a__x000a_本公告自公布之日起实施。_x000a__x000a__x000a__x000a_不可靠实体清单工作机制   _x000a__x000a_（商务部代章）          _x000a__x000a_2025年1月15日          "/>
    <m/>
    <s v="Full Text Chinese (MOFCOM)"/>
    <s v="Analysis (Geopolitechs)"/>
    <m/>
    <m/>
    <m/>
    <m/>
    <m/>
    <m/>
  </r>
  <r>
    <x v="134"/>
    <s v="Temporary anti-dumping measures on co-polymer polyoxymethylene from the United States, the European Union, Taiwan, and Japan, following a set of sanctions introduced by the outgoing Biden administration"/>
    <x v="1"/>
    <s v="Geopolitical Dispute"/>
    <x v="1"/>
    <s v="In accordance with Articles 28 and 29 of the Anti-dumping Regulations, the Investigation Authority has decided to implement temporary anti-dumping measures in the form of a deposit. From January 24, 2025, when importing the investigated products, import operators shall provide the Customs of the People's Republic of China with a corresponding deposit based on the deposit ratio of each company determined in this preliminary ruling."/>
    <s v="Conversion"/>
    <x v="0"/>
    <s v="Anti-Dumping Regulations (Article 24)"/>
    <s v="N/A"/>
    <s v="Ticona Polymers, Inc.; Celanese Production Germany GmbH &amp; Co. KG; POLYPLASTICS TAIWAN CO., LTD.; Formosa Plastics Corporation; POLYPLASTICS CO., LTD.; ASAHI KASEI CORPORATION"/>
    <s v="United States (North America); European Union (Europe); Taiwan (Asia &amp; Oceania); Japan (Asia &amp; Oceania)"/>
    <s v="Chemicals"/>
    <s v="Polyformaldehyde Copolymer; Polyoxymethylene Copolymer; Copolymer-type Acetal Resin; Acetal Copolymer"/>
    <s v="Part of China's response to outgoing Biden administration's &quot;sanctions week&quot;"/>
    <s v="公布原产于美国、欧盟、台湾地区和日本的进口共聚聚甲醛反倾销调查的初步裁定_x000a_【发布单位】贸易救济局_x000a_【发布文号】商务部公告2025年第5号_x000a_【发文日期】2025年01月16日_x000a__x000a__x000a_根据《中华人民共和国反倾销条例》（以下称《反倾销条例》）的规定，2024年5月19日，商务部（以下称调查机关）发布2024年第18号公告，决定对原产于美国、欧盟、台湾地区和日本的进口共聚聚甲醛（以下称被调查产品）进行反倾销立案调查。_x000a__x000a_调查机关对被调查产品是否存在倾销和倾销幅度、被调查产品是否对中国大陆共聚聚甲醛产业造成损害及损害程度以及倾销与损害之间的因果关系进行了调查。根据调查结果和《反倾销条例》第二十四条的规定，调查机关作出初步裁定（见附件）。现将有关事项公告如下：_x000a__x000a_一、初步裁定_x000a__x000a_调查机关初步认定，原产于美国、欧盟、台湾地区和日本的进口共聚聚甲醛存在倾销，中国大陆共聚聚甲醛产业受到实质损害，而且倾销与实质损害之间存在因果关系。_x000a__x000a_二、征收保证金_x000a__x000a_根据《反倾销条例》第二十八条和第二十九条的规定，调查机关决定采用保证金形式实施临时反倾销措施。自2025年1月24日起，进口经营者在进口被调查产品时，应依据本初裁决定所确定的各公司的保证金比率向中华人民共和国海关提供相应的保证金。_x000a__x000a_被调查产品的具体描述如下：_x000a__x000a_调查范围：原产于美国、欧盟、台湾地区和日本的进口共聚聚甲醛_x000a__x000a_被调查产品名称：共聚聚甲醛，又称聚氧亚甲基共聚物，或聚氧化甲烯共聚物_x000a__x000a_英文名称：Polyformaldehyde Copolymer，或Polyoxymethylene Copolymer，或Copolymer-type Acetal Resin，或Acetal Copolymer等，英文名称通常被简称为POM Copolymer_x000a__x000a_化学分子式：-[CH2-O]n-[CH2-O-CH2-CH2]m-(n&gt;m)_x000a__x000a_物理化学特性：共聚聚甲醛是由甲醛合成的，具有-CH2-O-主链及-[CH2-O-CH2-CH2]-嵌键（按重量计-CH2-O-含量大于50%）的热塑性树脂，且同时满足以下各项性能指标：_x000a__x000a_溶体质量流动速率 （190℃，2.16㎏）/（g/10 min）_x000a__x000a_≤4_x000a__x000a_4＜·≤7_x000a__x000a_7＜·≤11_x000a__x000a_11＜·≤16_x000a__x000a_16＜·≤35_x000a__x000a_35＜·≤60_x000a__x000a_＞60_x000a__x000a_熔融温度/℃_x000a__x000a_160≤·＜170_x000a__x000a_密度/（g/cm3）_x000a__x000a_1.38～1.43_x000a__x000a_屈服应力/MPa_x000a__x000a_≥58_x000a__x000a_≥60_x000a__x000a_断裂标称应变/%_x000a__x000a_≥20_x000a__x000a_≥15_x000a__x000a_拉伸弹性模量/MPa_x000a__x000a_≥2400_x000a__x000a_简支梁缺口冲击强度/（kJ/m²）_x000a__x000a_≥5.5_x000a__x000a_≥4.5_x000a__x000a_≥3.0_x000a__x000a_1.8 MPa负荷变形温度/℃_x000a__x000a_≥85_x000a__x000a_主要用途：共聚聚甲醛具有机械强度高、高耐疲劳性、高耐蠕变性等良好的力学综合性能，可以部分替代铜、锌、锡、铅等金属材料，可直接用于或经改性后用于汽车配件、电子电器、工业机械、日常用品、运动器械、医疗器具、管道管件、建筑建材等领域。_x000a__x000a_该产品归在《中华人民共和国进出口税则（2023）》：39071010、39071090。这两个税则号项下的均聚聚甲醛、改性聚甲醛等其他产品不在本次调查范围之内。_x000a__x000a_对各公司征收的保证金比率如下：_x000a__x000a_美国公司：_x000a__x000a_1.泰科纳聚合物公司              74.9%                _x000a__x000a_（Ticona Polymers, Inc.）_x000a__x000a_2.其他美国公司                      74.9%_x000a__x000a_欧盟公司：_x000a__x000a_1.塞拉尼斯生产德国有限及两合公司                    42.0%                _x000a__x000a_（Celanese Production Germany GmbH &amp; Co. KG）_x000a__x000a_2.其他欧盟公司                  42.0%_x000a__x000a_台湾地区公司：_x000a__x000a_1.台湾宝理塑胶股份有限公司       3.8%                _x000a__x000a_（POLYPLASTICS TAIWAN CO., LTD.）_x000a__x000a_2.台湾塑胶工业股份有限公司       4.0%                          _x000a__x000a_(Formosa Plastics Corporation)_x000a__x000a_3.其他台湾地区公司                      32.6%         _x000a__x000a_日本公司：_x000a__x000a_1.宝理塑料株式会社              43.7%                                             _x000a__x000a_（POLYPLASTICS CO., LTD.）_x000a__x000a_2.旭化成株式会社                  33.9%               _x000a__x000a_（ASAHI KASEI CORPORATION）_x000a__x000a_3.其他日本公司                      43.7%            _x000a__x000a_三、征收保证金的方法_x000a__x000a_自2025年1月24日起，进口经营者在进口原产于美国、欧盟、台湾地区和日本的共聚聚甲醛时，应依据本初裁决定所确定的各公司的保证金比率向中华人民共和国海关提供相应的保证金。保证金以海关审定的完税价格从价计征，计算公式为：保证金金额=（海关审定的完税价格×保证金征收比率）×（1+进口环节增值税税率）。_x000a__x000a_四、评论_x000a__x000a_各利害关系方在本公告发布之日起10天内，可向调查机关提交书面评论意见。_x000a__x000a__x000a__x000a_附件：中华人民共和国商务部关于原产于美国、欧盟、台湾地区和日本的进口共聚聚甲醛反倾销调查的初步裁定.pdf_x000a__x000a__x000a__x000a_商务部_x000a__x000a_2025年1月16日"/>
    <m/>
    <s v="Full Text Chinese (MOFCOM)"/>
    <s v="Analysis (Geopolitechs)"/>
    <m/>
    <m/>
    <m/>
    <m/>
    <m/>
    <m/>
  </r>
  <r>
    <x v="135"/>
    <s v="Export Controls on Tungsten, Tellurium, Bismuth, Molybdenum, and Indium-Related Items, following the Trump administration's announcement of a 10 percent tariff on China"/>
    <x v="1"/>
    <s v="Economic Dispute"/>
    <x v="0"/>
    <s v=" it is decided to implement export controls on the following items … _x000a_1. Tungsten-related items … 　_x000a_2. Tellurium-related items …_x000a_3. Bismuth-related items … _x000a_4. Molybdenum-related items …_x000a_5. Indium-related items  …_x000a__x000a_Export operators who wish to export the above-mentioned items shall apply for a license from the State Council’s commerce department in accordance with the relevant provisions of the Export Control Law of the People’s Republic of China and the Regulations of the People’s Republic of China on Export Control of Dual-Use Items._x000a__x000a_&quot;On February 4, the Ministry of Commerce of China, together with the General Administration of Customs, issued an announcement on the implementation of export controls on tungsten and other related items, and implemented export controls on 25 rare metal products and technologies such as ammonium paratungstate.&quot; (MOFCOM clarifications)"/>
    <s v="Formal"/>
    <x v="1"/>
    <s v="Export Control Law;_x000a_Foreign Trade Law;_x000a_Customs Law;_x000a_Regulations on Export Control of Dual-Use Items"/>
    <s v="N/A"/>
    <s v="N/A"/>
    <s v="N/A"/>
    <s v="Raw Materials"/>
    <s v="Tungsten, Tellurium, Bismuth, Molybdenum, Indium"/>
    <s v="Retaliation against Trump's announcing 10 percent tariffs on China_x000a__x000a_Framed as non-proliferation and as safeguarding national security. _x000a__x000a_&quot;It is an internationally accepted practice to impose export controls on tungsten and other related items. As the world's major producer and exporter of tungsten and other related items, China has long been firmly fulfilling its international obligations such as non-proliferation. In accordance with the need to maintain national security and interests, it has implemented export controls on specific related items in accordance with the law.&quot; (MOFCOM clarifications)_x000a__x000a_&quot;As for the five minor metals under new export controls, the U.S. dependence on China for these—tungsten, tellurium, bismuth, molybdenum, and indium—is not as high as it is for gallium, germanium, and antimony.&quot; (Geopolitechs)"/>
    <s v="商务部 海关总署公告2025年第10号 公布对钨、碲、铋、钼、铟相关物项 实施出口管制的决定_x000a_来源：商务部网站 类型：转载 分类：政策 发布时间：2025-02-04 13:15:02_x000a__x000a_【发布单位】安全与管制局_x000a__x000a_【发布文号】商务部公告2025年第10号_x000a__x000a_【发文日期】2025年02月04日_x000a__x000a_　　根据《中华人民共和国出口管制法》《中华人民共和国对外贸易法》《中华人民共和国海关法》《中华人民共和国两用物项出口管制条例》有关规定，为维护国家安全和利益、履行防扩散等国际义务，经国务院批准，决定对下列物项实施出口管制：_x000a__x000a_　　一、钨相关物项_x000a__x000a_　　（一）1C117.d．钨相关材料：_x000a__x000a_　　1．仲钨酸铵(参考海关商品编号：2841801000)；_x000a__x000a_　　2．氧化钨(参考海关商品编号：2825901200、2825901910、2825901920)；_x000a__x000a_　　3．非1C226项下管制的碳化钨(参考海关商品编号：2849902000)。_x000a__x000a_　　（二）1C117.c．具有下述所有特性的固态钨：_x000a__x000a_　　1．具有下述任一特性的固态钨（不含颗粒、粉末状）：_x000a__x000a_　　a．非1C226、1C241项下管制的钨及钨含量大于等于97%（按重量）的钨合金(参考海关商品编号：8101940001、8101991001、8101999001)；_x000a__x000a_　　b．钨含量大于等于80%（按重量）的钨掺铜(参考海关商品编号：8101940001、8101991001、8101999001)；_x000a__x000a_　　c．钨含量大于等于80%（按重量）的钨掺银（银含量大于等于2%）(参考海关商品编号：7106919001、7106929001)；_x000a__x000a_　　2．能被机械加工成任何下述任一产品：_x000a__x000a_　　a．直径大于等于120 mm、长度大于等于50 mm的圆柱体；_x000a__x000a_　　b．内径大于等于65 mm、壁厚大于等于25 mm且长度大于等于50 mm的管材；_x000a__x000a_　　c．尺寸大于等于120 mm×120 mm×50 mm的块状物。_x000a__x000a_　　（三）1C004 具有下述所有特性的钨镍铁合金(参考海关商品编号：8101940001、8101991001、8101999001)或钨镍铜合金(参考海关商品编号：8101940001、8101991001、8101999001)：_x000a__x000a_　　a．密度大于17.5 g/cm3；_x000a__x000a_　　b．弹性极限超过800 MPa；_x000a__x000a_　　c．极限抗拉强度大于1270 MPa；_x000a__x000a_　　d．伸长率超过8%。_x000a__x000a_　　（四）1E004、1E101.b．生产1C004、1C117.c、1C117.d项的技术及资料（含工艺规范、工艺参数、加工程序等）。_x000a__x000a_　　二、碲相关物项_x000a__x000a_　　（一）6C002.a．金属碲(参考海关商品编号：2804500001)。_x000a__x000a_　　（二）6C002.b．以下任何一种的碲化合物单晶或多晶制品（包括衬底或外延片）：_x000a__x000a_　　1．碲化镉(参考海关商品编号：2842902000、3818009021)；_x000a__x000a_　　2．碲化镉锌(参考海关商品编号：2842909025、3818009021)；_x000a__x000a_　　3．碲化镉汞(参考海关商品编号：2852100010、3818009021)。_x000a__x000a_　　（三）6E002 生产6C002项的技术及资料（含工艺规范、工艺参数、加工程序等）。_x000a__x000a_　　三、铋相关物项_x000a__x000a_　　（一）6C001.a．非1C229项下管制的金属铋及制品，包括但不限于锭、块、珠、颗粒、粉末等形态(参考海关商品编号：8106101091、8106101092、8106101099、8106109090、8106901019、8106901029、8106901099、8106909090)。_x000a__x000a_　　（二）6C001.b．锗酸铋(参考海关商品编号：2841900041)。_x000a__x000a_　　（三）6C001.c．三苯基铋(参考海关商品编号：2931900032)。_x000a__x000a_　　（四）6C001.d．三对乙氧基苯基铋(参考海关商品编号：2931900032)。_x000a__x000a_　　（五）6E001 生产6C001项的技术及资料（包括工艺规范、工艺参数、加工程序等）。_x000a__x000a_　　四、钼相关物项_x000a__x000a_　　（一）1C117.b．钼粉：用于制造导弹部件的钼含量（按重量）大于等于97%、颗粒尺寸小于等于50×10-6m（50μm）的钼及合金颗粒(参考海关商品编号：8102100001)。_x000a__x000a_　　（二）1E101.b．生产1C117.b项的技术及资料（含工艺规范、工艺参数、加工程序等）。_x000a__x000a_　　五、铟相关物项_x000a__x000a_　　（一）3C004.a．磷化铟(参考海关商品编号：2853904051)。_x000a__x000a_　　（二）3C004.b．三甲基铟(参考海关商品编号：2931900032)。_x000a__x000a_　　（三）3C004.c．三乙基铟(参考海关商品编号：2931900032)。_x000a__x000a_　　（四）3E004生产3C004项的技术及资料（含工艺规范、工艺参数、加工程序等）。_x000a__x000a_　　出口经营者出口上述物项应当依照《中华人民共和国出口管制法》《中华人民共和国两用物项出口管制条例》的相关规定向国务院商务主管部门申请许可。_x000a__x000a_　　本公告自发布之日起正式实施。《中华人民共和国两用物项出口管制清单》同步予以更新。_x000a__x000a_商务部 海关总署_x000a__x000a_2025年2月4日"/>
    <m/>
    <s v="Full Text Chinese (MOFCOM)"/>
    <s v="Clarifications (MOFCOM)"/>
    <s v="Presser (MOFCOM)"/>
    <s v="Analysis (Geopolitechs)"/>
    <s v="Analysis (Observer Network)"/>
    <m/>
    <m/>
    <m/>
  </r>
  <r>
    <x v="135"/>
    <s v="Inclusion of PVH Group and Illumina Inc. in the Unreliable Entity List, following the Trump administration's announcement of a 10 percent tariff on China"/>
    <x v="1"/>
    <s v="Economic Dispute"/>
    <x v="3"/>
    <s v="the Unreliable Entity List Working Mechanism has decided to include the US PVH Group and Illumina, Inc. in the Unreliable Entity List … _x000a__x000a_The Unreliable Entity List Working Mechanism will take corresponding measures against the above entities in accordance with relevant laws and regulations."/>
    <s v="Formal"/>
    <x v="1"/>
    <s v="Unreliable Entity List Regulations_x000a__x000a_Foreign Trade Law;_x000a_National Security Law;_x000a_Anti-Foreign Sanctions Law;"/>
    <s v="N/A"/>
    <s v="PVH Group; Illumina, Inc."/>
    <s v="United States (North America)"/>
    <s v="Consumer Goods; Health"/>
    <m/>
    <s v="PVH investigation was launches months earlier (see links). Restrictions on Illumina came without warning to my knowledge._x000a__x000a_Frames the action as a countermeasure against the companies seemingly because they implemented western sanctions: _x000a__x000a_&quot;The above two entities violated normal market trading principles, interrupted normal transactions with Chinese companies, adopted discriminatory measures against Chinese companies, and seriously damaged the legitimate rights and interests of Chinese companies.&quot;_x000a__x000a_&quot;Regarding the two U.S. companies added to the Unreliable Entity List:_x000a__x000a_PVH had already been under investigation(see here and here), which was expected. On January 16, it was stated that an investigation found that PVH indeed violated the provisions of the Unreliable Entity List and that its executives would be interviewed again. It is thus speculated that authorities may have been waiting for Trump to impose tariffs before formally announcing this decision._x000a__x000a_Illumina is believed to be targeted in retaliation for damage caused to the Chinese biotechnology company MGI (a subsidiary of BGI), resulting from Illumina’s lobbying in the U.S. to crack down on MGI (similar to Micron and Fujian Jinhua).&quot; (Geopolitechs)"/>
    <s v="不可靠实体清单工作机制关于将美国PVH集团和因美纳公司列入不可靠实体清单的公告_x000a_来源：商务部网站 类型：转载 分类：新闻 发布时间：2025-02-04 13:15:59_x000a__x000a_【发布单位】安全与管制局_x000a__x000a_【发布文号】不可实体清单工作机制〔2025〕4号_x000a__x000a_【发文日期】2025年02月04日_x000a__x000a_不可靠实体清单工作机制_x000a__x000a_公    告_x000a__x000a_2025年第4号_x000a__x000a_　　为维护国家主权、安全和发展利益，根据《中华人民共和国对外贸易法》《中华人民共和国国家安全法》《中华人民共和国反外国制裁法》等有关法律，依据《不可靠实体清单规定》有关规定，不可靠实体清单工作机制决定将美国PVH集团、因美纳公司（Illumina, Inc.）列入不可靠实体清单。_x000a__x000a_　　上述两家实体违反正常的市场交易原则，中断与中国企业的正常交易，对中国企业采取歧视性措施，严重损害中国企业合法权益。不可靠实体清单工作机制将依据相关法律法规，对上述实体采取相应措施。_x000a__x000a_　　本公告未尽事宜，按《不可靠实体清单规定》执行。_x000a__x000a_　　本公告自公布之日起实施。_x000a__x000a_不可靠实体清单工作机制_x000a__x000a_（商务部代章）_x000a__x000a_2025年2月4日"/>
    <m/>
    <s v="Full Text Chinese (MOFCOM)"/>
    <s v="Results of Investigation (MOFCOM)"/>
    <s v="Full Text Chinese (MOFCOM)"/>
    <s v="Presser (MOFCOM)"/>
    <s v="Reporting (Xinhua)"/>
    <s v="Analysis (Geopolitechs)"/>
    <s v="Analysis (Observer Network)"/>
    <m/>
  </r>
  <r>
    <x v="135"/>
    <s v="Retaliatory tariffs on U.S. goods, including coal, liquefied natural gas, and crude oil, ranging from 10-15 percent, following the Trump administration's announcement of a 10 percent tariff on China"/>
    <x v="1"/>
    <s v="Economic Dispute"/>
    <x v="1"/>
    <s v="On February 1, 2025, the US government announced that it would impose a 10% tariff on all Chinese goods exported to the US on the grounds of fentanyl and other issues. … _x000a__x000a_additional tariffs will be imposed on some imported goods originating from the United States starting from February 10, 2025. The relevant matters are as follows: _x000a__x000a_　　1. A 15% tariff will be imposed on coal and liquefied natural gas. For the specific commodity range, please see Appendix 1. _x000a__x000a_　　2. A 10% tariff will be imposed on crude oil, agricultural machinery, large-displacement cars and pickup trucks. See Appendix 2 for the specific range of goods. _x000a__x000a_　　3. For the imported goods listed in the appendix originating from the United States, corresponding tariffs will be levied on the basis of the current applicable tariff rates. The current bonded and tax reduction and exemption policies remain unchanged, and the additional tariffs will not be reduced or exempted. "/>
    <s v="Formal"/>
    <x v="1"/>
    <s v="Tariff Law;_x000a_Customs Law;_x000a_Foreign Trade Law"/>
    <s v="N/A"/>
    <s v="N/A"/>
    <s v="United States (North America)"/>
    <s v="Energy; Agriculture; Transportation"/>
    <s v="Coal, liquefied natural gas, crude oil, agricultural machinery, large-displacement cars and pickup trucks"/>
    <s v="In general, these countermeasures appear largely symbolic._x000a__x000a_&quot;China imports little coal, LNG, and crude oil from the U.S., sourcing more from Australia, Russia, and the Middle East. It also imports relatively few agricultural machinery, large-displacement automobiles, and pickup trucks from the U.S. ... China’s newly announced tariffs will affect about 8.5% of total U.S. exports to China in 2024._x000a__x000a_When it comes to large-displacement vehicles, German automakers are once again bearing the brunt—BMW and Mercedes are particularly impacted. U.S. car manufacturers, on the other hand, face minimal effects: Ford exported fewer than 2,000 vehicles to China last year, while GM shipped only about 300._x000a__x000a_As for Tesla, the company remains untouched by the new tariffs. It sent around 2,000 Model S and Model X units to China, but since EVs are not included in this round of tariffs, it stays exempt.&quot; (Geopolitechs)"/>
    <s v="国务院关税税则委员会关于对原产于美国的_x000a_部分进口商品加征关税的公告_x000a_发布日期：2025年02月04日 _x000a_税委会公告2025年第1号_x000a__x000a_　　2025年2月1日，美国政府宣布以芬太尼等问题为由对所有中国输美商品加征10%关税。美方单边加征关税的做法严重违反世界贸易组织规则，不仅无益于解决自身问题，也对中美正常经贸合作造成破坏。 _x000a__x000a_　　根据《中华人民共和国关税法》、《中华人民共和国海关法》、《中华人民共和国对外贸易法》等法律法规和国际法基本原则，经国务院批准，自2025年2月10日起，对原产于美国的部分进口商品加征关税。有关事项如下： _x000a__x000a_　　一、对煤炭、液化天然气加征15%关税，具体商品范围见附件1。 _x000a__x000a_　　二、对原油、农业机械、大排量汽车、皮卡加征10%关税，具体商品范围见附件2。 _x000a__x000a_　　三、对原产于美国的附件所列进口商品，在现行适用关税税率基础上分别加征相应关税，现行保税、减免税政策不变，此次加征的关税不予减免。 _x000a__x000a_　　附件：1.加征15%关税商品清单 _x000a__x000a_　　2.加征10%关税商品清单 _x000a__x000a_　　国务院关税税则委员会_x000a__x000a_　　2025年2月4日_x000a__x000a_附件下载：_x000a__x000a_附件1 加征15%关税商品清单.pdf_x000a_附件2 加征10%关税商品清单.pdf"/>
    <m/>
    <s v="Full Text Chinese (Ministry of Finance)"/>
    <s v="List 15 percent (Ministry of Finance)"/>
    <s v="List 10 percent (Ministry of Finance)"/>
    <s v="Analysis (Geopolitechs)"/>
    <s v="Analysis (Observer Network)"/>
    <m/>
    <m/>
    <m/>
  </r>
  <r>
    <x v="136"/>
    <s v="Restrictions on the movement of machinery, components, and technical Chinese managers in the electronics industry to India, including through customs delays and informal directives discouraging firms from establishing manufacturing and assembly operations in India, following supply chain diversification efforts by the U.S. and Europe "/>
    <x v="0"/>
    <s v="Geopolitical Dispute"/>
    <x v="0"/>
    <s v="Among the companies to be hit is Apple’s main manufacturing partner Foxconn, which has been leading the Silicon Valley group’s supply chain diversification into India._x000a__x000a_People familiar with the matter said Chinese officials had made it difficult for the Taiwanese-owned contract manufacturer to send machinery and technical Chinese managers to India, where Apple is keen to build up its supply chain._x000a__x000a_A manager at another Taiwanese electronics company said that they too were facing challenges sending some equipment out of China to plants in India, though he noted shipments to south-east Asia &amp; Oceania remained normal._x000a__x000a_An Indian official alleged China was using customs delays to impede the flow of components and equipment heading south. “Electronic industry supply players have been told not to establish manufacturing and assembly operations in India,” the official said, asking not to be named. Media site Rest of World earlier reported on some of Foxconn’s issues. _x000a__x000a_The informal controls appear in particular to target China’s geopolitical rival India, with some Chinese groups saying that projects in south-east Asia &amp; Oceania and the Middle East remain unaffected. But Beijing is also increasingly rolling out formal export restrictions on key technologies that apply worldwide."/>
    <s v="Bureaucratic Obstruction; Blacklist"/>
    <x v="0"/>
    <s v="N/A"/>
    <s v="N/A"/>
    <s v="Foxconn"/>
    <s v="Taiwan (Asia &amp; Oceania); India (Asia &amp; Oceania)"/>
    <s v="Semiconductors; ICT; Other Electronics"/>
    <m/>
    <s v="Economic motives seem pronounced. _x000a__x000a__x0009_If adopted in full, the controls could prevent China’s battery giants with factories in Europe from moving their entire supply chain abroad. Groups such as CATL may need to continue importing battery materials like advanced lithium iron phosphate (LFP) cathodes from China instead of being able to produce or buy them locally, according to a person briefed on the matter._x000a__x000a__x0009_The outlined curbs on exporting lithium extraction technology could complicate developments under way from the US to South America. A person close to CATL said the group would need to apply for export licences to use Chinese technology at a $1.4bn project in Bolivia to extract lithium from the country’s salt flats.  &quot;_x000a__x000a__x0009_“China manufactures something like 95 per cent of the world’s permanent magnets,” said an employee of a US group building up an alternative supply chain._x000a__x000a_“The net effect of these export controls is that industrial diversification in some of these supply chains is curtailed.”"/>
    <m/>
    <m/>
    <s v="Reporting (FT)"/>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FA51385-6B4F-1247-AFD4-8786BA6E905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B3:AJ21" firstHeaderRow="1" firstDataRow="3" firstDataCol="1"/>
  <pivotFields count="28">
    <pivotField numFmtId="166" showAll="0">
      <items count="1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t="default"/>
      </items>
    </pivotField>
    <pivotField dataField="1" showAll="0"/>
    <pivotField axis="axisCol" showAll="0">
      <items count="4">
        <item x="1"/>
        <item x="0"/>
        <item x="2"/>
        <item t="default"/>
      </items>
    </pivotField>
    <pivotField showAll="0"/>
    <pivotField showAll="0">
      <items count="7">
        <item x="4"/>
        <item x="0"/>
        <item x="1"/>
        <item x="3"/>
        <item x="2"/>
        <item x="5"/>
        <item t="default"/>
      </items>
    </pivotField>
    <pivotField showAll="0"/>
    <pivotField showAll="0"/>
    <pivotField axis="axisCol"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19">
        <item sd="0" x="0"/>
        <item sd="0" x="1"/>
        <item sd="0" x="2"/>
        <item sd="0" x="3"/>
        <item sd="0" x="4"/>
        <item sd="0" x="5"/>
        <item sd="0" x="6"/>
        <item sd="0" x="7"/>
        <item sd="0" x="8"/>
        <item sd="0" x="9"/>
        <item sd="0" x="10"/>
        <item sd="0" x="11"/>
        <item sd="0" x="12"/>
        <item sd="0" x="13"/>
        <item sd="0" x="14"/>
        <item sd="0" x="15"/>
        <item sd="0" x="16"/>
        <item sd="0" x="17"/>
        <item t="default"/>
      </items>
    </pivotField>
  </pivotFields>
  <rowFields count="1">
    <field x="27"/>
  </rowFields>
  <rowItems count="16">
    <i>
      <x v="1"/>
    </i>
    <i>
      <x v="2"/>
    </i>
    <i>
      <x v="3"/>
    </i>
    <i>
      <x v="4"/>
    </i>
    <i>
      <x v="5"/>
    </i>
    <i>
      <x v="7"/>
    </i>
    <i>
      <x v="8"/>
    </i>
    <i>
      <x v="9"/>
    </i>
    <i>
      <x v="10"/>
    </i>
    <i>
      <x v="11"/>
    </i>
    <i>
      <x v="12"/>
    </i>
    <i>
      <x v="13"/>
    </i>
    <i>
      <x v="14"/>
    </i>
    <i>
      <x v="15"/>
    </i>
    <i>
      <x v="16"/>
    </i>
    <i t="grand">
      <x/>
    </i>
  </rowItems>
  <colFields count="2">
    <field x="7"/>
    <field x="2"/>
  </colFields>
  <colItems count="8">
    <i>
      <x/>
      <x/>
    </i>
    <i r="1">
      <x v="1"/>
    </i>
    <i r="1">
      <x v="2"/>
    </i>
    <i t="default">
      <x/>
    </i>
    <i>
      <x v="1"/>
      <x/>
    </i>
    <i r="1">
      <x v="1"/>
    </i>
    <i t="default">
      <x v="1"/>
    </i>
    <i t="grand">
      <x/>
    </i>
  </colItems>
  <dataFields count="1">
    <dataField name="Count of Title" fld="1" subtotal="count" baseField="0" baseItem="0"/>
  </dataFields>
  <formats count="1">
    <format dxfId="10">
      <pivotArea collapsedLevelsAreSubtotals="1" fieldPosition="0">
        <references count="3">
          <reference field="2" count="2" selected="0">
            <x v="0"/>
            <x v="1"/>
          </reference>
          <reference field="7" count="1" selected="0">
            <x v="0"/>
          </reference>
          <reference field="27" count="8">
            <x v="9"/>
            <x v="10"/>
            <x v="11"/>
            <x v="12"/>
            <x v="13"/>
            <x v="14"/>
            <x v="15"/>
            <x v="16"/>
          </reference>
        </references>
      </pivotArea>
    </format>
  </formats>
  <chartFormats count="5">
    <chartFormat chart="0" format="0" series="1">
      <pivotArea type="data" outline="0" fieldPosition="0">
        <references count="3">
          <reference field="4294967294" count="1" selected="0">
            <x v="0"/>
          </reference>
          <reference field="2" count="1" selected="0">
            <x v="0"/>
          </reference>
          <reference field="7" count="1" selected="0">
            <x v="0"/>
          </reference>
        </references>
      </pivotArea>
    </chartFormat>
    <chartFormat chart="0" format="1" series="1">
      <pivotArea type="data" outline="0" fieldPosition="0">
        <references count="3">
          <reference field="4294967294" count="1" selected="0">
            <x v="0"/>
          </reference>
          <reference field="2" count="1" selected="0">
            <x v="1"/>
          </reference>
          <reference field="7" count="1" selected="0">
            <x v="0"/>
          </reference>
        </references>
      </pivotArea>
    </chartFormat>
    <chartFormat chart="0" format="2" series="1">
      <pivotArea type="data" outline="0" fieldPosition="0">
        <references count="3">
          <reference field="4294967294" count="1" selected="0">
            <x v="0"/>
          </reference>
          <reference field="2" count="1" selected="0">
            <x v="2"/>
          </reference>
          <reference field="7" count="1" selected="0">
            <x v="0"/>
          </reference>
        </references>
      </pivotArea>
    </chartFormat>
    <chartFormat chart="0" format="3" series="1">
      <pivotArea type="data" outline="0" fieldPosition="0">
        <references count="3">
          <reference field="4294967294" count="1" selected="0">
            <x v="0"/>
          </reference>
          <reference field="2" count="1" selected="0">
            <x v="0"/>
          </reference>
          <reference field="7" count="1" selected="0">
            <x v="1"/>
          </reference>
        </references>
      </pivotArea>
    </chartFormat>
    <chartFormat chart="0" format="4" series="1">
      <pivotArea type="data" outline="0" fieldPosition="0">
        <references count="3">
          <reference field="4294967294" count="1" selected="0">
            <x v="0"/>
          </reference>
          <reference field="2" count="1" selected="0">
            <x v="1"/>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8B687E0-E634-1644-A757-51DF71D606E7}" name="Table2" displayName="Table2" ref="L75:R276" totalsRowShown="0" headerRowDxfId="9" dataDxfId="8" tableBorderDxfId="7">
  <autoFilter ref="L75:R276" xr:uid="{28B687E0-E634-1644-A757-51DF71D606E7}"/>
  <sortState xmlns:xlrd2="http://schemas.microsoft.com/office/spreadsheetml/2017/richdata2" ref="L76:R276">
    <sortCondition descending="1" ref="M75:M276"/>
  </sortState>
  <tableColumns count="7">
    <tableColumn id="1" xr3:uid="{568ACE56-D73E-D744-9042-98C9A617DAFF}" name="Nationality of Targets" dataDxfId="6"/>
    <tableColumn id="2" xr3:uid="{135F1345-E9A5-6448-A62D-B8D93E9EEC8B}" name="Count" dataDxfId="5"/>
    <tableColumn id="3" xr3:uid="{878396D2-B6E4-3640-BEED-A59F10C957CA}" name="Percent" dataDxfId="4"/>
    <tableColumn id="4" xr3:uid="{D1063A99-78A7-5340-90CA-5122BCABF643}" name="Count2" dataDxfId="3"/>
    <tableColumn id="5" xr3:uid="{8573DAFA-F1AF-DC41-B3D1-3CC874D380D7}" name="Percent2" dataDxfId="2"/>
    <tableColumn id="6" xr3:uid="{6C039BD0-8D46-D34A-9C02-37BE238997D7}" name="Count3" dataDxfId="1"/>
    <tableColumn id="7" xr3:uid="{CD7F7E6C-8AD6-1E4B-A12A-AE1D8FFBFA27}" name="Percent3" dataDxfId="0"/>
  </tableColumns>
  <tableStyleInfo name="TableStyleMedium10"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https://web.archive.org/web/20241202194125/https:/www.fmprc.gov.cn/wjb_673085/zfxxgk_674865/gknrlb/fzcqdcs/202304/t20230413_11058780.shtml" TargetMode="External"/><Relationship Id="rId21" Type="http://schemas.openxmlformats.org/officeDocument/2006/relationships/hyperlink" Target="https://web.archive.org/web/20180802171520/http:/www.mofcom.gov.cn/article/ae/ag/201807/20180702763232.shtml" TargetMode="External"/><Relationship Id="rId42" Type="http://schemas.openxmlformats.org/officeDocument/2006/relationships/hyperlink" Target="https://www.scmp.com/news/hong-kong/politics/article/3018539/uproar-against-firms-such-pocari-sweat-tempo-yoshinoya-and" TargetMode="External"/><Relationship Id="rId63" Type="http://schemas.openxmlformats.org/officeDocument/2006/relationships/hyperlink" Target="https://thediplomat.com/2019/12/china-tries-to-put-sweden-on-ice/" TargetMode="External"/><Relationship Id="rId84" Type="http://schemas.openxmlformats.org/officeDocument/2006/relationships/hyperlink" Target="https://www.cnbc.com/2021/08/05/adidas-q2-sales-fall-in-china-as-consumers-boycott-international-brands.html" TargetMode="External"/><Relationship Id="rId138" Type="http://schemas.openxmlformats.org/officeDocument/2006/relationships/hyperlink" Target="https://web.archive.org/web/20250103203156/https:/www.mof.gov.cn/jrttts/202312/t20231222_3923491.htm?utm_source=chatgpt.com" TargetMode="External"/><Relationship Id="rId159" Type="http://schemas.openxmlformats.org/officeDocument/2006/relationships/hyperlink" Target="https://www.reuters.com/world/china/china-limit-antimony-exports-latest-critical-mineral-curbs-2024-08-15/" TargetMode="External"/><Relationship Id="rId170" Type="http://schemas.openxmlformats.org/officeDocument/2006/relationships/hyperlink" Target="https://web.archive.org/web/20241210201937/https:/www.mofcom.gov.cn/zcfb/dwmygl/art/2024/art_deb001af54684fb0803282d6d1dd4ca4.html" TargetMode="External"/><Relationship Id="rId191" Type="http://schemas.openxmlformats.org/officeDocument/2006/relationships/hyperlink" Target="https://web.archive.org/web/20250204155155/http:/exportcontrol.mofcom.gov.cn/article/gndt/202502/1102.html" TargetMode="External"/><Relationship Id="rId205" Type="http://schemas.openxmlformats.org/officeDocument/2006/relationships/hyperlink" Target="https://web.archive.org/web/20250204165040/https:/mp.weixin.qq.com/s/g31XUTIP0s5i3Z73BwrAJg" TargetMode="External"/><Relationship Id="rId226" Type="http://schemas.openxmlformats.org/officeDocument/2006/relationships/hyperlink" Target="https://web.archive.org/web/20250324060033/http:/www.customs.gov.cn/customs/302249/2480148/6388602/index.html" TargetMode="External"/><Relationship Id="rId107" Type="http://schemas.openxmlformats.org/officeDocument/2006/relationships/hyperlink" Target="https://web.archive.org/web/20241211213326/https:/www.mfa.gov.cn/fyrbt_673021/202208/t20220805_10735491.shtml" TargetMode="External"/><Relationship Id="rId11" Type="http://schemas.openxmlformats.org/officeDocument/2006/relationships/hyperlink" Target="https://www.reuters.com/article/us-mercedes-benz-china-gaffe-idUSKBN1FQ1FJ/" TargetMode="External"/><Relationship Id="rId32" Type="http://schemas.openxmlformats.org/officeDocument/2006/relationships/hyperlink" Target="https://www.cnn.com/2019/02/12/asia/new-zealand-china-huawei-intl/index.html" TargetMode="External"/><Relationship Id="rId53" Type="http://schemas.openxmlformats.org/officeDocument/2006/relationships/hyperlink" Target="https://www.whatsonweibo.com/coco-bubble-tea-company-in-hot-water-over-pro-hong-kong-text-on-receipts-and-listing-taiwan-as-country/" TargetMode="External"/><Relationship Id="rId74" Type="http://schemas.openxmlformats.org/officeDocument/2006/relationships/hyperlink" Target="https://www.globaltimes.cn/content/1185359.shtml" TargetMode="External"/><Relationship Id="rId128" Type="http://schemas.openxmlformats.org/officeDocument/2006/relationships/hyperlink" Target="https://web.archive.org/web/20230731112154/https:/www.reuters.com/world/china-curbs-exports-drone-related-equipment-amid-us-tech-tensions-2023-07-31/" TargetMode="External"/><Relationship Id="rId149" Type="http://schemas.openxmlformats.org/officeDocument/2006/relationships/hyperlink" Target="https://web.archive.org/web/20250103210118/https:/www.mofcom.gov.cn/zwgk/zcfb/art/2023/art_1fb9c5d45f0241c4b9e410dba6b80a2b.html" TargetMode="External"/><Relationship Id="rId5" Type="http://schemas.openxmlformats.org/officeDocument/2006/relationships/hyperlink" Target="https://web.archive.org/web/20250204190909/https:/edition.cnn.com/2017/01/24/asia/japan-china-nanjing-massacre-hotel/index.html" TargetMode="External"/><Relationship Id="rId95" Type="http://schemas.openxmlformats.org/officeDocument/2006/relationships/hyperlink" Target="https://web.archive.org/web/20220205140446/https:/www.fmprc.gov.cn/mfa_eng/xwfw_665399/s2510_665401/2535_665405/202107/t20210723_9170832.html" TargetMode="External"/><Relationship Id="rId160" Type="http://schemas.openxmlformats.org/officeDocument/2006/relationships/hyperlink" Target="https://web.archive.org/web/20241203173604/https:/www.mfa.gov.cn/wjbxw_new/202409/t20240918_11492303.shtml?utm_source=chatgpt.com" TargetMode="External"/><Relationship Id="rId181" Type="http://schemas.openxmlformats.org/officeDocument/2006/relationships/hyperlink" Target="https://web.archive.org/web/20250102162245/https:/www.mofcom.gov.cn/zwgk/zcfb/art/2025/art_c164b1339d694766938f75c1f83bddf8.html" TargetMode="External"/><Relationship Id="rId216" Type="http://schemas.openxmlformats.org/officeDocument/2006/relationships/hyperlink" Target="https://web.archive.org/web/20250324045845/http:/exportcontrol.mofcom.gov.cn/article/cjwt/202503/1112.html" TargetMode="External"/><Relationship Id="rId22" Type="http://schemas.openxmlformats.org/officeDocument/2006/relationships/hyperlink" Target="https://www.scmp.com/news/china/diplomacy-defence/article/2161728/ikea-under-fire-listing-taiwan-country-its-packaging" TargetMode="External"/><Relationship Id="rId43" Type="http://schemas.openxmlformats.org/officeDocument/2006/relationships/hyperlink" Target="https://www.whatsonweibo.com/coco-bubble-tea-company-in-hot-water-over-pro-hong-kong-text-on-receipts-and-listing-taiwan-as-country/" TargetMode="External"/><Relationship Id="rId64" Type="http://schemas.openxmlformats.org/officeDocument/2006/relationships/hyperlink" Target="https://www.epochtimes.se/Kina-stoppar-tva-svenska-filmer" TargetMode="External"/><Relationship Id="rId118" Type="http://schemas.openxmlformats.org/officeDocument/2006/relationships/hyperlink" Target="https://web.archive.org/web/20241125170125/http:/m.mofcom.gov.cn/article/zwgk/gkzcfb/202307/20230703419666.shtml" TargetMode="External"/><Relationship Id="rId139" Type="http://schemas.openxmlformats.org/officeDocument/2006/relationships/hyperlink" Target="https://web.archive.org/web/20250103210118/https:/www.mofcom.gov.cn/zwgk/zcfb/art/2023/art_1fb9c5d45f0241c4b9e410dba6b80a2b.html" TargetMode="External"/><Relationship Id="rId85" Type="http://schemas.openxmlformats.org/officeDocument/2006/relationships/hyperlink" Target="https://www.forbes.com/sites/isabeltogoh/2021/03/26/as-burberry-faces-backlash-in-china-over-xinjiang-cotton-other-luxury-brands-could-face-boycott/?sh=7f395e163f9a" TargetMode="External"/><Relationship Id="rId150" Type="http://schemas.openxmlformats.org/officeDocument/2006/relationships/hyperlink" Target="https://www.reuters.com/world/asia-pacific/china-suspends-tariff-concessions-134-items-under-taiwan-trade-deal-2024-05-31/?utm_source=chatgpt.com" TargetMode="External"/><Relationship Id="rId171" Type="http://schemas.openxmlformats.org/officeDocument/2006/relationships/hyperlink" Target="https://web.archive.org/web/20241210020109/https:/www.nytimes.com/2024/12/09/business/china-critical-minerals.html" TargetMode="External"/><Relationship Id="rId192" Type="http://schemas.openxmlformats.org/officeDocument/2006/relationships/hyperlink" Target="https://web.archive.org/web/20250204155550/http:/exportcontrol.mofcom.gov.cn/article/gndt/202502/1100.html" TargetMode="External"/><Relationship Id="rId206" Type="http://schemas.openxmlformats.org/officeDocument/2006/relationships/hyperlink" Target="https://web.archive.org/web/20250212171657/http:/exportcontrol.mofcom.gov.cn/article/gndt/202502/1107.html" TargetMode="External"/><Relationship Id="rId227" Type="http://schemas.openxmlformats.org/officeDocument/2006/relationships/hyperlink" Target="https://web.archive.org/web/20250324061137/http:/www.customs.gov.cn/customs/302249/2480148/6388574/index.html" TargetMode="External"/><Relationship Id="rId12" Type="http://schemas.openxmlformats.org/officeDocument/2006/relationships/hyperlink" Target="https://www.businessinsider.com/which-companies-have-changed-taiwan-description-china-2018-7?r=US&amp;IR=T" TargetMode="External"/><Relationship Id="rId33" Type="http://schemas.openxmlformats.org/officeDocument/2006/relationships/hyperlink" Target="https://web.archive.org/web/20190215044633/https:/www.theguardian.com/world/2019/feb/15/huawei-ban-chinese-state-media-claims-tourists-avoiding-new-zealand" TargetMode="External"/><Relationship Id="rId108" Type="http://schemas.openxmlformats.org/officeDocument/2006/relationships/hyperlink" Target="https://web.archive.org/web/20241226110930/http:/www.gwytb.gov.cn/xwdt/zwyw/202208/t20220816_12462610.htm" TargetMode="External"/><Relationship Id="rId129" Type="http://schemas.openxmlformats.org/officeDocument/2006/relationships/hyperlink" Target="https://web.archive.org/web/20250103212205/https:/m.mofcom.gov.cn/article/zwgk/gkzcfb/202404/20240403504309.shtml" TargetMode="External"/><Relationship Id="rId54" Type="http://schemas.openxmlformats.org/officeDocument/2006/relationships/hyperlink" Target="https://web.archive.org/web/20200222022656/http:/m.mof.gov.cn/czxw/201908/t20190823_3372928.htm" TargetMode="External"/><Relationship Id="rId75" Type="http://schemas.openxmlformats.org/officeDocument/2006/relationships/hyperlink" Target="https://web.archive.org/web/20241225210308/https:/www.fmprc.gov.cn/web/wjdt_674879/zcjd/202007/t20200713_9712330.shtml" TargetMode="External"/><Relationship Id="rId96" Type="http://schemas.openxmlformats.org/officeDocument/2006/relationships/hyperlink" Target="https://web.archive.org/web/20241226103155/http:/www.gwytb.gov.cn/xwdt/xwfb/wyly/202111/t20211105_12389168.htm" TargetMode="External"/><Relationship Id="rId140" Type="http://schemas.openxmlformats.org/officeDocument/2006/relationships/hyperlink" Target="https://web.archive.org/web/20241226124645/http:/fi.china-embassy.gov.cn/eng/fyrth/202312/t20231226_11213181.htm" TargetMode="External"/><Relationship Id="rId161" Type="http://schemas.openxmlformats.org/officeDocument/2006/relationships/hyperlink" Target="https://web.archive.org/web/20241203173626/https:/www.mfa.gov.cn/eng/xw/wjbxw/202409/t20240923_11494995.html" TargetMode="External"/><Relationship Id="rId182" Type="http://schemas.openxmlformats.org/officeDocument/2006/relationships/hyperlink" Target="https://web.archive.org/web/20250103162721/http:/exportcontrol.mofcom.gov.cn/article/gndt/202501/1078.html" TargetMode="External"/><Relationship Id="rId217" Type="http://schemas.openxmlformats.org/officeDocument/2006/relationships/hyperlink" Target="https://open.substack.com/pub/geotechnopolitic/p/chinas-retaliation-to-trumps-20-tariffs?r=hem0u&amp;utm_medium=ios" TargetMode="External"/><Relationship Id="rId6" Type="http://schemas.openxmlformats.org/officeDocument/2006/relationships/hyperlink" Target="https://web.archive.org/web/20250204191058/https:/www.chinadaily.com.cn/world/2017-01/24/content_28044885.htm" TargetMode="External"/><Relationship Id="rId23" Type="http://schemas.openxmlformats.org/officeDocument/2006/relationships/hyperlink" Target="https://www.bbc.com/news/world-asia-45217936" TargetMode="External"/><Relationship Id="rId119" Type="http://schemas.openxmlformats.org/officeDocument/2006/relationships/hyperlink" Target="https://www.piie.com/blogs/realtime-economics/2024/chinas-export-controls-critical-minerals-arent-starving-united-states" TargetMode="External"/><Relationship Id="rId44" Type="http://schemas.openxmlformats.org/officeDocument/2006/relationships/hyperlink" Target="https://www.reuters.com/article/us-hongkong-protests-amazon-idUSKCN1V50W0/" TargetMode="External"/><Relationship Id="rId65" Type="http://schemas.openxmlformats.org/officeDocument/2006/relationships/hyperlink" Target="https://web.archive.org/web/20241225205255/https:/www.fmprc.gov.cn/web/wjdt_674879/zcjd/201912/t20191202_9712164.shtml" TargetMode="External"/><Relationship Id="rId86" Type="http://schemas.openxmlformats.org/officeDocument/2006/relationships/hyperlink" Target="https://www.bbc.com/news/world-asia-china-56519411" TargetMode="External"/><Relationship Id="rId130" Type="http://schemas.openxmlformats.org/officeDocument/2006/relationships/hyperlink" Target="http://eng.taiwan.cn/Press_conference/202308/t20230823_12561383.htm" TargetMode="External"/><Relationship Id="rId151" Type="http://schemas.openxmlformats.org/officeDocument/2006/relationships/hyperlink" Target="https://web.archive.org/web/20241214043546/https:/www.mfa.gov.cn/wjb_673085/zfxxgk_674865/gknrlb/fzcqdcs/202406/t20240621_11439508.shtml" TargetMode="External"/><Relationship Id="rId172" Type="http://schemas.openxmlformats.org/officeDocument/2006/relationships/hyperlink" Target="https://web.archive.org/web/20241210203733/https:/www.mfa.gov.cn/wjb_673085/zfxxgk_674865/gknrlb/fzcqdcs/202412/t20241205_11538936.shtml" TargetMode="External"/><Relationship Id="rId193" Type="http://schemas.openxmlformats.org/officeDocument/2006/relationships/hyperlink" Target="https://web.archive.org/web/20250204165024/https:/www.geopolitechs.org/p/chinas-countermeasures-to-trumps" TargetMode="External"/><Relationship Id="rId207" Type="http://schemas.openxmlformats.org/officeDocument/2006/relationships/hyperlink" Target="https://web.archive.org/web/20250204153927/http:/exportcontrol.mofcom.gov.cn/article/gndt/202502/1100.html" TargetMode="External"/><Relationship Id="rId228" Type="http://schemas.openxmlformats.org/officeDocument/2006/relationships/hyperlink" Target="https://www.mofcom.gov.cn/xwfb/xwfyrth/art/2025/art_7f92dc4e457d496782e65f09db4749b1.html" TargetMode="External"/><Relationship Id="rId13" Type="http://schemas.openxmlformats.org/officeDocument/2006/relationships/hyperlink" Target="https://medium.com/shanghaiist/walmart-apologizes-after-beijing-outlet-is-caught-listing-taiwan-as-a-separate-country-bb70cfecfcb7" TargetMode="External"/><Relationship Id="rId109" Type="http://schemas.openxmlformats.org/officeDocument/2006/relationships/hyperlink" Target="https://web.archive.org/web/20241214050351/https:/www.mfa.gov.cn/wjb_673085/zfxxgk_674865/gknrlb/fzcqdcs/202212/t20221222_10993979.shtml" TargetMode="External"/><Relationship Id="rId34" Type="http://schemas.openxmlformats.org/officeDocument/2006/relationships/hyperlink" Target="https://www.nzherald.co.nz/nz/new-zealands-tourism-industry-is-facing-backlash-following-rocky-relationship-with-china/BOPXYHK2KYFKPH2UVE5XSKXTJE/?c_id=1&amp;objectid=12204024&amp;utm_source=The+Bulletin&amp;utm_campaign=84ceb45a45-EMAIL_CAMPAIGN_2018_03_01_COPY_01&amp;utm_medium=email&amp;utm_term=0_552336e15a-84ceb45a45-533765785" TargetMode="External"/><Relationship Id="rId55" Type="http://schemas.openxmlformats.org/officeDocument/2006/relationships/hyperlink" Target="https://web.archive.org/web/20220120074959/http:/m.mof.gov.cn/czxw/201908/P020190823604938915640.pdf" TargetMode="External"/><Relationship Id="rId76" Type="http://schemas.openxmlformats.org/officeDocument/2006/relationships/hyperlink" Target="https://web.archive.org/web/20230629155343/https:/www.fmprc.gov.cn/eng/xwfw_665399/s2510_665401/2511_665403/202008/t20200810_693328.html" TargetMode="External"/><Relationship Id="rId97" Type="http://schemas.openxmlformats.org/officeDocument/2006/relationships/hyperlink" Target="https://www.theguardian.com/world/2021/dec/23/intel-faces-backlash-in-china-after-banning-products-and-labour-from-xinjiang" TargetMode="External"/><Relationship Id="rId120" Type="http://schemas.openxmlformats.org/officeDocument/2006/relationships/hyperlink" Target="https://www.ifri.org/en/memos/chinas-weaponization-gallium-and-germanium-pitfalls-leveraging-chokepoints" TargetMode="External"/><Relationship Id="rId141" Type="http://schemas.openxmlformats.org/officeDocument/2006/relationships/hyperlink" Target="https://web.archive.org/web/20240423142430/https:/www.mfa.gov.cn/eng/xwfw_665399/s2510_665401/2535_665405/202401/t20240107_11219409.html" TargetMode="External"/><Relationship Id="rId7" Type="http://schemas.openxmlformats.org/officeDocument/2006/relationships/hyperlink" Target="https://www.ft.com/content/c76d1243-3aa4-3c54-a3ac-63c7b824831f" TargetMode="External"/><Relationship Id="rId162" Type="http://schemas.openxmlformats.org/officeDocument/2006/relationships/hyperlink" Target="https://web.archive.org/web/20241226164230/https:/www.mofcom.gov.cn/zwgk/zcfb/art/2024/art_27534a933c1d4b1999c75e0edf73e91e.html" TargetMode="External"/><Relationship Id="rId183" Type="http://schemas.openxmlformats.org/officeDocument/2006/relationships/hyperlink" Target="https://www.geopolitechs.org/p/chinas-first-ever-use-of-export-control" TargetMode="External"/><Relationship Id="rId218" Type="http://schemas.openxmlformats.org/officeDocument/2006/relationships/hyperlink" Target="https://open.substack.com/pub/geotechnopolitic/p/chinas-retaliation-to-trumps-20-tariffs?r=hem0u&amp;utm_medium=ios" TargetMode="External"/><Relationship Id="rId24" Type="http://schemas.openxmlformats.org/officeDocument/2006/relationships/hyperlink" Target="https://www.weibo.com/1893191392/GuIBYoqpO?from=page_1006061893191392_profile&amp;wvr=6&amp;mod=weibotime&amp;type=comment" TargetMode="External"/><Relationship Id="rId45" Type="http://schemas.openxmlformats.org/officeDocument/2006/relationships/hyperlink" Target="https://www.scmp.com/news/china/politics/article/3027962/chinese-internet-users-call-boycott-bnp-paribas-over-workers" TargetMode="External"/><Relationship Id="rId66" Type="http://schemas.openxmlformats.org/officeDocument/2006/relationships/hyperlink" Target="https://www.aljazeera.com/sports/2019/12/15/china-state-tv-pulls-arsenal-game-after-ozil-uighur-comments" TargetMode="External"/><Relationship Id="rId87" Type="http://schemas.openxmlformats.org/officeDocument/2006/relationships/hyperlink" Target="https://web.archive.org/web/20210328193905/https:/www.bloomberg.com/news/articles/2021-03-28/hugo-boss-under-fire-from-chinese-stars-over-xinjiang-pledge" TargetMode="External"/><Relationship Id="rId110" Type="http://schemas.openxmlformats.org/officeDocument/2006/relationships/hyperlink" Target="https://web.archive.org/web/20241211221551/https:/aqygzj.mofcom.gov.cn/flzc/gzjgfxwj/art/2023/art_37761ceb51764e7095bfe3d0214f1d4e.html" TargetMode="External"/><Relationship Id="rId131" Type="http://schemas.openxmlformats.org/officeDocument/2006/relationships/hyperlink" Target="https://web.archive.org/web/20241210210922/https:/www.gov.cn/zhengce/zhengceku/202308/content_6901328.htm?utm_source=chatgpt.com" TargetMode="External"/><Relationship Id="rId152" Type="http://schemas.openxmlformats.org/officeDocument/2006/relationships/hyperlink" Target="https://web.archive.org/web/20241203171531/https:/www.mfa.gov.cn/wjbxw_new/202407/t20240712_11453049.shtml?utm_source=chatgpt.com" TargetMode="External"/><Relationship Id="rId173" Type="http://schemas.openxmlformats.org/officeDocument/2006/relationships/hyperlink" Target="https://web.archive.org/web/20241210203746/https:/www.fmprc.gov.cn/mfa_eng/xw/wjbxw/202412/t20241205_11539192.html" TargetMode="External"/><Relationship Id="rId194" Type="http://schemas.openxmlformats.org/officeDocument/2006/relationships/hyperlink" Target="https://web.archive.org/web/20250204165040/https:/mp.weixin.qq.com/s/g31XUTIP0s5i3Z73BwrAJg" TargetMode="External"/><Relationship Id="rId208" Type="http://schemas.openxmlformats.org/officeDocument/2006/relationships/hyperlink" Target="https://www.ft.com/content/d48e9a90-ba6a-42bb-9da7-58db89643f86" TargetMode="External"/><Relationship Id="rId229" Type="http://schemas.openxmlformats.org/officeDocument/2006/relationships/hyperlink" Target="https://www.mofcom.gov.cn/xwfb/xwfyrth/art/2025/art_7f92dc4e457d496782e65f09db4749b1.html" TargetMode="External"/><Relationship Id="rId14" Type="http://schemas.openxmlformats.org/officeDocument/2006/relationships/hyperlink" Target="https://web.archive.org/web/20180402063529/http:/gss.mof.gov.cn/zhengwuxinxi/zhengcefabu/201804/t20180401_2857769.html" TargetMode="External"/><Relationship Id="rId35" Type="http://schemas.openxmlformats.org/officeDocument/2006/relationships/hyperlink" Target="https://www.reuters.com/article/us-huawei-tech-fedex-usa-idUSKCN1TO047/" TargetMode="External"/><Relationship Id="rId56" Type="http://schemas.openxmlformats.org/officeDocument/2006/relationships/hyperlink" Target="https://web.archive.org/web/20220120070942/http:/m.mof.gov.cn/czxw/201908/P020190823604939266141.pdf" TargetMode="External"/><Relationship Id="rId77" Type="http://schemas.openxmlformats.org/officeDocument/2006/relationships/hyperlink" Target="https://web.archive.org/web/20250106182721/https:/www.mofcom.gov.cn/zwgk/zcfb/art/2020/art_5029ebb6d50f4d2c8a84df2812f19ae0.html" TargetMode="External"/><Relationship Id="rId100" Type="http://schemas.openxmlformats.org/officeDocument/2006/relationships/hyperlink" Target="https://www.gmfus.org/news/watching-china-europe-september-2021" TargetMode="External"/><Relationship Id="rId8" Type="http://schemas.openxmlformats.org/officeDocument/2006/relationships/hyperlink" Target="https://www.theguardian.com/world/2018/jan/12/marriott-apologises-to-china-over-tibet-and-taiwan-error" TargetMode="External"/><Relationship Id="rId98" Type="http://schemas.openxmlformats.org/officeDocument/2006/relationships/hyperlink" Target="https://www.cnbc.com/2021/12/31/china-warns-walmart-and-sams-club-over-xinjiang-sourced-products.html" TargetMode="External"/><Relationship Id="rId121" Type="http://schemas.openxmlformats.org/officeDocument/2006/relationships/hyperlink" Target="https://jingdaily.com/posts/bulgari-taiwan-website-error-backlash" TargetMode="External"/><Relationship Id="rId142" Type="http://schemas.openxmlformats.org/officeDocument/2006/relationships/hyperlink" Target="https://web.archive.org/web/20241214044144/https:/www.mfa.gov.cn/wjb_673085/zfxxgk_674865/gknrlb/fzcqdcs/202404/t20240411_11280056.shtml" TargetMode="External"/><Relationship Id="rId163" Type="http://schemas.openxmlformats.org/officeDocument/2006/relationships/hyperlink" Target="https://web.archive.org/web/20241226164322/https:/www.mofcom.gov.cn/zwgk/zcfb/art/2024/art_e0985682da084c70884d7e6a2848f4f9.html" TargetMode="External"/><Relationship Id="rId184" Type="http://schemas.openxmlformats.org/officeDocument/2006/relationships/hyperlink" Target="https://web.archive.org/web/20250119222605/https:/www.mofcom.gov.cn/zwgk/zcfb/art/2025/art_2badfe3546d14a8b8894780bb02f1a74.html" TargetMode="External"/><Relationship Id="rId219" Type="http://schemas.openxmlformats.org/officeDocument/2006/relationships/hyperlink" Target="https://open.substack.com/pub/geotechnopolitic/p/chinas-retaliation-to-trumps-20-tariffs?r=hem0u&amp;utm_medium=ios" TargetMode="External"/><Relationship Id="rId230" Type="http://schemas.openxmlformats.org/officeDocument/2006/relationships/hyperlink" Target="https://www.reuters.com/markets/china-announces-retaliatory-tariffs-some-canada-farm-food-products-2025-03-08/" TargetMode="External"/><Relationship Id="rId25" Type="http://schemas.openxmlformats.org/officeDocument/2006/relationships/hyperlink" Target="https://web.archive.org/web/20200222022656/http:/m.mof.gov.cn/czxw/201908/t20190823_3372928.htm" TargetMode="External"/><Relationship Id="rId46" Type="http://schemas.openxmlformats.org/officeDocument/2006/relationships/hyperlink" Target="https://www.dailymail.co.uk/news/article-7549977/Tiffany-removes-photo-Chinese-consumers-accused-jeweller-supporting-Hong-Kong-protests.html" TargetMode="External"/><Relationship Id="rId67" Type="http://schemas.openxmlformats.org/officeDocument/2006/relationships/hyperlink" Target="https://trade.ec.europa.eu/access-to-markets/en/barriers/details?barrier_id=17542&amp;sps=false" TargetMode="External"/><Relationship Id="rId20" Type="http://schemas.openxmlformats.org/officeDocument/2006/relationships/hyperlink" Target="https://web.archive.org/web/20180617043435/http:/gss.mof.gov.cn/zhengwuxinxi/zhengcefabu/201806/t20180616_2930325.html" TargetMode="External"/><Relationship Id="rId41" Type="http://schemas.openxmlformats.org/officeDocument/2006/relationships/hyperlink" Target="https://www.ft.com/content/8e034184-972b-11e9-8cfb-30c211dcd229" TargetMode="External"/><Relationship Id="rId62" Type="http://schemas.openxmlformats.org/officeDocument/2006/relationships/hyperlink" Target="https://web.archive.org/web/20191220101027/https:/www.globaltimes.cn/content/1174205.shtml" TargetMode="External"/><Relationship Id="rId83" Type="http://schemas.openxmlformats.org/officeDocument/2006/relationships/hyperlink" Target="https://www.bbc.com/news/world-asia-china-56533560" TargetMode="External"/><Relationship Id="rId88" Type="http://schemas.openxmlformats.org/officeDocument/2006/relationships/hyperlink" Target="https://web.archive.org/web/20241120185010/https:/www.mfa.gov.cn/fyrbt_673021/dhdw_673027/202103/t20210322_9171336.shtml?utm_source=chatgpt.com" TargetMode="External"/><Relationship Id="rId111" Type="http://schemas.openxmlformats.org/officeDocument/2006/relationships/hyperlink" Target="https://web.archive.org/web/20241226113555/http:/m.mofcom.gov.cn/article/xwfb/xwfyrth/202304/20230403404866.shtml" TargetMode="External"/><Relationship Id="rId132" Type="http://schemas.openxmlformats.org/officeDocument/2006/relationships/hyperlink" Target="https://web.archive.org/web/20240609162423/https:/www.mfa.gov.cn/eng/xwfw_665399/s2510_665401/2535_665405/202308/t20230824_11131325.html" TargetMode="External"/><Relationship Id="rId153" Type="http://schemas.openxmlformats.org/officeDocument/2006/relationships/hyperlink" Target="https://web.archive.org/web/20241203171702/https:/www.mfa.gov.cn/eng/xw/zyxw/202407/t20240730_11463039.html" TargetMode="External"/><Relationship Id="rId174" Type="http://schemas.openxmlformats.org/officeDocument/2006/relationships/hyperlink" Target="https://www.bloomberg.com/news/articles/2024-12-06/china-cotton-group-urges-uniqlo-and-others-to-use-xinjiang-fiber?embedded-checkout=true" TargetMode="External"/><Relationship Id="rId179" Type="http://schemas.openxmlformats.org/officeDocument/2006/relationships/hyperlink" Target="https://web.archive.org/web/20250103163222/http:/exportcontrol.mofcom.gov.cn/article/gndt/202501/1079.html" TargetMode="External"/><Relationship Id="rId195" Type="http://schemas.openxmlformats.org/officeDocument/2006/relationships/hyperlink" Target="https://web.archive.org/web/20250204153916/http:/exportcontrol.mofcom.gov.cn/article/gndt/202502/1101.html" TargetMode="External"/><Relationship Id="rId209" Type="http://schemas.openxmlformats.org/officeDocument/2006/relationships/hyperlink" Target="https://www.ft.com/content/d48e9a90-ba6a-42bb-9da7-58db89643f86?accessToken=zwAGLkidXlEYkdPUjpqQumpCu9Odp1jbiWQ_hg.MEQCIE_U8PBBt7vB01o2aNecMdFPN9ppo-NpesnwJWk870snAiA24gPRSbICjhgurUKfksCi2DaNStzGFxz7a97KLJxSbw&amp;sharetype=gift&amp;token=404f4a06-0d84-4a09-8c10-9d4d84eb3deb" TargetMode="External"/><Relationship Id="rId190" Type="http://schemas.openxmlformats.org/officeDocument/2006/relationships/hyperlink" Target="https://substack.com/home/post/p-154943662" TargetMode="External"/><Relationship Id="rId204" Type="http://schemas.openxmlformats.org/officeDocument/2006/relationships/hyperlink" Target="https://web.archive.org/web/20250204165024/https:/www.geopolitechs.org/p/chinas-countermeasures-to-trumps" TargetMode="External"/><Relationship Id="rId220" Type="http://schemas.openxmlformats.org/officeDocument/2006/relationships/hyperlink" Target="https://open.substack.com/pub/geotechnopolitic/p/chinas-retaliation-to-trumps-20-tariffs?r=hem0u&amp;utm_medium=ios" TargetMode="External"/><Relationship Id="rId225" Type="http://schemas.openxmlformats.org/officeDocument/2006/relationships/hyperlink" Target="https://web.archive.org/web/20250324054224/https:/www.mofcom.gov.cn/zwgk/zcfb/art/2025/art_d94b0155ebb547609e748b23a94b8139.html" TargetMode="External"/><Relationship Id="rId15" Type="http://schemas.openxmlformats.org/officeDocument/2006/relationships/hyperlink" Target="https://web.archive.org/web/20180401204147/http:/gss.mof.gov.cn/zhengwuxinxi/gongzuodongtai/201804/t20180401_2857770.html" TargetMode="External"/><Relationship Id="rId36" Type="http://schemas.openxmlformats.org/officeDocument/2006/relationships/hyperlink" Target="https://www.globaltimes.cn/page/201909/1163679.shtml" TargetMode="External"/><Relationship Id="rId57" Type="http://schemas.openxmlformats.org/officeDocument/2006/relationships/hyperlink" Target="https://www.globaltimes.cn/content/1163679.shtml" TargetMode="External"/><Relationship Id="rId106" Type="http://schemas.openxmlformats.org/officeDocument/2006/relationships/hyperlink" Target="https://web.archive.org/web/20241226110523/http:/www.gwytb.gov.cn/xwdt/xwfb/wyly/202208/t20220803_12457720.htm" TargetMode="External"/><Relationship Id="rId127" Type="http://schemas.openxmlformats.org/officeDocument/2006/relationships/hyperlink" Target="https://www.geopolitechs.org/p/chinas-new-export-control-regulations?r=hem0u&amp;utm_medium=ios&amp;triedRedirect=true" TargetMode="External"/><Relationship Id="rId10" Type="http://schemas.openxmlformats.org/officeDocument/2006/relationships/hyperlink" Target="https://www.weibo.com/1666454854/G1RYhpR6y?from=page_1006061666454854_profile&amp;wvr=6&amp;mod=weibotime&amp;type=comment" TargetMode="External"/><Relationship Id="rId31" Type="http://schemas.openxmlformats.org/officeDocument/2006/relationships/hyperlink" Target="https://www.taiwannews.com.tw/news/3645413" TargetMode="External"/><Relationship Id="rId52" Type="http://schemas.openxmlformats.org/officeDocument/2006/relationships/hyperlink" Target="https://www.reuters.com/article/uk-hongkong-protests-china-bubbletea-idUKKCN1UY1J0/" TargetMode="External"/><Relationship Id="rId73" Type="http://schemas.openxmlformats.org/officeDocument/2006/relationships/hyperlink" Target="https://www.cnn.com/2020/04/14/asia/nnevvy-china-taiwan-twitter-intl-hnk/index.html" TargetMode="External"/><Relationship Id="rId78" Type="http://schemas.openxmlformats.org/officeDocument/2006/relationships/hyperlink" Target="https://www.scmp.com/news/china/article/3099396/china-puts-drones-and-laser-tech-restricted-export-list-after-us?utm_source=chatgpt.com" TargetMode="External"/><Relationship Id="rId94" Type="http://schemas.openxmlformats.org/officeDocument/2006/relationships/hyperlink" Target="https://www.mbl.is/frettir/innlent/2021/04/15/ovidunandi_segir_gudlaugur_thor/" TargetMode="External"/><Relationship Id="rId99" Type="http://schemas.openxmlformats.org/officeDocument/2006/relationships/hyperlink" Target="https://cepa.org/article/showdown-in-vilnius/" TargetMode="External"/><Relationship Id="rId101" Type="http://schemas.openxmlformats.org/officeDocument/2006/relationships/hyperlink" Target="https://web.archive.org/web/20211217092401/https:/www.reuters.com/world/china/exclusive-china-asks-germanys-continental-cut-out-lithuania-sources-2021-12-17/" TargetMode="External"/><Relationship Id="rId122" Type="http://schemas.openxmlformats.org/officeDocument/2006/relationships/hyperlink" Target="https://weibo.com/2803301701/4922420337316077" TargetMode="External"/><Relationship Id="rId143" Type="http://schemas.openxmlformats.org/officeDocument/2006/relationships/hyperlink" Target="https://web.archive.org/web/20241226153321/http:/m.mofcom.gov.cn/article/zcfb/zczxzc/202405/20240503510680.shtml" TargetMode="External"/><Relationship Id="rId148" Type="http://schemas.openxmlformats.org/officeDocument/2006/relationships/hyperlink" Target="https://web.archive.org/web/20250103202358/https:/www.mof.gov.cn/jrttts/202406/t20240603_3936307.htm?utm_source=chatgpt.com" TargetMode="External"/><Relationship Id="rId164" Type="http://schemas.openxmlformats.org/officeDocument/2006/relationships/hyperlink" Target="https://www.mofcom.gov.cn/zwgk/zcfb/art/2024/art_d3c629298851434ea1e374e4a76a1e02.html" TargetMode="External"/><Relationship Id="rId169" Type="http://schemas.openxmlformats.org/officeDocument/2006/relationships/hyperlink" Target="https://wallstreetcn.com/articles/3735967" TargetMode="External"/><Relationship Id="rId185" Type="http://schemas.openxmlformats.org/officeDocument/2006/relationships/hyperlink" Target="https://substack.com/home/post/p-154943662" TargetMode="External"/><Relationship Id="rId4" Type="http://schemas.openxmlformats.org/officeDocument/2006/relationships/hyperlink" Target="https://www.reuters.com/article/us-apple-china-idUSKCN1030Z9/" TargetMode="External"/><Relationship Id="rId9" Type="http://schemas.openxmlformats.org/officeDocument/2006/relationships/hyperlink" Target="https://web.archive.org/web/20180206194520/https:/www.nytimes.com/2018/02/06/business/mercedes-daimler-dalai-lama-china.html" TargetMode="External"/><Relationship Id="rId180" Type="http://schemas.openxmlformats.org/officeDocument/2006/relationships/hyperlink" Target="https://www.geopolitechs.org/p/chinas-first-ever-use-of-export-control" TargetMode="External"/><Relationship Id="rId210" Type="http://schemas.openxmlformats.org/officeDocument/2006/relationships/hyperlink" Target="https://www.mfa.gov.cn/eng/zy/gb/202405/t20240531_11367443.html?utm_source=chatgpt.com" TargetMode="External"/><Relationship Id="rId215" Type="http://schemas.openxmlformats.org/officeDocument/2006/relationships/hyperlink" Target="https://web.archive.org/web/20250324045042/https:/gss.mof.gov.cn/gzdt/zhengcefabu/202503/t20250304_3959228.htm" TargetMode="External"/><Relationship Id="rId26" Type="http://schemas.openxmlformats.org/officeDocument/2006/relationships/hyperlink" Target="https://web.archive.org/web/20180803233544/http:/gss.mof.gov.cn/zhengwuxinxi/zhengcefabu/201808/t20180803_2980950.html" TargetMode="External"/><Relationship Id="rId231" Type="http://schemas.openxmlformats.org/officeDocument/2006/relationships/hyperlink" Target="https://web.archive.org/web/20250324071843/https:/www.mofcom.gov.cn/zwgk/zcfb/art/2025/art_df5cabbc1d924c1e8293d5fa60193133.html" TargetMode="External"/><Relationship Id="rId47" Type="http://schemas.openxmlformats.org/officeDocument/2006/relationships/hyperlink" Target="https://www.bbc.com/news/world-asia-china-49575320" TargetMode="External"/><Relationship Id="rId68" Type="http://schemas.openxmlformats.org/officeDocument/2006/relationships/hyperlink" Target="https://sverigesradio.se/avsnitt/kinas-hemliga-drag-i-batterikriget-mot-sverige" TargetMode="External"/><Relationship Id="rId89" Type="http://schemas.openxmlformats.org/officeDocument/2006/relationships/hyperlink" Target="https://web.archive.org/web/20210322162211/https:/www.fmprc.gov.cn/mfa_eng/xwfw_665399/s2510_665401/2535_665405/t1863106.shtml" TargetMode="External"/><Relationship Id="rId112" Type="http://schemas.openxmlformats.org/officeDocument/2006/relationships/hyperlink" Target="https://web.archive.org/web/20241211205629/https:/www.cac.gov.cn/2023-03/31/c_1681904291361295.htm" TargetMode="External"/><Relationship Id="rId133" Type="http://schemas.openxmlformats.org/officeDocument/2006/relationships/hyperlink" Target="https://www.lowyinstitute.org/the-interpreter/yesterday-s-stick-today-s-carrot-china-s-removal-japan-seafood-ban" TargetMode="External"/><Relationship Id="rId154" Type="http://schemas.openxmlformats.org/officeDocument/2006/relationships/hyperlink" Target="https://web.archive.org/web/20241214043022/https:/www.mfa.gov.cn/wjb_673085/zfxxgk_674865/gknrlb/fzcqdcs/202407/t20240731_11463924.shtml" TargetMode="External"/><Relationship Id="rId175" Type="http://schemas.openxmlformats.org/officeDocument/2006/relationships/hyperlink" Target="https://www.reuters.com/business/retail-consumer/uniqlo-risks-boycott-china-after-ceos-xinjiang-comment-2024-11-29/" TargetMode="External"/><Relationship Id="rId196" Type="http://schemas.openxmlformats.org/officeDocument/2006/relationships/hyperlink" Target="https://web.archive.org/web/20250119225359/https:/www.mofcom.gov.cn/xwfb/xwfyrth/art/2025/art_49ef81bc80aa4eefb53bbfe3c90ce8f3.html" TargetMode="External"/><Relationship Id="rId200" Type="http://schemas.openxmlformats.org/officeDocument/2006/relationships/hyperlink" Target="https://web.archive.org/web/20250204165040/https:/mp.weixin.qq.com/s/g31XUTIP0s5i3Z73BwrAJg" TargetMode="External"/><Relationship Id="rId16" Type="http://schemas.openxmlformats.org/officeDocument/2006/relationships/hyperlink" Target="https://web.archive.org/web/20180402063516/http:/www.mofcom.gov.cn/article/ae/ag/201804/20180402726864.shtml" TargetMode="External"/><Relationship Id="rId221" Type="http://schemas.openxmlformats.org/officeDocument/2006/relationships/hyperlink" Target="https://open.substack.com/pub/geotechnopolitic/p/chinas-retaliation-to-trumps-20-tariffs?r=hem0u&amp;utm_medium=ios" TargetMode="External"/><Relationship Id="rId37" Type="http://schemas.openxmlformats.org/officeDocument/2006/relationships/hyperlink" Target="https://www.globaltimes.cn/content/1152869.shtml" TargetMode="External"/><Relationship Id="rId58" Type="http://schemas.openxmlformats.org/officeDocument/2006/relationships/hyperlink" Target="https://web.archive.org/web/20190904092408/https:/www.scmp.com/economy/china-economy/article/3025685/fedex-strongly-denies-wrongdoing-after-china-accuses-us-firm" TargetMode="External"/><Relationship Id="rId79" Type="http://schemas.openxmlformats.org/officeDocument/2006/relationships/hyperlink" Target="https://www.globaltimes.cn/content/1199586.shtml" TargetMode="External"/><Relationship Id="rId102" Type="http://schemas.openxmlformats.org/officeDocument/2006/relationships/hyperlink" Target="https://web.archive.org/web/20220124002558/https:/www.fmprc.gov.cn/mfa_eng/xwfw_665399/s2510_665401/2511_665403/202112/t20211221_10473754.html" TargetMode="External"/><Relationship Id="rId123" Type="http://schemas.openxmlformats.org/officeDocument/2006/relationships/hyperlink" Target="https://web.archive.org/web/20241202220740/https:/m.mofcom.gov.cn/article/zwgk/gkzcfb/202307/20230703424616.shtml" TargetMode="External"/><Relationship Id="rId144" Type="http://schemas.openxmlformats.org/officeDocument/2006/relationships/hyperlink" Target="https://web.archive.org/web/20241226155112/http:/m.mofcom.gov.cn/article/zwgk/gkzcfb/202405/20240503510684.shtml" TargetMode="External"/><Relationship Id="rId90" Type="http://schemas.openxmlformats.org/officeDocument/2006/relationships/hyperlink" Target="https://web.archive.org/web/20241225214512/https:/www.gov.cn/xinwen/2021-03/26/content_5596243.htm?utm_source=chatgpt.com" TargetMode="External"/><Relationship Id="rId165" Type="http://schemas.openxmlformats.org/officeDocument/2006/relationships/hyperlink" Target="https://www.reuters.com/markets/commodities/china-puts-anti-dumping-measures-brandy-imports-eu-2024-10-08/" TargetMode="External"/><Relationship Id="rId186" Type="http://schemas.openxmlformats.org/officeDocument/2006/relationships/hyperlink" Target="https://web.archive.org/web/20250119231109/http:/exportcontrol.mofcom.gov.cn/article/gndt/202501/1092.html" TargetMode="External"/><Relationship Id="rId211" Type="http://schemas.openxmlformats.org/officeDocument/2006/relationships/hyperlink" Target="https://epaper.chinadaily.com.cn/a/202405/22/WS664d2e04a310df4030f51b45.html" TargetMode="External"/><Relationship Id="rId232" Type="http://schemas.openxmlformats.org/officeDocument/2006/relationships/hyperlink" Target="https://web.archive.org/web/20250324071917/https:/gss.mof.gov.cn/gzdt/zhengcefabu/202503/t20250307_3959523.htm" TargetMode="External"/><Relationship Id="rId27" Type="http://schemas.openxmlformats.org/officeDocument/2006/relationships/hyperlink" Target="https://web.archive.org/web/20180921132614/http:/gss.mof.gov.cn/zhengwuxinxi/zhengcefabu/201809/t20180918_3022592.html" TargetMode="External"/><Relationship Id="rId48" Type="http://schemas.openxmlformats.org/officeDocument/2006/relationships/hyperlink" Target="https://web.archive.org/web/20190815130409/https:/www.bbc.com/news/world-asia-china-49354017" TargetMode="External"/><Relationship Id="rId69" Type="http://schemas.openxmlformats.org/officeDocument/2006/relationships/hyperlink" Target="https://www.globaltimes.cn/page/202002/1180328.shtml" TargetMode="External"/><Relationship Id="rId113" Type="http://schemas.openxmlformats.org/officeDocument/2006/relationships/hyperlink" Target="https://web.archive.org/web/20241211205638/https:/www.cac.gov.cn/2023-05/21/c_1686348043518073.htm" TargetMode="External"/><Relationship Id="rId134" Type="http://schemas.openxmlformats.org/officeDocument/2006/relationships/hyperlink" Target="https://www.ft.com/content/431d1797-dc13-4212-b7c4-f531e06c82fb" TargetMode="External"/><Relationship Id="rId80" Type="http://schemas.openxmlformats.org/officeDocument/2006/relationships/hyperlink" Target="https://ceias.eu/paying-the-heavy-price-vystrcils-visit-to-taiwan-in-mainland-chinese-media/" TargetMode="External"/><Relationship Id="rId155" Type="http://schemas.openxmlformats.org/officeDocument/2006/relationships/hyperlink" Target="https://web.archive.org/web/20250102194806/https:/www.mofcom.gov.cn/zwgk/zcfb/art/2024/art_db6e21907d69404fb473ddb0b248d3d7.html" TargetMode="External"/><Relationship Id="rId176" Type="http://schemas.openxmlformats.org/officeDocument/2006/relationships/hyperlink" Target="https://hk.finance.yahoo.com/news/%E5%88%86%E6%9E%90%E6%8C%87%E4%B8%AD%E5%9C%8B%E6%8A%B5%E5%88%B6%E6%97%A5%E8%B2%A8%E9%9B%A3%E6%8C%81%E7%BA%8C-%E4%BE%BF%E5%AE%9C%E6%97%A5%E5%9C%93%E9%9B%A3%E6%8A%97%E6%8B%92-050032082.html" TargetMode="External"/><Relationship Id="rId197" Type="http://schemas.openxmlformats.org/officeDocument/2006/relationships/hyperlink" Target="https://web.archive.org/web/20241211204022/https:/aqygzj.mofcom.gov.cn/flzc/gzjgfxwj/art/2024/art_f5ac8919a05743f78a3c25f3d0c138f5.html?utm_source=chatgpt.com" TargetMode="External"/><Relationship Id="rId201" Type="http://schemas.openxmlformats.org/officeDocument/2006/relationships/hyperlink" Target="https://web.archive.org/web/20250204162712/https:/www.mof.gov.cn/zhengwuxinxi/caizhengxinwen/202502/t20250204_3955222.htm" TargetMode="External"/><Relationship Id="rId222" Type="http://schemas.openxmlformats.org/officeDocument/2006/relationships/hyperlink" Target="https://web.archive.org/web/20250324050713/https:/www.mofcom.gov.cn/zwgk/zcfb/art/2025/art_beb25dc3bf9447f9ba7a34b25cca8f64.html" TargetMode="External"/><Relationship Id="rId17" Type="http://schemas.openxmlformats.org/officeDocument/2006/relationships/hyperlink" Target="https://web.archive.org/web/20180417022517/http:/images.mofcom.gov.cn/www/201803/20180326085959196.pdf" TargetMode="External"/><Relationship Id="rId38" Type="http://schemas.openxmlformats.org/officeDocument/2006/relationships/hyperlink" Target="https://www.taiwannews.com.tw/news/3657021" TargetMode="External"/><Relationship Id="rId59" Type="http://schemas.openxmlformats.org/officeDocument/2006/relationships/hyperlink" Target="https://web.archive.org/web/20200310022607/https:/www.businessinsider.com/nba-china-feud-timeline-daryl-morey-tweet-hong-kong-protests-2019-10?r=US&amp;IR=T" TargetMode="External"/><Relationship Id="rId103" Type="http://schemas.openxmlformats.org/officeDocument/2006/relationships/hyperlink" Target="https://web.archive.org/web/20241120193034/https:/www.fmprc.gov.cn/fyrbt_673021/dhdw_673027/202208/t20220812_10742446.shtml" TargetMode="External"/><Relationship Id="rId124" Type="http://schemas.openxmlformats.org/officeDocument/2006/relationships/hyperlink" Target="https://www.geopolitechs.org/p/chinas-new-export-control-regulations?r=hem0u&amp;utm_medium=ios&amp;triedRedirect=true" TargetMode="External"/><Relationship Id="rId70" Type="http://schemas.openxmlformats.org/officeDocument/2006/relationships/hyperlink" Target="https://vino-joy.com/2020/03/16/champagne-deutz-draws-backlash-over-china-comments/" TargetMode="External"/><Relationship Id="rId91" Type="http://schemas.openxmlformats.org/officeDocument/2006/relationships/hyperlink" Target="https://web.archive.org/web/20241210193809/https:/www.gov.cn/xinwen/2021-03/27/content_5596241.htm" TargetMode="External"/><Relationship Id="rId145" Type="http://schemas.openxmlformats.org/officeDocument/2006/relationships/hyperlink" Target="https://web.archive.org/web/20241214043839/https:/www.mfa.gov.cn/wjb_673085/zfxxgk_674865/gknrlb/fzcqdcs/202405/t20240521_11308990.shtml" TargetMode="External"/><Relationship Id="rId166" Type="http://schemas.openxmlformats.org/officeDocument/2006/relationships/hyperlink" Target="https://web.archive.org/web/20241203154027/https:/www.mfa.gov.cn/wjbxw_new/202410/t20241010_11504846.shtml?utm_source=chatgpt.com" TargetMode="External"/><Relationship Id="rId187" Type="http://schemas.openxmlformats.org/officeDocument/2006/relationships/hyperlink" Target="https://web.archive.org/web/20250119223347/https:/www.mofcom.gov.cn/zwgk/zcfb/art/2025/art_64ab3efd8fad42f8a7cac6e39aecb48f.html" TargetMode="External"/><Relationship Id="rId1" Type="http://schemas.openxmlformats.org/officeDocument/2006/relationships/hyperlink" Target="https://web.archive.org/web/20250204184433/https:/www.koreaboo.com/news/chinese-netizens-continue-attack-on-jyp-despite-the-companys-best-efforts/" TargetMode="External"/><Relationship Id="rId212" Type="http://schemas.openxmlformats.org/officeDocument/2006/relationships/hyperlink" Target="https://www.canada.ca/en/global-affairs/news/2024/12/canada-sanctions-chinese-officials-for-human-rights-violations.html?utm_source=chatgpt.com" TargetMode="External"/><Relationship Id="rId233" Type="http://schemas.openxmlformats.org/officeDocument/2006/relationships/hyperlink" Target="https://www.globaltimes.cn/page/202503/1329722.shtml?utm_source=substack&amp;utm_medium=email" TargetMode="External"/><Relationship Id="rId28" Type="http://schemas.openxmlformats.org/officeDocument/2006/relationships/hyperlink" Target="https://www.cbc.ca/news/business/canada-goose-1.4941109" TargetMode="External"/><Relationship Id="rId49" Type="http://schemas.openxmlformats.org/officeDocument/2006/relationships/hyperlink" Target="https://www.reuters.com/article/us-china-brands-politics-idUSKCN1V20GM/" TargetMode="External"/><Relationship Id="rId114" Type="http://schemas.openxmlformats.org/officeDocument/2006/relationships/hyperlink" Target="https://web.archive.org/web/20241214045749/https:/www.mfa.gov.cn/wjb_673085/zfxxgk_674865/gknrlb/fzcqdcs/202304/t20230407_11055802.shtml" TargetMode="External"/><Relationship Id="rId60" Type="http://schemas.openxmlformats.org/officeDocument/2006/relationships/hyperlink" Target="https://web.archive.org/web/20190516233813/https:/www.buzzfeednews.com/article/rosalindadams/us-china-trade-war-apple-huawei" TargetMode="External"/><Relationship Id="rId81" Type="http://schemas.openxmlformats.org/officeDocument/2006/relationships/hyperlink" Target="https://web.archive.org/web/20210120172123/https:/www.fmprc.gov.cn/mfa_eng/xwfw_665399/s2510_665401/2535_665405/t1847554.shtml" TargetMode="External"/><Relationship Id="rId135" Type="http://schemas.openxmlformats.org/officeDocument/2006/relationships/hyperlink" Target="https://web.archive.org/web/20230918114232/https:/www.mfa.gov.cn/eng/xwfw_665399/s2510_665401/202309/t20230915_11143584.html" TargetMode="External"/><Relationship Id="rId156" Type="http://schemas.openxmlformats.org/officeDocument/2006/relationships/hyperlink" Target="https://english.www.gov.cn/news/202407/31/content_WS66aa3b06c6d0868f4e8e9a14.html?utm_source=chatgpt.com" TargetMode="External"/><Relationship Id="rId177" Type="http://schemas.openxmlformats.org/officeDocument/2006/relationships/hyperlink" Target="https://web.archive.org/web/20241223081351/https:/www.mfa.gov.cn/wjb_673085/zfxxgk_674865/gknrlb/fzcqdcs/202412/t20241222_11514801.shtml" TargetMode="External"/><Relationship Id="rId198" Type="http://schemas.openxmlformats.org/officeDocument/2006/relationships/hyperlink" Target="http://english.scio.gov.cn/pressroom/2024-09/25/content_117447988.html" TargetMode="External"/><Relationship Id="rId202" Type="http://schemas.openxmlformats.org/officeDocument/2006/relationships/hyperlink" Target="https://web.archive.org/web/20250204162741/https:/www.mof.gov.cn/zhengwuxinxi/caizhengxinwen/202502/P020250204464880131371.pdf" TargetMode="External"/><Relationship Id="rId223" Type="http://schemas.openxmlformats.org/officeDocument/2006/relationships/hyperlink" Target="https://web.archive.org/web/20250324052117/https:/www.mofcom.gov.cn/zwgk/zcfb/art/2025/art_205cf5fddd1645a7be68d132cdb38cc3.html" TargetMode="External"/><Relationship Id="rId18" Type="http://schemas.openxmlformats.org/officeDocument/2006/relationships/hyperlink" Target="https://web.archive.org/web/20250204201113/https:/www.globaltimes.cn/page/201805/1103804.shtml" TargetMode="External"/><Relationship Id="rId39" Type="http://schemas.openxmlformats.org/officeDocument/2006/relationships/hyperlink" Target="https://www.bbc.com/news/world-asia-china-47987817" TargetMode="External"/><Relationship Id="rId50" Type="http://schemas.openxmlformats.org/officeDocument/2006/relationships/hyperlink" Target="https://web.archive.org/web/20201123213605/https:/www.weibo.com/2082922603/I1ZxHkmLl?filter=hot&amp;root_comment_id=0&amp;type=comment" TargetMode="External"/><Relationship Id="rId104" Type="http://schemas.openxmlformats.org/officeDocument/2006/relationships/hyperlink" Target="https://web.archive.org/web/20241211211925/http:/www.gwytb.gov.cn/bmst/202208/t20220803_12457970.htm" TargetMode="External"/><Relationship Id="rId125" Type="http://schemas.openxmlformats.org/officeDocument/2006/relationships/hyperlink" Target="https://web.archive.org/web/20230731112154/https:/www.reuters.com/world/china-curbs-exports-drone-related-equipment-amid-us-tech-tensions-2023-07-31/" TargetMode="External"/><Relationship Id="rId146" Type="http://schemas.openxmlformats.org/officeDocument/2006/relationships/hyperlink" Target="https://web.archive.org/web/20241203160132/https:/www.mfa.gov.cn/wjbxw_new/202405/t20240522_11309756.shtml" TargetMode="External"/><Relationship Id="rId167" Type="http://schemas.openxmlformats.org/officeDocument/2006/relationships/hyperlink" Target="https://web.archive.org/web/20241203154131/https:/www.mfa.gov.cn/eng/xw/wjbxw/202410/t20241011_11505419.html" TargetMode="External"/><Relationship Id="rId188" Type="http://schemas.openxmlformats.org/officeDocument/2006/relationships/hyperlink" Target="https://substack.com/home/post/p-154943662" TargetMode="External"/><Relationship Id="rId71" Type="http://schemas.openxmlformats.org/officeDocument/2006/relationships/hyperlink" Target="https://www.scmp.com/economy/global-economy/article/3077996/coronavirus-italian-prosecco-maker-apologises-after-owner" TargetMode="External"/><Relationship Id="rId92" Type="http://schemas.openxmlformats.org/officeDocument/2006/relationships/hyperlink" Target="https://web.archive.org/web/20241210194831/https:/www.mfa.gov.cn/eng/xw/fyrbt/fyrbt/202405/t20240530_11349692.html" TargetMode="External"/><Relationship Id="rId213" Type="http://schemas.openxmlformats.org/officeDocument/2006/relationships/hyperlink" Target="https://www.voanews.com/a/china-sanctions-us-lawmaker/7725532.html?utm_source=chatgpt.com" TargetMode="External"/><Relationship Id="rId234" Type="http://schemas.openxmlformats.org/officeDocument/2006/relationships/hyperlink" Target="https://www.163.com/dy/article/JQ6FV2E40514BT3D.html?utm_source=substack&amp;utm_medium=email" TargetMode="External"/><Relationship Id="rId2" Type="http://schemas.openxmlformats.org/officeDocument/2006/relationships/hyperlink" Target="https://www.koreaherald.com/article/1511046" TargetMode="External"/><Relationship Id="rId29" Type="http://schemas.openxmlformats.org/officeDocument/2006/relationships/hyperlink" Target="https://www.scmp.com/news/china/society/article/2183249/mcdonalds-draws-online-fire-china-advertisement-showing-taiwan-id" TargetMode="External"/><Relationship Id="rId40" Type="http://schemas.openxmlformats.org/officeDocument/2006/relationships/hyperlink" Target="https://www.bbc.com/news/world-asia-china-36457450" TargetMode="External"/><Relationship Id="rId115" Type="http://schemas.openxmlformats.org/officeDocument/2006/relationships/hyperlink" Target="https://web.archive.org/web/20230407023714/http:/www.gwytb.gov.cn/xwdt/xwfb/wyly/202304/t20230407_12524480.htm" TargetMode="External"/><Relationship Id="rId136" Type="http://schemas.openxmlformats.org/officeDocument/2006/relationships/hyperlink" Target="https://web.archive.org/web/20241202211501/https:/m.mofcom.gov.cn/article/zwgk/gkzcfb/202310/20231003447368.shtml" TargetMode="External"/><Relationship Id="rId157" Type="http://schemas.openxmlformats.org/officeDocument/2006/relationships/hyperlink" Target="https://web.archive.org/web/20241202211403/https:/www.mofcom.gov.cn/zwgk/zcfb/art/2024/art_a4711acb06364199a3c5a06d7f2be6d8.html" TargetMode="External"/><Relationship Id="rId178" Type="http://schemas.openxmlformats.org/officeDocument/2006/relationships/hyperlink" Target="https://web.archive.org/web/20250102162212/https:/www.mofcom.gov.cn/zwgk/zcfb/art/2025/art_1ee79b1b7f21444ebf4797c0ff8500fd.html" TargetMode="External"/><Relationship Id="rId61" Type="http://schemas.openxmlformats.org/officeDocument/2006/relationships/hyperlink" Target="https://www.bbc.com/news/business-50078886" TargetMode="External"/><Relationship Id="rId82" Type="http://schemas.openxmlformats.org/officeDocument/2006/relationships/hyperlink" Target="https://web.archive.org/web/20241225213325/https:/www.fmprc.gov.cn/wjdt_674879/fyrbt_674889/202101/t20210121_7817107.shtml?utm_source=chatgpt.com" TargetMode="External"/><Relationship Id="rId199" Type="http://schemas.openxmlformats.org/officeDocument/2006/relationships/hyperlink" Target="https://web.archive.org/web/20250204165024/https:/www.geopolitechs.org/p/chinas-countermeasures-to-trumps" TargetMode="External"/><Relationship Id="rId203" Type="http://schemas.openxmlformats.org/officeDocument/2006/relationships/hyperlink" Target="https://www.mof.gov.cn/zhengwuxinxi/caizhengxinwen/202502/P020250204464880423871.pdf" TargetMode="External"/><Relationship Id="rId19" Type="http://schemas.openxmlformats.org/officeDocument/2006/relationships/hyperlink" Target="https://www.independent.co.uk/news/world/asia/gap-china-t-shirt-incorrect-map-tibet-taiwan-south-china-sea-a8352026.html" TargetMode="External"/><Relationship Id="rId224" Type="http://schemas.openxmlformats.org/officeDocument/2006/relationships/hyperlink" Target="https://web.archive.org/web/20250324052848/https:/www.mofcom.gov.cn/zwgk/zcfb/art/2025/art_e1ea9512b1f84dc6b1a17f703fa4cf56.html" TargetMode="External"/><Relationship Id="rId30" Type="http://schemas.openxmlformats.org/officeDocument/2006/relationships/hyperlink" Target="https://www.scmp.com/news/china/society/article/2183249/mcdonalds-draws-online-fire-china-advertisement-showing-taiwan-id" TargetMode="External"/><Relationship Id="rId105" Type="http://schemas.openxmlformats.org/officeDocument/2006/relationships/hyperlink" Target="https://web.archive.org/web/20241211213910/http:/nanning.customs.gov.cn/customs/302249/zfxxgk/zfxxgkml34/4494964/index.html" TargetMode="External"/><Relationship Id="rId126" Type="http://schemas.openxmlformats.org/officeDocument/2006/relationships/hyperlink" Target="https://web.archive.org/web/20250102194328/https:/m.mofcom.gov.cn/article/zcfb/zczxzc/202307/20230703424598.shtml?utm_source=chatgpt.com" TargetMode="External"/><Relationship Id="rId147" Type="http://schemas.openxmlformats.org/officeDocument/2006/relationships/hyperlink" Target="https://web.archive.org/web/20250103193513/https:/www.mofcom.gov.cn/zwgk/zcfb/art/2024/art_f137ef3b6dea424fbc5a754693e18f66.html" TargetMode="External"/><Relationship Id="rId168" Type="http://schemas.openxmlformats.org/officeDocument/2006/relationships/hyperlink" Target="https://web.archive.org/web/20241203192251/https:/www.skydio.com/blog/chinas-sanctions-on-skydio" TargetMode="External"/><Relationship Id="rId51" Type="http://schemas.openxmlformats.org/officeDocument/2006/relationships/hyperlink" Target="https://web.archive.org/web/20190902154239/http:/www.globaltimes.cn/content/1161789.shtml" TargetMode="External"/><Relationship Id="rId72" Type="http://schemas.openxmlformats.org/officeDocument/2006/relationships/hyperlink" Target="https://www.dailymail.co.uk/news/article-8167899/Burger-King-China-apologises-Taiwan-operator-called-coronavirus-Wuhan-pneumonia.html" TargetMode="External"/><Relationship Id="rId93" Type="http://schemas.openxmlformats.org/officeDocument/2006/relationships/hyperlink" Target="https://www.mbl.is/frettir/innlent/2021/04/15/islendingur_settur_a_svartan_lista_kinverja/" TargetMode="External"/><Relationship Id="rId189" Type="http://schemas.openxmlformats.org/officeDocument/2006/relationships/hyperlink" Target="https://web.archive.org/web/20250119224415/https:/www.mofcom.gov.cn/zwgk/zcfb/art/2025/art_980edf9a52a4464bbe38582874eca3ee.html" TargetMode="External"/><Relationship Id="rId3" Type="http://schemas.openxmlformats.org/officeDocument/2006/relationships/hyperlink" Target="https://www.nytimes.com/2016/07/20/world/asia/south-china-sea-protests-kfc.html" TargetMode="External"/><Relationship Id="rId214" Type="http://schemas.openxmlformats.org/officeDocument/2006/relationships/hyperlink" Target="https://stratcomcoe.org/publications/chinas-influence-in-the-nordic-baltic-information-environment-latvia-and-sweden-full-report/239" TargetMode="External"/><Relationship Id="rId116" Type="http://schemas.openxmlformats.org/officeDocument/2006/relationships/hyperlink" Target="https://web.archive.org/web/20230407020303/http:/www.gwytb.gov.cn/xwdt/zwyw/202304/t20230407_12524423.htm" TargetMode="External"/><Relationship Id="rId137" Type="http://schemas.openxmlformats.org/officeDocument/2006/relationships/hyperlink" Target="https://www.piie.com/blogs/realtime-economics/2024/chinas-export-controls-critical-minerals-arent-starving-united-states" TargetMode="External"/><Relationship Id="rId158" Type="http://schemas.openxmlformats.org/officeDocument/2006/relationships/hyperlink" Target="https://www.csis.org/analysis/chinas-antimony-export-restrictions-impact-us-national-security"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ivotTable" Target="../pivotTables/pivotTable1.xml"/><Relationship Id="rId5" Type="http://schemas.openxmlformats.org/officeDocument/2006/relationships/comments" Target="../comments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8" Type="http://schemas.openxmlformats.org/officeDocument/2006/relationships/hyperlink" Target="https://web.archive.org/web/20250204165040/https:/mp.weixin.qq.com/s/g31XUTIP0s5i3Z73BwrAJg" TargetMode="External"/><Relationship Id="rId3" Type="http://schemas.openxmlformats.org/officeDocument/2006/relationships/hyperlink" Target="https://www.mofcom.gov.cn/zwgk/zcfb/art/2024/art_d2a237a0cd204ea6b89559470a630744.html" TargetMode="External"/><Relationship Id="rId7" Type="http://schemas.openxmlformats.org/officeDocument/2006/relationships/hyperlink" Target="https://web.archive.org/web/20250204165024/https:/www.geopolitechs.org/p/chinas-countermeasures-to-trumps" TargetMode="External"/><Relationship Id="rId2" Type="http://schemas.openxmlformats.org/officeDocument/2006/relationships/hyperlink" Target="https://www.ft.com/content/1b1ed4b3-4ecf-47a1-8a25-fee8391b88b6" TargetMode="External"/><Relationship Id="rId1" Type="http://schemas.openxmlformats.org/officeDocument/2006/relationships/hyperlink" Target="https://www.ccpitzj.gov.cn/art/2024/12/11/art_1229557691_46872.html" TargetMode="External"/><Relationship Id="rId6" Type="http://schemas.openxmlformats.org/officeDocument/2006/relationships/hyperlink" Target="https://web.archive.org/web/20250204163006/https:/www.samr.gov.cn/xw/zj/art/2025/art_396a9ab3aa6d4c4bbd40833815afd245.html?_x_tr_sl=auto&amp;_x_tr_tl=en&amp;_x_tr_hl=en-US&amp;_x_tr_pto=wapp" TargetMode="External"/><Relationship Id="rId5" Type="http://schemas.openxmlformats.org/officeDocument/2006/relationships/hyperlink" Target="https://mp.weixin.qq.com/s/Nr0jpbQ8X5J1o-Ps6rRZ0g" TargetMode="External"/><Relationship Id="rId4" Type="http://schemas.openxmlformats.org/officeDocument/2006/relationships/hyperlink" Target="https://mp.weixin.qq.com/s/qjapoy57xDr_j6E-_EFHtw"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s://web.archive.org/web/20250319205514/https:/www.washingtonpost.com/world/2025/03/18/us-china-pork-trade-war/" TargetMode="External"/><Relationship Id="rId2" Type="http://schemas.openxmlformats.org/officeDocument/2006/relationships/hyperlink" Target="https://www.mofcom.gov.cn/zwgk/zcfb/art/2025/art_1f362b75405c49d5bafaa79eb7f38636.html" TargetMode="External"/><Relationship Id="rId1" Type="http://schemas.openxmlformats.org/officeDocument/2006/relationships/hyperlink" Target="https://www.mofcom.gov.cn/zwgk/zcfb/art/2021/art_dcee3d3f51284db49b53983a230695cc.html" TargetMode="External"/><Relationship Id="rId5" Type="http://schemas.openxmlformats.org/officeDocument/2006/relationships/hyperlink" Target="https://www.reuters.com/world/china/china-investigates-beef-imports-oversupply-squeezes-prices-2024-12-27/" TargetMode="External"/><Relationship Id="rId4" Type="http://schemas.openxmlformats.org/officeDocument/2006/relationships/hyperlink" Target="https://www.wto.org/english/news_e/news24_e/safe_chn_27dec24_e.htm"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merics.org/en/comment/chinas-anti-foreign-sanctions-law-warning-world" TargetMode="External"/><Relationship Id="rId13" Type="http://schemas.openxmlformats.org/officeDocument/2006/relationships/hyperlink" Target="https://web.archive.org/web/20241119215113/https:/www.gov.cn/zhengce/zhengceku/202410/content_6981400.htm" TargetMode="External"/><Relationship Id="rId3" Type="http://schemas.openxmlformats.org/officeDocument/2006/relationships/hyperlink" Target="https://web.archive.org/web/20250103164715/https:/english.mofcom.gov.cn/Policies/AnnouncementsOrders/art/2020/art_26e3c471536d443c944d60c91bacaf9a.html" TargetMode="External"/><Relationship Id="rId7" Type="http://schemas.openxmlformats.org/officeDocument/2006/relationships/hyperlink" Target="https://english.mofcom.gov.cn/Policies/AnnouncementsOrders/art/2021/art_f47febb76da64411b8de1845aeba4af4.html" TargetMode="External"/><Relationship Id="rId12" Type="http://schemas.openxmlformats.org/officeDocument/2006/relationships/hyperlink" Target="https://merics.org/en/comment/chinas-anti-foreign-sanctions-law-warning-world" TargetMode="External"/><Relationship Id="rId2" Type="http://schemas.openxmlformats.org/officeDocument/2006/relationships/hyperlink" Target="https://web.archive.org/web/20241119210217/https:/m.mofcom.gov.cn/article/b/fwzl/202009/20200903002593.shtml" TargetMode="External"/><Relationship Id="rId16" Type="http://schemas.openxmlformats.org/officeDocument/2006/relationships/hyperlink" Target="https://www.geopolitechs.org/p/chinas-new-export-control-regulations" TargetMode="External"/><Relationship Id="rId1" Type="http://schemas.openxmlformats.org/officeDocument/2006/relationships/hyperlink" Target="https://merics.org/en/comment/chinas-anti-foreign-sanctions-law-warning-world" TargetMode="External"/><Relationship Id="rId6" Type="http://schemas.openxmlformats.org/officeDocument/2006/relationships/hyperlink" Target="https://merics.org/en/comment/chinas-anti-foreign-sanctions-law-warning-world" TargetMode="External"/><Relationship Id="rId11" Type="http://schemas.openxmlformats.org/officeDocument/2006/relationships/hyperlink" Target="https://web.archive.org/web/20241119213844/https:/www.gov.cn/zhengce/2021-12/29/content_5665104.htm" TargetMode="External"/><Relationship Id="rId5" Type="http://schemas.openxmlformats.org/officeDocument/2006/relationships/hyperlink" Target="https://web.archive.org/web/20250106181819/https:/www.mofcom.gov.cn/zwgk/zcfb/art/2020/art_4f26ce668da74ea4a817b40ac86aada3.html" TargetMode="External"/><Relationship Id="rId15" Type="http://schemas.openxmlformats.org/officeDocument/2006/relationships/hyperlink" Target="https://www.thewirechina.com/2024/11/10/china-flexes-its-sanctions-muscle/" TargetMode="External"/><Relationship Id="rId10" Type="http://schemas.openxmlformats.org/officeDocument/2006/relationships/hyperlink" Target="https://web.archive.org/web/20241119214146/https:/www.gov.cn/xinwen/2021-06/11/content_5616935.htm" TargetMode="External"/><Relationship Id="rId4" Type="http://schemas.openxmlformats.org/officeDocument/2006/relationships/hyperlink" Target="https://merics.org/en/comment/chinas-anti-foreign-sanctions-law-warning-world" TargetMode="External"/><Relationship Id="rId9" Type="http://schemas.openxmlformats.org/officeDocument/2006/relationships/hyperlink" Target="https://merics.org/en/comment/chinas-anti-foreign-sanctions-law-warning-world" TargetMode="External"/><Relationship Id="rId14" Type="http://schemas.openxmlformats.org/officeDocument/2006/relationships/hyperlink" Target="https://web.archive.org/web/20250106194553/http:/exportcontrol.mofcom.gov.cn/article/zjsj/202410/1051.html"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eb.archive.org/web/20250103170221/https:/www.mofcom.gov.cn/cms_files/filemanager/600926013/attach/202412/8db3aacb2b7c47f0a4402203cff7f635.pdf?fileName=2025%E5%B9%B4%E5%BA%A6%E3%80%8A%E4%B8%A4%E7%94%A8%E7%89%A9%E9%A1%B9%E5%92%8C%E6%8A%80%E6%9C%AF%E8%BF%9B%E5%87%BA%E5%8F%A3%E8%AE%B8%E5%8F%AF%E8%AF%81%E7%AE%A1%E7%90%86%E7%9B%AE%E5%BD%95%E3%80%8B.pdf" TargetMode="External"/><Relationship Id="rId3" Type="http://schemas.openxmlformats.org/officeDocument/2006/relationships/hyperlink" Target="https://web.archive.org/web/20241119220001/http:/exportcontrol.mofcom.gov.cn/article/cjwt/202410/1047.html" TargetMode="External"/><Relationship Id="rId7" Type="http://schemas.openxmlformats.org/officeDocument/2006/relationships/hyperlink" Target="https://web.archive.org/web/20250101125314/http:/www.mofcom.gov.cn/zwgk/zcfb/art/2024/art_636ab584a448477d906e54f63719b27f.html" TargetMode="External"/><Relationship Id="rId2" Type="http://schemas.openxmlformats.org/officeDocument/2006/relationships/hyperlink" Target="https://www.mofcom.gov.cn/zwgk/zcfb/art/2020/art_ffaae7b2d4dc47e0bd685f00e4c00063.html" TargetMode="External"/><Relationship Id="rId1" Type="http://schemas.openxmlformats.org/officeDocument/2006/relationships/hyperlink" Target="https://web.archive.org/web/20250106192733/https:/www.mofcom.gov.cn/zwgk/zcfb/art/2020/art_24bb006e5f8546879e00bb1d85961948.html" TargetMode="External"/><Relationship Id="rId6" Type="http://schemas.openxmlformats.org/officeDocument/2006/relationships/hyperlink" Target="https://www.gov.cn/zhengce/zhengceku/202411/content_6987846.htm" TargetMode="External"/><Relationship Id="rId11" Type="http://schemas.openxmlformats.org/officeDocument/2006/relationships/hyperlink" Target="https://web.archive.org/web/20250103165716/https:/www.mofcom.gov.cn/cms_files/filemanager/271034535/attach/202412/a948fac8e7b04061bfa3fb4096e409e9.pdf?fileName=%E5%87%BA%E5%8F%A3%E8%AE%B8%E5%8F%AF%E8%AF%81%E7%AE%A1%E7%90%86%E8%B4%A7%E7%89%A9%E7%9B%AE%E5%BD%95%282025%E5%B9%B4%EF%BC%89.pdf" TargetMode="External"/><Relationship Id="rId5" Type="http://schemas.openxmlformats.org/officeDocument/2006/relationships/hyperlink" Target="https://www.reuters.com/business/chinas-potential-probes-eu-firms-following-ev-tariffs-2024-06-14/" TargetMode="External"/><Relationship Id="rId10" Type="http://schemas.openxmlformats.org/officeDocument/2006/relationships/hyperlink" Target="https://web.archive.org/web/20250103165754/https:/www.mofcom.gov.cn/zwgk/zcfb/art/2024/art_c004866b3bcc4614b35732f2f505a7b8.html" TargetMode="External"/><Relationship Id="rId4" Type="http://schemas.openxmlformats.org/officeDocument/2006/relationships/hyperlink" Target="https://www.reuters.com/markets/commodities/china-puts-anti-dumping-measures-brandy-imports-eu-2024-10-08/" TargetMode="External"/><Relationship Id="rId9" Type="http://schemas.openxmlformats.org/officeDocument/2006/relationships/hyperlink" Target="https://web.archive.org/web/20250103170253/https:/www.mofcom.gov.cn/zwgk/zcfb/art/2024/art_537eee01e42941b0a1f217f45943fd2b.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1024"/>
  <sheetViews>
    <sheetView tabSelected="1" zoomScale="85" workbookViewId="0">
      <pane ySplit="1" topLeftCell="A2" activePane="bottomLeft" state="frozen"/>
      <selection pane="bottomLeft" activeCell="B4" sqref="B4"/>
    </sheetView>
  </sheetViews>
  <sheetFormatPr baseColWidth="10" defaultColWidth="11.1640625" defaultRowHeight="70" customHeight="1" x14ac:dyDescent="0.2"/>
  <cols>
    <col min="1" max="1" width="16.6640625" style="111" customWidth="1"/>
    <col min="2" max="2" width="59.83203125" customWidth="1"/>
    <col min="3" max="3" width="28.5" style="170" customWidth="1"/>
    <col min="4" max="4" width="27.5" customWidth="1"/>
    <col min="5" max="6" width="27.6640625" customWidth="1"/>
    <col min="7" max="7" width="16.6640625" customWidth="1"/>
    <col min="8" max="8" width="14.83203125" customWidth="1"/>
    <col min="9" max="9" width="26" customWidth="1"/>
    <col min="10" max="10" width="37.33203125" customWidth="1"/>
    <col min="11" max="11" width="34.6640625" customWidth="1"/>
    <col min="12" max="12" width="42.33203125" customWidth="1"/>
    <col min="13" max="13" width="32.83203125" customWidth="1"/>
    <col min="14" max="15" width="32" customWidth="1"/>
    <col min="16" max="16" width="23.83203125" customWidth="1"/>
    <col min="17" max="17" width="21.83203125" customWidth="1"/>
    <col min="18" max="18" width="20.6640625" customWidth="1"/>
    <col min="19" max="19" width="19.5" customWidth="1"/>
    <col min="20" max="20" width="18.83203125" customWidth="1"/>
    <col min="21" max="21" width="19.6640625" customWidth="1"/>
    <col min="22" max="23" width="17.6640625" customWidth="1"/>
    <col min="24" max="24" width="16.5" customWidth="1"/>
    <col min="25" max="25" width="17.33203125" customWidth="1"/>
    <col min="26" max="26" width="18.83203125" customWidth="1"/>
    <col min="27" max="37" width="11" customWidth="1"/>
  </cols>
  <sheetData>
    <row r="1" spans="1:37" s="93" customFormat="1" ht="70" customHeight="1" x14ac:dyDescent="0.2">
      <c r="A1" s="91" t="s">
        <v>1382</v>
      </c>
      <c r="B1" s="91" t="s">
        <v>1</v>
      </c>
      <c r="C1" s="161" t="s">
        <v>1183</v>
      </c>
      <c r="D1" s="91" t="s">
        <v>1185</v>
      </c>
      <c r="E1" s="92" t="s">
        <v>2</v>
      </c>
      <c r="F1" s="91" t="s">
        <v>3</v>
      </c>
      <c r="G1" s="92" t="s">
        <v>4</v>
      </c>
      <c r="H1" s="92" t="s">
        <v>5</v>
      </c>
      <c r="I1" s="91" t="s">
        <v>6</v>
      </c>
      <c r="J1" s="91" t="s">
        <v>7</v>
      </c>
      <c r="K1" s="91" t="s">
        <v>8</v>
      </c>
      <c r="L1" s="91" t="s">
        <v>9</v>
      </c>
      <c r="M1" s="91" t="s">
        <v>10</v>
      </c>
      <c r="N1" s="91" t="s">
        <v>11</v>
      </c>
      <c r="O1" s="91" t="s">
        <v>12</v>
      </c>
      <c r="P1" s="91" t="s">
        <v>13</v>
      </c>
      <c r="Q1" s="91" t="s">
        <v>14</v>
      </c>
      <c r="R1" s="91" t="s">
        <v>15</v>
      </c>
      <c r="S1" s="91" t="s">
        <v>16</v>
      </c>
      <c r="T1" s="91" t="s">
        <v>17</v>
      </c>
      <c r="U1" s="91" t="s">
        <v>18</v>
      </c>
      <c r="V1" s="91" t="s">
        <v>19</v>
      </c>
      <c r="W1" s="91" t="s">
        <v>20</v>
      </c>
      <c r="X1" s="91" t="s">
        <v>21</v>
      </c>
      <c r="Y1" s="91" t="s">
        <v>22</v>
      </c>
      <c r="Z1" s="91"/>
      <c r="AA1" s="91"/>
      <c r="AB1" s="91"/>
      <c r="AC1" s="91"/>
      <c r="AD1" s="91"/>
      <c r="AE1" s="91"/>
      <c r="AF1" s="91"/>
      <c r="AG1" s="91"/>
      <c r="AH1" s="91"/>
      <c r="AI1" s="91"/>
      <c r="AJ1" s="91"/>
      <c r="AK1" s="91"/>
    </row>
    <row r="2" spans="1:37" ht="70" customHeight="1" x14ac:dyDescent="0.2">
      <c r="A2" s="106">
        <v>40444</v>
      </c>
      <c r="B2" s="11" t="s">
        <v>23</v>
      </c>
      <c r="C2" s="162" t="s">
        <v>1156</v>
      </c>
      <c r="D2" s="11" t="s">
        <v>1166</v>
      </c>
      <c r="E2" s="11" t="s">
        <v>24</v>
      </c>
      <c r="F2" s="5" t="s">
        <v>25</v>
      </c>
      <c r="G2" s="11" t="s">
        <v>26</v>
      </c>
      <c r="H2" s="11" t="s">
        <v>27</v>
      </c>
      <c r="I2" s="11" t="s">
        <v>28</v>
      </c>
      <c r="J2" s="11" t="s">
        <v>28</v>
      </c>
      <c r="K2" s="11" t="s">
        <v>28</v>
      </c>
      <c r="L2" s="11" t="s">
        <v>1057</v>
      </c>
      <c r="M2" s="11" t="s">
        <v>29</v>
      </c>
      <c r="N2" s="11" t="s">
        <v>30</v>
      </c>
      <c r="O2" s="11" t="s">
        <v>31</v>
      </c>
      <c r="P2" s="5"/>
      <c r="Q2" s="6"/>
      <c r="R2" s="11" t="s">
        <v>32</v>
      </c>
      <c r="S2" s="11"/>
      <c r="T2" s="89"/>
      <c r="U2" s="90"/>
      <c r="V2" s="90"/>
      <c r="W2" s="90"/>
      <c r="X2" s="11"/>
      <c r="Y2" s="11"/>
      <c r="Z2" s="11"/>
      <c r="AA2" s="11"/>
      <c r="AB2" s="11"/>
      <c r="AC2" s="11"/>
      <c r="AD2" s="11"/>
      <c r="AE2" s="11"/>
      <c r="AF2" s="11"/>
      <c r="AG2" s="11"/>
      <c r="AH2" s="11"/>
      <c r="AI2" s="11"/>
      <c r="AJ2" s="11"/>
      <c r="AK2" s="11"/>
    </row>
    <row r="3" spans="1:37" ht="70" customHeight="1" x14ac:dyDescent="0.2">
      <c r="A3" s="107">
        <v>40444</v>
      </c>
      <c r="B3" s="4" t="s">
        <v>33</v>
      </c>
      <c r="C3" s="163" t="s">
        <v>1156</v>
      </c>
      <c r="D3" s="4" t="s">
        <v>1166</v>
      </c>
      <c r="E3" s="9" t="s">
        <v>24</v>
      </c>
      <c r="F3" s="9" t="s">
        <v>34</v>
      </c>
      <c r="G3" s="4" t="s">
        <v>35</v>
      </c>
      <c r="H3" s="4" t="s">
        <v>27</v>
      </c>
      <c r="I3" s="4" t="s">
        <v>28</v>
      </c>
      <c r="J3" s="4" t="s">
        <v>28</v>
      </c>
      <c r="K3" s="4" t="s">
        <v>28</v>
      </c>
      <c r="L3" s="4" t="s">
        <v>1057</v>
      </c>
      <c r="M3" s="4" t="s">
        <v>29</v>
      </c>
      <c r="N3" s="4" t="s">
        <v>30</v>
      </c>
      <c r="O3" s="4" t="s">
        <v>31</v>
      </c>
      <c r="P3" s="4"/>
      <c r="Q3" s="4"/>
      <c r="R3" s="4" t="s">
        <v>32</v>
      </c>
      <c r="S3" s="4"/>
      <c r="T3" s="7"/>
      <c r="U3" s="7"/>
      <c r="V3" s="7"/>
      <c r="W3" s="4"/>
      <c r="X3" s="4"/>
      <c r="Y3" s="4"/>
      <c r="Z3" s="4"/>
      <c r="AA3" s="4"/>
      <c r="AB3" s="4"/>
      <c r="AC3" s="4"/>
      <c r="AD3" s="4"/>
      <c r="AE3" s="4"/>
      <c r="AF3" s="4"/>
      <c r="AG3" s="4"/>
      <c r="AH3" s="4"/>
      <c r="AI3" s="4"/>
      <c r="AJ3" s="4"/>
      <c r="AK3" s="4"/>
    </row>
    <row r="4" spans="1:37" ht="70" customHeight="1" x14ac:dyDescent="0.2">
      <c r="A4" s="107">
        <v>40520</v>
      </c>
      <c r="B4" s="4" t="s">
        <v>36</v>
      </c>
      <c r="C4" s="163" t="s">
        <v>1156</v>
      </c>
      <c r="D4" s="4" t="s">
        <v>1231</v>
      </c>
      <c r="E4" s="4" t="s">
        <v>37</v>
      </c>
      <c r="F4" s="4" t="s">
        <v>38</v>
      </c>
      <c r="G4" s="4" t="s">
        <v>26</v>
      </c>
      <c r="H4" s="4" t="s">
        <v>27</v>
      </c>
      <c r="I4" s="4" t="s">
        <v>28</v>
      </c>
      <c r="J4" s="4" t="s">
        <v>28</v>
      </c>
      <c r="K4" s="4" t="s">
        <v>28</v>
      </c>
      <c r="L4" s="4" t="s">
        <v>39</v>
      </c>
      <c r="M4" s="4" t="s">
        <v>40</v>
      </c>
      <c r="N4" s="4" t="s">
        <v>41</v>
      </c>
      <c r="O4" s="4" t="s">
        <v>42</v>
      </c>
      <c r="P4" s="4"/>
      <c r="Q4" s="4"/>
      <c r="R4" s="4" t="s">
        <v>32</v>
      </c>
      <c r="S4" s="4"/>
      <c r="T4" s="7"/>
      <c r="U4" s="10"/>
      <c r="V4" s="4"/>
      <c r="W4" s="4"/>
      <c r="X4" s="4"/>
      <c r="Y4" s="4"/>
      <c r="Z4" s="4"/>
      <c r="AA4" s="4"/>
      <c r="AB4" s="4"/>
      <c r="AC4" s="4"/>
      <c r="AD4" s="4"/>
      <c r="AE4" s="4"/>
      <c r="AF4" s="4"/>
      <c r="AG4" s="4"/>
      <c r="AH4" s="4"/>
      <c r="AI4" s="4"/>
      <c r="AJ4" s="4"/>
      <c r="AK4" s="4"/>
    </row>
    <row r="5" spans="1:37" ht="70" customHeight="1" x14ac:dyDescent="0.2">
      <c r="A5" s="107">
        <v>40772</v>
      </c>
      <c r="B5" s="4" t="s">
        <v>43</v>
      </c>
      <c r="C5" s="163" t="s">
        <v>1156</v>
      </c>
      <c r="D5" s="4" t="s">
        <v>1170</v>
      </c>
      <c r="E5" s="4" t="s">
        <v>37</v>
      </c>
      <c r="F5" s="11" t="s">
        <v>44</v>
      </c>
      <c r="G5" s="4" t="s">
        <v>26</v>
      </c>
      <c r="H5" s="4" t="s">
        <v>27</v>
      </c>
      <c r="I5" s="4" t="s">
        <v>28</v>
      </c>
      <c r="J5" s="4" t="s">
        <v>28</v>
      </c>
      <c r="K5" s="4" t="s">
        <v>28</v>
      </c>
      <c r="L5" s="4" t="s">
        <v>45</v>
      </c>
      <c r="M5" s="4" t="s">
        <v>40</v>
      </c>
      <c r="N5" s="4" t="s">
        <v>46</v>
      </c>
      <c r="O5" s="4"/>
      <c r="P5" s="11"/>
      <c r="Q5" s="11"/>
      <c r="R5" s="4" t="s">
        <v>32</v>
      </c>
      <c r="S5" s="4"/>
      <c r="T5" s="10"/>
      <c r="U5" s="4"/>
      <c r="V5" s="4"/>
      <c r="W5" s="4"/>
      <c r="X5" s="4"/>
      <c r="Y5" s="4"/>
      <c r="Z5" s="4"/>
      <c r="AA5" s="4"/>
      <c r="AB5" s="4"/>
      <c r="AC5" s="4"/>
      <c r="AD5" s="4"/>
      <c r="AE5" s="4"/>
      <c r="AF5" s="4"/>
      <c r="AG5" s="4"/>
      <c r="AH5" s="4"/>
      <c r="AI5" s="4"/>
      <c r="AJ5" s="4"/>
      <c r="AK5" s="4"/>
    </row>
    <row r="6" spans="1:37" ht="70" customHeight="1" x14ac:dyDescent="0.2">
      <c r="A6" s="107">
        <v>41039</v>
      </c>
      <c r="B6" s="4" t="s">
        <v>47</v>
      </c>
      <c r="C6" s="163" t="s">
        <v>1156</v>
      </c>
      <c r="D6" s="4" t="s">
        <v>1166</v>
      </c>
      <c r="E6" s="4" t="s">
        <v>37</v>
      </c>
      <c r="F6" s="4" t="s">
        <v>48</v>
      </c>
      <c r="G6" s="4" t="s">
        <v>49</v>
      </c>
      <c r="H6" s="4" t="s">
        <v>27</v>
      </c>
      <c r="I6" s="4" t="s">
        <v>28</v>
      </c>
      <c r="J6" s="4" t="s">
        <v>28</v>
      </c>
      <c r="K6" s="4" t="s">
        <v>28</v>
      </c>
      <c r="L6" s="4" t="s">
        <v>1073</v>
      </c>
      <c r="M6" s="4" t="s">
        <v>40</v>
      </c>
      <c r="N6" s="4" t="s">
        <v>50</v>
      </c>
      <c r="O6" s="4" t="s">
        <v>51</v>
      </c>
      <c r="P6" s="4"/>
      <c r="Q6" s="4"/>
      <c r="R6" s="4" t="s">
        <v>32</v>
      </c>
      <c r="S6" s="4"/>
      <c r="T6" s="10"/>
      <c r="U6" s="4"/>
      <c r="V6" s="4"/>
      <c r="W6" s="4"/>
      <c r="X6" s="4"/>
      <c r="Y6" s="4"/>
      <c r="Z6" s="4"/>
      <c r="AA6" s="4"/>
      <c r="AB6" s="4"/>
      <c r="AC6" s="4"/>
      <c r="AD6" s="4"/>
      <c r="AE6" s="4"/>
      <c r="AF6" s="4"/>
      <c r="AG6" s="4"/>
      <c r="AH6" s="4"/>
      <c r="AI6" s="4"/>
      <c r="AJ6" s="4"/>
      <c r="AK6" s="4"/>
    </row>
    <row r="7" spans="1:37" ht="70" customHeight="1" x14ac:dyDescent="0.2">
      <c r="A7" s="107">
        <v>41040</v>
      </c>
      <c r="B7" s="4" t="s">
        <v>52</v>
      </c>
      <c r="C7" s="163" t="s">
        <v>1156</v>
      </c>
      <c r="D7" s="4" t="s">
        <v>1166</v>
      </c>
      <c r="E7" s="4" t="s">
        <v>53</v>
      </c>
      <c r="F7" s="4" t="s">
        <v>54</v>
      </c>
      <c r="G7" s="4" t="s">
        <v>35</v>
      </c>
      <c r="H7" s="4" t="s">
        <v>27</v>
      </c>
      <c r="I7" s="4" t="s">
        <v>28</v>
      </c>
      <c r="J7" s="4" t="s">
        <v>28</v>
      </c>
      <c r="K7" s="4" t="s">
        <v>28</v>
      </c>
      <c r="L7" s="4" t="s">
        <v>1073</v>
      </c>
      <c r="M7" s="4" t="s">
        <v>55</v>
      </c>
      <c r="N7" s="4"/>
      <c r="O7" s="4" t="s">
        <v>56</v>
      </c>
      <c r="P7" s="4"/>
      <c r="Q7" s="4"/>
      <c r="R7" s="4" t="s">
        <v>32</v>
      </c>
      <c r="S7" s="4"/>
      <c r="T7" s="7"/>
      <c r="U7" s="7"/>
      <c r="V7" s="4"/>
      <c r="W7" s="4"/>
      <c r="X7" s="4"/>
      <c r="Y7" s="4"/>
      <c r="Z7" s="4"/>
      <c r="AA7" s="4"/>
      <c r="AB7" s="4"/>
      <c r="AC7" s="4"/>
      <c r="AD7" s="4"/>
      <c r="AE7" s="4"/>
      <c r="AF7" s="4"/>
      <c r="AG7" s="4"/>
      <c r="AH7" s="4"/>
      <c r="AI7" s="4"/>
      <c r="AJ7" s="4"/>
      <c r="AK7" s="4"/>
    </row>
    <row r="8" spans="1:37" ht="70" customHeight="1" x14ac:dyDescent="0.2">
      <c r="A8" s="107">
        <v>41173</v>
      </c>
      <c r="B8" s="4" t="s">
        <v>57</v>
      </c>
      <c r="C8" s="163" t="s">
        <v>1156</v>
      </c>
      <c r="D8" s="4" t="s">
        <v>1166</v>
      </c>
      <c r="E8" s="4" t="s">
        <v>37</v>
      </c>
      <c r="F8" s="4" t="s">
        <v>58</v>
      </c>
      <c r="G8" s="4" t="s">
        <v>26</v>
      </c>
      <c r="H8" s="4" t="s">
        <v>27</v>
      </c>
      <c r="I8" s="4" t="s">
        <v>28</v>
      </c>
      <c r="J8" s="4" t="s">
        <v>28</v>
      </c>
      <c r="K8" s="4" t="s">
        <v>28</v>
      </c>
      <c r="L8" s="4" t="s">
        <v>1057</v>
      </c>
      <c r="M8" s="4" t="s">
        <v>28</v>
      </c>
      <c r="N8" s="4"/>
      <c r="O8" s="4" t="s">
        <v>59</v>
      </c>
      <c r="P8" s="4"/>
      <c r="Q8" s="4"/>
      <c r="R8" s="4" t="s">
        <v>32</v>
      </c>
      <c r="S8" s="4"/>
      <c r="T8" s="7"/>
      <c r="U8" s="7"/>
      <c r="V8" s="4"/>
      <c r="W8" s="4"/>
      <c r="X8" s="4"/>
      <c r="Y8" s="4"/>
      <c r="Z8" s="4"/>
      <c r="AA8" s="4"/>
      <c r="AB8" s="4"/>
      <c r="AC8" s="4"/>
      <c r="AD8" s="4"/>
      <c r="AE8" s="4"/>
      <c r="AF8" s="4"/>
      <c r="AG8" s="4"/>
      <c r="AH8" s="4"/>
      <c r="AI8" s="4"/>
      <c r="AJ8" s="4"/>
      <c r="AK8" s="4"/>
    </row>
    <row r="9" spans="1:37" ht="70" customHeight="1" x14ac:dyDescent="0.2">
      <c r="A9" s="107">
        <v>41173</v>
      </c>
      <c r="B9" s="4" t="s">
        <v>60</v>
      </c>
      <c r="C9" s="163" t="s">
        <v>1156</v>
      </c>
      <c r="D9" s="4" t="s">
        <v>1166</v>
      </c>
      <c r="E9" s="4" t="s">
        <v>61</v>
      </c>
      <c r="F9" s="12" t="s">
        <v>62</v>
      </c>
      <c r="G9" s="4" t="s">
        <v>26</v>
      </c>
      <c r="H9" s="4" t="s">
        <v>27</v>
      </c>
      <c r="I9" s="4" t="s">
        <v>28</v>
      </c>
      <c r="J9" s="4" t="s">
        <v>28</v>
      </c>
      <c r="K9" s="4" t="s">
        <v>28</v>
      </c>
      <c r="L9" s="4" t="s">
        <v>1057</v>
      </c>
      <c r="M9" s="4" t="s">
        <v>28</v>
      </c>
      <c r="N9" s="13"/>
      <c r="O9" s="4" t="s">
        <v>63</v>
      </c>
      <c r="P9" s="4"/>
      <c r="Q9" s="4"/>
      <c r="R9" s="4" t="s">
        <v>32</v>
      </c>
      <c r="S9" s="4"/>
      <c r="T9" s="7"/>
      <c r="U9" s="10"/>
      <c r="V9" s="10"/>
      <c r="W9" s="4"/>
      <c r="X9" s="4"/>
      <c r="Y9" s="4"/>
      <c r="Z9" s="4"/>
      <c r="AA9" s="4"/>
      <c r="AB9" s="4"/>
      <c r="AC9" s="4"/>
      <c r="AD9" s="4"/>
      <c r="AE9" s="4"/>
      <c r="AF9" s="4"/>
      <c r="AG9" s="4"/>
      <c r="AH9" s="4"/>
      <c r="AI9" s="4"/>
      <c r="AJ9" s="4"/>
      <c r="AK9" s="4"/>
    </row>
    <row r="10" spans="1:37" ht="70" customHeight="1" x14ac:dyDescent="0.2">
      <c r="A10" s="107">
        <v>41173</v>
      </c>
      <c r="B10" s="4" t="s">
        <v>64</v>
      </c>
      <c r="C10" s="163" t="s">
        <v>1156</v>
      </c>
      <c r="D10" s="4" t="s">
        <v>1166</v>
      </c>
      <c r="E10" s="4" t="s">
        <v>37</v>
      </c>
      <c r="F10" s="12" t="s">
        <v>65</v>
      </c>
      <c r="G10" s="4" t="s">
        <v>49</v>
      </c>
      <c r="H10" s="4" t="s">
        <v>27</v>
      </c>
      <c r="I10" s="4" t="s">
        <v>66</v>
      </c>
      <c r="J10" s="4" t="s">
        <v>28</v>
      </c>
      <c r="K10" s="4" t="s">
        <v>28</v>
      </c>
      <c r="L10" s="4" t="s">
        <v>1057</v>
      </c>
      <c r="M10" s="4" t="s">
        <v>67</v>
      </c>
      <c r="N10" s="4" t="s">
        <v>68</v>
      </c>
      <c r="O10" s="4"/>
      <c r="P10" s="4"/>
      <c r="Q10" s="4"/>
      <c r="R10" s="4" t="s">
        <v>32</v>
      </c>
      <c r="S10" s="4"/>
      <c r="T10" s="7"/>
      <c r="U10" s="4"/>
      <c r="V10" s="4"/>
      <c r="W10" s="4"/>
      <c r="X10" s="4"/>
      <c r="Y10" s="4"/>
      <c r="Z10" s="7"/>
      <c r="AA10" s="4"/>
      <c r="AB10" s="4"/>
      <c r="AC10" s="4"/>
      <c r="AD10" s="4"/>
      <c r="AE10" s="4"/>
      <c r="AF10" s="4"/>
      <c r="AG10" s="4"/>
      <c r="AH10" s="4"/>
      <c r="AI10" s="4"/>
      <c r="AJ10" s="4"/>
      <c r="AK10" s="4"/>
    </row>
    <row r="11" spans="1:37" ht="70" customHeight="1" x14ac:dyDescent="0.2">
      <c r="A11" s="107">
        <v>41173</v>
      </c>
      <c r="B11" s="4" t="s">
        <v>69</v>
      </c>
      <c r="C11" s="163" t="s">
        <v>1156</v>
      </c>
      <c r="D11" s="4" t="s">
        <v>1166</v>
      </c>
      <c r="E11" s="4" t="s">
        <v>70</v>
      </c>
      <c r="F11" s="4" t="s">
        <v>71</v>
      </c>
      <c r="G11" s="4" t="s">
        <v>72</v>
      </c>
      <c r="H11" s="4" t="s">
        <v>27</v>
      </c>
      <c r="I11" s="4" t="s">
        <v>28</v>
      </c>
      <c r="J11" s="4" t="s">
        <v>28</v>
      </c>
      <c r="K11" s="4" t="s">
        <v>73</v>
      </c>
      <c r="L11" s="4" t="s">
        <v>1057</v>
      </c>
      <c r="M11" s="4" t="s">
        <v>74</v>
      </c>
      <c r="N11" s="14"/>
      <c r="O11" s="4"/>
      <c r="P11" s="4"/>
      <c r="Q11" s="4"/>
      <c r="R11" s="4" t="s">
        <v>32</v>
      </c>
      <c r="S11" s="4"/>
      <c r="T11" s="7"/>
      <c r="U11" s="10"/>
      <c r="V11" s="4"/>
      <c r="W11" s="4"/>
      <c r="X11" s="4"/>
      <c r="Y11" s="4"/>
      <c r="Z11" s="4"/>
      <c r="AA11" s="4"/>
      <c r="AB11" s="4"/>
      <c r="AC11" s="4"/>
      <c r="AD11" s="4"/>
      <c r="AE11" s="4"/>
      <c r="AF11" s="4"/>
      <c r="AG11" s="4"/>
      <c r="AH11" s="4"/>
      <c r="AI11" s="4"/>
      <c r="AJ11" s="4"/>
      <c r="AK11" s="4"/>
    </row>
    <row r="12" spans="1:37" ht="70" customHeight="1" x14ac:dyDescent="0.2">
      <c r="A12" s="107">
        <v>41173</v>
      </c>
      <c r="B12" s="4" t="s">
        <v>75</v>
      </c>
      <c r="C12" s="163" t="s">
        <v>1156</v>
      </c>
      <c r="D12" s="4" t="s">
        <v>1166</v>
      </c>
      <c r="E12" s="4" t="s">
        <v>53</v>
      </c>
      <c r="F12" s="4" t="s">
        <v>76</v>
      </c>
      <c r="G12" s="4" t="s">
        <v>72</v>
      </c>
      <c r="H12" s="4" t="s">
        <v>27</v>
      </c>
      <c r="I12" s="4" t="s">
        <v>28</v>
      </c>
      <c r="J12" s="4" t="s">
        <v>28</v>
      </c>
      <c r="K12" s="4" t="s">
        <v>28</v>
      </c>
      <c r="L12" s="4" t="s">
        <v>1057</v>
      </c>
      <c r="M12" s="4" t="s">
        <v>55</v>
      </c>
      <c r="N12" s="4"/>
      <c r="O12" s="4"/>
      <c r="P12" s="15"/>
      <c r="Q12" s="4"/>
      <c r="R12" s="4" t="s">
        <v>32</v>
      </c>
      <c r="S12" s="4"/>
      <c r="T12" s="10"/>
      <c r="U12" s="10"/>
      <c r="V12" s="4"/>
      <c r="W12" s="4"/>
      <c r="X12" s="4"/>
      <c r="Y12" s="4"/>
      <c r="Z12" s="4"/>
      <c r="AA12" s="4"/>
      <c r="AB12" s="4"/>
      <c r="AC12" s="4"/>
      <c r="AD12" s="4"/>
      <c r="AE12" s="4"/>
      <c r="AF12" s="4"/>
      <c r="AG12" s="4"/>
      <c r="AH12" s="4"/>
      <c r="AI12" s="4"/>
      <c r="AJ12" s="4"/>
      <c r="AK12" s="4"/>
    </row>
    <row r="13" spans="1:37" ht="70" customHeight="1" x14ac:dyDescent="0.2">
      <c r="A13" s="107">
        <v>41306</v>
      </c>
      <c r="B13" s="4" t="s">
        <v>77</v>
      </c>
      <c r="C13" s="163" t="s">
        <v>1156</v>
      </c>
      <c r="D13" s="4" t="s">
        <v>1165</v>
      </c>
      <c r="E13" s="4" t="s">
        <v>24</v>
      </c>
      <c r="F13" s="4" t="s">
        <v>78</v>
      </c>
      <c r="G13" s="4" t="s">
        <v>35</v>
      </c>
      <c r="H13" s="4" t="s">
        <v>27</v>
      </c>
      <c r="I13" s="4" t="s">
        <v>28</v>
      </c>
      <c r="J13" s="4" t="s">
        <v>28</v>
      </c>
      <c r="K13" s="4" t="s">
        <v>28</v>
      </c>
      <c r="L13" s="4" t="s">
        <v>1069</v>
      </c>
      <c r="M13" s="4" t="s">
        <v>79</v>
      </c>
      <c r="N13" s="4" t="s">
        <v>80</v>
      </c>
      <c r="O13" s="4" t="s">
        <v>81</v>
      </c>
      <c r="P13" s="16"/>
      <c r="Q13" s="11"/>
      <c r="R13" s="4" t="s">
        <v>32</v>
      </c>
      <c r="S13" s="4"/>
      <c r="T13" s="7"/>
      <c r="U13" s="4"/>
      <c r="V13" s="4"/>
      <c r="W13" s="4"/>
      <c r="X13" s="4"/>
      <c r="Y13" s="4"/>
      <c r="Z13" s="4"/>
      <c r="AA13" s="4"/>
      <c r="AB13" s="4"/>
      <c r="AC13" s="4"/>
      <c r="AD13" s="4"/>
      <c r="AE13" s="4"/>
      <c r="AF13" s="4"/>
      <c r="AG13" s="4"/>
      <c r="AH13" s="4"/>
      <c r="AI13" s="4"/>
      <c r="AJ13" s="4"/>
      <c r="AK13" s="4"/>
    </row>
    <row r="14" spans="1:37" ht="70" customHeight="1" x14ac:dyDescent="0.2">
      <c r="A14" s="107">
        <v>41306</v>
      </c>
      <c r="B14" s="4" t="s">
        <v>82</v>
      </c>
      <c r="C14" s="163" t="s">
        <v>1156</v>
      </c>
      <c r="D14" s="4" t="s">
        <v>1165</v>
      </c>
      <c r="E14" s="4" t="s">
        <v>53</v>
      </c>
      <c r="F14" s="4" t="s">
        <v>83</v>
      </c>
      <c r="G14" s="4" t="s">
        <v>72</v>
      </c>
      <c r="H14" s="4" t="s">
        <v>27</v>
      </c>
      <c r="I14" s="4" t="s">
        <v>28</v>
      </c>
      <c r="J14" s="4" t="s">
        <v>28</v>
      </c>
      <c r="K14" s="4" t="s">
        <v>28</v>
      </c>
      <c r="L14" s="4" t="s">
        <v>1069</v>
      </c>
      <c r="M14" s="4" t="s">
        <v>55</v>
      </c>
      <c r="N14" s="4"/>
      <c r="O14" s="4" t="s">
        <v>81</v>
      </c>
      <c r="P14" s="17"/>
      <c r="Q14" s="12"/>
      <c r="R14" s="4" t="s">
        <v>32</v>
      </c>
      <c r="S14" s="4"/>
      <c r="T14" s="7"/>
      <c r="U14" s="7"/>
      <c r="V14" s="4"/>
      <c r="W14" s="4"/>
      <c r="X14" s="4"/>
      <c r="Y14" s="4"/>
      <c r="Z14" s="4"/>
      <c r="AA14" s="4"/>
      <c r="AB14" s="4"/>
      <c r="AC14" s="4"/>
      <c r="AD14" s="4"/>
      <c r="AE14" s="4"/>
      <c r="AF14" s="4"/>
      <c r="AG14" s="4"/>
      <c r="AH14" s="4"/>
      <c r="AI14" s="4"/>
      <c r="AJ14" s="4"/>
      <c r="AK14" s="4"/>
    </row>
    <row r="15" spans="1:37" ht="70" customHeight="1" x14ac:dyDescent="0.2">
      <c r="A15" s="107">
        <v>41640</v>
      </c>
      <c r="B15" s="4" t="s">
        <v>84</v>
      </c>
      <c r="C15" s="163" t="s">
        <v>1156</v>
      </c>
      <c r="D15" s="4" t="s">
        <v>1165</v>
      </c>
      <c r="E15" s="4" t="s">
        <v>24</v>
      </c>
      <c r="F15" s="11" t="s">
        <v>85</v>
      </c>
      <c r="G15" s="4" t="s">
        <v>35</v>
      </c>
      <c r="H15" s="4" t="s">
        <v>27</v>
      </c>
      <c r="I15" s="4" t="s">
        <v>28</v>
      </c>
      <c r="J15" s="4" t="s">
        <v>28</v>
      </c>
      <c r="K15" s="4" t="s">
        <v>28</v>
      </c>
      <c r="L15" s="4" t="s">
        <v>1069</v>
      </c>
      <c r="M15" s="4" t="s">
        <v>79</v>
      </c>
      <c r="N15" s="4" t="s">
        <v>80</v>
      </c>
      <c r="O15" s="4" t="s">
        <v>86</v>
      </c>
      <c r="P15" s="4"/>
      <c r="Q15" s="4"/>
      <c r="R15" s="4" t="s">
        <v>32</v>
      </c>
      <c r="S15" s="4"/>
      <c r="T15" s="10"/>
      <c r="U15" s="4"/>
      <c r="V15" s="4"/>
      <c r="W15" s="4"/>
      <c r="X15" s="4"/>
      <c r="Y15" s="4"/>
      <c r="Z15" s="4"/>
      <c r="AA15" s="4"/>
      <c r="AB15" s="4"/>
      <c r="AC15" s="4"/>
      <c r="AD15" s="4"/>
      <c r="AE15" s="4"/>
      <c r="AF15" s="4"/>
      <c r="AG15" s="4"/>
      <c r="AH15" s="4"/>
      <c r="AI15" s="4"/>
      <c r="AJ15" s="4"/>
      <c r="AK15" s="4"/>
    </row>
    <row r="16" spans="1:37" ht="70" customHeight="1" x14ac:dyDescent="0.2">
      <c r="A16" s="107">
        <v>41774</v>
      </c>
      <c r="B16" s="4" t="s">
        <v>87</v>
      </c>
      <c r="C16" s="163" t="s">
        <v>1156</v>
      </c>
      <c r="D16" s="4" t="s">
        <v>1166</v>
      </c>
      <c r="E16" s="4" t="s">
        <v>37</v>
      </c>
      <c r="F16" s="4" t="s">
        <v>88</v>
      </c>
      <c r="G16" s="9" t="s">
        <v>26</v>
      </c>
      <c r="H16" s="9" t="s">
        <v>27</v>
      </c>
      <c r="I16" s="4" t="s">
        <v>28</v>
      </c>
      <c r="J16" s="4" t="s">
        <v>28</v>
      </c>
      <c r="K16" s="4" t="s">
        <v>28</v>
      </c>
      <c r="L16" s="4" t="s">
        <v>1088</v>
      </c>
      <c r="M16" s="4" t="s">
        <v>28</v>
      </c>
      <c r="N16" s="4" t="s">
        <v>89</v>
      </c>
      <c r="O16" s="4" t="s">
        <v>90</v>
      </c>
      <c r="P16" s="4"/>
      <c r="Q16" s="4"/>
      <c r="R16" s="4" t="s">
        <v>32</v>
      </c>
      <c r="S16" s="4"/>
      <c r="T16" s="7"/>
      <c r="U16" s="10"/>
      <c r="V16" s="18"/>
      <c r="W16" s="4"/>
      <c r="X16" s="4"/>
      <c r="Y16" s="4"/>
      <c r="Z16" s="4"/>
      <c r="AA16" s="4"/>
      <c r="AB16" s="4"/>
      <c r="AC16" s="4"/>
      <c r="AD16" s="4"/>
      <c r="AE16" s="4"/>
      <c r="AF16" s="4"/>
      <c r="AG16" s="4"/>
      <c r="AH16" s="4"/>
      <c r="AI16" s="4"/>
      <c r="AJ16" s="4"/>
      <c r="AK16" s="4"/>
    </row>
    <row r="17" spans="1:37" ht="70" customHeight="1" x14ac:dyDescent="0.2">
      <c r="A17" s="107">
        <v>41776</v>
      </c>
      <c r="B17" s="4" t="s">
        <v>91</v>
      </c>
      <c r="C17" s="163" t="s">
        <v>1156</v>
      </c>
      <c r="D17" s="4" t="s">
        <v>1166</v>
      </c>
      <c r="E17" s="4" t="s">
        <v>53</v>
      </c>
      <c r="F17" s="4" t="s">
        <v>92</v>
      </c>
      <c r="G17" s="4" t="s">
        <v>72</v>
      </c>
      <c r="H17" s="4" t="s">
        <v>27</v>
      </c>
      <c r="I17" s="4" t="s">
        <v>28</v>
      </c>
      <c r="J17" s="4" t="s">
        <v>28</v>
      </c>
      <c r="K17" s="4" t="s">
        <v>28</v>
      </c>
      <c r="L17" s="4" t="s">
        <v>1088</v>
      </c>
      <c r="M17" s="4" t="s">
        <v>55</v>
      </c>
      <c r="N17" s="4"/>
      <c r="O17" s="4" t="s">
        <v>90</v>
      </c>
      <c r="P17" s="4"/>
      <c r="Q17" s="4"/>
      <c r="R17" s="4" t="s">
        <v>32</v>
      </c>
      <c r="S17" s="4"/>
      <c r="T17" s="10"/>
      <c r="U17" s="4"/>
      <c r="V17" s="4"/>
      <c r="W17" s="4"/>
      <c r="X17" s="4"/>
      <c r="Y17" s="4"/>
      <c r="Z17" s="4"/>
      <c r="AA17" s="4"/>
      <c r="AB17" s="4"/>
      <c r="AC17" s="4"/>
      <c r="AD17" s="4"/>
      <c r="AE17" s="4"/>
      <c r="AF17" s="4"/>
      <c r="AG17" s="4"/>
      <c r="AH17" s="4"/>
      <c r="AI17" s="4"/>
      <c r="AJ17" s="4"/>
      <c r="AK17" s="4"/>
    </row>
    <row r="18" spans="1:37" ht="70" customHeight="1" x14ac:dyDescent="0.2">
      <c r="A18" s="107">
        <v>41849</v>
      </c>
      <c r="B18" s="4" t="s">
        <v>93</v>
      </c>
      <c r="C18" s="163" t="s">
        <v>1118</v>
      </c>
      <c r="D18" s="4" t="s">
        <v>1165</v>
      </c>
      <c r="E18" s="4" t="s">
        <v>61</v>
      </c>
      <c r="F18" s="4" t="s">
        <v>94</v>
      </c>
      <c r="G18" s="4" t="s">
        <v>49</v>
      </c>
      <c r="H18" s="4" t="s">
        <v>27</v>
      </c>
      <c r="I18" s="4" t="s">
        <v>28</v>
      </c>
      <c r="J18" s="4" t="s">
        <v>28</v>
      </c>
      <c r="K18" s="4" t="s">
        <v>95</v>
      </c>
      <c r="L18" s="4" t="s">
        <v>96</v>
      </c>
      <c r="M18" s="4" t="s">
        <v>97</v>
      </c>
      <c r="N18" s="4"/>
      <c r="O18" s="4" t="s">
        <v>98</v>
      </c>
      <c r="P18" s="4"/>
      <c r="Q18" s="4"/>
      <c r="R18" s="4" t="s">
        <v>32</v>
      </c>
      <c r="S18" s="4"/>
      <c r="T18" s="7"/>
      <c r="U18" s="7"/>
      <c r="V18" s="4"/>
      <c r="W18" s="4"/>
      <c r="X18" s="4"/>
      <c r="Y18" s="4"/>
      <c r="Z18" s="4"/>
      <c r="AA18" s="4"/>
      <c r="AB18" s="4"/>
      <c r="AC18" s="4"/>
      <c r="AD18" s="4"/>
      <c r="AE18" s="4"/>
      <c r="AF18" s="4"/>
      <c r="AG18" s="4"/>
      <c r="AH18" s="4"/>
      <c r="AI18" s="4"/>
      <c r="AJ18" s="4"/>
      <c r="AK18" s="4"/>
    </row>
    <row r="19" spans="1:37" ht="70" customHeight="1" x14ac:dyDescent="0.2">
      <c r="A19" s="107">
        <v>41894</v>
      </c>
      <c r="B19" s="4" t="s">
        <v>99</v>
      </c>
      <c r="C19" s="163" t="s">
        <v>1156</v>
      </c>
      <c r="D19" s="4" t="s">
        <v>1166</v>
      </c>
      <c r="E19" s="4" t="s">
        <v>53</v>
      </c>
      <c r="F19" s="4" t="s">
        <v>100</v>
      </c>
      <c r="G19" s="4" t="s">
        <v>72</v>
      </c>
      <c r="H19" s="4" t="s">
        <v>27</v>
      </c>
      <c r="I19" s="4" t="s">
        <v>28</v>
      </c>
      <c r="J19" s="4" t="s">
        <v>28</v>
      </c>
      <c r="K19" s="4" t="s">
        <v>28</v>
      </c>
      <c r="L19" s="4" t="s">
        <v>1073</v>
      </c>
      <c r="M19" s="4" t="s">
        <v>55</v>
      </c>
      <c r="N19" s="4"/>
      <c r="O19" s="4" t="s">
        <v>101</v>
      </c>
      <c r="P19" s="4"/>
      <c r="Q19" s="4"/>
      <c r="R19" s="4" t="s">
        <v>32</v>
      </c>
      <c r="S19" s="4"/>
      <c r="T19" s="19"/>
      <c r="U19" s="7"/>
      <c r="V19" s="4"/>
      <c r="W19" s="4"/>
      <c r="X19" s="4"/>
      <c r="Y19" s="4"/>
      <c r="Z19" s="4"/>
      <c r="AA19" s="4"/>
      <c r="AB19" s="4"/>
      <c r="AC19" s="4"/>
      <c r="AD19" s="4"/>
      <c r="AE19" s="4"/>
      <c r="AF19" s="4"/>
      <c r="AG19" s="4"/>
      <c r="AH19" s="4"/>
      <c r="AI19" s="4"/>
      <c r="AJ19" s="4"/>
      <c r="AK19" s="4"/>
    </row>
    <row r="20" spans="1:37" ht="70" customHeight="1" x14ac:dyDescent="0.2">
      <c r="A20" s="107">
        <v>42370</v>
      </c>
      <c r="B20" s="9" t="s">
        <v>102</v>
      </c>
      <c r="C20" s="163" t="s">
        <v>1156</v>
      </c>
      <c r="D20" s="9" t="s">
        <v>1169</v>
      </c>
      <c r="E20" s="4" t="s">
        <v>70</v>
      </c>
      <c r="F20" s="4" t="s">
        <v>103</v>
      </c>
      <c r="G20" s="4" t="s">
        <v>72</v>
      </c>
      <c r="H20" s="4" t="s">
        <v>27</v>
      </c>
      <c r="I20" s="4" t="s">
        <v>28</v>
      </c>
      <c r="J20" s="4" t="s">
        <v>28</v>
      </c>
      <c r="K20" s="4" t="s">
        <v>104</v>
      </c>
      <c r="L20" s="4" t="s">
        <v>1077</v>
      </c>
      <c r="M20" s="4" t="s">
        <v>105</v>
      </c>
      <c r="N20" s="4"/>
      <c r="O20" s="4" t="s">
        <v>106</v>
      </c>
      <c r="P20" s="4"/>
      <c r="Q20" s="4"/>
      <c r="R20" s="20" t="s">
        <v>107</v>
      </c>
      <c r="S20" s="20" t="s">
        <v>108</v>
      </c>
      <c r="T20" s="10"/>
      <c r="U20" s="4"/>
      <c r="V20" s="4"/>
      <c r="W20" s="4"/>
      <c r="X20" s="4"/>
      <c r="Y20" s="4"/>
      <c r="Z20" s="4"/>
      <c r="AA20" s="4"/>
      <c r="AB20" s="4"/>
      <c r="AC20" s="4"/>
      <c r="AD20" s="4"/>
      <c r="AE20" s="4"/>
      <c r="AF20" s="4"/>
      <c r="AG20" s="4"/>
      <c r="AH20" s="4"/>
      <c r="AI20" s="4"/>
      <c r="AJ20" s="4"/>
      <c r="AK20" s="4"/>
    </row>
    <row r="21" spans="1:37" ht="70" customHeight="1" x14ac:dyDescent="0.2">
      <c r="A21" s="107">
        <v>42468</v>
      </c>
      <c r="B21" s="4" t="s">
        <v>109</v>
      </c>
      <c r="C21" s="163" t="s">
        <v>1156</v>
      </c>
      <c r="D21" s="9" t="s">
        <v>1171</v>
      </c>
      <c r="E21" s="4" t="s">
        <v>53</v>
      </c>
      <c r="F21" s="4" t="s">
        <v>110</v>
      </c>
      <c r="G21" s="4" t="s">
        <v>35</v>
      </c>
      <c r="H21" s="4" t="s">
        <v>27</v>
      </c>
      <c r="I21" s="4" t="s">
        <v>28</v>
      </c>
      <c r="J21" s="4" t="s">
        <v>28</v>
      </c>
      <c r="K21" s="4" t="s">
        <v>28</v>
      </c>
      <c r="L21" s="4" t="s">
        <v>1080</v>
      </c>
      <c r="M21" s="4" t="s">
        <v>55</v>
      </c>
      <c r="N21" s="4"/>
      <c r="O21" s="4" t="s">
        <v>111</v>
      </c>
      <c r="P21" s="4"/>
      <c r="Q21" s="4"/>
      <c r="R21" s="4" t="s">
        <v>32</v>
      </c>
      <c r="S21" s="4"/>
      <c r="T21" s="10"/>
      <c r="U21" s="7"/>
      <c r="V21" s="7"/>
      <c r="W21" s="7"/>
      <c r="X21" s="4"/>
      <c r="Y21" s="4"/>
      <c r="Z21" s="4"/>
      <c r="AA21" s="4"/>
      <c r="AB21" s="4"/>
      <c r="AC21" s="4"/>
      <c r="AD21" s="4"/>
      <c r="AE21" s="4"/>
      <c r="AF21" s="4"/>
      <c r="AG21" s="4"/>
      <c r="AH21" s="4"/>
      <c r="AI21" s="4"/>
      <c r="AJ21" s="4"/>
      <c r="AK21" s="4"/>
    </row>
    <row r="22" spans="1:37" ht="70" customHeight="1" x14ac:dyDescent="0.2">
      <c r="A22" s="107">
        <v>42563</v>
      </c>
      <c r="B22" s="4" t="s">
        <v>112</v>
      </c>
      <c r="C22" s="163" t="s">
        <v>1156</v>
      </c>
      <c r="D22" s="4" t="s">
        <v>1166</v>
      </c>
      <c r="E22" s="4" t="s">
        <v>53</v>
      </c>
      <c r="F22" s="4" t="s">
        <v>113</v>
      </c>
      <c r="G22" s="4" t="s">
        <v>26</v>
      </c>
      <c r="H22" s="4" t="s">
        <v>27</v>
      </c>
      <c r="I22" s="4" t="s">
        <v>28</v>
      </c>
      <c r="J22" s="4" t="s">
        <v>28</v>
      </c>
      <c r="K22" s="4" t="s">
        <v>28</v>
      </c>
      <c r="L22" s="4" t="s">
        <v>1073</v>
      </c>
      <c r="M22" s="4" t="s">
        <v>55</v>
      </c>
      <c r="N22" s="4"/>
      <c r="O22" s="4" t="s">
        <v>114</v>
      </c>
      <c r="P22" s="4"/>
      <c r="Q22" s="4"/>
      <c r="R22" s="4" t="s">
        <v>32</v>
      </c>
      <c r="S22" s="4"/>
      <c r="T22" s="7"/>
      <c r="U22" s="4"/>
      <c r="V22" s="4"/>
      <c r="W22" s="4"/>
      <c r="X22" s="4"/>
      <c r="Y22" s="4"/>
      <c r="Z22" s="4"/>
      <c r="AA22" s="4"/>
      <c r="AB22" s="4"/>
      <c r="AC22" s="4"/>
      <c r="AD22" s="4"/>
      <c r="AE22" s="4"/>
      <c r="AF22" s="4"/>
      <c r="AG22" s="4"/>
      <c r="AH22" s="4"/>
      <c r="AI22" s="4"/>
      <c r="AJ22" s="4"/>
      <c r="AK22" s="4"/>
    </row>
    <row r="23" spans="1:37" ht="70" customHeight="1" x14ac:dyDescent="0.2">
      <c r="A23" s="107">
        <v>42565</v>
      </c>
      <c r="B23" s="4" t="s">
        <v>115</v>
      </c>
      <c r="C23" s="163" t="s">
        <v>1156</v>
      </c>
      <c r="D23" s="4" t="s">
        <v>1166</v>
      </c>
      <c r="E23" s="4" t="s">
        <v>70</v>
      </c>
      <c r="F23" s="4" t="s">
        <v>116</v>
      </c>
      <c r="G23" s="4" t="s">
        <v>72</v>
      </c>
      <c r="H23" s="4" t="s">
        <v>27</v>
      </c>
      <c r="I23" s="4" t="s">
        <v>28</v>
      </c>
      <c r="J23" s="4" t="s">
        <v>28</v>
      </c>
      <c r="K23" s="4" t="s">
        <v>28</v>
      </c>
      <c r="L23" s="4" t="s">
        <v>1073</v>
      </c>
      <c r="M23" s="4" t="s">
        <v>117</v>
      </c>
      <c r="N23" s="4"/>
      <c r="O23" s="4"/>
      <c r="P23" s="4"/>
      <c r="Q23" s="21"/>
      <c r="R23" s="4" t="s">
        <v>32</v>
      </c>
      <c r="S23" s="4"/>
      <c r="T23" s="22"/>
      <c r="U23" s="4"/>
      <c r="V23" s="4"/>
      <c r="W23" s="4"/>
      <c r="X23" s="4"/>
      <c r="Y23" s="4"/>
      <c r="Z23" s="4"/>
      <c r="AA23" s="4"/>
      <c r="AB23" s="4"/>
      <c r="AC23" s="4"/>
      <c r="AD23" s="4"/>
      <c r="AE23" s="4"/>
      <c r="AF23" s="4"/>
      <c r="AG23" s="4"/>
      <c r="AH23" s="4"/>
      <c r="AI23" s="4"/>
      <c r="AJ23" s="4"/>
      <c r="AK23" s="21"/>
    </row>
    <row r="24" spans="1:37" ht="70" customHeight="1" x14ac:dyDescent="0.2">
      <c r="A24" s="107">
        <v>42570</v>
      </c>
      <c r="B24" s="4" t="s">
        <v>118</v>
      </c>
      <c r="C24" s="163" t="s">
        <v>1156</v>
      </c>
      <c r="D24" s="4" t="s">
        <v>1166</v>
      </c>
      <c r="E24" s="4" t="s">
        <v>70</v>
      </c>
      <c r="F24" s="4" t="s">
        <v>119</v>
      </c>
      <c r="G24" s="4" t="s">
        <v>72</v>
      </c>
      <c r="H24" s="4" t="s">
        <v>27</v>
      </c>
      <c r="I24" s="4" t="s">
        <v>28</v>
      </c>
      <c r="J24" s="4" t="s">
        <v>28</v>
      </c>
      <c r="K24" s="4" t="s">
        <v>120</v>
      </c>
      <c r="L24" s="4" t="s">
        <v>96</v>
      </c>
      <c r="M24" s="4" t="s">
        <v>121</v>
      </c>
      <c r="N24" s="4"/>
      <c r="O24" s="4" t="s">
        <v>122</v>
      </c>
      <c r="P24" s="4"/>
      <c r="Q24" s="4"/>
      <c r="R24" s="23" t="s">
        <v>123</v>
      </c>
      <c r="S24" s="20" t="s">
        <v>124</v>
      </c>
      <c r="T24" s="10"/>
      <c r="U24" s="4"/>
      <c r="V24" s="4"/>
      <c r="W24" s="4"/>
      <c r="X24" s="4"/>
      <c r="Y24" s="4"/>
      <c r="Z24" s="4"/>
      <c r="AA24" s="4"/>
      <c r="AB24" s="4"/>
      <c r="AC24" s="4"/>
      <c r="AD24" s="4"/>
      <c r="AE24" s="4"/>
      <c r="AF24" s="4"/>
      <c r="AG24" s="4"/>
      <c r="AH24" s="4"/>
      <c r="AI24" s="4"/>
      <c r="AJ24" s="4"/>
      <c r="AK24" s="4"/>
    </row>
    <row r="25" spans="1:37" ht="70" customHeight="1" x14ac:dyDescent="0.2">
      <c r="A25" s="107">
        <v>42614</v>
      </c>
      <c r="B25" s="4" t="s">
        <v>125</v>
      </c>
      <c r="C25" s="163" t="s">
        <v>1156</v>
      </c>
      <c r="D25" s="4" t="s">
        <v>1172</v>
      </c>
      <c r="E25" s="4" t="s">
        <v>37</v>
      </c>
      <c r="F25" s="4" t="s">
        <v>126</v>
      </c>
      <c r="G25" s="4" t="s">
        <v>49</v>
      </c>
      <c r="H25" s="4" t="s">
        <v>27</v>
      </c>
      <c r="I25" s="4" t="s">
        <v>28</v>
      </c>
      <c r="J25" s="4" t="s">
        <v>28</v>
      </c>
      <c r="K25" s="4" t="s">
        <v>28</v>
      </c>
      <c r="L25" s="4" t="s">
        <v>1091</v>
      </c>
      <c r="M25" s="4" t="s">
        <v>40</v>
      </c>
      <c r="N25" s="4" t="s">
        <v>46</v>
      </c>
      <c r="O25" s="4" t="s">
        <v>127</v>
      </c>
      <c r="P25" s="4"/>
      <c r="Q25" s="4"/>
      <c r="R25" s="4" t="s">
        <v>32</v>
      </c>
      <c r="S25" s="4"/>
      <c r="T25" s="7"/>
      <c r="U25" s="7"/>
      <c r="V25" s="7"/>
      <c r="W25" s="7"/>
      <c r="X25" s="4"/>
      <c r="Y25" s="4"/>
      <c r="Z25" s="4"/>
      <c r="AA25" s="4"/>
      <c r="AB25" s="4"/>
      <c r="AC25" s="4"/>
      <c r="AD25" s="4"/>
      <c r="AE25" s="4"/>
      <c r="AF25" s="4"/>
      <c r="AG25" s="4"/>
      <c r="AH25" s="4"/>
      <c r="AI25" s="4"/>
      <c r="AJ25" s="4"/>
      <c r="AK25" s="4"/>
    </row>
    <row r="26" spans="1:37" ht="70" customHeight="1" x14ac:dyDescent="0.2">
      <c r="A26" s="107">
        <v>42675</v>
      </c>
      <c r="B26" s="4" t="s">
        <v>128</v>
      </c>
      <c r="C26" s="163" t="s">
        <v>1156</v>
      </c>
      <c r="D26" s="4" t="s">
        <v>1165</v>
      </c>
      <c r="E26" s="4" t="s">
        <v>61</v>
      </c>
      <c r="F26" s="4" t="s">
        <v>129</v>
      </c>
      <c r="G26" s="9" t="s">
        <v>130</v>
      </c>
      <c r="H26" s="9" t="s">
        <v>27</v>
      </c>
      <c r="I26" s="4" t="s">
        <v>28</v>
      </c>
      <c r="J26" s="4" t="s">
        <v>28</v>
      </c>
      <c r="K26" s="4" t="s">
        <v>28</v>
      </c>
      <c r="L26" s="4" t="s">
        <v>1077</v>
      </c>
      <c r="M26" s="4" t="s">
        <v>105</v>
      </c>
      <c r="N26" s="4" t="s">
        <v>131</v>
      </c>
      <c r="O26" s="4" t="s">
        <v>132</v>
      </c>
      <c r="P26" s="4"/>
      <c r="Q26" s="4"/>
      <c r="R26" s="4" t="s">
        <v>32</v>
      </c>
      <c r="S26" s="4"/>
      <c r="T26" s="7"/>
      <c r="U26" s="7"/>
      <c r="V26" s="7"/>
      <c r="W26" s="7"/>
      <c r="X26" s="7"/>
      <c r="Y26" s="4"/>
      <c r="Z26" s="4"/>
      <c r="AA26" s="4"/>
      <c r="AB26" s="4"/>
      <c r="AC26" s="4"/>
      <c r="AD26" s="4"/>
      <c r="AE26" s="4"/>
      <c r="AF26" s="4"/>
      <c r="AG26" s="4"/>
      <c r="AH26" s="4"/>
      <c r="AI26" s="4"/>
      <c r="AJ26" s="4"/>
      <c r="AK26" s="4"/>
    </row>
    <row r="27" spans="1:37" ht="70" customHeight="1" x14ac:dyDescent="0.2">
      <c r="A27" s="107">
        <v>42705</v>
      </c>
      <c r="B27" s="4" t="s">
        <v>133</v>
      </c>
      <c r="C27" s="163" t="s">
        <v>1156</v>
      </c>
      <c r="D27" s="4" t="s">
        <v>1170</v>
      </c>
      <c r="E27" s="4" t="s">
        <v>37</v>
      </c>
      <c r="F27" s="4" t="s">
        <v>134</v>
      </c>
      <c r="G27" s="4" t="s">
        <v>49</v>
      </c>
      <c r="H27" s="4" t="s">
        <v>27</v>
      </c>
      <c r="I27" s="4" t="s">
        <v>28</v>
      </c>
      <c r="J27" s="4" t="s">
        <v>28</v>
      </c>
      <c r="K27" s="4" t="s">
        <v>28</v>
      </c>
      <c r="L27" s="4" t="s">
        <v>1066</v>
      </c>
      <c r="M27" s="4" t="s">
        <v>29</v>
      </c>
      <c r="N27" s="4" t="s">
        <v>135</v>
      </c>
      <c r="O27" s="4" t="s">
        <v>136</v>
      </c>
      <c r="P27" s="4"/>
      <c r="Q27" s="4"/>
      <c r="R27" s="4" t="s">
        <v>32</v>
      </c>
      <c r="S27" s="4"/>
      <c r="T27" s="7"/>
      <c r="U27" s="4"/>
      <c r="V27" s="4"/>
      <c r="W27" s="4"/>
      <c r="X27" s="4"/>
      <c r="Y27" s="4"/>
      <c r="Z27" s="4"/>
      <c r="AA27" s="4"/>
      <c r="AB27" s="4"/>
      <c r="AC27" s="4"/>
      <c r="AD27" s="4"/>
      <c r="AE27" s="4"/>
      <c r="AF27" s="4"/>
      <c r="AG27" s="4"/>
      <c r="AH27" s="4"/>
      <c r="AI27" s="4"/>
      <c r="AJ27" s="4"/>
      <c r="AK27" s="4"/>
    </row>
    <row r="28" spans="1:37" ht="70" customHeight="1" x14ac:dyDescent="0.2">
      <c r="A28" s="107">
        <v>42705</v>
      </c>
      <c r="B28" s="4" t="s">
        <v>137</v>
      </c>
      <c r="C28" s="163" t="s">
        <v>1156</v>
      </c>
      <c r="D28" s="4" t="s">
        <v>1170</v>
      </c>
      <c r="E28" s="4" t="s">
        <v>37</v>
      </c>
      <c r="F28" s="4" t="s">
        <v>138</v>
      </c>
      <c r="G28" s="4" t="s">
        <v>26</v>
      </c>
      <c r="H28" s="4" t="s">
        <v>27</v>
      </c>
      <c r="I28" s="4" t="s">
        <v>28</v>
      </c>
      <c r="J28" s="4" t="s">
        <v>28</v>
      </c>
      <c r="K28" s="4" t="s">
        <v>28</v>
      </c>
      <c r="L28" s="4" t="s">
        <v>1066</v>
      </c>
      <c r="M28" s="4" t="s">
        <v>29</v>
      </c>
      <c r="N28" s="4" t="s">
        <v>139</v>
      </c>
      <c r="O28" s="4" t="s">
        <v>136</v>
      </c>
      <c r="P28" s="4"/>
      <c r="Q28" s="4"/>
      <c r="R28" s="4" t="s">
        <v>32</v>
      </c>
      <c r="S28" s="4"/>
      <c r="T28" s="7"/>
      <c r="U28" s="7"/>
      <c r="V28" s="4"/>
      <c r="W28" s="4"/>
      <c r="X28" s="4"/>
      <c r="Y28" s="4"/>
      <c r="Z28" s="4"/>
      <c r="AA28" s="4"/>
      <c r="AB28" s="4"/>
      <c r="AC28" s="4"/>
      <c r="AD28" s="4"/>
      <c r="AE28" s="4"/>
      <c r="AF28" s="4"/>
      <c r="AG28" s="4"/>
      <c r="AH28" s="4"/>
      <c r="AI28" s="4"/>
      <c r="AJ28" s="4"/>
      <c r="AK28" s="4"/>
    </row>
    <row r="29" spans="1:37" ht="70" customHeight="1" x14ac:dyDescent="0.2">
      <c r="A29" s="107">
        <v>42705</v>
      </c>
      <c r="B29" s="4" t="s">
        <v>140</v>
      </c>
      <c r="C29" s="163" t="s">
        <v>1156</v>
      </c>
      <c r="D29" s="4" t="s">
        <v>1165</v>
      </c>
      <c r="E29" s="4" t="s">
        <v>61</v>
      </c>
      <c r="F29" s="4" t="s">
        <v>141</v>
      </c>
      <c r="G29" s="9" t="s">
        <v>49</v>
      </c>
      <c r="H29" s="9" t="s">
        <v>27</v>
      </c>
      <c r="I29" s="9" t="s">
        <v>142</v>
      </c>
      <c r="J29" s="4" t="s">
        <v>28</v>
      </c>
      <c r="K29" s="4" t="s">
        <v>143</v>
      </c>
      <c r="L29" s="4" t="s">
        <v>1077</v>
      </c>
      <c r="M29" s="4" t="s">
        <v>144</v>
      </c>
      <c r="N29" s="4" t="s">
        <v>145</v>
      </c>
      <c r="O29" s="4" t="s">
        <v>132</v>
      </c>
      <c r="P29" s="4"/>
      <c r="Q29" s="4"/>
      <c r="R29" s="4" t="s">
        <v>32</v>
      </c>
      <c r="S29" s="8"/>
      <c r="T29" s="7"/>
      <c r="U29" s="7"/>
      <c r="V29" s="7"/>
      <c r="W29" s="7"/>
      <c r="X29" s="7"/>
      <c r="Y29" s="4"/>
      <c r="Z29" s="4"/>
      <c r="AA29" s="4"/>
      <c r="AB29" s="4"/>
      <c r="AC29" s="4"/>
      <c r="AD29" s="4"/>
      <c r="AE29" s="4"/>
      <c r="AF29" s="4"/>
      <c r="AG29" s="4"/>
      <c r="AH29" s="4"/>
      <c r="AI29" s="4"/>
      <c r="AJ29" s="4"/>
      <c r="AK29" s="4"/>
    </row>
    <row r="30" spans="1:37" ht="70" customHeight="1" x14ac:dyDescent="0.2">
      <c r="A30" s="107">
        <v>42755</v>
      </c>
      <c r="B30" s="4" t="s">
        <v>146</v>
      </c>
      <c r="C30" s="163" t="s">
        <v>1156</v>
      </c>
      <c r="D30" s="4" t="s">
        <v>1165</v>
      </c>
      <c r="E30" s="4" t="s">
        <v>37</v>
      </c>
      <c r="F30" s="4" t="s">
        <v>147</v>
      </c>
      <c r="G30" s="4" t="s">
        <v>49</v>
      </c>
      <c r="H30" s="4" t="s">
        <v>27</v>
      </c>
      <c r="I30" s="4" t="s">
        <v>148</v>
      </c>
      <c r="J30" s="4" t="s">
        <v>28</v>
      </c>
      <c r="K30" s="4" t="s">
        <v>28</v>
      </c>
      <c r="L30" s="4" t="s">
        <v>1077</v>
      </c>
      <c r="M30" s="4" t="s">
        <v>144</v>
      </c>
      <c r="N30" s="4" t="s">
        <v>149</v>
      </c>
      <c r="O30" s="4" t="s">
        <v>132</v>
      </c>
      <c r="P30" s="4"/>
      <c r="Q30" s="4"/>
      <c r="R30" s="4" t="s">
        <v>32</v>
      </c>
      <c r="S30" s="7"/>
      <c r="T30" s="7"/>
      <c r="U30" s="7"/>
      <c r="V30" s="7"/>
      <c r="W30" s="7"/>
      <c r="X30" s="7"/>
      <c r="Y30" s="4"/>
      <c r="Z30" s="4"/>
      <c r="AA30" s="4"/>
      <c r="AB30" s="4"/>
      <c r="AC30" s="4"/>
      <c r="AD30" s="4"/>
      <c r="AE30" s="4"/>
      <c r="AF30" s="4"/>
      <c r="AG30" s="4"/>
      <c r="AH30" s="4"/>
      <c r="AI30" s="4"/>
      <c r="AJ30" s="4"/>
      <c r="AK30" s="4"/>
    </row>
    <row r="31" spans="1:37" ht="70" customHeight="1" x14ac:dyDescent="0.2">
      <c r="A31" s="107">
        <v>42759</v>
      </c>
      <c r="B31" s="4" t="s">
        <v>150</v>
      </c>
      <c r="C31" s="163" t="s">
        <v>1156</v>
      </c>
      <c r="D31" s="4" t="s">
        <v>291</v>
      </c>
      <c r="E31" s="4" t="s">
        <v>70</v>
      </c>
      <c r="F31" s="4" t="s">
        <v>151</v>
      </c>
      <c r="G31" s="4" t="s">
        <v>72</v>
      </c>
      <c r="H31" s="4" t="s">
        <v>27</v>
      </c>
      <c r="I31" s="4" t="s">
        <v>28</v>
      </c>
      <c r="J31" s="4" t="s">
        <v>28</v>
      </c>
      <c r="K31" s="4" t="s">
        <v>152</v>
      </c>
      <c r="L31" s="4" t="s">
        <v>1057</v>
      </c>
      <c r="M31" s="4" t="s">
        <v>55</v>
      </c>
      <c r="N31" s="4"/>
      <c r="O31" s="4" t="s">
        <v>153</v>
      </c>
      <c r="P31" s="4"/>
      <c r="Q31" s="4"/>
      <c r="R31" s="20" t="s">
        <v>154</v>
      </c>
      <c r="S31" s="20" t="s">
        <v>155</v>
      </c>
      <c r="T31" s="10"/>
      <c r="U31" s="8"/>
      <c r="V31" s="7"/>
      <c r="W31" s="4"/>
      <c r="X31" s="4"/>
      <c r="Y31" s="4"/>
      <c r="Z31" s="4"/>
      <c r="AA31" s="4"/>
      <c r="AB31" s="4"/>
      <c r="AC31" s="4"/>
      <c r="AD31" s="4"/>
      <c r="AE31" s="4"/>
      <c r="AF31" s="4"/>
      <c r="AG31" s="4"/>
      <c r="AH31" s="4"/>
      <c r="AI31" s="4"/>
      <c r="AJ31" s="4"/>
      <c r="AK31" s="4"/>
    </row>
    <row r="32" spans="1:37" ht="70" customHeight="1" x14ac:dyDescent="0.2">
      <c r="A32" s="107">
        <v>42795</v>
      </c>
      <c r="B32" s="4" t="s">
        <v>156</v>
      </c>
      <c r="C32" s="163" t="s">
        <v>1156</v>
      </c>
      <c r="D32" s="4" t="s">
        <v>1165</v>
      </c>
      <c r="E32" s="4" t="s">
        <v>53</v>
      </c>
      <c r="F32" s="4" t="s">
        <v>157</v>
      </c>
      <c r="G32" s="4" t="s">
        <v>35</v>
      </c>
      <c r="H32" s="4" t="s">
        <v>27</v>
      </c>
      <c r="I32" s="4" t="s">
        <v>28</v>
      </c>
      <c r="J32" s="4" t="s">
        <v>28</v>
      </c>
      <c r="K32" s="4" t="s">
        <v>28</v>
      </c>
      <c r="L32" s="4" t="s">
        <v>1077</v>
      </c>
      <c r="M32" s="4" t="s">
        <v>55</v>
      </c>
      <c r="N32" s="4"/>
      <c r="O32" s="4" t="s">
        <v>132</v>
      </c>
      <c r="P32" s="4"/>
      <c r="Q32" s="4"/>
      <c r="R32" s="4" t="s">
        <v>32</v>
      </c>
      <c r="S32" s="4"/>
      <c r="T32" s="7"/>
      <c r="U32" s="7"/>
      <c r="V32" s="7"/>
      <c r="W32" s="7"/>
      <c r="X32" s="4"/>
      <c r="Y32" s="4"/>
      <c r="Z32" s="4"/>
      <c r="AA32" s="4"/>
      <c r="AB32" s="4"/>
      <c r="AC32" s="4"/>
      <c r="AD32" s="4"/>
      <c r="AE32" s="4"/>
      <c r="AF32" s="4"/>
      <c r="AG32" s="4"/>
      <c r="AH32" s="4"/>
      <c r="AI32" s="4"/>
      <c r="AJ32" s="4"/>
      <c r="AK32" s="4"/>
    </row>
    <row r="33" spans="1:37" ht="70" customHeight="1" x14ac:dyDescent="0.2">
      <c r="A33" s="107">
        <v>42795</v>
      </c>
      <c r="B33" s="4" t="s">
        <v>158</v>
      </c>
      <c r="C33" s="163" t="s">
        <v>1156</v>
      </c>
      <c r="D33" s="4" t="s">
        <v>1165</v>
      </c>
      <c r="E33" s="4" t="s">
        <v>70</v>
      </c>
      <c r="F33" s="4" t="s">
        <v>159</v>
      </c>
      <c r="G33" s="4" t="s">
        <v>72</v>
      </c>
      <c r="H33" s="4" t="s">
        <v>27</v>
      </c>
      <c r="I33" s="4" t="s">
        <v>28</v>
      </c>
      <c r="J33" s="4" t="s">
        <v>28</v>
      </c>
      <c r="K33" s="4" t="s">
        <v>28</v>
      </c>
      <c r="L33" s="4" t="s">
        <v>1077</v>
      </c>
      <c r="M33" s="4" t="s">
        <v>160</v>
      </c>
      <c r="N33" s="4"/>
      <c r="O33" s="4" t="s">
        <v>132</v>
      </c>
      <c r="P33" s="4"/>
      <c r="Q33" s="4"/>
      <c r="R33" s="4" t="s">
        <v>32</v>
      </c>
      <c r="S33" s="4"/>
      <c r="T33" s="7"/>
      <c r="U33" s="7"/>
      <c r="V33" s="7"/>
      <c r="W33" s="7"/>
      <c r="X33" s="4"/>
      <c r="Y33" s="4"/>
      <c r="Z33" s="4"/>
      <c r="AA33" s="4"/>
      <c r="AB33" s="4"/>
      <c r="AC33" s="4"/>
      <c r="AD33" s="4"/>
      <c r="AE33" s="4"/>
      <c r="AF33" s="4"/>
      <c r="AG33" s="4"/>
      <c r="AH33" s="4"/>
      <c r="AI33" s="4"/>
      <c r="AJ33" s="4"/>
      <c r="AK33" s="4"/>
    </row>
    <row r="34" spans="1:37" ht="70" customHeight="1" x14ac:dyDescent="0.2">
      <c r="A34" s="107">
        <v>42914</v>
      </c>
      <c r="B34" s="4" t="s">
        <v>161</v>
      </c>
      <c r="C34" s="163" t="s">
        <v>1156</v>
      </c>
      <c r="D34" s="4" t="s">
        <v>1165</v>
      </c>
      <c r="E34" s="4" t="s">
        <v>61</v>
      </c>
      <c r="F34" s="4" t="s">
        <v>162</v>
      </c>
      <c r="G34" s="4" t="s">
        <v>49</v>
      </c>
      <c r="H34" s="4" t="s">
        <v>27</v>
      </c>
      <c r="I34" s="4" t="s">
        <v>163</v>
      </c>
      <c r="J34" s="4" t="s">
        <v>28</v>
      </c>
      <c r="K34" s="4" t="s">
        <v>164</v>
      </c>
      <c r="L34" s="4" t="s">
        <v>1077</v>
      </c>
      <c r="M34" s="4" t="s">
        <v>165</v>
      </c>
      <c r="N34" s="4" t="s">
        <v>166</v>
      </c>
      <c r="O34" s="4" t="s">
        <v>132</v>
      </c>
      <c r="P34" s="4"/>
      <c r="Q34" s="4"/>
      <c r="R34" s="4" t="s">
        <v>32</v>
      </c>
      <c r="S34" s="4"/>
      <c r="T34" s="7"/>
      <c r="U34" s="7"/>
      <c r="V34" s="4"/>
      <c r="W34" s="4"/>
      <c r="X34" s="4"/>
      <c r="Y34" s="4"/>
      <c r="Z34" s="4"/>
      <c r="AA34" s="4"/>
      <c r="AB34" s="4"/>
      <c r="AC34" s="4"/>
      <c r="AD34" s="4"/>
      <c r="AE34" s="4"/>
      <c r="AF34" s="4"/>
      <c r="AG34" s="4"/>
      <c r="AH34" s="4"/>
      <c r="AI34" s="4"/>
      <c r="AJ34" s="4"/>
      <c r="AK34" s="4"/>
    </row>
    <row r="35" spans="1:37" ht="70" customHeight="1" x14ac:dyDescent="0.2">
      <c r="A35" s="107">
        <v>42942</v>
      </c>
      <c r="B35" s="4" t="s">
        <v>167</v>
      </c>
      <c r="C35" s="163" t="s">
        <v>1156</v>
      </c>
      <c r="D35" s="4" t="s">
        <v>1166</v>
      </c>
      <c r="E35" s="4" t="s">
        <v>37</v>
      </c>
      <c r="F35" s="4" t="s">
        <v>168</v>
      </c>
      <c r="G35" s="4" t="s">
        <v>49</v>
      </c>
      <c r="H35" s="4" t="s">
        <v>27</v>
      </c>
      <c r="I35" s="4" t="s">
        <v>28</v>
      </c>
      <c r="J35" s="4" t="s">
        <v>28</v>
      </c>
      <c r="K35" s="4" t="s">
        <v>28</v>
      </c>
      <c r="L35" s="4" t="s">
        <v>1091</v>
      </c>
      <c r="M35" s="4" t="s">
        <v>40</v>
      </c>
      <c r="N35" s="4"/>
      <c r="O35" s="4" t="s">
        <v>169</v>
      </c>
      <c r="P35" s="4"/>
      <c r="Q35" s="4"/>
      <c r="R35" s="4" t="s">
        <v>32</v>
      </c>
      <c r="S35" s="4"/>
      <c r="T35" s="10"/>
      <c r="U35" s="10"/>
      <c r="V35" s="10"/>
      <c r="W35" s="10"/>
      <c r="X35" s="10"/>
      <c r="Y35" s="4"/>
      <c r="Z35" s="4"/>
      <c r="AA35" s="4"/>
      <c r="AB35" s="4"/>
      <c r="AC35" s="4"/>
      <c r="AD35" s="4"/>
      <c r="AE35" s="4"/>
      <c r="AF35" s="4"/>
      <c r="AG35" s="4"/>
      <c r="AH35" s="4"/>
      <c r="AI35" s="4"/>
      <c r="AJ35" s="4"/>
      <c r="AK35" s="4"/>
    </row>
    <row r="36" spans="1:37" ht="70" customHeight="1" x14ac:dyDescent="0.2">
      <c r="A36" s="107">
        <v>43000</v>
      </c>
      <c r="B36" s="4" t="s">
        <v>170</v>
      </c>
      <c r="C36" s="163" t="s">
        <v>1156</v>
      </c>
      <c r="D36" s="4" t="s">
        <v>1165</v>
      </c>
      <c r="E36" s="4" t="s">
        <v>37</v>
      </c>
      <c r="F36" s="4" t="s">
        <v>171</v>
      </c>
      <c r="G36" s="9" t="s">
        <v>49</v>
      </c>
      <c r="H36" s="9" t="s">
        <v>27</v>
      </c>
      <c r="I36" s="9" t="s">
        <v>66</v>
      </c>
      <c r="J36" s="4" t="s">
        <v>28</v>
      </c>
      <c r="K36" s="4" t="s">
        <v>28</v>
      </c>
      <c r="L36" s="4" t="s">
        <v>1077</v>
      </c>
      <c r="M36" s="4" t="s">
        <v>67</v>
      </c>
      <c r="N36" s="4" t="s">
        <v>172</v>
      </c>
      <c r="O36" s="4" t="s">
        <v>132</v>
      </c>
      <c r="P36" s="4"/>
      <c r="Q36" s="4"/>
      <c r="R36" s="4" t="s">
        <v>32</v>
      </c>
      <c r="S36" s="4"/>
      <c r="T36" s="7"/>
      <c r="U36" s="7"/>
      <c r="V36" s="7"/>
      <c r="W36" s="7"/>
      <c r="X36" s="10"/>
      <c r="Y36" s="4"/>
      <c r="Z36" s="8"/>
      <c r="AA36" s="4"/>
      <c r="AB36" s="4"/>
      <c r="AC36" s="4"/>
      <c r="AD36" s="4"/>
      <c r="AE36" s="4"/>
      <c r="AF36" s="4"/>
      <c r="AG36" s="4"/>
      <c r="AH36" s="4"/>
      <c r="AI36" s="4"/>
      <c r="AJ36" s="4"/>
      <c r="AK36" s="4"/>
    </row>
    <row r="37" spans="1:37" ht="70" customHeight="1" x14ac:dyDescent="0.2">
      <c r="A37" s="107">
        <v>43061</v>
      </c>
      <c r="B37" s="4" t="s">
        <v>173</v>
      </c>
      <c r="C37" s="163" t="s">
        <v>1156</v>
      </c>
      <c r="D37" s="4" t="s">
        <v>1165</v>
      </c>
      <c r="E37" s="4" t="s">
        <v>53</v>
      </c>
      <c r="F37" s="4" t="s">
        <v>174</v>
      </c>
      <c r="G37" s="4" t="s">
        <v>35</v>
      </c>
      <c r="H37" s="4" t="s">
        <v>27</v>
      </c>
      <c r="I37" s="4" t="s">
        <v>28</v>
      </c>
      <c r="J37" s="4" t="s">
        <v>28</v>
      </c>
      <c r="K37" s="4" t="s">
        <v>28</v>
      </c>
      <c r="L37" s="4" t="s">
        <v>1069</v>
      </c>
      <c r="M37" s="4" t="s">
        <v>55</v>
      </c>
      <c r="N37" s="4"/>
      <c r="O37" s="4" t="s">
        <v>175</v>
      </c>
      <c r="P37" s="4"/>
      <c r="Q37" s="4"/>
      <c r="R37" s="4" t="s">
        <v>32</v>
      </c>
      <c r="S37" s="4"/>
      <c r="T37" s="7"/>
      <c r="U37" s="7"/>
      <c r="V37" s="4"/>
      <c r="W37" s="4"/>
      <c r="X37" s="4"/>
      <c r="Y37" s="4"/>
      <c r="Z37" s="4"/>
      <c r="AA37" s="4"/>
      <c r="AB37" s="4"/>
      <c r="AC37" s="4"/>
      <c r="AD37" s="4"/>
      <c r="AE37" s="4"/>
      <c r="AF37" s="4"/>
      <c r="AG37" s="4"/>
      <c r="AH37" s="4"/>
      <c r="AI37" s="4"/>
      <c r="AJ37" s="4"/>
      <c r="AK37" s="4"/>
    </row>
    <row r="38" spans="1:37" ht="70" customHeight="1" x14ac:dyDescent="0.2">
      <c r="A38" s="107">
        <v>43099</v>
      </c>
      <c r="B38" s="4" t="s">
        <v>176</v>
      </c>
      <c r="C38" s="163" t="s">
        <v>1156</v>
      </c>
      <c r="D38" s="4" t="s">
        <v>1169</v>
      </c>
      <c r="E38" s="4" t="s">
        <v>53</v>
      </c>
      <c r="F38" s="4" t="s">
        <v>177</v>
      </c>
      <c r="G38" s="4" t="s">
        <v>35</v>
      </c>
      <c r="H38" s="4" t="s">
        <v>27</v>
      </c>
      <c r="I38" s="4" t="s">
        <v>28</v>
      </c>
      <c r="J38" s="4" t="s">
        <v>28</v>
      </c>
      <c r="K38" s="4" t="s">
        <v>28</v>
      </c>
      <c r="L38" s="4" t="s">
        <v>1098</v>
      </c>
      <c r="M38" s="4" t="s">
        <v>55</v>
      </c>
      <c r="N38" s="4"/>
      <c r="O38" s="4" t="s">
        <v>178</v>
      </c>
      <c r="P38" s="4"/>
      <c r="Q38" s="4"/>
      <c r="R38" s="4" t="s">
        <v>32</v>
      </c>
      <c r="S38" s="4"/>
      <c r="T38" s="7"/>
      <c r="U38" s="7"/>
      <c r="V38" s="7"/>
      <c r="W38" s="4"/>
      <c r="X38" s="4"/>
      <c r="Y38" s="4"/>
      <c r="Z38" s="4"/>
      <c r="AA38" s="4"/>
      <c r="AB38" s="4"/>
      <c r="AC38" s="4"/>
      <c r="AD38" s="4"/>
      <c r="AE38" s="4"/>
      <c r="AF38" s="4"/>
      <c r="AG38" s="4"/>
      <c r="AH38" s="4"/>
      <c r="AI38" s="4"/>
      <c r="AJ38" s="4"/>
      <c r="AK38" s="4"/>
    </row>
    <row r="39" spans="1:37" ht="70" customHeight="1" x14ac:dyDescent="0.2">
      <c r="A39" s="107">
        <v>43112</v>
      </c>
      <c r="B39" s="4" t="s">
        <v>179</v>
      </c>
      <c r="C39" s="163" t="s">
        <v>1156</v>
      </c>
      <c r="D39" s="4" t="s">
        <v>1173</v>
      </c>
      <c r="E39" s="4" t="s">
        <v>70</v>
      </c>
      <c r="F39" s="4" t="s">
        <v>180</v>
      </c>
      <c r="G39" s="4" t="s">
        <v>72</v>
      </c>
      <c r="H39" s="4" t="s">
        <v>27</v>
      </c>
      <c r="I39" s="4" t="s">
        <v>28</v>
      </c>
      <c r="J39" s="4" t="s">
        <v>28</v>
      </c>
      <c r="K39" s="4" t="s">
        <v>181</v>
      </c>
      <c r="L39" s="4" t="s">
        <v>96</v>
      </c>
      <c r="M39" s="4" t="s">
        <v>55</v>
      </c>
      <c r="N39" s="4"/>
      <c r="O39" s="4" t="s">
        <v>182</v>
      </c>
      <c r="P39" s="4"/>
      <c r="Q39" s="4"/>
      <c r="R39" s="20" t="s">
        <v>183</v>
      </c>
      <c r="S39" s="20" t="s">
        <v>184</v>
      </c>
      <c r="T39" s="7"/>
      <c r="U39" s="10"/>
      <c r="V39" s="4"/>
      <c r="W39" s="4"/>
      <c r="X39" s="4"/>
      <c r="Y39" s="4"/>
      <c r="Z39" s="4"/>
      <c r="AA39" s="4"/>
      <c r="AB39" s="4"/>
      <c r="AC39" s="4"/>
      <c r="AD39" s="4"/>
      <c r="AE39" s="4"/>
      <c r="AF39" s="4"/>
      <c r="AG39" s="4"/>
      <c r="AH39" s="4"/>
      <c r="AI39" s="4"/>
      <c r="AJ39" s="4"/>
      <c r="AK39" s="4"/>
    </row>
    <row r="40" spans="1:37" ht="70" customHeight="1" x14ac:dyDescent="0.2">
      <c r="A40" s="107">
        <v>43137</v>
      </c>
      <c r="B40" s="4" t="s">
        <v>185</v>
      </c>
      <c r="C40" s="163" t="s">
        <v>1156</v>
      </c>
      <c r="D40" s="4" t="s">
        <v>1170</v>
      </c>
      <c r="E40" s="4" t="s">
        <v>70</v>
      </c>
      <c r="F40" s="4" t="s">
        <v>186</v>
      </c>
      <c r="G40" s="4" t="s">
        <v>72</v>
      </c>
      <c r="H40" s="4" t="s">
        <v>27</v>
      </c>
      <c r="I40" s="4" t="s">
        <v>28</v>
      </c>
      <c r="J40" s="4" t="s">
        <v>28</v>
      </c>
      <c r="K40" s="4" t="s">
        <v>187</v>
      </c>
      <c r="L40" s="4" t="s">
        <v>188</v>
      </c>
      <c r="M40" s="4" t="s">
        <v>165</v>
      </c>
      <c r="N40" s="4"/>
      <c r="O40" s="4" t="s">
        <v>189</v>
      </c>
      <c r="P40" s="4"/>
      <c r="Q40" s="4"/>
      <c r="R40" s="20" t="s">
        <v>123</v>
      </c>
      <c r="S40" s="20" t="s">
        <v>190</v>
      </c>
      <c r="T40" s="20" t="s">
        <v>124</v>
      </c>
      <c r="U40" s="4"/>
      <c r="V40" s="4"/>
      <c r="W40" s="4"/>
      <c r="X40" s="4"/>
      <c r="Y40" s="4"/>
      <c r="Z40" s="4"/>
      <c r="AA40" s="4"/>
      <c r="AB40" s="4"/>
      <c r="AC40" s="4"/>
      <c r="AD40" s="4"/>
      <c r="AE40" s="4"/>
      <c r="AF40" s="4"/>
      <c r="AG40" s="4"/>
      <c r="AH40" s="4"/>
      <c r="AI40" s="4"/>
      <c r="AJ40" s="4"/>
      <c r="AK40" s="4"/>
    </row>
    <row r="41" spans="1:37" ht="70" customHeight="1" x14ac:dyDescent="0.2">
      <c r="A41" s="107">
        <v>43160</v>
      </c>
      <c r="B41" s="4" t="s">
        <v>191</v>
      </c>
      <c r="C41" s="163" t="s">
        <v>1156</v>
      </c>
      <c r="D41" s="4" t="s">
        <v>1174</v>
      </c>
      <c r="E41" s="4" t="s">
        <v>70</v>
      </c>
      <c r="F41" s="4" t="s">
        <v>192</v>
      </c>
      <c r="G41" s="4" t="s">
        <v>72</v>
      </c>
      <c r="H41" s="4" t="s">
        <v>27</v>
      </c>
      <c r="I41" s="4" t="s">
        <v>28</v>
      </c>
      <c r="J41" s="4" t="s">
        <v>28</v>
      </c>
      <c r="K41" s="4" t="s">
        <v>193</v>
      </c>
      <c r="L41" s="4" t="s">
        <v>188</v>
      </c>
      <c r="M41" s="4" t="s">
        <v>165</v>
      </c>
      <c r="N41" s="24"/>
      <c r="O41" s="4" t="s">
        <v>194</v>
      </c>
      <c r="P41" s="4"/>
      <c r="Q41" s="4"/>
      <c r="R41" s="20" t="s">
        <v>195</v>
      </c>
      <c r="S41" s="4"/>
      <c r="T41" s="10"/>
      <c r="U41" s="7"/>
      <c r="V41" s="4"/>
      <c r="W41" s="4"/>
      <c r="X41" s="4"/>
      <c r="Y41" s="4"/>
      <c r="Z41" s="4"/>
      <c r="AA41" s="4"/>
      <c r="AB41" s="4"/>
      <c r="AC41" s="4"/>
      <c r="AD41" s="4"/>
      <c r="AE41" s="4"/>
      <c r="AF41" s="4"/>
      <c r="AG41" s="4"/>
      <c r="AH41" s="4"/>
      <c r="AI41" s="4"/>
      <c r="AJ41" s="4"/>
      <c r="AK41" s="4"/>
    </row>
    <row r="42" spans="1:37" ht="70" customHeight="1" x14ac:dyDescent="0.2">
      <c r="A42" s="107">
        <v>43160</v>
      </c>
      <c r="B42" s="4" t="s">
        <v>196</v>
      </c>
      <c r="C42" s="163" t="s">
        <v>1156</v>
      </c>
      <c r="D42" s="4" t="s">
        <v>1169</v>
      </c>
      <c r="E42" s="4" t="s">
        <v>70</v>
      </c>
      <c r="F42" s="4" t="s">
        <v>197</v>
      </c>
      <c r="G42" s="4" t="s">
        <v>72</v>
      </c>
      <c r="H42" s="4" t="s">
        <v>27</v>
      </c>
      <c r="I42" s="4" t="s">
        <v>28</v>
      </c>
      <c r="J42" s="4" t="s">
        <v>28</v>
      </c>
      <c r="K42" s="4" t="s">
        <v>198</v>
      </c>
      <c r="L42" s="4" t="s">
        <v>96</v>
      </c>
      <c r="M42" s="4" t="s">
        <v>199</v>
      </c>
      <c r="N42" s="4"/>
      <c r="O42" s="4" t="s">
        <v>200</v>
      </c>
      <c r="P42" s="4"/>
      <c r="Q42" s="4"/>
      <c r="R42" s="20" t="s">
        <v>201</v>
      </c>
      <c r="S42" s="4"/>
      <c r="T42" s="7"/>
      <c r="U42" s="4"/>
      <c r="V42" s="4"/>
      <c r="W42" s="4"/>
      <c r="X42" s="4"/>
      <c r="Y42" s="4"/>
      <c r="Z42" s="4"/>
      <c r="AA42" s="4"/>
      <c r="AB42" s="4"/>
      <c r="AC42" s="4"/>
      <c r="AD42" s="4"/>
      <c r="AE42" s="4"/>
      <c r="AF42" s="4"/>
      <c r="AG42" s="4"/>
      <c r="AH42" s="4"/>
      <c r="AI42" s="4"/>
      <c r="AJ42" s="4"/>
      <c r="AK42" s="4"/>
    </row>
    <row r="43" spans="1:37" ht="70" customHeight="1" x14ac:dyDescent="0.2">
      <c r="A43" s="107">
        <v>43191</v>
      </c>
      <c r="B43" s="4" t="s">
        <v>202</v>
      </c>
      <c r="C43" s="163" t="s">
        <v>1156</v>
      </c>
      <c r="D43" s="4" t="s">
        <v>1165</v>
      </c>
      <c r="E43" s="4" t="s">
        <v>37</v>
      </c>
      <c r="F43" s="4" t="s">
        <v>203</v>
      </c>
      <c r="G43" s="4" t="s">
        <v>26</v>
      </c>
      <c r="H43" s="4" t="s">
        <v>27</v>
      </c>
      <c r="I43" s="4" t="s">
        <v>28</v>
      </c>
      <c r="J43" s="4" t="s">
        <v>28</v>
      </c>
      <c r="K43" s="4" t="s">
        <v>28</v>
      </c>
      <c r="L43" s="4" t="s">
        <v>1091</v>
      </c>
      <c r="M43" s="4" t="s">
        <v>40</v>
      </c>
      <c r="N43" s="4" t="s">
        <v>204</v>
      </c>
      <c r="O43" s="4" t="s">
        <v>205</v>
      </c>
      <c r="P43" s="4"/>
      <c r="Q43" s="4"/>
      <c r="R43" s="4" t="s">
        <v>32</v>
      </c>
      <c r="S43" s="4"/>
      <c r="T43" s="10"/>
      <c r="U43" s="10"/>
      <c r="V43" s="4"/>
      <c r="W43" s="8"/>
      <c r="X43" s="4"/>
      <c r="Y43" s="4"/>
      <c r="Z43" s="4"/>
      <c r="AA43" s="4"/>
      <c r="AB43" s="4"/>
      <c r="AC43" s="4"/>
      <c r="AD43" s="4"/>
      <c r="AE43" s="4"/>
      <c r="AF43" s="4"/>
      <c r="AG43" s="4"/>
      <c r="AH43" s="4"/>
      <c r="AI43" s="4"/>
      <c r="AJ43" s="4"/>
      <c r="AK43" s="4"/>
    </row>
    <row r="44" spans="1:37" ht="70" customHeight="1" x14ac:dyDescent="0.2">
      <c r="A44" s="107">
        <v>43192</v>
      </c>
      <c r="B44" s="4" t="s">
        <v>206</v>
      </c>
      <c r="C44" s="163" t="s">
        <v>1118</v>
      </c>
      <c r="D44" s="4" t="s">
        <v>1167</v>
      </c>
      <c r="E44" s="4" t="s">
        <v>37</v>
      </c>
      <c r="F44" s="4" t="s">
        <v>207</v>
      </c>
      <c r="G44" s="4" t="s">
        <v>208</v>
      </c>
      <c r="H44" s="4" t="s">
        <v>208</v>
      </c>
      <c r="I44" s="4" t="s">
        <v>209</v>
      </c>
      <c r="J44" s="4" t="s">
        <v>28</v>
      </c>
      <c r="K44" s="4" t="s">
        <v>28</v>
      </c>
      <c r="L44" s="4" t="s">
        <v>96</v>
      </c>
      <c r="M44" s="4" t="s">
        <v>210</v>
      </c>
      <c r="N44" s="4"/>
      <c r="O44" s="4" t="s">
        <v>211</v>
      </c>
      <c r="P44" s="4"/>
      <c r="Q44" s="4"/>
      <c r="R44" s="20" t="s">
        <v>212</v>
      </c>
      <c r="S44" s="20" t="s">
        <v>212</v>
      </c>
      <c r="T44" s="20" t="s">
        <v>212</v>
      </c>
      <c r="U44" s="20" t="s">
        <v>213</v>
      </c>
      <c r="V44" s="4"/>
      <c r="W44" s="4"/>
      <c r="X44" s="4"/>
      <c r="Y44" s="4"/>
      <c r="Z44" s="4"/>
      <c r="AA44" s="4"/>
      <c r="AB44" s="4"/>
      <c r="AC44" s="4"/>
      <c r="AD44" s="4"/>
      <c r="AE44" s="4"/>
      <c r="AF44" s="4"/>
      <c r="AG44" s="4"/>
      <c r="AH44" s="4"/>
      <c r="AI44" s="4"/>
      <c r="AJ44" s="4"/>
      <c r="AK44" s="4"/>
    </row>
    <row r="45" spans="1:37" ht="70" customHeight="1" x14ac:dyDescent="0.2">
      <c r="A45" s="107">
        <v>43221</v>
      </c>
      <c r="B45" s="4" t="s">
        <v>214</v>
      </c>
      <c r="C45" s="163" t="s">
        <v>1156</v>
      </c>
      <c r="D45" s="4" t="s">
        <v>1169</v>
      </c>
      <c r="E45" s="4" t="s">
        <v>70</v>
      </c>
      <c r="F45" s="4" t="s">
        <v>215</v>
      </c>
      <c r="G45" s="4" t="s">
        <v>72</v>
      </c>
      <c r="H45" s="4" t="s">
        <v>27</v>
      </c>
      <c r="I45" s="4" t="s">
        <v>28</v>
      </c>
      <c r="J45" s="4" t="s">
        <v>28</v>
      </c>
      <c r="K45" s="4" t="s">
        <v>216</v>
      </c>
      <c r="L45" s="4" t="s">
        <v>1057</v>
      </c>
      <c r="M45" s="4" t="s">
        <v>217</v>
      </c>
      <c r="N45" s="4"/>
      <c r="O45" s="4" t="s">
        <v>218</v>
      </c>
      <c r="P45" s="4"/>
      <c r="Q45" s="4"/>
      <c r="R45" s="20" t="s">
        <v>219</v>
      </c>
      <c r="S45" s="4"/>
      <c r="T45" s="7"/>
      <c r="U45" s="4"/>
      <c r="V45" s="4"/>
      <c r="W45" s="4"/>
      <c r="X45" s="4"/>
      <c r="Y45" s="4"/>
      <c r="Z45" s="4"/>
      <c r="AA45" s="4"/>
      <c r="AB45" s="4"/>
      <c r="AC45" s="4"/>
      <c r="AD45" s="4"/>
      <c r="AE45" s="4"/>
      <c r="AF45" s="4"/>
      <c r="AG45" s="4"/>
      <c r="AH45" s="4"/>
      <c r="AI45" s="4"/>
      <c r="AJ45" s="4"/>
      <c r="AK45" s="4"/>
    </row>
    <row r="46" spans="1:37" ht="70" customHeight="1" x14ac:dyDescent="0.2">
      <c r="A46" s="107">
        <v>43229</v>
      </c>
      <c r="B46" s="4" t="s">
        <v>220</v>
      </c>
      <c r="C46" s="163" t="s">
        <v>1118</v>
      </c>
      <c r="D46" s="4" t="s">
        <v>1167</v>
      </c>
      <c r="E46" s="4" t="s">
        <v>37</v>
      </c>
      <c r="F46" s="4" t="s">
        <v>221</v>
      </c>
      <c r="G46" s="4" t="s">
        <v>26</v>
      </c>
      <c r="H46" s="4" t="s">
        <v>27</v>
      </c>
      <c r="I46" s="4" t="s">
        <v>28</v>
      </c>
      <c r="J46" s="4" t="s">
        <v>28</v>
      </c>
      <c r="K46" s="4" t="s">
        <v>28</v>
      </c>
      <c r="L46" s="4" t="s">
        <v>96</v>
      </c>
      <c r="M46" s="4" t="s">
        <v>222</v>
      </c>
      <c r="N46" s="4" t="s">
        <v>223</v>
      </c>
      <c r="O46" s="4" t="s">
        <v>224</v>
      </c>
      <c r="P46" s="4"/>
      <c r="Q46" s="4"/>
      <c r="R46" s="4" t="s">
        <v>32</v>
      </c>
      <c r="S46" s="4"/>
      <c r="T46" s="10"/>
      <c r="U46" s="10"/>
      <c r="V46" s="4"/>
      <c r="W46" s="4"/>
      <c r="X46" s="4"/>
      <c r="Y46" s="4"/>
      <c r="Z46" s="4"/>
      <c r="AA46" s="4"/>
      <c r="AB46" s="4"/>
      <c r="AC46" s="4"/>
      <c r="AD46" s="4"/>
      <c r="AE46" s="4"/>
      <c r="AF46" s="4"/>
      <c r="AG46" s="4"/>
      <c r="AH46" s="4"/>
      <c r="AI46" s="4"/>
      <c r="AJ46" s="4"/>
      <c r="AK46" s="4"/>
    </row>
    <row r="47" spans="1:37" ht="70" customHeight="1" x14ac:dyDescent="0.2">
      <c r="A47" s="107">
        <v>43235</v>
      </c>
      <c r="B47" s="4" t="s">
        <v>225</v>
      </c>
      <c r="C47" s="163" t="s">
        <v>1156</v>
      </c>
      <c r="D47" s="4" t="s">
        <v>1169</v>
      </c>
      <c r="E47" s="4" t="s">
        <v>70</v>
      </c>
      <c r="F47" s="4" t="s">
        <v>226</v>
      </c>
      <c r="G47" s="4" t="s">
        <v>72</v>
      </c>
      <c r="H47" s="4" t="s">
        <v>27</v>
      </c>
      <c r="I47" s="4" t="s">
        <v>28</v>
      </c>
      <c r="J47" s="4" t="s">
        <v>28</v>
      </c>
      <c r="K47" s="4" t="s">
        <v>227</v>
      </c>
      <c r="L47" s="4" t="s">
        <v>96</v>
      </c>
      <c r="M47" s="4" t="s">
        <v>217</v>
      </c>
      <c r="N47" s="4"/>
      <c r="O47" s="4" t="s">
        <v>228</v>
      </c>
      <c r="P47" s="4"/>
      <c r="Q47" s="4"/>
      <c r="R47" s="20" t="s">
        <v>229</v>
      </c>
      <c r="S47" s="4"/>
      <c r="T47" s="10"/>
      <c r="U47" s="7"/>
      <c r="V47" s="7"/>
      <c r="W47" s="4"/>
      <c r="X47" s="4"/>
      <c r="Y47" s="4"/>
      <c r="Z47" s="4"/>
      <c r="AA47" s="4"/>
      <c r="AB47" s="4"/>
      <c r="AC47" s="4"/>
      <c r="AD47" s="4"/>
      <c r="AE47" s="4"/>
      <c r="AF47" s="4"/>
      <c r="AG47" s="4"/>
      <c r="AH47" s="4"/>
      <c r="AI47" s="4"/>
      <c r="AJ47" s="4"/>
      <c r="AK47" s="4"/>
    </row>
    <row r="48" spans="1:37" ht="70" customHeight="1" x14ac:dyDescent="0.2">
      <c r="A48" s="107">
        <v>43267</v>
      </c>
      <c r="B48" s="4" t="s">
        <v>230</v>
      </c>
      <c r="C48" s="163" t="s">
        <v>1118</v>
      </c>
      <c r="D48" s="4" t="s">
        <v>1167</v>
      </c>
      <c r="E48" s="4" t="s">
        <v>37</v>
      </c>
      <c r="F48" s="4" t="s">
        <v>207</v>
      </c>
      <c r="G48" s="4" t="s">
        <v>208</v>
      </c>
      <c r="H48" s="4" t="s">
        <v>208</v>
      </c>
      <c r="I48" s="4" t="s">
        <v>231</v>
      </c>
      <c r="J48" s="4" t="s">
        <v>28</v>
      </c>
      <c r="K48" s="4" t="s">
        <v>28</v>
      </c>
      <c r="L48" s="4" t="s">
        <v>96</v>
      </c>
      <c r="M48" s="4" t="s">
        <v>232</v>
      </c>
      <c r="N48" s="4"/>
      <c r="O48" s="4" t="s">
        <v>233</v>
      </c>
      <c r="P48" s="4"/>
      <c r="Q48" s="4"/>
      <c r="R48" s="20" t="s">
        <v>212</v>
      </c>
      <c r="S48" s="25" t="s">
        <v>212</v>
      </c>
      <c r="T48" s="7"/>
      <c r="U48" s="10"/>
      <c r="V48" s="21"/>
      <c r="W48" s="4"/>
      <c r="X48" s="4"/>
      <c r="Y48" s="4"/>
      <c r="Z48" s="4"/>
      <c r="AA48" s="4"/>
      <c r="AB48" s="4"/>
      <c r="AC48" s="4"/>
      <c r="AD48" s="4"/>
      <c r="AE48" s="4"/>
      <c r="AF48" s="4"/>
      <c r="AG48" s="4"/>
      <c r="AH48" s="4"/>
      <c r="AI48" s="4"/>
      <c r="AJ48" s="4"/>
      <c r="AK48" s="4"/>
    </row>
    <row r="49" spans="1:37" ht="70" customHeight="1" x14ac:dyDescent="0.2">
      <c r="A49" s="107">
        <v>43308</v>
      </c>
      <c r="B49" s="4" t="s">
        <v>234</v>
      </c>
      <c r="C49" s="163" t="s">
        <v>1118</v>
      </c>
      <c r="D49" s="4" t="s">
        <v>1167</v>
      </c>
      <c r="E49" s="4" t="s">
        <v>61</v>
      </c>
      <c r="F49" s="4" t="s">
        <v>235</v>
      </c>
      <c r="G49" s="4" t="s">
        <v>236</v>
      </c>
      <c r="H49" s="4" t="s">
        <v>27</v>
      </c>
      <c r="I49" s="4" t="s">
        <v>28</v>
      </c>
      <c r="J49" s="4" t="s">
        <v>28</v>
      </c>
      <c r="K49" s="4" t="s">
        <v>237</v>
      </c>
      <c r="L49" s="4" t="s">
        <v>96</v>
      </c>
      <c r="M49" s="4" t="s">
        <v>238</v>
      </c>
      <c r="N49" s="24"/>
      <c r="O49" s="4" t="s">
        <v>224</v>
      </c>
      <c r="P49" s="4"/>
      <c r="Q49" s="4"/>
      <c r="R49" s="4" t="s">
        <v>32</v>
      </c>
      <c r="S49" s="4"/>
      <c r="T49" s="10"/>
      <c r="U49" s="10"/>
      <c r="V49" s="10"/>
      <c r="W49" s="4"/>
      <c r="X49" s="4"/>
      <c r="Y49" s="4"/>
      <c r="Z49" s="4"/>
      <c r="AA49" s="4"/>
      <c r="AB49" s="4"/>
      <c r="AC49" s="4"/>
      <c r="AD49" s="4"/>
      <c r="AE49" s="4"/>
      <c r="AF49" s="4"/>
      <c r="AG49" s="4"/>
      <c r="AH49" s="4"/>
      <c r="AI49" s="4"/>
      <c r="AJ49" s="4"/>
      <c r="AK49" s="4"/>
    </row>
    <row r="50" spans="1:37" ht="70" customHeight="1" x14ac:dyDescent="0.2">
      <c r="A50" s="107">
        <v>43313</v>
      </c>
      <c r="B50" s="4" t="s">
        <v>239</v>
      </c>
      <c r="C50" s="163" t="s">
        <v>1156</v>
      </c>
      <c r="D50" s="4" t="s">
        <v>1173</v>
      </c>
      <c r="E50" s="4" t="s">
        <v>70</v>
      </c>
      <c r="F50" s="4" t="s">
        <v>240</v>
      </c>
      <c r="G50" s="4" t="s">
        <v>72</v>
      </c>
      <c r="H50" s="4" t="s">
        <v>27</v>
      </c>
      <c r="I50" s="4" t="s">
        <v>28</v>
      </c>
      <c r="J50" s="4" t="s">
        <v>28</v>
      </c>
      <c r="K50" s="4" t="s">
        <v>241</v>
      </c>
      <c r="L50" s="4" t="s">
        <v>242</v>
      </c>
      <c r="M50" s="4" t="s">
        <v>217</v>
      </c>
      <c r="N50" s="4"/>
      <c r="O50" s="4" t="s">
        <v>243</v>
      </c>
      <c r="P50" s="4"/>
      <c r="Q50" s="4"/>
      <c r="R50" s="20" t="s">
        <v>244</v>
      </c>
      <c r="S50" s="4"/>
      <c r="T50" s="7"/>
      <c r="U50" s="10"/>
      <c r="V50" s="4"/>
      <c r="W50" s="4"/>
      <c r="X50" s="4"/>
      <c r="Y50" s="4"/>
      <c r="Z50" s="4"/>
      <c r="AA50" s="4"/>
      <c r="AB50" s="4"/>
      <c r="AC50" s="4"/>
      <c r="AD50" s="4"/>
      <c r="AE50" s="4"/>
      <c r="AF50" s="4"/>
      <c r="AG50" s="4"/>
      <c r="AH50" s="4"/>
      <c r="AI50" s="4"/>
      <c r="AJ50" s="4"/>
      <c r="AK50" s="4"/>
    </row>
    <row r="51" spans="1:37" ht="70" customHeight="1" x14ac:dyDescent="0.2">
      <c r="A51" s="107">
        <v>43313</v>
      </c>
      <c r="B51" s="4" t="s">
        <v>245</v>
      </c>
      <c r="C51" s="163" t="s">
        <v>1156</v>
      </c>
      <c r="D51" s="4" t="s">
        <v>1169</v>
      </c>
      <c r="E51" s="4" t="s">
        <v>70</v>
      </c>
      <c r="F51" s="4" t="s">
        <v>246</v>
      </c>
      <c r="G51" s="4" t="s">
        <v>72</v>
      </c>
      <c r="H51" s="4" t="s">
        <v>27</v>
      </c>
      <c r="I51" s="4" t="s">
        <v>28</v>
      </c>
      <c r="J51" s="4" t="s">
        <v>28</v>
      </c>
      <c r="K51" s="4" t="s">
        <v>247</v>
      </c>
      <c r="L51" s="4" t="s">
        <v>1080</v>
      </c>
      <c r="M51" s="4" t="s">
        <v>40</v>
      </c>
      <c r="N51" s="4"/>
      <c r="O51" s="4" t="s">
        <v>248</v>
      </c>
      <c r="P51" s="4"/>
      <c r="Q51" s="4"/>
      <c r="R51" s="20" t="s">
        <v>154</v>
      </c>
      <c r="S51" s="20" t="s">
        <v>190</v>
      </c>
      <c r="T51" s="10"/>
      <c r="U51" s="10"/>
      <c r="V51" s="4"/>
      <c r="W51" s="4"/>
      <c r="X51" s="4"/>
      <c r="Y51" s="4"/>
      <c r="Z51" s="4"/>
      <c r="AA51" s="4"/>
      <c r="AB51" s="4"/>
      <c r="AC51" s="4"/>
      <c r="AD51" s="4"/>
      <c r="AE51" s="4"/>
      <c r="AF51" s="4"/>
      <c r="AG51" s="4"/>
      <c r="AH51" s="4"/>
      <c r="AI51" s="4"/>
      <c r="AJ51" s="4"/>
      <c r="AK51" s="4"/>
    </row>
    <row r="52" spans="1:37" ht="70" customHeight="1" x14ac:dyDescent="0.2">
      <c r="A52" s="107">
        <v>43335</v>
      </c>
      <c r="B52" s="4" t="s">
        <v>249</v>
      </c>
      <c r="C52" s="163" t="s">
        <v>1118</v>
      </c>
      <c r="D52" s="4" t="s">
        <v>1167</v>
      </c>
      <c r="E52" s="4" t="s">
        <v>37</v>
      </c>
      <c r="F52" s="4" t="s">
        <v>207</v>
      </c>
      <c r="G52" s="4" t="s">
        <v>208</v>
      </c>
      <c r="H52" s="4" t="s">
        <v>208</v>
      </c>
      <c r="I52" s="4" t="s">
        <v>250</v>
      </c>
      <c r="J52" s="4" t="s">
        <v>28</v>
      </c>
      <c r="K52" s="4" t="s">
        <v>28</v>
      </c>
      <c r="L52" s="4" t="s">
        <v>96</v>
      </c>
      <c r="M52" s="4" t="s">
        <v>251</v>
      </c>
      <c r="N52" s="4"/>
      <c r="O52" s="4" t="s">
        <v>252</v>
      </c>
      <c r="P52" s="4"/>
      <c r="Q52" s="4"/>
      <c r="R52" s="20" t="s">
        <v>212</v>
      </c>
      <c r="S52" s="4"/>
      <c r="T52" s="10"/>
      <c r="U52" s="10"/>
      <c r="V52" s="4"/>
      <c r="W52" s="4"/>
      <c r="X52" s="4"/>
      <c r="Y52" s="4"/>
      <c r="Z52" s="4"/>
      <c r="AA52" s="4"/>
      <c r="AB52" s="4"/>
      <c r="AC52" s="4"/>
      <c r="AD52" s="4"/>
      <c r="AE52" s="4"/>
      <c r="AF52" s="4"/>
      <c r="AG52" s="4"/>
      <c r="AH52" s="4"/>
      <c r="AI52" s="4"/>
      <c r="AJ52" s="4"/>
      <c r="AK52" s="4"/>
    </row>
    <row r="53" spans="1:37" ht="70" customHeight="1" x14ac:dyDescent="0.2">
      <c r="A53" s="107">
        <v>43357</v>
      </c>
      <c r="B53" s="4" t="s">
        <v>253</v>
      </c>
      <c r="C53" s="163" t="s">
        <v>1156</v>
      </c>
      <c r="D53" s="4" t="s">
        <v>1233</v>
      </c>
      <c r="E53" s="4" t="s">
        <v>53</v>
      </c>
      <c r="F53" s="4" t="s">
        <v>254</v>
      </c>
      <c r="G53" s="4" t="s">
        <v>72</v>
      </c>
      <c r="H53" s="4" t="s">
        <v>27</v>
      </c>
      <c r="I53" s="4" t="s">
        <v>28</v>
      </c>
      <c r="J53" s="4" t="s">
        <v>28</v>
      </c>
      <c r="K53" s="4" t="s">
        <v>28</v>
      </c>
      <c r="L53" s="4" t="s">
        <v>242</v>
      </c>
      <c r="M53" s="4" t="s">
        <v>55</v>
      </c>
      <c r="N53" s="4"/>
      <c r="O53" s="4" t="s">
        <v>255</v>
      </c>
      <c r="P53" s="4"/>
      <c r="Q53" s="4"/>
      <c r="R53" s="4" t="s">
        <v>32</v>
      </c>
      <c r="S53" s="21"/>
      <c r="T53" s="10"/>
      <c r="U53" s="8"/>
      <c r="V53" s="4"/>
      <c r="W53" s="4"/>
      <c r="X53" s="4"/>
      <c r="Y53" s="4"/>
      <c r="Z53" s="4"/>
      <c r="AA53" s="4"/>
      <c r="AB53" s="4"/>
      <c r="AC53" s="4"/>
      <c r="AD53" s="4"/>
      <c r="AE53" s="4"/>
      <c r="AF53" s="4"/>
      <c r="AG53" s="4"/>
      <c r="AH53" s="4"/>
      <c r="AI53" s="4"/>
      <c r="AJ53" s="4"/>
      <c r="AK53" s="4"/>
    </row>
    <row r="54" spans="1:37" ht="70" customHeight="1" x14ac:dyDescent="0.2">
      <c r="A54" s="107">
        <v>43367</v>
      </c>
      <c r="B54" s="4" t="s">
        <v>256</v>
      </c>
      <c r="C54" s="163" t="s">
        <v>1118</v>
      </c>
      <c r="D54" s="4" t="s">
        <v>1167</v>
      </c>
      <c r="E54" s="4" t="s">
        <v>37</v>
      </c>
      <c r="F54" s="4" t="s">
        <v>207</v>
      </c>
      <c r="G54" s="4" t="s">
        <v>208</v>
      </c>
      <c r="H54" s="4" t="s">
        <v>208</v>
      </c>
      <c r="I54" s="4" t="s">
        <v>209</v>
      </c>
      <c r="J54" s="4" t="s">
        <v>28</v>
      </c>
      <c r="K54" s="4" t="s">
        <v>28</v>
      </c>
      <c r="L54" s="4" t="s">
        <v>96</v>
      </c>
      <c r="M54" s="4" t="s">
        <v>257</v>
      </c>
      <c r="N54" s="24"/>
      <c r="O54" s="4" t="s">
        <v>258</v>
      </c>
      <c r="P54" s="4"/>
      <c r="Q54" s="4"/>
      <c r="R54" s="20" t="s">
        <v>212</v>
      </c>
      <c r="S54" s="20" t="s">
        <v>212</v>
      </c>
      <c r="T54" s="10"/>
      <c r="U54" s="10"/>
      <c r="V54" s="4"/>
      <c r="W54" s="4"/>
      <c r="X54" s="4"/>
      <c r="Y54" s="4"/>
      <c r="Z54" s="4"/>
      <c r="AA54" s="4"/>
      <c r="AB54" s="4"/>
      <c r="AC54" s="4"/>
      <c r="AD54" s="4"/>
      <c r="AE54" s="4"/>
      <c r="AF54" s="4"/>
      <c r="AG54" s="4"/>
      <c r="AH54" s="4"/>
      <c r="AI54" s="4"/>
      <c r="AJ54" s="4"/>
      <c r="AK54" s="4"/>
    </row>
    <row r="55" spans="1:37" ht="70" customHeight="1" x14ac:dyDescent="0.2">
      <c r="A55" s="107">
        <v>43445</v>
      </c>
      <c r="B55" s="4" t="s">
        <v>259</v>
      </c>
      <c r="C55" s="163" t="s">
        <v>1156</v>
      </c>
      <c r="D55" s="4" t="s">
        <v>1165</v>
      </c>
      <c r="E55" s="4" t="s">
        <v>70</v>
      </c>
      <c r="F55" s="4" t="s">
        <v>260</v>
      </c>
      <c r="G55" s="4" t="s">
        <v>72</v>
      </c>
      <c r="H55" s="4" t="s">
        <v>27</v>
      </c>
      <c r="I55" s="4" t="s">
        <v>28</v>
      </c>
      <c r="J55" s="4" t="s">
        <v>28</v>
      </c>
      <c r="K55" s="4" t="s">
        <v>261</v>
      </c>
      <c r="L55" s="4" t="s">
        <v>262</v>
      </c>
      <c r="M55" s="4" t="s">
        <v>217</v>
      </c>
      <c r="N55" s="4"/>
      <c r="O55" s="4" t="s">
        <v>263</v>
      </c>
      <c r="P55" s="4"/>
      <c r="Q55" s="4"/>
      <c r="R55" s="23" t="s">
        <v>264</v>
      </c>
      <c r="S55" s="4"/>
      <c r="T55" s="10"/>
      <c r="U55" s="4"/>
      <c r="V55" s="4"/>
      <c r="W55" s="4"/>
      <c r="X55" s="4"/>
      <c r="Y55" s="4"/>
      <c r="Z55" s="4"/>
      <c r="AA55" s="4"/>
      <c r="AB55" s="4"/>
      <c r="AC55" s="4"/>
      <c r="AD55" s="4"/>
      <c r="AE55" s="4"/>
      <c r="AF55" s="4"/>
      <c r="AG55" s="4"/>
      <c r="AH55" s="4"/>
      <c r="AI55" s="4"/>
      <c r="AJ55" s="4"/>
      <c r="AK55" s="4"/>
    </row>
    <row r="56" spans="1:37" ht="70" customHeight="1" x14ac:dyDescent="0.2">
      <c r="A56" s="107">
        <v>43466</v>
      </c>
      <c r="B56" s="4" t="s">
        <v>265</v>
      </c>
      <c r="C56" s="163" t="s">
        <v>1156</v>
      </c>
      <c r="D56" s="4" t="s">
        <v>1169</v>
      </c>
      <c r="E56" s="4" t="s">
        <v>70</v>
      </c>
      <c r="F56" s="4" t="s">
        <v>266</v>
      </c>
      <c r="G56" s="4" t="s">
        <v>72</v>
      </c>
      <c r="H56" s="4" t="s">
        <v>27</v>
      </c>
      <c r="I56" s="4" t="s">
        <v>28</v>
      </c>
      <c r="J56" s="4" t="s">
        <v>28</v>
      </c>
      <c r="K56" s="4" t="s">
        <v>267</v>
      </c>
      <c r="L56" s="4" t="s">
        <v>96</v>
      </c>
      <c r="M56" s="4" t="s">
        <v>40</v>
      </c>
      <c r="N56" s="4"/>
      <c r="O56" s="4" t="s">
        <v>268</v>
      </c>
      <c r="P56" s="4"/>
      <c r="Q56" s="4"/>
      <c r="R56" s="20" t="s">
        <v>244</v>
      </c>
      <c r="S56" s="20" t="s">
        <v>269</v>
      </c>
      <c r="T56" s="10"/>
      <c r="U56" s="10"/>
      <c r="V56" s="7"/>
      <c r="W56" s="4"/>
      <c r="X56" s="4"/>
      <c r="Y56" s="4"/>
      <c r="Z56" s="4"/>
      <c r="AA56" s="4"/>
      <c r="AB56" s="4"/>
      <c r="AC56" s="4"/>
      <c r="AD56" s="4"/>
      <c r="AE56" s="4"/>
      <c r="AF56" s="4"/>
      <c r="AG56" s="4"/>
      <c r="AH56" s="4"/>
      <c r="AI56" s="4"/>
      <c r="AJ56" s="4"/>
      <c r="AK56" s="4"/>
    </row>
    <row r="57" spans="1:37" ht="70" customHeight="1" x14ac:dyDescent="0.2">
      <c r="A57" s="107">
        <v>43480</v>
      </c>
      <c r="B57" s="4" t="s">
        <v>270</v>
      </c>
      <c r="C57" s="163" t="s">
        <v>1156</v>
      </c>
      <c r="D57" s="4" t="s">
        <v>1165</v>
      </c>
      <c r="E57" s="4" t="s">
        <v>53</v>
      </c>
      <c r="F57" s="4" t="s">
        <v>271</v>
      </c>
      <c r="G57" s="4" t="s">
        <v>72</v>
      </c>
      <c r="H57" s="4" t="s">
        <v>27</v>
      </c>
      <c r="I57" s="4" t="s">
        <v>28</v>
      </c>
      <c r="J57" s="4" t="s">
        <v>28</v>
      </c>
      <c r="K57" s="4" t="s">
        <v>28</v>
      </c>
      <c r="L57" s="4" t="s">
        <v>262</v>
      </c>
      <c r="M57" s="4" t="s">
        <v>55</v>
      </c>
      <c r="N57" s="4"/>
      <c r="O57" s="4" t="s">
        <v>272</v>
      </c>
      <c r="P57" s="4"/>
      <c r="Q57" s="4"/>
      <c r="R57" s="4" t="s">
        <v>32</v>
      </c>
      <c r="S57" s="4"/>
      <c r="T57" s="10"/>
      <c r="U57" s="4"/>
      <c r="V57" s="4"/>
      <c r="W57" s="4"/>
      <c r="X57" s="4"/>
      <c r="Y57" s="4"/>
      <c r="Z57" s="4"/>
      <c r="AA57" s="4"/>
      <c r="AB57" s="4"/>
      <c r="AC57" s="4"/>
      <c r="AD57" s="4"/>
      <c r="AE57" s="4"/>
      <c r="AF57" s="4"/>
      <c r="AG57" s="4"/>
      <c r="AH57" s="4"/>
      <c r="AI57" s="4"/>
      <c r="AJ57" s="4"/>
      <c r="AK57" s="4"/>
    </row>
    <row r="58" spans="1:37" ht="70" customHeight="1" x14ac:dyDescent="0.2">
      <c r="A58" s="107">
        <v>43481</v>
      </c>
      <c r="B58" s="4" t="s">
        <v>273</v>
      </c>
      <c r="C58" s="163" t="s">
        <v>1156</v>
      </c>
      <c r="D58" s="4" t="s">
        <v>1175</v>
      </c>
      <c r="E58" s="4" t="s">
        <v>37</v>
      </c>
      <c r="F58" s="4" t="s">
        <v>274</v>
      </c>
      <c r="G58" s="4" t="s">
        <v>49</v>
      </c>
      <c r="H58" s="4" t="s">
        <v>27</v>
      </c>
      <c r="I58" s="4" t="s">
        <v>28</v>
      </c>
      <c r="J58" s="4" t="s">
        <v>28</v>
      </c>
      <c r="K58" s="4" t="s">
        <v>28</v>
      </c>
      <c r="L58" s="4" t="s">
        <v>1080</v>
      </c>
      <c r="M58" s="4" t="s">
        <v>40</v>
      </c>
      <c r="N58" s="4"/>
      <c r="O58" s="4" t="s">
        <v>275</v>
      </c>
      <c r="P58" s="4"/>
      <c r="Q58" s="4"/>
      <c r="R58" s="4" t="s">
        <v>32</v>
      </c>
      <c r="S58" s="4"/>
      <c r="T58" s="10"/>
      <c r="U58" s="4"/>
      <c r="V58" s="4"/>
      <c r="W58" s="4"/>
      <c r="X58" s="4"/>
      <c r="Y58" s="4"/>
      <c r="Z58" s="4"/>
      <c r="AA58" s="4"/>
      <c r="AB58" s="4"/>
      <c r="AC58" s="4"/>
      <c r="AD58" s="4"/>
      <c r="AE58" s="4"/>
      <c r="AF58" s="4"/>
      <c r="AG58" s="4"/>
      <c r="AH58" s="4"/>
      <c r="AI58" s="4"/>
      <c r="AJ58" s="4"/>
      <c r="AK58" s="4"/>
    </row>
    <row r="59" spans="1:37" ht="70" customHeight="1" x14ac:dyDescent="0.2">
      <c r="A59" s="107">
        <v>43497</v>
      </c>
      <c r="B59" s="4" t="s">
        <v>276</v>
      </c>
      <c r="C59" s="163" t="s">
        <v>1156</v>
      </c>
      <c r="D59" s="4" t="s">
        <v>291</v>
      </c>
      <c r="E59" s="4" t="s">
        <v>70</v>
      </c>
      <c r="F59" s="4" t="s">
        <v>277</v>
      </c>
      <c r="G59" s="4" t="s">
        <v>72</v>
      </c>
      <c r="H59" s="4" t="s">
        <v>27</v>
      </c>
      <c r="I59" s="4" t="s">
        <v>28</v>
      </c>
      <c r="J59" s="4" t="s">
        <v>28</v>
      </c>
      <c r="K59" s="4" t="s">
        <v>278</v>
      </c>
      <c r="L59" s="4" t="s">
        <v>1080</v>
      </c>
      <c r="M59" s="4" t="s">
        <v>105</v>
      </c>
      <c r="N59" s="4"/>
      <c r="O59" s="4" t="s">
        <v>279</v>
      </c>
      <c r="P59" s="4"/>
      <c r="Q59" s="4"/>
      <c r="R59" s="20" t="s">
        <v>280</v>
      </c>
      <c r="S59" s="4"/>
      <c r="T59" s="10"/>
      <c r="U59" s="10"/>
      <c r="V59" s="4"/>
      <c r="W59" s="4"/>
      <c r="X59" s="4"/>
      <c r="Y59" s="4"/>
      <c r="Z59" s="4"/>
      <c r="AA59" s="4"/>
      <c r="AB59" s="4"/>
      <c r="AC59" s="4"/>
      <c r="AD59" s="4"/>
      <c r="AE59" s="4"/>
      <c r="AF59" s="4"/>
      <c r="AG59" s="4"/>
      <c r="AH59" s="4"/>
      <c r="AI59" s="4"/>
      <c r="AJ59" s="4"/>
      <c r="AK59" s="4"/>
    </row>
    <row r="60" spans="1:37" ht="70" customHeight="1" x14ac:dyDescent="0.2">
      <c r="A60" s="107">
        <v>43508</v>
      </c>
      <c r="B60" s="4" t="s">
        <v>281</v>
      </c>
      <c r="C60" s="163" t="s">
        <v>1156</v>
      </c>
      <c r="D60" s="4" t="s">
        <v>1119</v>
      </c>
      <c r="E60" s="4" t="s">
        <v>53</v>
      </c>
      <c r="F60" s="21" t="s">
        <v>282</v>
      </c>
      <c r="G60" s="4" t="s">
        <v>72</v>
      </c>
      <c r="H60" s="4" t="s">
        <v>27</v>
      </c>
      <c r="I60" s="4" t="s">
        <v>28</v>
      </c>
      <c r="J60" s="4" t="s">
        <v>28</v>
      </c>
      <c r="K60" s="4" t="s">
        <v>28</v>
      </c>
      <c r="L60" s="4" t="s">
        <v>1084</v>
      </c>
      <c r="M60" s="4" t="s">
        <v>55</v>
      </c>
      <c r="N60" s="4"/>
      <c r="O60" s="4" t="s">
        <v>283</v>
      </c>
      <c r="P60" s="4"/>
      <c r="Q60" s="4"/>
      <c r="R60" s="4" t="s">
        <v>32</v>
      </c>
      <c r="S60" s="4"/>
      <c r="T60" s="7"/>
      <c r="U60" s="10"/>
      <c r="V60" s="10"/>
      <c r="W60" s="10"/>
      <c r="X60" s="4"/>
      <c r="Y60" s="4"/>
      <c r="Z60" s="4"/>
      <c r="AA60" s="4"/>
      <c r="AB60" s="4"/>
      <c r="AC60" s="4"/>
      <c r="AD60" s="4"/>
      <c r="AE60" s="4"/>
      <c r="AF60" s="4"/>
      <c r="AG60" s="4"/>
      <c r="AH60" s="4"/>
      <c r="AI60" s="4"/>
      <c r="AJ60" s="4"/>
      <c r="AK60" s="4"/>
    </row>
    <row r="61" spans="1:37" ht="70" customHeight="1" x14ac:dyDescent="0.2">
      <c r="A61" s="107">
        <v>43509</v>
      </c>
      <c r="B61" s="4" t="s">
        <v>284</v>
      </c>
      <c r="C61" s="163" t="s">
        <v>1118</v>
      </c>
      <c r="D61" s="4" t="s">
        <v>1165</v>
      </c>
      <c r="E61" s="4" t="s">
        <v>53</v>
      </c>
      <c r="F61" s="4" t="s">
        <v>285</v>
      </c>
      <c r="G61" s="4" t="s">
        <v>26</v>
      </c>
      <c r="H61" s="4" t="s">
        <v>27</v>
      </c>
      <c r="I61" s="4" t="s">
        <v>28</v>
      </c>
      <c r="J61" s="4" t="s">
        <v>28</v>
      </c>
      <c r="K61" s="4" t="s">
        <v>28</v>
      </c>
      <c r="L61" s="4" t="s">
        <v>1097</v>
      </c>
      <c r="M61" s="4" t="s">
        <v>55</v>
      </c>
      <c r="N61" s="4"/>
      <c r="O61" s="4"/>
      <c r="P61" s="4"/>
      <c r="Q61" s="4"/>
      <c r="R61" s="20" t="s">
        <v>286</v>
      </c>
      <c r="S61" s="20" t="s">
        <v>184</v>
      </c>
      <c r="T61" s="20" t="s">
        <v>287</v>
      </c>
      <c r="U61" s="7"/>
      <c r="V61" s="4"/>
      <c r="W61" s="4"/>
      <c r="X61" s="4"/>
      <c r="Y61" s="4"/>
      <c r="Z61" s="4"/>
      <c r="AA61" s="4"/>
      <c r="AB61" s="4"/>
      <c r="AC61" s="4"/>
      <c r="AD61" s="4"/>
      <c r="AE61" s="4"/>
      <c r="AF61" s="4"/>
      <c r="AG61" s="4"/>
      <c r="AH61" s="4"/>
      <c r="AI61" s="4"/>
      <c r="AJ61" s="4"/>
      <c r="AK61" s="4"/>
    </row>
    <row r="62" spans="1:37" ht="70" customHeight="1" x14ac:dyDescent="0.2">
      <c r="A62" s="107">
        <v>43525</v>
      </c>
      <c r="B62" s="4" t="s">
        <v>288</v>
      </c>
      <c r="C62" s="163" t="s">
        <v>1118</v>
      </c>
      <c r="D62" s="4" t="s">
        <v>1165</v>
      </c>
      <c r="E62" s="4" t="s">
        <v>70</v>
      </c>
      <c r="F62" s="4" t="s">
        <v>289</v>
      </c>
      <c r="G62" s="4" t="s">
        <v>72</v>
      </c>
      <c r="H62" s="4" t="s">
        <v>27</v>
      </c>
      <c r="I62" s="4" t="s">
        <v>28</v>
      </c>
      <c r="J62" s="4" t="s">
        <v>28</v>
      </c>
      <c r="K62" s="4" t="s">
        <v>290</v>
      </c>
      <c r="L62" s="4" t="s">
        <v>96</v>
      </c>
      <c r="M62" s="4" t="s">
        <v>291</v>
      </c>
      <c r="N62" s="4"/>
      <c r="O62" s="4" t="s">
        <v>292</v>
      </c>
      <c r="P62" s="4"/>
      <c r="Q62" s="4"/>
      <c r="R62" s="20" t="s">
        <v>124</v>
      </c>
      <c r="S62" s="20" t="s">
        <v>293</v>
      </c>
      <c r="T62" s="20" t="s">
        <v>293</v>
      </c>
      <c r="U62" s="4"/>
      <c r="V62" s="4"/>
      <c r="W62" s="4"/>
      <c r="X62" s="4"/>
      <c r="Y62" s="4"/>
      <c r="Z62" s="4"/>
      <c r="AA62" s="4"/>
      <c r="AB62" s="4"/>
      <c r="AC62" s="4"/>
      <c r="AD62" s="4"/>
      <c r="AE62" s="4"/>
      <c r="AF62" s="4"/>
      <c r="AG62" s="4"/>
      <c r="AH62" s="4"/>
      <c r="AI62" s="4"/>
      <c r="AJ62" s="4"/>
      <c r="AK62" s="4"/>
    </row>
    <row r="63" spans="1:37" ht="70" customHeight="1" x14ac:dyDescent="0.2">
      <c r="A63" s="107">
        <v>43525</v>
      </c>
      <c r="B63" s="4" t="s">
        <v>294</v>
      </c>
      <c r="C63" s="164" t="s">
        <v>1156</v>
      </c>
      <c r="D63" s="4" t="s">
        <v>1165</v>
      </c>
      <c r="E63" s="4" t="s">
        <v>37</v>
      </c>
      <c r="F63" s="4" t="s">
        <v>295</v>
      </c>
      <c r="G63" s="4" t="s">
        <v>236</v>
      </c>
      <c r="H63" s="4" t="s">
        <v>27</v>
      </c>
      <c r="I63" s="4" t="s">
        <v>28</v>
      </c>
      <c r="J63" s="4" t="s">
        <v>28</v>
      </c>
      <c r="K63" s="4" t="s">
        <v>28</v>
      </c>
      <c r="L63" s="4" t="s">
        <v>262</v>
      </c>
      <c r="M63" s="4" t="s">
        <v>296</v>
      </c>
      <c r="N63" s="4" t="s">
        <v>297</v>
      </c>
      <c r="O63" s="4" t="s">
        <v>272</v>
      </c>
      <c r="P63" s="4"/>
      <c r="Q63" s="4"/>
      <c r="R63" s="4" t="s">
        <v>32</v>
      </c>
      <c r="S63" s="4"/>
      <c r="T63" s="26"/>
      <c r="U63" s="10"/>
      <c r="V63" s="4"/>
      <c r="W63" s="4"/>
      <c r="X63" s="4"/>
      <c r="Y63" s="4"/>
      <c r="Z63" s="4"/>
      <c r="AA63" s="4"/>
      <c r="AB63" s="4"/>
      <c r="AC63" s="4"/>
      <c r="AD63" s="4"/>
      <c r="AE63" s="4"/>
      <c r="AF63" s="4"/>
      <c r="AG63" s="4"/>
      <c r="AH63" s="4"/>
      <c r="AI63" s="4"/>
      <c r="AJ63" s="4"/>
      <c r="AK63" s="4"/>
    </row>
    <row r="64" spans="1:37" ht="70" customHeight="1" x14ac:dyDescent="0.2">
      <c r="A64" s="107">
        <v>43537</v>
      </c>
      <c r="B64" s="4" t="s">
        <v>298</v>
      </c>
      <c r="C64" s="163" t="s">
        <v>1156</v>
      </c>
      <c r="D64" s="4" t="s">
        <v>1169</v>
      </c>
      <c r="E64" s="4" t="s">
        <v>70</v>
      </c>
      <c r="F64" s="4" t="s">
        <v>1105</v>
      </c>
      <c r="G64" s="4" t="s">
        <v>72</v>
      </c>
      <c r="H64" s="4" t="s">
        <v>27</v>
      </c>
      <c r="I64" s="4" t="s">
        <v>28</v>
      </c>
      <c r="J64" s="4" t="s">
        <v>28</v>
      </c>
      <c r="K64" s="4" t="s">
        <v>299</v>
      </c>
      <c r="L64" s="4" t="s">
        <v>96</v>
      </c>
      <c r="M64" s="4" t="s">
        <v>217</v>
      </c>
      <c r="N64" s="4"/>
      <c r="O64" s="4" t="s">
        <v>300</v>
      </c>
      <c r="P64" s="4"/>
      <c r="Q64" s="4"/>
      <c r="R64" s="20" t="s">
        <v>280</v>
      </c>
      <c r="S64" s="4"/>
      <c r="T64" s="10"/>
      <c r="U64" s="4"/>
      <c r="V64" s="4"/>
      <c r="W64" s="4"/>
      <c r="X64" s="4"/>
      <c r="Y64" s="4"/>
      <c r="Z64" s="4"/>
      <c r="AA64" s="4"/>
      <c r="AB64" s="4"/>
      <c r="AC64" s="4"/>
      <c r="AD64" s="4"/>
      <c r="AE64" s="4"/>
      <c r="AF64" s="4"/>
      <c r="AG64" s="4"/>
      <c r="AH64" s="4"/>
      <c r="AI64" s="4"/>
      <c r="AJ64" s="4"/>
      <c r="AK64" s="4"/>
    </row>
    <row r="65" spans="1:37" ht="70" customHeight="1" x14ac:dyDescent="0.2">
      <c r="A65" s="107">
        <v>43542</v>
      </c>
      <c r="B65" s="4" t="s">
        <v>301</v>
      </c>
      <c r="C65" s="163" t="s">
        <v>1156</v>
      </c>
      <c r="D65" s="4" t="s">
        <v>1166</v>
      </c>
      <c r="E65" s="4" t="s">
        <v>37</v>
      </c>
      <c r="F65" s="4" t="s">
        <v>302</v>
      </c>
      <c r="G65" s="4" t="s">
        <v>26</v>
      </c>
      <c r="H65" s="4" t="s">
        <v>27</v>
      </c>
      <c r="I65" s="4" t="s">
        <v>28</v>
      </c>
      <c r="J65" s="4" t="s">
        <v>28</v>
      </c>
      <c r="K65" s="4" t="s">
        <v>28</v>
      </c>
      <c r="L65" s="4" t="s">
        <v>1091</v>
      </c>
      <c r="M65" s="4" t="s">
        <v>29</v>
      </c>
      <c r="N65" s="4" t="s">
        <v>303</v>
      </c>
      <c r="O65" s="4" t="s">
        <v>304</v>
      </c>
      <c r="P65" s="4"/>
      <c r="Q65" s="4"/>
      <c r="R65" s="4" t="s">
        <v>32</v>
      </c>
      <c r="S65" s="4"/>
      <c r="T65" s="10"/>
      <c r="U65" s="10"/>
      <c r="V65" s="4"/>
      <c r="W65" s="4"/>
      <c r="X65" s="4"/>
      <c r="Y65" s="4"/>
      <c r="Z65" s="4"/>
      <c r="AA65" s="4"/>
      <c r="AB65" s="4"/>
      <c r="AC65" s="4"/>
      <c r="AD65" s="4"/>
      <c r="AE65" s="4"/>
      <c r="AF65" s="4"/>
      <c r="AG65" s="4"/>
      <c r="AH65" s="4"/>
      <c r="AI65" s="4"/>
      <c r="AJ65" s="4"/>
      <c r="AK65" s="4"/>
    </row>
    <row r="66" spans="1:37" ht="70" customHeight="1" x14ac:dyDescent="0.2">
      <c r="A66" s="107">
        <v>43556</v>
      </c>
      <c r="B66" s="4" t="s">
        <v>305</v>
      </c>
      <c r="C66" s="163" t="s">
        <v>1156</v>
      </c>
      <c r="D66" s="4" t="s">
        <v>1231</v>
      </c>
      <c r="E66" s="4" t="s">
        <v>70</v>
      </c>
      <c r="F66" s="4" t="s">
        <v>306</v>
      </c>
      <c r="G66" s="4" t="s">
        <v>72</v>
      </c>
      <c r="H66" s="4" t="s">
        <v>27</v>
      </c>
      <c r="I66" s="4" t="s">
        <v>28</v>
      </c>
      <c r="J66" s="4" t="s">
        <v>28</v>
      </c>
      <c r="K66" s="4" t="s">
        <v>307</v>
      </c>
      <c r="L66" s="4" t="s">
        <v>188</v>
      </c>
      <c r="M66" s="4" t="s">
        <v>308</v>
      </c>
      <c r="N66" s="4"/>
      <c r="O66" s="4" t="s">
        <v>309</v>
      </c>
      <c r="P66" s="4"/>
      <c r="Q66" s="4"/>
      <c r="R66" s="20" t="s">
        <v>154</v>
      </c>
      <c r="S66" s="4"/>
      <c r="T66" s="10"/>
      <c r="U66" s="4"/>
      <c r="V66" s="4"/>
      <c r="W66" s="4"/>
      <c r="X66" s="4"/>
      <c r="Y66" s="4"/>
      <c r="Z66" s="4"/>
      <c r="AA66" s="4"/>
      <c r="AB66" s="4"/>
      <c r="AC66" s="4"/>
      <c r="AD66" s="4"/>
      <c r="AE66" s="4"/>
      <c r="AF66" s="4"/>
      <c r="AG66" s="4"/>
      <c r="AH66" s="4"/>
      <c r="AI66" s="4"/>
      <c r="AJ66" s="4"/>
      <c r="AK66" s="4"/>
    </row>
    <row r="67" spans="1:37" ht="70" customHeight="1" x14ac:dyDescent="0.2">
      <c r="A67" s="107">
        <v>43617</v>
      </c>
      <c r="B67" s="4" t="s">
        <v>310</v>
      </c>
      <c r="C67" s="163" t="s">
        <v>1156</v>
      </c>
      <c r="D67" s="4" t="s">
        <v>1164</v>
      </c>
      <c r="E67" s="4" t="s">
        <v>70</v>
      </c>
      <c r="F67" s="4" t="s">
        <v>311</v>
      </c>
      <c r="G67" s="4" t="s">
        <v>72</v>
      </c>
      <c r="H67" s="4" t="s">
        <v>27</v>
      </c>
      <c r="I67" s="4" t="s">
        <v>28</v>
      </c>
      <c r="J67" s="4" t="s">
        <v>28</v>
      </c>
      <c r="K67" s="4" t="s">
        <v>312</v>
      </c>
      <c r="L67" s="4" t="s">
        <v>1106</v>
      </c>
      <c r="M67" s="4" t="s">
        <v>144</v>
      </c>
      <c r="N67" s="4"/>
      <c r="O67" s="4" t="s">
        <v>313</v>
      </c>
      <c r="P67" s="4"/>
      <c r="Q67" s="4"/>
      <c r="R67" s="20" t="s">
        <v>314</v>
      </c>
      <c r="S67" s="20" t="s">
        <v>315</v>
      </c>
      <c r="T67" s="20" t="s">
        <v>316</v>
      </c>
      <c r="U67" s="20" t="s">
        <v>317</v>
      </c>
      <c r="V67" s="24"/>
      <c r="W67" s="8"/>
      <c r="X67" s="8"/>
      <c r="Y67" s="4"/>
      <c r="Z67" s="4"/>
      <c r="AA67" s="4"/>
      <c r="AB67" s="4"/>
      <c r="AC67" s="4"/>
      <c r="AD67" s="4"/>
      <c r="AE67" s="4"/>
      <c r="AF67" s="4"/>
      <c r="AG67" s="4"/>
      <c r="AH67" s="4"/>
      <c r="AI67" s="4"/>
      <c r="AJ67" s="4"/>
      <c r="AK67" s="4"/>
    </row>
    <row r="68" spans="1:37" ht="70" customHeight="1" x14ac:dyDescent="0.2">
      <c r="A68" s="107">
        <v>43617</v>
      </c>
      <c r="B68" s="4" t="s">
        <v>318</v>
      </c>
      <c r="C68" s="163" t="s">
        <v>1118</v>
      </c>
      <c r="D68" s="4" t="s">
        <v>1167</v>
      </c>
      <c r="E68" s="4" t="s">
        <v>53</v>
      </c>
      <c r="F68" s="4" t="s">
        <v>319</v>
      </c>
      <c r="G68" s="4" t="s">
        <v>72</v>
      </c>
      <c r="H68" s="4" t="s">
        <v>27</v>
      </c>
      <c r="I68" s="4" t="s">
        <v>28</v>
      </c>
      <c r="J68" s="4" t="s">
        <v>28</v>
      </c>
      <c r="K68" s="4" t="s">
        <v>28</v>
      </c>
      <c r="L68" s="4" t="s">
        <v>96</v>
      </c>
      <c r="M68" s="4" t="s">
        <v>55</v>
      </c>
      <c r="N68" s="4"/>
      <c r="O68" s="4" t="s">
        <v>224</v>
      </c>
      <c r="P68" s="4"/>
      <c r="Q68" s="4"/>
      <c r="R68" s="4" t="s">
        <v>32</v>
      </c>
      <c r="S68" s="4"/>
      <c r="T68" s="10"/>
      <c r="U68" s="10"/>
      <c r="V68" s="10"/>
      <c r="W68" s="4"/>
      <c r="X68" s="4"/>
      <c r="Y68" s="4"/>
      <c r="Z68" s="4"/>
      <c r="AA68" s="4"/>
      <c r="AB68" s="4"/>
      <c r="AC68" s="4"/>
      <c r="AD68" s="4"/>
      <c r="AE68" s="4"/>
      <c r="AF68" s="4"/>
      <c r="AG68" s="4"/>
      <c r="AH68" s="4"/>
      <c r="AI68" s="4"/>
      <c r="AJ68" s="4"/>
      <c r="AK68" s="4"/>
    </row>
    <row r="69" spans="1:37" ht="70" customHeight="1" x14ac:dyDescent="0.2">
      <c r="A69" s="107">
        <v>43677</v>
      </c>
      <c r="B69" s="4" t="s">
        <v>320</v>
      </c>
      <c r="C69" s="163" t="s">
        <v>1156</v>
      </c>
      <c r="D69" s="4" t="s">
        <v>1175</v>
      </c>
      <c r="E69" s="4" t="s">
        <v>53</v>
      </c>
      <c r="F69" s="4" t="s">
        <v>321</v>
      </c>
      <c r="G69" s="4" t="s">
        <v>72</v>
      </c>
      <c r="H69" s="4" t="s">
        <v>27</v>
      </c>
      <c r="I69" s="4" t="s">
        <v>28</v>
      </c>
      <c r="J69" s="4" t="s">
        <v>28</v>
      </c>
      <c r="K69" s="4" t="s">
        <v>28</v>
      </c>
      <c r="L69" s="4" t="s">
        <v>1080</v>
      </c>
      <c r="M69" s="4" t="s">
        <v>55</v>
      </c>
      <c r="N69" s="4"/>
      <c r="O69" s="4" t="s">
        <v>275</v>
      </c>
      <c r="P69" s="4"/>
      <c r="Q69" s="4"/>
      <c r="R69" s="4" t="s">
        <v>32</v>
      </c>
      <c r="S69" s="4"/>
      <c r="T69" s="10"/>
      <c r="U69" s="4"/>
      <c r="V69" s="4"/>
      <c r="W69" s="4"/>
      <c r="X69" s="4"/>
      <c r="Y69" s="4"/>
      <c r="Z69" s="4"/>
      <c r="AA69" s="4"/>
      <c r="AB69" s="4"/>
      <c r="AC69" s="4"/>
      <c r="AD69" s="4"/>
      <c r="AE69" s="4"/>
      <c r="AF69" s="4"/>
      <c r="AG69" s="4"/>
      <c r="AH69" s="4"/>
      <c r="AI69" s="4"/>
      <c r="AJ69" s="4"/>
      <c r="AK69" s="4"/>
    </row>
    <row r="70" spans="1:37" ht="70" customHeight="1" x14ac:dyDescent="0.2">
      <c r="A70" s="107">
        <v>43678</v>
      </c>
      <c r="B70" s="4" t="s">
        <v>322</v>
      </c>
      <c r="C70" s="163" t="s">
        <v>1156</v>
      </c>
      <c r="D70" s="4" t="s">
        <v>1164</v>
      </c>
      <c r="E70" s="4" t="s">
        <v>70</v>
      </c>
      <c r="F70" s="4" t="s">
        <v>323</v>
      </c>
      <c r="G70" s="4" t="s">
        <v>72</v>
      </c>
      <c r="H70" s="4" t="s">
        <v>27</v>
      </c>
      <c r="I70" s="4" t="s">
        <v>28</v>
      </c>
      <c r="J70" s="4" t="s">
        <v>28</v>
      </c>
      <c r="K70" s="4" t="s">
        <v>324</v>
      </c>
      <c r="L70" s="4" t="s">
        <v>325</v>
      </c>
      <c r="M70" s="4" t="s">
        <v>326</v>
      </c>
      <c r="N70" s="21"/>
      <c r="O70" s="4" t="s">
        <v>313</v>
      </c>
      <c r="P70" s="4"/>
      <c r="Q70" s="4"/>
      <c r="R70" s="20" t="s">
        <v>327</v>
      </c>
      <c r="S70" s="20" t="s">
        <v>328</v>
      </c>
      <c r="T70" s="20" t="s">
        <v>329</v>
      </c>
      <c r="U70" s="20" t="s">
        <v>330</v>
      </c>
      <c r="V70" s="4"/>
      <c r="W70" s="4"/>
      <c r="X70" s="4"/>
      <c r="Y70" s="4"/>
      <c r="Z70" s="4"/>
      <c r="AA70" s="4"/>
      <c r="AB70" s="4"/>
      <c r="AC70" s="4"/>
      <c r="AD70" s="4"/>
      <c r="AE70" s="4"/>
      <c r="AF70" s="4"/>
      <c r="AG70" s="4"/>
      <c r="AH70" s="4"/>
      <c r="AI70" s="4"/>
      <c r="AJ70" s="4"/>
      <c r="AK70" s="4"/>
    </row>
    <row r="71" spans="1:37" ht="70" customHeight="1" x14ac:dyDescent="0.2">
      <c r="A71" s="107">
        <v>43678</v>
      </c>
      <c r="B71" s="4" t="s">
        <v>331</v>
      </c>
      <c r="C71" s="163" t="s">
        <v>1156</v>
      </c>
      <c r="D71" s="4" t="s">
        <v>1173</v>
      </c>
      <c r="E71" s="4" t="s">
        <v>70</v>
      </c>
      <c r="F71" s="4" t="s">
        <v>332</v>
      </c>
      <c r="G71" s="4" t="s">
        <v>72</v>
      </c>
      <c r="H71" s="4" t="s">
        <v>27</v>
      </c>
      <c r="I71" s="4" t="s">
        <v>28</v>
      </c>
      <c r="J71" s="4" t="s">
        <v>28</v>
      </c>
      <c r="K71" s="4" t="s">
        <v>333</v>
      </c>
      <c r="L71" s="4" t="s">
        <v>1107</v>
      </c>
      <c r="M71" s="4" t="s">
        <v>334</v>
      </c>
      <c r="N71" s="4"/>
      <c r="O71" s="4" t="s">
        <v>335</v>
      </c>
      <c r="P71" s="4"/>
      <c r="Q71" s="4"/>
      <c r="R71" s="20" t="s">
        <v>336</v>
      </c>
      <c r="S71" s="20" t="s">
        <v>337</v>
      </c>
      <c r="T71" s="20" t="s">
        <v>338</v>
      </c>
      <c r="U71" s="20" t="s">
        <v>339</v>
      </c>
      <c r="V71" s="19"/>
      <c r="W71" s="4"/>
      <c r="X71" s="4"/>
      <c r="Y71" s="4"/>
      <c r="Z71" s="4"/>
      <c r="AA71" s="4"/>
      <c r="AB71" s="4"/>
      <c r="AC71" s="4"/>
      <c r="AD71" s="4"/>
      <c r="AE71" s="4"/>
      <c r="AF71" s="4"/>
      <c r="AG71" s="4"/>
      <c r="AH71" s="4"/>
      <c r="AI71" s="4"/>
      <c r="AJ71" s="4"/>
      <c r="AK71" s="4"/>
    </row>
    <row r="72" spans="1:37" ht="70" customHeight="1" x14ac:dyDescent="0.2">
      <c r="A72" s="107">
        <v>43678</v>
      </c>
      <c r="B72" s="4" t="s">
        <v>340</v>
      </c>
      <c r="C72" s="164" t="s">
        <v>1156</v>
      </c>
      <c r="D72" s="4" t="s">
        <v>1169</v>
      </c>
      <c r="E72" s="4" t="s">
        <v>70</v>
      </c>
      <c r="F72" s="4" t="s">
        <v>1108</v>
      </c>
      <c r="G72" s="4" t="s">
        <v>72</v>
      </c>
      <c r="H72" s="4" t="s">
        <v>27</v>
      </c>
      <c r="I72" s="4" t="s">
        <v>28</v>
      </c>
      <c r="J72" s="4" t="s">
        <v>28</v>
      </c>
      <c r="K72" s="4" t="s">
        <v>341</v>
      </c>
      <c r="L72" s="4" t="s">
        <v>1080</v>
      </c>
      <c r="M72" s="4" t="s">
        <v>40</v>
      </c>
      <c r="N72" s="4"/>
      <c r="O72" s="4" t="s">
        <v>342</v>
      </c>
      <c r="P72" s="4"/>
      <c r="Q72" s="4"/>
      <c r="R72" s="20" t="s">
        <v>124</v>
      </c>
      <c r="S72" s="20" t="s">
        <v>343</v>
      </c>
      <c r="T72" s="10"/>
      <c r="U72" s="4"/>
      <c r="V72" s="4"/>
      <c r="W72" s="4"/>
      <c r="X72" s="4"/>
      <c r="Y72" s="4"/>
      <c r="Z72" s="4"/>
      <c r="AA72" s="4"/>
      <c r="AB72" s="4"/>
      <c r="AC72" s="4"/>
      <c r="AD72" s="4"/>
      <c r="AE72" s="4"/>
      <c r="AF72" s="4"/>
      <c r="AG72" s="4"/>
      <c r="AH72" s="4"/>
      <c r="AI72" s="4"/>
      <c r="AJ72" s="4"/>
      <c r="AK72" s="4"/>
    </row>
    <row r="73" spans="1:37" ht="70" customHeight="1" x14ac:dyDescent="0.2">
      <c r="A73" s="107">
        <v>43700</v>
      </c>
      <c r="B73" s="4" t="s">
        <v>344</v>
      </c>
      <c r="C73" s="163" t="s">
        <v>1118</v>
      </c>
      <c r="D73" s="4" t="s">
        <v>1167</v>
      </c>
      <c r="E73" s="4" t="s">
        <v>37</v>
      </c>
      <c r="F73" s="4" t="s">
        <v>207</v>
      </c>
      <c r="G73" s="4" t="s">
        <v>208</v>
      </c>
      <c r="H73" s="4" t="s">
        <v>208</v>
      </c>
      <c r="I73" s="4" t="s">
        <v>209</v>
      </c>
      <c r="J73" s="4" t="s">
        <v>28</v>
      </c>
      <c r="K73" s="4" t="s">
        <v>28</v>
      </c>
      <c r="L73" s="4" t="s">
        <v>96</v>
      </c>
      <c r="M73" s="4" t="s">
        <v>165</v>
      </c>
      <c r="N73" s="4"/>
      <c r="O73" s="4" t="s">
        <v>345</v>
      </c>
      <c r="P73" s="4"/>
      <c r="Q73" s="4"/>
      <c r="R73" s="20" t="s">
        <v>212</v>
      </c>
      <c r="S73" s="20" t="s">
        <v>213</v>
      </c>
      <c r="T73" s="20" t="s">
        <v>213</v>
      </c>
      <c r="U73" s="7"/>
      <c r="V73" s="4"/>
      <c r="W73" s="4"/>
      <c r="X73" s="4"/>
      <c r="Y73" s="4"/>
      <c r="Z73" s="4"/>
      <c r="AA73" s="4"/>
      <c r="AB73" s="4"/>
      <c r="AC73" s="4"/>
      <c r="AD73" s="4"/>
      <c r="AE73" s="4"/>
      <c r="AF73" s="4"/>
      <c r="AG73" s="4"/>
      <c r="AH73" s="4"/>
      <c r="AI73" s="4"/>
      <c r="AJ73" s="4"/>
      <c r="AK73" s="4"/>
    </row>
    <row r="74" spans="1:37" ht="70" customHeight="1" x14ac:dyDescent="0.2">
      <c r="A74" s="107">
        <v>43709</v>
      </c>
      <c r="B74" s="4" t="s">
        <v>346</v>
      </c>
      <c r="C74" s="163" t="s">
        <v>1156</v>
      </c>
      <c r="D74" s="4" t="s">
        <v>1164</v>
      </c>
      <c r="E74" s="4" t="s">
        <v>70</v>
      </c>
      <c r="F74" s="4" t="s">
        <v>347</v>
      </c>
      <c r="G74" s="4" t="s">
        <v>72</v>
      </c>
      <c r="H74" s="4" t="s">
        <v>27</v>
      </c>
      <c r="I74" s="4" t="s">
        <v>28</v>
      </c>
      <c r="J74" s="4" t="s">
        <v>28</v>
      </c>
      <c r="K74" s="4" t="s">
        <v>290</v>
      </c>
      <c r="L74" s="4" t="s">
        <v>96</v>
      </c>
      <c r="M74" s="4" t="s">
        <v>165</v>
      </c>
      <c r="N74" s="4"/>
      <c r="O74" s="4" t="s">
        <v>348</v>
      </c>
      <c r="P74" s="4"/>
      <c r="Q74" s="4"/>
      <c r="R74" s="20" t="s">
        <v>219</v>
      </c>
      <c r="S74" s="20" t="s">
        <v>244</v>
      </c>
      <c r="T74" s="7"/>
      <c r="U74" s="7"/>
      <c r="V74" s="4"/>
      <c r="W74" s="4"/>
      <c r="X74" s="4"/>
      <c r="Y74" s="4"/>
      <c r="Z74" s="4"/>
      <c r="AA74" s="4"/>
      <c r="AB74" s="4"/>
      <c r="AC74" s="4"/>
      <c r="AD74" s="4"/>
      <c r="AE74" s="4"/>
      <c r="AF74" s="4"/>
      <c r="AG74" s="4"/>
      <c r="AH74" s="4"/>
      <c r="AI74" s="4"/>
      <c r="AJ74" s="4"/>
      <c r="AK74" s="4"/>
    </row>
    <row r="75" spans="1:37" ht="70" customHeight="1" x14ac:dyDescent="0.2">
      <c r="A75" s="107">
        <v>43742</v>
      </c>
      <c r="B75" s="4" t="s">
        <v>349</v>
      </c>
      <c r="C75" s="163" t="s">
        <v>1156</v>
      </c>
      <c r="D75" s="4" t="s">
        <v>1164</v>
      </c>
      <c r="E75" s="4" t="s">
        <v>70</v>
      </c>
      <c r="F75" s="4" t="s">
        <v>350</v>
      </c>
      <c r="G75" s="4" t="s">
        <v>72</v>
      </c>
      <c r="H75" s="4" t="s">
        <v>27</v>
      </c>
      <c r="I75" s="4" t="s">
        <v>28</v>
      </c>
      <c r="J75" s="4" t="s">
        <v>28</v>
      </c>
      <c r="K75" s="4" t="s">
        <v>351</v>
      </c>
      <c r="L75" s="4" t="s">
        <v>96</v>
      </c>
      <c r="M75" s="4" t="s">
        <v>105</v>
      </c>
      <c r="N75" s="4"/>
      <c r="O75" s="4" t="s">
        <v>352</v>
      </c>
      <c r="P75" s="4"/>
      <c r="Q75" s="4"/>
      <c r="R75" s="20" t="s">
        <v>195</v>
      </c>
      <c r="S75" s="4"/>
      <c r="T75" s="10"/>
      <c r="U75" s="10"/>
      <c r="V75" s="4"/>
      <c r="W75" s="4"/>
      <c r="X75" s="4"/>
      <c r="Y75" s="4"/>
      <c r="Z75" s="4"/>
      <c r="AA75" s="4"/>
      <c r="AB75" s="4"/>
      <c r="AC75" s="4"/>
      <c r="AD75" s="4"/>
      <c r="AE75" s="4"/>
      <c r="AF75" s="4"/>
      <c r="AG75" s="4"/>
      <c r="AH75" s="4"/>
      <c r="AI75" s="4"/>
      <c r="AJ75" s="4"/>
      <c r="AK75" s="4"/>
    </row>
    <row r="76" spans="1:37" ht="70" customHeight="1" x14ac:dyDescent="0.2">
      <c r="A76" s="107">
        <v>43748</v>
      </c>
      <c r="B76" s="4" t="s">
        <v>353</v>
      </c>
      <c r="C76" s="163" t="s">
        <v>1118</v>
      </c>
      <c r="D76" s="4" t="s">
        <v>1165</v>
      </c>
      <c r="E76" s="4" t="s">
        <v>70</v>
      </c>
      <c r="F76" s="4" t="s">
        <v>354</v>
      </c>
      <c r="G76" s="4" t="s">
        <v>72</v>
      </c>
      <c r="H76" s="4" t="s">
        <v>27</v>
      </c>
      <c r="I76" s="4" t="s">
        <v>28</v>
      </c>
      <c r="J76" s="4" t="s">
        <v>28</v>
      </c>
      <c r="K76" s="4" t="s">
        <v>355</v>
      </c>
      <c r="L76" s="4" t="s">
        <v>96</v>
      </c>
      <c r="M76" s="4" t="s">
        <v>356</v>
      </c>
      <c r="N76" s="4"/>
      <c r="O76" s="4" t="s">
        <v>357</v>
      </c>
      <c r="P76" s="4"/>
      <c r="Q76" s="4"/>
      <c r="R76" s="20" t="s">
        <v>358</v>
      </c>
      <c r="S76" s="4"/>
      <c r="T76" s="10"/>
      <c r="U76" s="19"/>
      <c r="V76" s="10"/>
      <c r="W76" s="10"/>
      <c r="X76" s="4"/>
      <c r="Y76" s="4"/>
      <c r="Z76" s="4"/>
      <c r="AA76" s="4"/>
      <c r="AB76" s="4"/>
      <c r="AC76" s="4"/>
      <c r="AD76" s="4"/>
      <c r="AE76" s="4"/>
      <c r="AF76" s="4"/>
      <c r="AG76" s="4"/>
      <c r="AH76" s="4"/>
      <c r="AI76" s="4"/>
      <c r="AJ76" s="4"/>
      <c r="AK76" s="4"/>
    </row>
    <row r="77" spans="1:37" ht="70" customHeight="1" x14ac:dyDescent="0.2">
      <c r="A77" s="107">
        <v>43755</v>
      </c>
      <c r="B77" s="4" t="s">
        <v>359</v>
      </c>
      <c r="C77" s="163" t="s">
        <v>1156</v>
      </c>
      <c r="D77" s="4" t="s">
        <v>1169</v>
      </c>
      <c r="E77" s="4" t="s">
        <v>70</v>
      </c>
      <c r="F77" s="4" t="s">
        <v>360</v>
      </c>
      <c r="G77" s="4" t="s">
        <v>72</v>
      </c>
      <c r="H77" s="4" t="s">
        <v>27</v>
      </c>
      <c r="I77" s="4" t="s">
        <v>28</v>
      </c>
      <c r="J77" s="4" t="s">
        <v>28</v>
      </c>
      <c r="K77" s="4" t="s">
        <v>361</v>
      </c>
      <c r="L77" s="4" t="s">
        <v>362</v>
      </c>
      <c r="M77" s="4" t="s">
        <v>217</v>
      </c>
      <c r="N77" s="4"/>
      <c r="O77" s="4" t="s">
        <v>363</v>
      </c>
      <c r="P77" s="4"/>
      <c r="Q77" s="4"/>
      <c r="R77" s="20" t="s">
        <v>154</v>
      </c>
      <c r="S77" s="4"/>
      <c r="T77" s="10"/>
      <c r="U77" s="10"/>
      <c r="V77" s="19"/>
      <c r="W77" s="4"/>
      <c r="X77" s="4"/>
      <c r="Y77" s="4"/>
      <c r="Z77" s="4"/>
      <c r="AA77" s="4"/>
      <c r="AB77" s="4"/>
      <c r="AC77" s="4"/>
      <c r="AD77" s="4"/>
      <c r="AE77" s="4"/>
      <c r="AF77" s="4"/>
      <c r="AG77" s="4"/>
      <c r="AH77" s="4"/>
      <c r="AI77" s="4"/>
      <c r="AJ77" s="4"/>
      <c r="AK77" s="4"/>
    </row>
    <row r="78" spans="1:37" ht="70" customHeight="1" x14ac:dyDescent="0.2">
      <c r="A78" s="107">
        <v>43795</v>
      </c>
      <c r="B78" s="4" t="s">
        <v>364</v>
      </c>
      <c r="C78" s="163" t="s">
        <v>1156</v>
      </c>
      <c r="D78" s="4" t="s">
        <v>1231</v>
      </c>
      <c r="E78" s="4" t="s">
        <v>61</v>
      </c>
      <c r="F78" s="4" t="s">
        <v>365</v>
      </c>
      <c r="G78" s="4" t="s">
        <v>26</v>
      </c>
      <c r="H78" s="4" t="s">
        <v>27</v>
      </c>
      <c r="I78" s="4" t="s">
        <v>28</v>
      </c>
      <c r="J78" s="4" t="s">
        <v>28</v>
      </c>
      <c r="K78" s="4" t="s">
        <v>28</v>
      </c>
      <c r="L78" s="4" t="s">
        <v>242</v>
      </c>
      <c r="M78" s="4" t="s">
        <v>105</v>
      </c>
      <c r="N78" s="4"/>
      <c r="O78" s="4" t="s">
        <v>366</v>
      </c>
      <c r="P78" s="4"/>
      <c r="Q78" s="4"/>
      <c r="R78" s="20" t="s">
        <v>367</v>
      </c>
      <c r="S78" s="20" t="s">
        <v>368</v>
      </c>
      <c r="T78" s="20" t="s">
        <v>369</v>
      </c>
      <c r="U78" s="4"/>
      <c r="V78" s="4"/>
      <c r="W78" s="4"/>
      <c r="X78" s="4"/>
      <c r="Y78" s="4"/>
      <c r="Z78" s="4"/>
      <c r="AA78" s="4"/>
      <c r="AB78" s="4"/>
      <c r="AC78" s="4"/>
      <c r="AD78" s="4"/>
      <c r="AE78" s="4"/>
      <c r="AF78" s="4"/>
      <c r="AG78" s="4"/>
      <c r="AH78" s="4"/>
      <c r="AI78" s="4"/>
      <c r="AJ78" s="4"/>
      <c r="AK78" s="4"/>
    </row>
    <row r="79" spans="1:37" ht="70" customHeight="1" x14ac:dyDescent="0.2">
      <c r="A79" s="107">
        <v>43801</v>
      </c>
      <c r="B79" s="4" t="s">
        <v>1298</v>
      </c>
      <c r="C79" s="163" t="s">
        <v>1118</v>
      </c>
      <c r="D79" s="4" t="s">
        <v>1164</v>
      </c>
      <c r="E79" s="4" t="s">
        <v>370</v>
      </c>
      <c r="F79" s="4" t="s">
        <v>1297</v>
      </c>
      <c r="G79" s="4" t="s">
        <v>208</v>
      </c>
      <c r="H79" s="4" t="s">
        <v>208</v>
      </c>
      <c r="I79" s="4" t="s">
        <v>28</v>
      </c>
      <c r="J79" s="4" t="s">
        <v>28</v>
      </c>
      <c r="K79" s="4" t="s">
        <v>371</v>
      </c>
      <c r="L79" s="4" t="s">
        <v>96</v>
      </c>
      <c r="M79" s="4" t="s">
        <v>372</v>
      </c>
      <c r="N79" s="4" t="s">
        <v>28</v>
      </c>
      <c r="O79" s="4"/>
      <c r="P79" s="4" t="s">
        <v>373</v>
      </c>
      <c r="Q79" s="4"/>
      <c r="R79" s="7" t="s">
        <v>374</v>
      </c>
      <c r="S79" s="4"/>
      <c r="T79" s="10"/>
      <c r="U79" s="7"/>
      <c r="V79" s="4"/>
      <c r="W79" s="4"/>
      <c r="X79" s="4"/>
      <c r="Y79" s="4"/>
      <c r="Z79" s="4"/>
      <c r="AA79" s="4"/>
      <c r="AB79" s="4"/>
      <c r="AC79" s="4"/>
      <c r="AD79" s="4"/>
      <c r="AE79" s="4"/>
      <c r="AF79" s="4"/>
      <c r="AG79" s="4"/>
      <c r="AH79" s="4"/>
      <c r="AI79" s="4"/>
      <c r="AJ79" s="4"/>
      <c r="AK79" s="4"/>
    </row>
    <row r="80" spans="1:37" ht="70" customHeight="1" x14ac:dyDescent="0.2">
      <c r="A80" s="107">
        <v>43814</v>
      </c>
      <c r="B80" s="4" t="s">
        <v>375</v>
      </c>
      <c r="C80" s="163" t="s">
        <v>1156</v>
      </c>
      <c r="D80" s="4" t="s">
        <v>1119</v>
      </c>
      <c r="E80" s="4" t="s">
        <v>70</v>
      </c>
      <c r="F80" s="4" t="s">
        <v>376</v>
      </c>
      <c r="G80" s="4" t="s">
        <v>72</v>
      </c>
      <c r="H80" s="4" t="s">
        <v>27</v>
      </c>
      <c r="I80" s="4" t="s">
        <v>28</v>
      </c>
      <c r="J80" s="4" t="s">
        <v>28</v>
      </c>
      <c r="K80" s="4" t="s">
        <v>377</v>
      </c>
      <c r="L80" s="4" t="s">
        <v>378</v>
      </c>
      <c r="M80" s="4" t="s">
        <v>105</v>
      </c>
      <c r="N80" s="4"/>
      <c r="O80" s="4" t="s">
        <v>379</v>
      </c>
      <c r="P80" s="4"/>
      <c r="Q80" s="4"/>
      <c r="R80" s="20" t="s">
        <v>380</v>
      </c>
      <c r="S80" s="4"/>
      <c r="T80" s="10"/>
      <c r="U80" s="10"/>
      <c r="V80" s="4"/>
      <c r="W80" s="4"/>
      <c r="X80" s="4"/>
      <c r="Y80" s="4"/>
      <c r="Z80" s="4"/>
      <c r="AA80" s="4"/>
      <c r="AB80" s="4"/>
      <c r="AC80" s="4"/>
      <c r="AD80" s="4"/>
      <c r="AE80" s="4"/>
      <c r="AF80" s="4"/>
      <c r="AG80" s="4"/>
      <c r="AH80" s="4"/>
      <c r="AI80" s="4"/>
      <c r="AJ80" s="4"/>
      <c r="AK80" s="4"/>
    </row>
    <row r="81" spans="1:37" ht="70" customHeight="1" x14ac:dyDescent="0.2">
      <c r="A81" s="107">
        <v>43831</v>
      </c>
      <c r="B81" s="4" t="s">
        <v>381</v>
      </c>
      <c r="C81" s="163" t="s">
        <v>1156</v>
      </c>
      <c r="D81" s="4" t="s">
        <v>1167</v>
      </c>
      <c r="E81" s="4" t="s">
        <v>24</v>
      </c>
      <c r="F81" s="9" t="s">
        <v>382</v>
      </c>
      <c r="G81" s="4" t="s">
        <v>26</v>
      </c>
      <c r="H81" s="4" t="s">
        <v>27</v>
      </c>
      <c r="I81" s="4" t="s">
        <v>28</v>
      </c>
      <c r="J81" s="4" t="s">
        <v>28</v>
      </c>
      <c r="K81" s="4" t="s">
        <v>28</v>
      </c>
      <c r="L81" s="4" t="s">
        <v>242</v>
      </c>
      <c r="M81" s="4" t="s">
        <v>29</v>
      </c>
      <c r="N81" s="4" t="s">
        <v>383</v>
      </c>
      <c r="O81" s="4" t="s">
        <v>384</v>
      </c>
      <c r="P81" s="4" t="s">
        <v>28</v>
      </c>
      <c r="Q81" s="4" t="s">
        <v>28</v>
      </c>
      <c r="R81" s="7" t="s">
        <v>385</v>
      </c>
      <c r="S81" s="7" t="s">
        <v>386</v>
      </c>
      <c r="T81" s="4"/>
      <c r="U81" s="10"/>
      <c r="V81" s="21"/>
      <c r="W81" s="4"/>
      <c r="X81" s="4"/>
      <c r="Y81" s="4"/>
      <c r="Z81" s="4"/>
      <c r="AA81" s="4"/>
      <c r="AB81" s="4"/>
      <c r="AC81" s="4"/>
      <c r="AD81" s="4"/>
      <c r="AE81" s="4"/>
      <c r="AF81" s="4"/>
      <c r="AG81" s="4"/>
      <c r="AH81" s="4"/>
      <c r="AI81" s="4"/>
      <c r="AJ81" s="4"/>
      <c r="AK81" s="4"/>
    </row>
    <row r="82" spans="1:37" ht="70" customHeight="1" x14ac:dyDescent="0.2">
      <c r="A82" s="107">
        <v>43882</v>
      </c>
      <c r="B82" s="4" t="s">
        <v>387</v>
      </c>
      <c r="C82" s="163" t="s">
        <v>1156</v>
      </c>
      <c r="D82" s="4" t="s">
        <v>291</v>
      </c>
      <c r="E82" s="4" t="s">
        <v>70</v>
      </c>
      <c r="F82" s="4" t="s">
        <v>388</v>
      </c>
      <c r="G82" s="4" t="s">
        <v>72</v>
      </c>
      <c r="H82" s="4" t="s">
        <v>27</v>
      </c>
      <c r="I82" s="4" t="s">
        <v>28</v>
      </c>
      <c r="J82" s="4" t="s">
        <v>28</v>
      </c>
      <c r="K82" s="4" t="s">
        <v>389</v>
      </c>
      <c r="L82" s="4" t="s">
        <v>390</v>
      </c>
      <c r="M82" s="4" t="s">
        <v>144</v>
      </c>
      <c r="N82" s="4"/>
      <c r="O82" s="4" t="s">
        <v>391</v>
      </c>
      <c r="P82" s="4"/>
      <c r="Q82" s="4"/>
      <c r="R82" s="20" t="s">
        <v>219</v>
      </c>
      <c r="S82" s="20" t="s">
        <v>392</v>
      </c>
      <c r="T82" s="20" t="s">
        <v>393</v>
      </c>
      <c r="U82" s="20" t="s">
        <v>394</v>
      </c>
      <c r="V82" s="4"/>
      <c r="W82" s="4"/>
      <c r="X82" s="4"/>
      <c r="Y82" s="4"/>
      <c r="Z82" s="4"/>
      <c r="AA82" s="4"/>
      <c r="AB82" s="4"/>
      <c r="AC82" s="4"/>
      <c r="AD82" s="4"/>
      <c r="AE82" s="4"/>
      <c r="AF82" s="4"/>
      <c r="AG82" s="4"/>
      <c r="AH82" s="4"/>
      <c r="AI82" s="4"/>
      <c r="AJ82" s="4"/>
      <c r="AK82" s="4"/>
    </row>
    <row r="83" spans="1:37" ht="70" customHeight="1" x14ac:dyDescent="0.2">
      <c r="A83" s="107">
        <v>43933</v>
      </c>
      <c r="B83" s="4" t="s">
        <v>395</v>
      </c>
      <c r="C83" s="163" t="s">
        <v>1156</v>
      </c>
      <c r="D83" s="4" t="s">
        <v>1176</v>
      </c>
      <c r="E83" s="4" t="s">
        <v>70</v>
      </c>
      <c r="F83" s="4" t="s">
        <v>396</v>
      </c>
      <c r="G83" s="4" t="s">
        <v>72</v>
      </c>
      <c r="H83" s="4" t="s">
        <v>27</v>
      </c>
      <c r="I83" s="4" t="s">
        <v>28</v>
      </c>
      <c r="J83" s="4" t="s">
        <v>28</v>
      </c>
      <c r="K83" s="4" t="s">
        <v>397</v>
      </c>
      <c r="L83" s="4" t="s">
        <v>1082</v>
      </c>
      <c r="M83" s="4" t="s">
        <v>105</v>
      </c>
      <c r="N83" s="4"/>
      <c r="O83" s="4" t="s">
        <v>398</v>
      </c>
      <c r="P83" s="4"/>
      <c r="Q83" s="4"/>
      <c r="R83" s="20" t="s">
        <v>154</v>
      </c>
      <c r="S83" s="20" t="s">
        <v>219</v>
      </c>
      <c r="T83" s="10"/>
      <c r="U83" s="4"/>
      <c r="V83" s="4"/>
      <c r="W83" s="4"/>
      <c r="X83" s="4"/>
      <c r="Y83" s="4"/>
      <c r="Z83" s="4"/>
      <c r="AA83" s="4"/>
      <c r="AB83" s="4"/>
      <c r="AC83" s="4"/>
      <c r="AD83" s="4"/>
      <c r="AE83" s="4"/>
      <c r="AF83" s="4"/>
      <c r="AG83" s="4"/>
      <c r="AH83" s="4"/>
      <c r="AI83" s="4"/>
      <c r="AJ83" s="4"/>
      <c r="AK83" s="4"/>
    </row>
    <row r="84" spans="1:37" ht="70" customHeight="1" x14ac:dyDescent="0.2">
      <c r="A84" s="107">
        <v>43952</v>
      </c>
      <c r="B84" s="4" t="s">
        <v>399</v>
      </c>
      <c r="C84" s="163" t="s">
        <v>1156</v>
      </c>
      <c r="D84" s="4" t="s">
        <v>291</v>
      </c>
      <c r="E84" s="4" t="s">
        <v>37</v>
      </c>
      <c r="F84" s="4" t="s">
        <v>400</v>
      </c>
      <c r="G84" s="4" t="s">
        <v>49</v>
      </c>
      <c r="H84" s="4" t="s">
        <v>27</v>
      </c>
      <c r="I84" s="4" t="s">
        <v>66</v>
      </c>
      <c r="J84" s="4" t="s">
        <v>28</v>
      </c>
      <c r="K84" s="4" t="s">
        <v>28</v>
      </c>
      <c r="L84" s="4" t="s">
        <v>1091</v>
      </c>
      <c r="M84" s="4" t="s">
        <v>296</v>
      </c>
      <c r="N84" s="4" t="s">
        <v>401</v>
      </c>
      <c r="O84" s="4" t="s">
        <v>402</v>
      </c>
      <c r="P84" s="4"/>
      <c r="Q84" s="4"/>
      <c r="R84" s="4" t="s">
        <v>32</v>
      </c>
      <c r="S84" s="4"/>
      <c r="T84" s="10"/>
      <c r="U84" s="4"/>
      <c r="V84" s="4"/>
      <c r="W84" s="4"/>
      <c r="X84" s="4"/>
      <c r="Y84" s="4"/>
      <c r="Z84" s="4"/>
      <c r="AA84" s="4"/>
      <c r="AB84" s="4"/>
      <c r="AC84" s="4"/>
      <c r="AD84" s="4"/>
      <c r="AE84" s="4"/>
      <c r="AF84" s="4"/>
      <c r="AG84" s="4"/>
      <c r="AH84" s="4"/>
      <c r="AI84" s="4"/>
      <c r="AJ84" s="4"/>
      <c r="AK84" s="4"/>
    </row>
    <row r="85" spans="1:37" ht="70" customHeight="1" x14ac:dyDescent="0.2">
      <c r="A85" s="107">
        <v>44025</v>
      </c>
      <c r="B85" s="4" t="s">
        <v>403</v>
      </c>
      <c r="C85" s="163" t="s">
        <v>1118</v>
      </c>
      <c r="D85" s="4" t="s">
        <v>1119</v>
      </c>
      <c r="E85" s="4" t="s">
        <v>370</v>
      </c>
      <c r="F85" s="4" t="s">
        <v>404</v>
      </c>
      <c r="G85" s="4" t="s">
        <v>208</v>
      </c>
      <c r="H85" s="4" t="s">
        <v>208</v>
      </c>
      <c r="I85" s="4" t="s">
        <v>28</v>
      </c>
      <c r="J85" s="4" t="s">
        <v>405</v>
      </c>
      <c r="K85" s="4" t="s">
        <v>406</v>
      </c>
      <c r="L85" s="4" t="s">
        <v>96</v>
      </c>
      <c r="M85" s="4" t="s">
        <v>407</v>
      </c>
      <c r="N85" s="4" t="s">
        <v>28</v>
      </c>
      <c r="O85" s="4" t="s">
        <v>408</v>
      </c>
      <c r="P85" s="4" t="s">
        <v>409</v>
      </c>
      <c r="Q85" s="4"/>
      <c r="R85" s="7" t="s">
        <v>374</v>
      </c>
      <c r="S85" s="4"/>
      <c r="T85" s="10"/>
      <c r="U85" s="10"/>
      <c r="V85" s="10"/>
      <c r="W85" s="4"/>
      <c r="X85" s="4"/>
      <c r="Y85" s="4"/>
      <c r="Z85" s="4"/>
      <c r="AA85" s="4"/>
      <c r="AB85" s="4"/>
      <c r="AC85" s="4"/>
      <c r="AD85" s="4"/>
      <c r="AE85" s="4"/>
      <c r="AF85" s="4"/>
      <c r="AG85" s="4"/>
      <c r="AH85" s="4"/>
      <c r="AI85" s="4"/>
      <c r="AJ85" s="4"/>
      <c r="AK85" s="4"/>
    </row>
    <row r="86" spans="1:37" ht="70" customHeight="1" x14ac:dyDescent="0.2">
      <c r="A86" s="107">
        <v>44053</v>
      </c>
      <c r="B86" s="4" t="s">
        <v>410</v>
      </c>
      <c r="C86" s="163" t="s">
        <v>1118</v>
      </c>
      <c r="D86" s="4" t="s">
        <v>1164</v>
      </c>
      <c r="E86" s="4" t="s">
        <v>370</v>
      </c>
      <c r="F86" s="4" t="s">
        <v>411</v>
      </c>
      <c r="G86" s="4" t="s">
        <v>208</v>
      </c>
      <c r="H86" s="4" t="s">
        <v>208</v>
      </c>
      <c r="I86" s="4" t="s">
        <v>28</v>
      </c>
      <c r="J86" s="4" t="s">
        <v>412</v>
      </c>
      <c r="K86" s="4" t="s">
        <v>28</v>
      </c>
      <c r="L86" s="4" t="s">
        <v>96</v>
      </c>
      <c r="M86" s="4" t="s">
        <v>372</v>
      </c>
      <c r="N86" s="4" t="s">
        <v>28</v>
      </c>
      <c r="O86" s="4" t="s">
        <v>413</v>
      </c>
      <c r="P86" s="4"/>
      <c r="Q86" s="4" t="s">
        <v>414</v>
      </c>
      <c r="R86" s="7" t="s">
        <v>415</v>
      </c>
      <c r="S86" s="4"/>
      <c r="T86" s="10"/>
      <c r="U86" s="10"/>
      <c r="V86" s="10"/>
      <c r="W86" s="10"/>
      <c r="X86" s="4"/>
      <c r="Y86" s="4"/>
      <c r="Z86" s="4"/>
      <c r="AA86" s="4"/>
      <c r="AB86" s="4"/>
      <c r="AC86" s="4"/>
      <c r="AD86" s="4"/>
      <c r="AE86" s="4"/>
      <c r="AF86" s="4"/>
      <c r="AG86" s="4"/>
      <c r="AH86" s="4"/>
      <c r="AI86" s="4"/>
      <c r="AJ86" s="4"/>
      <c r="AK86" s="4"/>
    </row>
    <row r="87" spans="1:37" ht="70" customHeight="1" x14ac:dyDescent="0.2">
      <c r="A87" s="107">
        <v>44071</v>
      </c>
      <c r="B87" s="4" t="s">
        <v>1120</v>
      </c>
      <c r="C87" s="163" t="s">
        <v>1118</v>
      </c>
      <c r="D87" s="4" t="s">
        <v>1165</v>
      </c>
      <c r="E87" s="4" t="s">
        <v>24</v>
      </c>
      <c r="F87" s="4" t="s">
        <v>416</v>
      </c>
      <c r="G87" s="4" t="s">
        <v>208</v>
      </c>
      <c r="H87" s="4" t="s">
        <v>208</v>
      </c>
      <c r="I87" s="4" t="s">
        <v>417</v>
      </c>
      <c r="J87" s="4" t="s">
        <v>28</v>
      </c>
      <c r="K87" s="4" t="s">
        <v>28</v>
      </c>
      <c r="L87" s="4" t="s">
        <v>28</v>
      </c>
      <c r="M87" s="4" t="s">
        <v>418</v>
      </c>
      <c r="N87" s="4" t="s">
        <v>419</v>
      </c>
      <c r="O87" s="4" t="s">
        <v>420</v>
      </c>
      <c r="P87" s="4" t="s">
        <v>421</v>
      </c>
      <c r="Q87" s="4"/>
      <c r="R87" s="7" t="s">
        <v>422</v>
      </c>
      <c r="S87" s="7" t="s">
        <v>244</v>
      </c>
      <c r="T87" s="7"/>
      <c r="U87" s="4"/>
      <c r="V87" s="4"/>
      <c r="W87" s="4"/>
      <c r="X87" s="4"/>
      <c r="Y87" s="4"/>
      <c r="Z87" s="4"/>
      <c r="AA87" s="4"/>
      <c r="AB87" s="4"/>
      <c r="AC87" s="4"/>
      <c r="AD87" s="4"/>
      <c r="AE87" s="4"/>
      <c r="AF87" s="4"/>
      <c r="AG87" s="4"/>
      <c r="AH87" s="4"/>
      <c r="AI87" s="4"/>
      <c r="AJ87" s="4"/>
      <c r="AK87" s="4"/>
    </row>
    <row r="88" spans="1:37" ht="70" customHeight="1" x14ac:dyDescent="0.2">
      <c r="A88" s="107">
        <v>44075</v>
      </c>
      <c r="B88" s="4" t="s">
        <v>423</v>
      </c>
      <c r="C88" s="163" t="s">
        <v>1156</v>
      </c>
      <c r="D88" s="4" t="s">
        <v>291</v>
      </c>
      <c r="E88" s="4" t="s">
        <v>37</v>
      </c>
      <c r="F88" s="4" t="s">
        <v>424</v>
      </c>
      <c r="G88" s="4" t="s">
        <v>425</v>
      </c>
      <c r="H88" s="4" t="s">
        <v>27</v>
      </c>
      <c r="I88" s="4" t="s">
        <v>28</v>
      </c>
      <c r="J88" s="4" t="s">
        <v>28</v>
      </c>
      <c r="K88" s="4" t="s">
        <v>28</v>
      </c>
      <c r="L88" s="4" t="s">
        <v>1091</v>
      </c>
      <c r="M88" s="4" t="s">
        <v>426</v>
      </c>
      <c r="N88" s="4" t="s">
        <v>427</v>
      </c>
      <c r="O88" s="4" t="s">
        <v>402</v>
      </c>
      <c r="P88" s="4"/>
      <c r="Q88" s="4"/>
      <c r="R88" s="4" t="s">
        <v>32</v>
      </c>
      <c r="S88" s="4"/>
      <c r="T88" s="10"/>
      <c r="U88" s="10"/>
      <c r="V88" s="4"/>
      <c r="W88" s="4"/>
      <c r="X88" s="4"/>
      <c r="Y88" s="4"/>
      <c r="Z88" s="4"/>
      <c r="AA88" s="4"/>
      <c r="AB88" s="4"/>
      <c r="AC88" s="4"/>
      <c r="AD88" s="4"/>
      <c r="AE88" s="4"/>
      <c r="AF88" s="4"/>
      <c r="AG88" s="4"/>
      <c r="AH88" s="4"/>
      <c r="AI88" s="4"/>
      <c r="AJ88" s="4"/>
      <c r="AK88" s="4"/>
    </row>
    <row r="89" spans="1:37" ht="70" customHeight="1" x14ac:dyDescent="0.2">
      <c r="A89" s="107">
        <v>44081</v>
      </c>
      <c r="B89" s="4" t="s">
        <v>428</v>
      </c>
      <c r="C89" s="163" t="s">
        <v>1156</v>
      </c>
      <c r="D89" s="4" t="s">
        <v>1169</v>
      </c>
      <c r="E89" s="4" t="s">
        <v>70</v>
      </c>
      <c r="F89" s="4" t="s">
        <v>429</v>
      </c>
      <c r="G89" s="4" t="s">
        <v>72</v>
      </c>
      <c r="H89" s="4" t="s">
        <v>27</v>
      </c>
      <c r="I89" s="4" t="s">
        <v>28</v>
      </c>
      <c r="J89" s="4" t="s">
        <v>28</v>
      </c>
      <c r="K89" s="4" t="s">
        <v>430</v>
      </c>
      <c r="L89" s="4" t="s">
        <v>431</v>
      </c>
      <c r="M89" s="4" t="s">
        <v>217</v>
      </c>
      <c r="N89" s="4"/>
      <c r="O89" s="4" t="s">
        <v>432</v>
      </c>
      <c r="P89" s="4"/>
      <c r="Q89" s="4"/>
      <c r="R89" s="20" t="s">
        <v>219</v>
      </c>
      <c r="S89" s="20" t="s">
        <v>433</v>
      </c>
      <c r="T89" s="7"/>
      <c r="U89" s="7"/>
      <c r="V89" s="4"/>
      <c r="W89" s="4"/>
      <c r="X89" s="4"/>
      <c r="Y89" s="4"/>
      <c r="Z89" s="4"/>
      <c r="AA89" s="4"/>
      <c r="AB89" s="4"/>
      <c r="AC89" s="4"/>
      <c r="AD89" s="4"/>
      <c r="AE89" s="4"/>
      <c r="AF89" s="4"/>
      <c r="AG89" s="4"/>
      <c r="AH89" s="4"/>
      <c r="AI89" s="4"/>
      <c r="AJ89" s="4"/>
      <c r="AK89" s="4"/>
    </row>
    <row r="90" spans="1:37" ht="70" customHeight="1" x14ac:dyDescent="0.2">
      <c r="A90" s="107">
        <v>44105</v>
      </c>
      <c r="B90" s="4" t="s">
        <v>1236</v>
      </c>
      <c r="C90" s="163" t="s">
        <v>1118</v>
      </c>
      <c r="D90" s="4" t="s">
        <v>1165</v>
      </c>
      <c r="E90" s="4" t="s">
        <v>61</v>
      </c>
      <c r="F90" s="4" t="s">
        <v>1237</v>
      </c>
      <c r="G90" s="4" t="s">
        <v>26</v>
      </c>
      <c r="H90" s="4" t="s">
        <v>27</v>
      </c>
      <c r="I90" s="4" t="s">
        <v>28</v>
      </c>
      <c r="J90" s="4" t="s">
        <v>28</v>
      </c>
      <c r="K90" s="4" t="s">
        <v>1238</v>
      </c>
      <c r="L90" s="4" t="s">
        <v>242</v>
      </c>
      <c r="M90" s="4" t="s">
        <v>905</v>
      </c>
      <c r="N90" s="4"/>
      <c r="O90" s="4" t="s">
        <v>1234</v>
      </c>
      <c r="P90" s="4"/>
      <c r="Q90" s="4"/>
      <c r="R90" s="84" t="s">
        <v>1235</v>
      </c>
      <c r="S90" s="4"/>
      <c r="T90" s="10"/>
      <c r="U90" s="10"/>
      <c r="V90" s="4"/>
      <c r="W90" s="4"/>
      <c r="X90" s="4"/>
      <c r="Y90" s="4"/>
      <c r="Z90" s="4"/>
      <c r="AA90" s="4"/>
      <c r="AB90" s="4"/>
      <c r="AC90" s="4"/>
      <c r="AD90" s="4"/>
      <c r="AE90" s="4"/>
      <c r="AF90" s="4"/>
      <c r="AG90" s="4"/>
      <c r="AH90" s="4"/>
      <c r="AI90" s="4"/>
      <c r="AJ90" s="4"/>
      <c r="AK90" s="4"/>
    </row>
    <row r="91" spans="1:37" ht="70" customHeight="1" x14ac:dyDescent="0.2">
      <c r="A91" s="107">
        <v>44217</v>
      </c>
      <c r="B91" s="4" t="s">
        <v>434</v>
      </c>
      <c r="C91" s="163" t="s">
        <v>1118</v>
      </c>
      <c r="D91" s="4" t="s">
        <v>1164</v>
      </c>
      <c r="E91" s="4" t="s">
        <v>370</v>
      </c>
      <c r="F91" s="4" t="s">
        <v>1121</v>
      </c>
      <c r="G91" s="4" t="s">
        <v>208</v>
      </c>
      <c r="H91" s="4" t="s">
        <v>208</v>
      </c>
      <c r="I91" s="4" t="s">
        <v>28</v>
      </c>
      <c r="J91" s="4" t="s">
        <v>435</v>
      </c>
      <c r="K91" s="4" t="s">
        <v>28</v>
      </c>
      <c r="L91" s="4" t="s">
        <v>96</v>
      </c>
      <c r="M91" s="4" t="s">
        <v>407</v>
      </c>
      <c r="N91" s="4" t="s">
        <v>28</v>
      </c>
      <c r="O91" s="4" t="s">
        <v>436</v>
      </c>
      <c r="P91" s="4" t="s">
        <v>437</v>
      </c>
      <c r="Q91" s="4" t="s">
        <v>438</v>
      </c>
      <c r="R91" s="7" t="s">
        <v>415</v>
      </c>
      <c r="S91" s="7" t="s">
        <v>374</v>
      </c>
      <c r="T91" s="84" t="s">
        <v>1123</v>
      </c>
      <c r="U91" s="10"/>
      <c r="V91" s="4"/>
      <c r="W91" s="4"/>
      <c r="X91" s="4"/>
      <c r="Y91" s="4"/>
      <c r="Z91" s="4"/>
      <c r="AA91" s="4"/>
      <c r="AB91" s="4"/>
      <c r="AC91" s="4"/>
      <c r="AD91" s="4"/>
      <c r="AE91" s="4"/>
      <c r="AF91" s="4"/>
      <c r="AG91" s="4"/>
      <c r="AH91" s="4"/>
      <c r="AI91" s="4"/>
      <c r="AJ91" s="4"/>
      <c r="AK91" s="4"/>
    </row>
    <row r="92" spans="1:37" ht="70" customHeight="1" x14ac:dyDescent="0.2">
      <c r="A92" s="107">
        <v>44253</v>
      </c>
      <c r="B92" s="4" t="s">
        <v>439</v>
      </c>
      <c r="C92" s="163" t="s">
        <v>1156</v>
      </c>
      <c r="D92" s="4" t="s">
        <v>1171</v>
      </c>
      <c r="E92" s="4" t="s">
        <v>37</v>
      </c>
      <c r="F92" s="4" t="s">
        <v>440</v>
      </c>
      <c r="G92" s="4" t="s">
        <v>49</v>
      </c>
      <c r="H92" s="4" t="s">
        <v>27</v>
      </c>
      <c r="I92" s="4" t="s">
        <v>441</v>
      </c>
      <c r="J92" s="4" t="s">
        <v>28</v>
      </c>
      <c r="K92" s="4" t="s">
        <v>28</v>
      </c>
      <c r="L92" s="4" t="s">
        <v>1080</v>
      </c>
      <c r="M92" s="4" t="s">
        <v>426</v>
      </c>
      <c r="N92" s="4"/>
      <c r="O92" s="4" t="s">
        <v>442</v>
      </c>
      <c r="P92" s="4"/>
      <c r="Q92" s="4"/>
      <c r="R92" s="4" t="s">
        <v>32</v>
      </c>
      <c r="S92" s="4"/>
      <c r="T92" s="10"/>
      <c r="U92" s="4"/>
      <c r="V92" s="4"/>
      <c r="W92" s="4"/>
      <c r="X92" s="4"/>
      <c r="Y92" s="4"/>
      <c r="Z92" s="4"/>
      <c r="AA92" s="4"/>
      <c r="AB92" s="4"/>
      <c r="AC92" s="4"/>
      <c r="AD92" s="4"/>
      <c r="AE92" s="4"/>
      <c r="AF92" s="4"/>
      <c r="AG92" s="4"/>
      <c r="AH92" s="4"/>
      <c r="AI92" s="4"/>
      <c r="AJ92" s="4"/>
      <c r="AK92" s="4"/>
    </row>
    <row r="93" spans="1:37" ht="70" customHeight="1" x14ac:dyDescent="0.2">
      <c r="A93" s="107">
        <v>44256</v>
      </c>
      <c r="B93" s="4" t="s">
        <v>443</v>
      </c>
      <c r="C93" s="163" t="s">
        <v>1118</v>
      </c>
      <c r="D93" s="4" t="s">
        <v>1119</v>
      </c>
      <c r="E93" s="4" t="s">
        <v>70</v>
      </c>
      <c r="F93" s="4" t="s">
        <v>444</v>
      </c>
      <c r="G93" s="4" t="s">
        <v>72</v>
      </c>
      <c r="H93" s="4" t="s">
        <v>27</v>
      </c>
      <c r="I93" s="4" t="s">
        <v>28</v>
      </c>
      <c r="J93" s="4" t="s">
        <v>28</v>
      </c>
      <c r="K93" s="4" t="s">
        <v>445</v>
      </c>
      <c r="L93" s="4" t="s">
        <v>1109</v>
      </c>
      <c r="M93" s="4" t="s">
        <v>217</v>
      </c>
      <c r="N93" s="4"/>
      <c r="O93" s="4" t="s">
        <v>446</v>
      </c>
      <c r="P93" s="4"/>
      <c r="Q93" s="4"/>
      <c r="R93" s="20" t="s">
        <v>154</v>
      </c>
      <c r="S93" s="20" t="s">
        <v>447</v>
      </c>
      <c r="T93" s="20" t="s">
        <v>448</v>
      </c>
      <c r="U93" s="20" t="s">
        <v>154</v>
      </c>
      <c r="V93" s="20" t="s">
        <v>449</v>
      </c>
      <c r="W93" s="4"/>
      <c r="X93" s="4"/>
      <c r="Y93" s="4"/>
      <c r="Z93" s="4"/>
      <c r="AA93" s="4"/>
      <c r="AB93" s="4"/>
      <c r="AC93" s="4"/>
      <c r="AD93" s="4"/>
      <c r="AE93" s="4"/>
      <c r="AF93" s="4"/>
      <c r="AG93" s="4"/>
      <c r="AH93" s="4"/>
      <c r="AI93" s="4"/>
      <c r="AJ93" s="4"/>
      <c r="AK93" s="4"/>
    </row>
    <row r="94" spans="1:37" ht="70" customHeight="1" x14ac:dyDescent="0.2">
      <c r="A94" s="107">
        <v>44277</v>
      </c>
      <c r="B94" s="4" t="s">
        <v>450</v>
      </c>
      <c r="C94" s="163" t="s">
        <v>1118</v>
      </c>
      <c r="D94" s="4" t="s">
        <v>1119</v>
      </c>
      <c r="E94" s="4" t="s">
        <v>370</v>
      </c>
      <c r="F94" s="4" t="s">
        <v>1122</v>
      </c>
      <c r="G94" s="4" t="s">
        <v>208</v>
      </c>
      <c r="H94" s="4" t="s">
        <v>208</v>
      </c>
      <c r="I94" s="4" t="s">
        <v>28</v>
      </c>
      <c r="J94" s="4" t="s">
        <v>451</v>
      </c>
      <c r="K94" s="4" t="s">
        <v>452</v>
      </c>
      <c r="L94" s="4" t="s">
        <v>453</v>
      </c>
      <c r="M94" s="4" t="s">
        <v>454</v>
      </c>
      <c r="N94" s="4" t="s">
        <v>28</v>
      </c>
      <c r="O94" s="4" t="s">
        <v>455</v>
      </c>
      <c r="P94" s="4" t="s">
        <v>456</v>
      </c>
      <c r="Q94" s="4" t="s">
        <v>457</v>
      </c>
      <c r="R94" s="7" t="s">
        <v>374</v>
      </c>
      <c r="S94" s="7" t="s">
        <v>415</v>
      </c>
      <c r="T94" s="4"/>
      <c r="U94" s="10"/>
      <c r="V94" s="4"/>
      <c r="W94" s="4"/>
      <c r="X94" s="4"/>
      <c r="Y94" s="4"/>
      <c r="Z94" s="4"/>
      <c r="AA94" s="4"/>
      <c r="AB94" s="4"/>
      <c r="AC94" s="4"/>
      <c r="AD94" s="4"/>
      <c r="AE94" s="4"/>
      <c r="AF94" s="4"/>
      <c r="AG94" s="4"/>
      <c r="AH94" s="4"/>
      <c r="AI94" s="4"/>
      <c r="AJ94" s="4"/>
      <c r="AK94" s="4"/>
    </row>
    <row r="95" spans="1:37" ht="70" customHeight="1" x14ac:dyDescent="0.2">
      <c r="A95" s="107">
        <v>44281</v>
      </c>
      <c r="B95" s="4" t="s">
        <v>458</v>
      </c>
      <c r="C95" s="163" t="s">
        <v>1118</v>
      </c>
      <c r="D95" s="4" t="s">
        <v>1119</v>
      </c>
      <c r="E95" s="4" t="s">
        <v>370</v>
      </c>
      <c r="F95" s="4" t="s">
        <v>459</v>
      </c>
      <c r="G95" s="4" t="s">
        <v>208</v>
      </c>
      <c r="H95" s="4" t="s">
        <v>208</v>
      </c>
      <c r="I95" s="4" t="s">
        <v>28</v>
      </c>
      <c r="J95" s="4" t="s">
        <v>460</v>
      </c>
      <c r="K95" s="4" t="s">
        <v>461</v>
      </c>
      <c r="L95" s="4" t="s">
        <v>378</v>
      </c>
      <c r="M95" s="4" t="s">
        <v>454</v>
      </c>
      <c r="N95" s="4" t="s">
        <v>28</v>
      </c>
      <c r="O95" s="4"/>
      <c r="P95" s="4" t="s">
        <v>462</v>
      </c>
      <c r="Q95" s="4"/>
      <c r="R95" s="7" t="s">
        <v>374</v>
      </c>
      <c r="S95" s="4"/>
      <c r="T95" s="7"/>
      <c r="U95" s="4"/>
      <c r="V95" s="4"/>
      <c r="W95" s="4"/>
      <c r="X95" s="4"/>
      <c r="Y95" s="4"/>
      <c r="Z95" s="4"/>
      <c r="AA95" s="4"/>
      <c r="AB95" s="4"/>
      <c r="AC95" s="4"/>
      <c r="AD95" s="4"/>
      <c r="AE95" s="4"/>
      <c r="AF95" s="4"/>
      <c r="AG95" s="4"/>
      <c r="AH95" s="4"/>
      <c r="AI95" s="4"/>
      <c r="AJ95" s="4"/>
      <c r="AK95" s="4"/>
    </row>
    <row r="96" spans="1:37" ht="70" customHeight="1" x14ac:dyDescent="0.2">
      <c r="A96" s="107">
        <v>44282</v>
      </c>
      <c r="B96" s="4" t="s">
        <v>1376</v>
      </c>
      <c r="C96" s="163" t="s">
        <v>1118</v>
      </c>
      <c r="D96" s="4" t="s">
        <v>1119</v>
      </c>
      <c r="E96" s="4" t="s">
        <v>370</v>
      </c>
      <c r="F96" s="4" t="s">
        <v>463</v>
      </c>
      <c r="G96" s="4" t="s">
        <v>208</v>
      </c>
      <c r="H96" s="4" t="s">
        <v>208</v>
      </c>
      <c r="I96" s="4" t="s">
        <v>28</v>
      </c>
      <c r="J96" s="4" t="s">
        <v>464</v>
      </c>
      <c r="K96" s="4" t="s">
        <v>465</v>
      </c>
      <c r="L96" s="4" t="s">
        <v>466</v>
      </c>
      <c r="M96" s="4" t="s">
        <v>407</v>
      </c>
      <c r="N96" s="4" t="s">
        <v>28</v>
      </c>
      <c r="O96" s="4" t="s">
        <v>467</v>
      </c>
      <c r="P96" s="4" t="s">
        <v>468</v>
      </c>
      <c r="Q96" s="4" t="s">
        <v>469</v>
      </c>
      <c r="R96" s="7" t="s">
        <v>374</v>
      </c>
      <c r="S96" s="7" t="s">
        <v>415</v>
      </c>
      <c r="T96" s="4"/>
      <c r="U96" s="10"/>
      <c r="V96" s="4"/>
      <c r="W96" s="4"/>
      <c r="X96" s="4"/>
      <c r="Y96" s="4"/>
      <c r="Z96" s="4"/>
      <c r="AA96" s="4"/>
      <c r="AB96" s="4"/>
      <c r="AC96" s="4"/>
      <c r="AD96" s="4"/>
      <c r="AE96" s="4"/>
      <c r="AF96" s="4"/>
      <c r="AG96" s="4"/>
      <c r="AH96" s="4"/>
      <c r="AI96" s="4"/>
      <c r="AJ96" s="4"/>
      <c r="AK96" s="4"/>
    </row>
    <row r="97" spans="1:37" ht="70" customHeight="1" x14ac:dyDescent="0.2">
      <c r="A97" s="107">
        <v>44300</v>
      </c>
      <c r="B97" s="4" t="s">
        <v>1299</v>
      </c>
      <c r="C97" s="163" t="s">
        <v>1118</v>
      </c>
      <c r="D97" s="4" t="s">
        <v>1231</v>
      </c>
      <c r="E97" s="4" t="s">
        <v>370</v>
      </c>
      <c r="F97" s="4" t="s">
        <v>1124</v>
      </c>
      <c r="G97" s="4" t="s">
        <v>208</v>
      </c>
      <c r="H97" s="4" t="s">
        <v>208</v>
      </c>
      <c r="I97" s="4" t="s">
        <v>28</v>
      </c>
      <c r="J97" s="4" t="s">
        <v>470</v>
      </c>
      <c r="K97" s="4" t="s">
        <v>28</v>
      </c>
      <c r="L97" s="4" t="s">
        <v>471</v>
      </c>
      <c r="M97" s="4" t="s">
        <v>372</v>
      </c>
      <c r="N97" s="4" t="s">
        <v>28</v>
      </c>
      <c r="O97" s="4" t="s">
        <v>472</v>
      </c>
      <c r="P97" s="4"/>
      <c r="Q97" s="4"/>
      <c r="R97" s="7" t="s">
        <v>473</v>
      </c>
      <c r="S97" s="7" t="s">
        <v>473</v>
      </c>
      <c r="T97" s="10"/>
      <c r="U97" s="4"/>
      <c r="V97" s="4"/>
      <c r="W97" s="4"/>
      <c r="X97" s="4"/>
      <c r="Y97" s="4"/>
      <c r="Z97" s="4"/>
      <c r="AA97" s="4"/>
      <c r="AB97" s="4"/>
      <c r="AC97" s="4"/>
      <c r="AD97" s="4"/>
      <c r="AE97" s="4"/>
      <c r="AF97" s="4"/>
      <c r="AG97" s="4"/>
      <c r="AH97" s="4"/>
      <c r="AI97" s="4"/>
      <c r="AJ97" s="4"/>
      <c r="AK97" s="4"/>
    </row>
    <row r="98" spans="1:37" ht="70" customHeight="1" x14ac:dyDescent="0.2">
      <c r="A98" s="107">
        <v>44400</v>
      </c>
      <c r="B98" s="4" t="s">
        <v>474</v>
      </c>
      <c r="C98" s="163" t="s">
        <v>1118</v>
      </c>
      <c r="D98" s="4" t="s">
        <v>1164</v>
      </c>
      <c r="E98" s="4" t="s">
        <v>370</v>
      </c>
      <c r="F98" s="4" t="s">
        <v>475</v>
      </c>
      <c r="G98" s="4" t="s">
        <v>208</v>
      </c>
      <c r="H98" s="4" t="s">
        <v>208</v>
      </c>
      <c r="I98" s="4" t="s">
        <v>476</v>
      </c>
      <c r="J98" s="4" t="s">
        <v>477</v>
      </c>
      <c r="K98" s="4" t="s">
        <v>478</v>
      </c>
      <c r="L98" s="4" t="s">
        <v>96</v>
      </c>
      <c r="M98" s="4" t="s">
        <v>454</v>
      </c>
      <c r="N98" s="4" t="s">
        <v>28</v>
      </c>
      <c r="O98" s="4"/>
      <c r="P98" s="4"/>
      <c r="Q98" s="4" t="s">
        <v>479</v>
      </c>
      <c r="R98" s="7" t="s">
        <v>415</v>
      </c>
      <c r="S98" s="4"/>
      <c r="T98" s="10"/>
      <c r="U98" s="10"/>
      <c r="V98" s="4"/>
      <c r="W98" s="4"/>
      <c r="X98" s="4"/>
      <c r="Y98" s="4"/>
      <c r="Z98" s="4"/>
      <c r="AA98" s="4"/>
      <c r="AB98" s="4"/>
      <c r="AC98" s="4"/>
      <c r="AD98" s="4"/>
      <c r="AE98" s="4"/>
      <c r="AF98" s="4"/>
      <c r="AG98" s="4"/>
      <c r="AH98" s="4"/>
      <c r="AI98" s="4"/>
      <c r="AJ98" s="4"/>
      <c r="AK98" s="4"/>
    </row>
    <row r="99" spans="1:37" ht="70" customHeight="1" x14ac:dyDescent="0.2">
      <c r="A99" s="107">
        <v>44429</v>
      </c>
      <c r="B99" s="4" t="s">
        <v>480</v>
      </c>
      <c r="C99" s="163" t="s">
        <v>1156</v>
      </c>
      <c r="D99" s="4" t="s">
        <v>1169</v>
      </c>
      <c r="E99" s="4" t="s">
        <v>37</v>
      </c>
      <c r="F99" s="21" t="s">
        <v>481</v>
      </c>
      <c r="G99" s="4" t="s">
        <v>236</v>
      </c>
      <c r="H99" s="4" t="s">
        <v>27</v>
      </c>
      <c r="I99" s="4" t="s">
        <v>482</v>
      </c>
      <c r="J99" s="4" t="s">
        <v>28</v>
      </c>
      <c r="K99" s="4" t="s">
        <v>28</v>
      </c>
      <c r="L99" s="4" t="s">
        <v>483</v>
      </c>
      <c r="M99" s="4" t="s">
        <v>426</v>
      </c>
      <c r="N99" s="4" t="s">
        <v>484</v>
      </c>
      <c r="O99" s="4" t="s">
        <v>485</v>
      </c>
      <c r="P99" s="4"/>
      <c r="Q99" s="4"/>
      <c r="R99" s="4" t="s">
        <v>32</v>
      </c>
      <c r="S99" s="24"/>
      <c r="T99" s="24"/>
      <c r="U99" s="10"/>
      <c r="V99" s="4"/>
      <c r="W99" s="4"/>
      <c r="X99" s="4"/>
      <c r="Y99" s="4"/>
      <c r="Z99" s="4"/>
      <c r="AA99" s="4"/>
      <c r="AB99" s="4"/>
      <c r="AC99" s="4"/>
      <c r="AD99" s="4"/>
      <c r="AE99" s="4"/>
      <c r="AF99" s="4"/>
      <c r="AG99" s="4"/>
      <c r="AH99" s="4"/>
      <c r="AI99" s="4"/>
      <c r="AJ99" s="4"/>
      <c r="AK99" s="4"/>
    </row>
    <row r="100" spans="1:37" ht="70" customHeight="1" x14ac:dyDescent="0.2">
      <c r="A100" s="107">
        <v>44458</v>
      </c>
      <c r="B100" s="4" t="s">
        <v>486</v>
      </c>
      <c r="C100" s="163" t="s">
        <v>1156</v>
      </c>
      <c r="D100" s="4" t="s">
        <v>1171</v>
      </c>
      <c r="E100" s="4" t="s">
        <v>37</v>
      </c>
      <c r="F100" s="4" t="s">
        <v>487</v>
      </c>
      <c r="G100" s="4" t="s">
        <v>49</v>
      </c>
      <c r="H100" s="4" t="s">
        <v>27</v>
      </c>
      <c r="I100" s="4" t="s">
        <v>441</v>
      </c>
      <c r="J100" s="4" t="s">
        <v>28</v>
      </c>
      <c r="K100" s="4" t="s">
        <v>28</v>
      </c>
      <c r="L100" s="4" t="s">
        <v>1080</v>
      </c>
      <c r="M100" s="4" t="s">
        <v>426</v>
      </c>
      <c r="N100" s="4"/>
      <c r="O100" s="4" t="s">
        <v>442</v>
      </c>
      <c r="P100" s="4"/>
      <c r="Q100" s="4"/>
      <c r="R100" s="4" t="s">
        <v>32</v>
      </c>
      <c r="S100" s="4"/>
      <c r="T100" s="10"/>
      <c r="U100" s="10"/>
      <c r="V100" s="4"/>
      <c r="W100" s="4"/>
      <c r="X100" s="4"/>
      <c r="Y100" s="4"/>
      <c r="Z100" s="4"/>
      <c r="AA100" s="4"/>
      <c r="AB100" s="4"/>
      <c r="AC100" s="4"/>
      <c r="AD100" s="4"/>
      <c r="AE100" s="4"/>
      <c r="AF100" s="4"/>
      <c r="AG100" s="4"/>
      <c r="AH100" s="4"/>
      <c r="AI100" s="4"/>
      <c r="AJ100" s="4"/>
      <c r="AK100" s="4"/>
    </row>
    <row r="101" spans="1:37" ht="70" customHeight="1" x14ac:dyDescent="0.2">
      <c r="A101" s="107">
        <v>44469</v>
      </c>
      <c r="B101" s="4" t="s">
        <v>488</v>
      </c>
      <c r="C101" s="163" t="s">
        <v>1156</v>
      </c>
      <c r="D101" s="4" t="s">
        <v>1169</v>
      </c>
      <c r="E101" s="4" t="s">
        <v>24</v>
      </c>
      <c r="F101" s="4" t="s">
        <v>489</v>
      </c>
      <c r="G101" s="4" t="s">
        <v>35</v>
      </c>
      <c r="H101" s="4" t="s">
        <v>27</v>
      </c>
      <c r="I101" s="4" t="s">
        <v>28</v>
      </c>
      <c r="J101" s="4" t="s">
        <v>28</v>
      </c>
      <c r="K101" s="4" t="s">
        <v>28</v>
      </c>
      <c r="L101" s="4" t="s">
        <v>483</v>
      </c>
      <c r="M101" s="4" t="s">
        <v>356</v>
      </c>
      <c r="N101" s="4"/>
      <c r="O101" s="4" t="s">
        <v>485</v>
      </c>
      <c r="P101" s="4"/>
      <c r="Q101" s="4"/>
      <c r="R101" s="4" t="s">
        <v>32</v>
      </c>
      <c r="S101" s="4"/>
      <c r="T101" s="10"/>
      <c r="U101" s="4"/>
      <c r="V101" s="4"/>
      <c r="W101" s="4"/>
      <c r="X101" s="4"/>
      <c r="Y101" s="4"/>
      <c r="Z101" s="4"/>
      <c r="AA101" s="4"/>
      <c r="AB101" s="4"/>
      <c r="AC101" s="4"/>
      <c r="AD101" s="4"/>
      <c r="AE101" s="4"/>
      <c r="AF101" s="4"/>
      <c r="AG101" s="4"/>
      <c r="AH101" s="4"/>
      <c r="AI101" s="4"/>
      <c r="AJ101" s="4"/>
      <c r="AK101" s="4"/>
    </row>
    <row r="102" spans="1:37" ht="70" customHeight="1" x14ac:dyDescent="0.2">
      <c r="A102" s="107">
        <v>44505</v>
      </c>
      <c r="B102" s="4" t="s">
        <v>490</v>
      </c>
      <c r="C102" s="163" t="s">
        <v>1156</v>
      </c>
      <c r="D102" s="4" t="s">
        <v>1171</v>
      </c>
      <c r="E102" s="4" t="s">
        <v>370</v>
      </c>
      <c r="F102" s="4" t="s">
        <v>1300</v>
      </c>
      <c r="G102" s="4" t="s">
        <v>208</v>
      </c>
      <c r="H102" s="4" t="s">
        <v>208</v>
      </c>
      <c r="I102" s="4" t="s">
        <v>28</v>
      </c>
      <c r="J102" s="4" t="s">
        <v>491</v>
      </c>
      <c r="K102" s="4" t="s">
        <v>28</v>
      </c>
      <c r="L102" s="4" t="s">
        <v>1080</v>
      </c>
      <c r="M102" s="4" t="s">
        <v>407</v>
      </c>
      <c r="N102" s="4" t="s">
        <v>28</v>
      </c>
      <c r="O102" s="4"/>
      <c r="P102" s="4" t="s">
        <v>492</v>
      </c>
      <c r="Q102" s="4"/>
      <c r="R102" s="7" t="s">
        <v>493</v>
      </c>
      <c r="S102" s="4"/>
      <c r="T102" s="10"/>
      <c r="U102" s="10"/>
      <c r="V102" s="4"/>
      <c r="W102" s="4"/>
      <c r="X102" s="4"/>
      <c r="Y102" s="4"/>
      <c r="Z102" s="4"/>
      <c r="AA102" s="4"/>
      <c r="AB102" s="4"/>
      <c r="AC102" s="4"/>
      <c r="AD102" s="4"/>
      <c r="AE102" s="4"/>
      <c r="AF102" s="4"/>
      <c r="AG102" s="4"/>
      <c r="AH102" s="4"/>
      <c r="AI102" s="4"/>
      <c r="AJ102" s="4"/>
      <c r="AK102" s="4"/>
    </row>
    <row r="103" spans="1:37" ht="70" customHeight="1" x14ac:dyDescent="0.2">
      <c r="A103" s="107">
        <v>44523</v>
      </c>
      <c r="B103" s="4" t="s">
        <v>494</v>
      </c>
      <c r="C103" s="163" t="s">
        <v>1156</v>
      </c>
      <c r="D103" s="4" t="s">
        <v>1171</v>
      </c>
      <c r="E103" s="4" t="s">
        <v>61</v>
      </c>
      <c r="F103" s="4" t="s">
        <v>495</v>
      </c>
      <c r="G103" s="4" t="s">
        <v>49</v>
      </c>
      <c r="H103" s="4" t="s">
        <v>27</v>
      </c>
      <c r="I103" s="4" t="s">
        <v>496</v>
      </c>
      <c r="J103" s="4" t="s">
        <v>28</v>
      </c>
      <c r="K103" s="4" t="s">
        <v>28</v>
      </c>
      <c r="L103" s="4" t="s">
        <v>1080</v>
      </c>
      <c r="M103" s="4" t="s">
        <v>28</v>
      </c>
      <c r="N103" s="4"/>
      <c r="O103" s="4" t="s">
        <v>442</v>
      </c>
      <c r="P103" s="4"/>
      <c r="Q103" s="4"/>
      <c r="R103" s="4" t="s">
        <v>32</v>
      </c>
      <c r="S103" s="4"/>
      <c r="T103" s="10"/>
      <c r="U103" s="10"/>
      <c r="V103" s="4"/>
      <c r="W103" s="4"/>
      <c r="X103" s="4"/>
      <c r="Y103" s="4"/>
      <c r="Z103" s="4"/>
      <c r="AA103" s="4"/>
      <c r="AB103" s="4"/>
      <c r="AC103" s="4"/>
      <c r="AD103" s="4"/>
      <c r="AE103" s="4"/>
      <c r="AF103" s="4"/>
      <c r="AG103" s="4"/>
      <c r="AH103" s="4"/>
      <c r="AI103" s="4"/>
      <c r="AJ103" s="4"/>
      <c r="AK103" s="4"/>
    </row>
    <row r="104" spans="1:37" ht="70" customHeight="1" x14ac:dyDescent="0.2">
      <c r="A104" s="107">
        <v>44526</v>
      </c>
      <c r="B104" s="4" t="s">
        <v>497</v>
      </c>
      <c r="C104" s="163" t="s">
        <v>1156</v>
      </c>
      <c r="D104" s="4" t="s">
        <v>1169</v>
      </c>
      <c r="E104" s="4" t="s">
        <v>61</v>
      </c>
      <c r="F104" s="4" t="s">
        <v>498</v>
      </c>
      <c r="G104" s="4" t="s">
        <v>130</v>
      </c>
      <c r="H104" s="4" t="s">
        <v>27</v>
      </c>
      <c r="I104" s="4" t="s">
        <v>28</v>
      </c>
      <c r="J104" s="4" t="s">
        <v>28</v>
      </c>
      <c r="K104" s="4" t="s">
        <v>28</v>
      </c>
      <c r="L104" s="4" t="s">
        <v>483</v>
      </c>
      <c r="M104" s="4" t="s">
        <v>499</v>
      </c>
      <c r="N104" s="4"/>
      <c r="O104" s="4" t="s">
        <v>485</v>
      </c>
      <c r="P104" s="4"/>
      <c r="Q104" s="4"/>
      <c r="R104" s="4" t="s">
        <v>32</v>
      </c>
      <c r="S104" s="4"/>
      <c r="T104" s="10"/>
      <c r="U104" s="4"/>
      <c r="V104" s="4"/>
      <c r="W104" s="4"/>
      <c r="X104" s="4"/>
      <c r="Y104" s="4"/>
      <c r="Z104" s="4"/>
      <c r="AA104" s="4"/>
      <c r="AB104" s="4"/>
      <c r="AC104" s="4"/>
      <c r="AD104" s="4"/>
      <c r="AE104" s="4"/>
      <c r="AF104" s="4"/>
      <c r="AG104" s="4"/>
      <c r="AH104" s="4"/>
      <c r="AI104" s="4"/>
      <c r="AJ104" s="4"/>
      <c r="AK104" s="4"/>
    </row>
    <row r="105" spans="1:37" ht="70" customHeight="1" x14ac:dyDescent="0.2">
      <c r="A105" s="107">
        <v>44531</v>
      </c>
      <c r="B105" s="4" t="s">
        <v>500</v>
      </c>
      <c r="C105" s="163" t="s">
        <v>1118</v>
      </c>
      <c r="D105" s="4" t="s">
        <v>1119</v>
      </c>
      <c r="E105" s="4" t="s">
        <v>70</v>
      </c>
      <c r="F105" s="4" t="s">
        <v>501</v>
      </c>
      <c r="G105" s="4" t="s">
        <v>72</v>
      </c>
      <c r="H105" s="4" t="s">
        <v>27</v>
      </c>
      <c r="I105" s="4" t="s">
        <v>28</v>
      </c>
      <c r="J105" s="4" t="s">
        <v>28</v>
      </c>
      <c r="K105" s="4" t="s">
        <v>502</v>
      </c>
      <c r="L105" s="4" t="s">
        <v>96</v>
      </c>
      <c r="M105" s="4" t="s">
        <v>503</v>
      </c>
      <c r="N105" s="4"/>
      <c r="O105" s="4" t="s">
        <v>504</v>
      </c>
      <c r="P105" s="4"/>
      <c r="Q105" s="4"/>
      <c r="R105" s="20" t="s">
        <v>184</v>
      </c>
      <c r="S105" s="20" t="s">
        <v>447</v>
      </c>
      <c r="T105" s="10"/>
      <c r="U105" s="4"/>
      <c r="V105" s="4"/>
      <c r="W105" s="4"/>
      <c r="X105" s="4"/>
      <c r="Y105" s="4"/>
      <c r="Z105" s="4"/>
      <c r="AA105" s="4"/>
      <c r="AB105" s="4"/>
      <c r="AC105" s="4"/>
      <c r="AD105" s="4"/>
      <c r="AE105" s="4"/>
      <c r="AF105" s="4"/>
      <c r="AG105" s="4"/>
      <c r="AH105" s="4"/>
      <c r="AI105" s="4"/>
      <c r="AJ105" s="4"/>
      <c r="AK105" s="4"/>
    </row>
    <row r="106" spans="1:37" ht="70" customHeight="1" x14ac:dyDescent="0.2">
      <c r="A106" s="107">
        <v>44534</v>
      </c>
      <c r="B106" s="4" t="s">
        <v>505</v>
      </c>
      <c r="C106" s="163" t="s">
        <v>1156</v>
      </c>
      <c r="D106" s="4" t="s">
        <v>1169</v>
      </c>
      <c r="E106" s="4" t="s">
        <v>37</v>
      </c>
      <c r="F106" s="4" t="s">
        <v>506</v>
      </c>
      <c r="G106" s="4" t="s">
        <v>35</v>
      </c>
      <c r="H106" s="4" t="s">
        <v>27</v>
      </c>
      <c r="I106" s="4" t="s">
        <v>28</v>
      </c>
      <c r="J106" s="4" t="s">
        <v>28</v>
      </c>
      <c r="K106" s="4" t="s">
        <v>507</v>
      </c>
      <c r="L106" s="4" t="s">
        <v>483</v>
      </c>
      <c r="M106" s="4" t="s">
        <v>508</v>
      </c>
      <c r="N106" s="4" t="s">
        <v>509</v>
      </c>
      <c r="O106" s="87" t="s">
        <v>1031</v>
      </c>
      <c r="P106" s="4"/>
      <c r="Q106" s="4"/>
      <c r="R106" s="85" t="s">
        <v>510</v>
      </c>
      <c r="S106" s="85" t="s">
        <v>511</v>
      </c>
      <c r="T106" s="85" t="s">
        <v>124</v>
      </c>
      <c r="U106" s="86"/>
      <c r="V106" s="4"/>
      <c r="W106" s="4"/>
      <c r="X106" s="4"/>
      <c r="Y106" s="4"/>
      <c r="Z106" s="4"/>
      <c r="AA106" s="4"/>
      <c r="AB106" s="4"/>
      <c r="AC106" s="4"/>
      <c r="AD106" s="4"/>
      <c r="AE106" s="4"/>
      <c r="AF106" s="4"/>
      <c r="AG106" s="4"/>
      <c r="AH106" s="4"/>
      <c r="AI106" s="4"/>
      <c r="AJ106" s="4"/>
      <c r="AK106" s="4"/>
    </row>
    <row r="107" spans="1:37" ht="70" customHeight="1" x14ac:dyDescent="0.2">
      <c r="A107" s="107">
        <v>44551</v>
      </c>
      <c r="B107" s="4" t="s">
        <v>512</v>
      </c>
      <c r="C107" s="163" t="s">
        <v>1118</v>
      </c>
      <c r="D107" s="4" t="s">
        <v>1119</v>
      </c>
      <c r="E107" s="4" t="s">
        <v>370</v>
      </c>
      <c r="F107" s="4" t="s">
        <v>513</v>
      </c>
      <c r="G107" s="4" t="s">
        <v>208</v>
      </c>
      <c r="H107" s="4" t="s">
        <v>208</v>
      </c>
      <c r="I107" s="4" t="s">
        <v>476</v>
      </c>
      <c r="J107" s="4" t="s">
        <v>514</v>
      </c>
      <c r="K107" s="4" t="s">
        <v>28</v>
      </c>
      <c r="L107" s="4" t="s">
        <v>96</v>
      </c>
      <c r="M107" s="4" t="s">
        <v>454</v>
      </c>
      <c r="N107" s="4" t="s">
        <v>28</v>
      </c>
      <c r="O107" s="4"/>
      <c r="P107" s="4"/>
      <c r="Q107" s="4" t="s">
        <v>515</v>
      </c>
      <c r="R107" s="7" t="s">
        <v>415</v>
      </c>
      <c r="S107" s="4"/>
      <c r="T107" s="10"/>
      <c r="U107" s="4"/>
      <c r="V107" s="4"/>
      <c r="W107" s="4"/>
      <c r="X107" s="4"/>
      <c r="Y107" s="4"/>
      <c r="Z107" s="4"/>
      <c r="AA107" s="4"/>
      <c r="AB107" s="4"/>
      <c r="AC107" s="4"/>
      <c r="AD107" s="4"/>
      <c r="AE107" s="4"/>
      <c r="AF107" s="4"/>
      <c r="AG107" s="4"/>
      <c r="AH107" s="4"/>
      <c r="AI107" s="4"/>
      <c r="AJ107" s="4"/>
      <c r="AK107" s="4"/>
    </row>
    <row r="108" spans="1:37" ht="70" customHeight="1" x14ac:dyDescent="0.2">
      <c r="A108" s="107">
        <v>44725</v>
      </c>
      <c r="B108" s="4" t="s">
        <v>516</v>
      </c>
      <c r="C108" s="163" t="s">
        <v>1156</v>
      </c>
      <c r="D108" s="5" t="s">
        <v>1171</v>
      </c>
      <c r="E108" s="4" t="s">
        <v>37</v>
      </c>
      <c r="F108" s="4" t="s">
        <v>517</v>
      </c>
      <c r="G108" s="4" t="s">
        <v>49</v>
      </c>
      <c r="H108" s="4" t="s">
        <v>27</v>
      </c>
      <c r="I108" s="4" t="s">
        <v>441</v>
      </c>
      <c r="J108" s="4" t="s">
        <v>28</v>
      </c>
      <c r="K108" s="4" t="s">
        <v>28</v>
      </c>
      <c r="L108" s="4" t="s">
        <v>1080</v>
      </c>
      <c r="M108" s="4" t="s">
        <v>426</v>
      </c>
      <c r="N108" s="4"/>
      <c r="O108" s="4" t="s">
        <v>442</v>
      </c>
      <c r="P108" s="4"/>
      <c r="Q108" s="4"/>
      <c r="R108" s="4" t="s">
        <v>32</v>
      </c>
      <c r="S108" s="4"/>
      <c r="T108" s="10"/>
      <c r="U108" s="4"/>
      <c r="V108" s="4"/>
      <c r="W108" s="4"/>
      <c r="X108" s="4"/>
      <c r="Y108" s="4"/>
      <c r="Z108" s="4"/>
      <c r="AA108" s="4"/>
      <c r="AB108" s="4"/>
      <c r="AC108" s="4"/>
      <c r="AD108" s="4"/>
      <c r="AE108" s="4"/>
      <c r="AF108" s="4"/>
      <c r="AG108" s="4"/>
      <c r="AH108" s="4"/>
      <c r="AI108" s="4"/>
      <c r="AJ108" s="4"/>
      <c r="AK108" s="4"/>
    </row>
    <row r="109" spans="1:37" ht="70" customHeight="1" x14ac:dyDescent="0.2">
      <c r="A109" s="107">
        <v>44774</v>
      </c>
      <c r="B109" s="4" t="s">
        <v>1302</v>
      </c>
      <c r="C109" s="163" t="s">
        <v>1156</v>
      </c>
      <c r="D109" s="4" t="s">
        <v>1169</v>
      </c>
      <c r="E109" s="4" t="s">
        <v>370</v>
      </c>
      <c r="F109" s="4" t="s">
        <v>518</v>
      </c>
      <c r="G109" s="4" t="s">
        <v>208</v>
      </c>
      <c r="H109" s="4" t="s">
        <v>208</v>
      </c>
      <c r="I109" s="4" t="s">
        <v>28</v>
      </c>
      <c r="J109" s="4" t="s">
        <v>519</v>
      </c>
      <c r="K109" s="4" t="s">
        <v>520</v>
      </c>
      <c r="L109" s="4" t="s">
        <v>483</v>
      </c>
      <c r="M109" s="4" t="s">
        <v>521</v>
      </c>
      <c r="N109" s="4" t="s">
        <v>522</v>
      </c>
      <c r="O109" s="4"/>
      <c r="P109" s="4" t="s">
        <v>523</v>
      </c>
      <c r="Q109" s="4" t="s">
        <v>524</v>
      </c>
      <c r="R109" s="7" t="s">
        <v>374</v>
      </c>
      <c r="S109" s="7"/>
      <c r="T109" s="4"/>
      <c r="U109" s="7"/>
      <c r="V109" s="4"/>
      <c r="W109" s="4"/>
      <c r="X109" s="4"/>
      <c r="Y109" s="4"/>
      <c r="Z109" s="4"/>
      <c r="AA109" s="4"/>
      <c r="AB109" s="4"/>
      <c r="AC109" s="4"/>
      <c r="AD109" s="4"/>
      <c r="AE109" s="4"/>
      <c r="AF109" s="4"/>
      <c r="AG109" s="4"/>
      <c r="AH109" s="4"/>
      <c r="AI109" s="4"/>
      <c r="AJ109" s="4"/>
      <c r="AK109" s="4"/>
    </row>
    <row r="110" spans="1:37" ht="70" customHeight="1" x14ac:dyDescent="0.2">
      <c r="A110" s="107">
        <v>44776</v>
      </c>
      <c r="B110" s="4" t="s">
        <v>525</v>
      </c>
      <c r="C110" s="163" t="s">
        <v>1156</v>
      </c>
      <c r="D110" s="4" t="s">
        <v>1169</v>
      </c>
      <c r="E110" s="4" t="s">
        <v>24</v>
      </c>
      <c r="F110" s="4" t="s">
        <v>526</v>
      </c>
      <c r="G110" s="4" t="s">
        <v>49</v>
      </c>
      <c r="H110" s="4" t="s">
        <v>27</v>
      </c>
      <c r="I110" s="4" t="s">
        <v>527</v>
      </c>
      <c r="J110" s="4" t="s">
        <v>28</v>
      </c>
      <c r="K110" s="4" t="s">
        <v>28</v>
      </c>
      <c r="L110" s="4" t="s">
        <v>1080</v>
      </c>
      <c r="M110" s="4" t="s">
        <v>29</v>
      </c>
      <c r="N110" s="4" t="s">
        <v>528</v>
      </c>
      <c r="O110" s="4" t="s">
        <v>529</v>
      </c>
      <c r="P110" s="4" t="s">
        <v>530</v>
      </c>
      <c r="Q110" s="4"/>
      <c r="R110" s="7" t="s">
        <v>422</v>
      </c>
      <c r="S110" s="4"/>
      <c r="T110" s="10"/>
      <c r="U110" s="4"/>
      <c r="V110" s="4"/>
      <c r="W110" s="4"/>
      <c r="X110" s="4"/>
      <c r="Y110" s="4"/>
      <c r="Z110" s="4"/>
      <c r="AA110" s="4"/>
      <c r="AB110" s="4"/>
      <c r="AC110" s="4"/>
      <c r="AD110" s="4"/>
      <c r="AE110" s="4"/>
      <c r="AF110" s="4"/>
      <c r="AG110" s="4"/>
      <c r="AH110" s="4"/>
      <c r="AI110" s="4"/>
      <c r="AJ110" s="4"/>
      <c r="AK110" s="4"/>
    </row>
    <row r="111" spans="1:37" ht="70" customHeight="1" x14ac:dyDescent="0.2">
      <c r="A111" s="107">
        <v>44776</v>
      </c>
      <c r="B111" s="4" t="s">
        <v>531</v>
      </c>
      <c r="C111" s="163" t="s">
        <v>1156</v>
      </c>
      <c r="D111" s="4" t="s">
        <v>1169</v>
      </c>
      <c r="E111" s="4" t="s">
        <v>37</v>
      </c>
      <c r="F111" s="4" t="s">
        <v>1316</v>
      </c>
      <c r="G111" s="4" t="s">
        <v>49</v>
      </c>
      <c r="H111" s="4" t="s">
        <v>27</v>
      </c>
      <c r="I111" s="4" t="s">
        <v>532</v>
      </c>
      <c r="J111" s="4" t="s">
        <v>28</v>
      </c>
      <c r="K111" s="4" t="s">
        <v>28</v>
      </c>
      <c r="L111" s="4" t="s">
        <v>1080</v>
      </c>
      <c r="M111" s="4" t="s">
        <v>426</v>
      </c>
      <c r="N111" s="4" t="s">
        <v>533</v>
      </c>
      <c r="O111" s="4" t="s">
        <v>529</v>
      </c>
      <c r="P111" s="4" t="s">
        <v>534</v>
      </c>
      <c r="Q111" s="4"/>
      <c r="R111" s="7" t="s">
        <v>535</v>
      </c>
      <c r="S111" s="4"/>
      <c r="T111" s="10"/>
      <c r="U111" s="4"/>
      <c r="V111" s="4"/>
      <c r="W111" s="4"/>
      <c r="X111" s="4"/>
      <c r="Y111" s="4"/>
      <c r="Z111" s="4"/>
      <c r="AA111" s="4"/>
      <c r="AB111" s="4"/>
      <c r="AC111" s="4"/>
      <c r="AD111" s="4"/>
      <c r="AE111" s="4"/>
      <c r="AF111" s="4"/>
      <c r="AG111" s="4"/>
      <c r="AH111" s="4"/>
      <c r="AI111" s="4"/>
      <c r="AJ111" s="4"/>
      <c r="AK111" s="4"/>
    </row>
    <row r="112" spans="1:37" ht="70" customHeight="1" x14ac:dyDescent="0.2">
      <c r="A112" s="107">
        <v>44776</v>
      </c>
      <c r="B112" s="4" t="s">
        <v>1303</v>
      </c>
      <c r="C112" s="163" t="s">
        <v>1156</v>
      </c>
      <c r="D112" s="4" t="s">
        <v>1169</v>
      </c>
      <c r="E112" s="4" t="s">
        <v>370</v>
      </c>
      <c r="F112" s="4" t="s">
        <v>1125</v>
      </c>
      <c r="G112" s="4" t="s">
        <v>208</v>
      </c>
      <c r="H112" s="4" t="s">
        <v>208</v>
      </c>
      <c r="I112" s="4" t="s">
        <v>28</v>
      </c>
      <c r="J112" s="4" t="s">
        <v>28</v>
      </c>
      <c r="K112" s="4" t="s">
        <v>536</v>
      </c>
      <c r="L112" s="4" t="s">
        <v>1080</v>
      </c>
      <c r="M112" s="4" t="s">
        <v>537</v>
      </c>
      <c r="N112" s="4" t="s">
        <v>28</v>
      </c>
      <c r="O112" s="28" t="s">
        <v>538</v>
      </c>
      <c r="P112" s="4" t="s">
        <v>539</v>
      </c>
      <c r="Q112" s="4"/>
      <c r="R112" s="7" t="s">
        <v>493</v>
      </c>
      <c r="S112" s="4"/>
      <c r="T112" s="10"/>
      <c r="U112" s="10"/>
      <c r="V112" s="4"/>
      <c r="W112" s="4"/>
      <c r="X112" s="4"/>
      <c r="Y112" s="4"/>
      <c r="Z112" s="4"/>
      <c r="AA112" s="4"/>
      <c r="AB112" s="4"/>
      <c r="AC112" s="4"/>
      <c r="AD112" s="4"/>
      <c r="AE112" s="4"/>
      <c r="AF112" s="4"/>
      <c r="AG112" s="4"/>
      <c r="AH112" s="4"/>
      <c r="AI112" s="4"/>
      <c r="AJ112" s="4"/>
      <c r="AK112" s="4"/>
    </row>
    <row r="113" spans="1:37" ht="70" customHeight="1" x14ac:dyDescent="0.2">
      <c r="A113" s="108">
        <v>44778</v>
      </c>
      <c r="B113" s="4" t="s">
        <v>540</v>
      </c>
      <c r="C113" s="163" t="s">
        <v>1156</v>
      </c>
      <c r="D113" s="4" t="s">
        <v>1169</v>
      </c>
      <c r="E113" s="4" t="s">
        <v>370</v>
      </c>
      <c r="F113" s="4" t="s">
        <v>541</v>
      </c>
      <c r="G113" s="4" t="s">
        <v>208</v>
      </c>
      <c r="H113" s="4" t="s">
        <v>208</v>
      </c>
      <c r="I113" s="4" t="s">
        <v>542</v>
      </c>
      <c r="J113" s="4" t="s">
        <v>543</v>
      </c>
      <c r="K113" s="4" t="s">
        <v>28</v>
      </c>
      <c r="L113" s="4" t="s">
        <v>96</v>
      </c>
      <c r="M113" s="4" t="s">
        <v>407</v>
      </c>
      <c r="N113" s="4" t="s">
        <v>28</v>
      </c>
      <c r="O113" s="4"/>
      <c r="P113" s="4" t="s">
        <v>544</v>
      </c>
      <c r="Q113" s="4"/>
      <c r="R113" s="7" t="s">
        <v>374</v>
      </c>
      <c r="S113" s="4"/>
      <c r="T113" s="4"/>
      <c r="U113" s="19"/>
      <c r="V113" s="19"/>
      <c r="W113" s="19"/>
      <c r="X113" s="19"/>
      <c r="Y113" s="4"/>
      <c r="Z113" s="4"/>
      <c r="AA113" s="4"/>
      <c r="AB113" s="4"/>
      <c r="AC113" s="4"/>
      <c r="AD113" s="4"/>
      <c r="AE113" s="4"/>
      <c r="AF113" s="4"/>
      <c r="AG113" s="4"/>
      <c r="AH113" s="4"/>
      <c r="AI113" s="4"/>
      <c r="AJ113" s="4"/>
      <c r="AK113" s="4"/>
    </row>
    <row r="114" spans="1:37" ht="70" customHeight="1" x14ac:dyDescent="0.2">
      <c r="A114" s="107">
        <v>44789</v>
      </c>
      <c r="B114" s="4" t="s">
        <v>545</v>
      </c>
      <c r="C114" s="163" t="s">
        <v>1156</v>
      </c>
      <c r="D114" s="4" t="s">
        <v>1171</v>
      </c>
      <c r="E114" s="4" t="s">
        <v>370</v>
      </c>
      <c r="F114" s="4" t="s">
        <v>546</v>
      </c>
      <c r="G114" s="4" t="s">
        <v>208</v>
      </c>
      <c r="H114" s="4" t="s">
        <v>208</v>
      </c>
      <c r="I114" s="4" t="s">
        <v>28</v>
      </c>
      <c r="J114" s="4" t="s">
        <v>547</v>
      </c>
      <c r="K114" s="4" t="s">
        <v>28</v>
      </c>
      <c r="L114" s="4" t="s">
        <v>1080</v>
      </c>
      <c r="M114" s="4" t="s">
        <v>454</v>
      </c>
      <c r="N114" s="4" t="s">
        <v>28</v>
      </c>
      <c r="O114" s="4" t="s">
        <v>548</v>
      </c>
      <c r="P114" s="4" t="s">
        <v>549</v>
      </c>
      <c r="Q114" s="4"/>
      <c r="R114" s="7" t="s">
        <v>493</v>
      </c>
      <c r="S114" s="4"/>
      <c r="T114" s="7"/>
      <c r="U114" s="7"/>
      <c r="V114" s="4"/>
      <c r="W114" s="4"/>
      <c r="X114" s="4"/>
      <c r="Y114" s="4"/>
      <c r="Z114" s="4"/>
      <c r="AA114" s="4"/>
      <c r="AB114" s="4"/>
      <c r="AC114" s="4"/>
      <c r="AD114" s="4"/>
      <c r="AE114" s="4"/>
      <c r="AF114" s="4"/>
      <c r="AG114" s="4"/>
      <c r="AH114" s="4"/>
      <c r="AI114" s="4"/>
      <c r="AJ114" s="4"/>
      <c r="AK114" s="4"/>
    </row>
    <row r="115" spans="1:37" ht="70" customHeight="1" x14ac:dyDescent="0.2">
      <c r="A115" s="107">
        <v>44918</v>
      </c>
      <c r="B115" s="4" t="s">
        <v>550</v>
      </c>
      <c r="C115" s="163" t="s">
        <v>1118</v>
      </c>
      <c r="D115" s="4" t="s">
        <v>1170</v>
      </c>
      <c r="E115" s="4" t="s">
        <v>370</v>
      </c>
      <c r="F115" s="4" t="s">
        <v>551</v>
      </c>
      <c r="G115" s="4" t="s">
        <v>208</v>
      </c>
      <c r="H115" s="4" t="s">
        <v>208</v>
      </c>
      <c r="I115" s="4" t="s">
        <v>552</v>
      </c>
      <c r="J115" s="4" t="s">
        <v>553</v>
      </c>
      <c r="K115" s="4" t="s">
        <v>28</v>
      </c>
      <c r="L115" s="4" t="s">
        <v>96</v>
      </c>
      <c r="M115" s="4" t="s">
        <v>407</v>
      </c>
      <c r="N115" s="4" t="s">
        <v>28</v>
      </c>
      <c r="O115" s="4"/>
      <c r="P115" s="4" t="s">
        <v>554</v>
      </c>
      <c r="Q115" s="4"/>
      <c r="R115" s="7" t="s">
        <v>374</v>
      </c>
      <c r="S115" s="4"/>
      <c r="T115" s="10"/>
      <c r="U115" s="10"/>
      <c r="V115" s="10"/>
      <c r="W115" s="4"/>
      <c r="X115" s="4"/>
      <c r="Y115" s="4"/>
      <c r="Z115" s="4"/>
      <c r="AA115" s="4"/>
      <c r="AB115" s="4"/>
      <c r="AC115" s="4"/>
      <c r="AD115" s="4"/>
      <c r="AE115" s="4"/>
      <c r="AF115" s="4"/>
      <c r="AG115" s="4"/>
      <c r="AH115" s="4"/>
      <c r="AI115" s="4"/>
      <c r="AJ115" s="4"/>
      <c r="AK115" s="4"/>
    </row>
    <row r="116" spans="1:37" ht="70" customHeight="1" x14ac:dyDescent="0.2">
      <c r="A116" s="108">
        <v>44958</v>
      </c>
      <c r="B116" s="4" t="s">
        <v>1126</v>
      </c>
      <c r="C116" s="163" t="s">
        <v>1156</v>
      </c>
      <c r="D116" s="4" t="s">
        <v>1168</v>
      </c>
      <c r="E116" s="4" t="s">
        <v>370</v>
      </c>
      <c r="F116" s="4" t="s">
        <v>555</v>
      </c>
      <c r="G116" s="4" t="s">
        <v>208</v>
      </c>
      <c r="H116" s="4" t="s">
        <v>208</v>
      </c>
      <c r="I116" s="4" t="s">
        <v>556</v>
      </c>
      <c r="J116" s="4" t="s">
        <v>28</v>
      </c>
      <c r="K116" s="4" t="s">
        <v>557</v>
      </c>
      <c r="L116" s="4" t="s">
        <v>96</v>
      </c>
      <c r="M116" s="4" t="s">
        <v>558</v>
      </c>
      <c r="N116" s="4"/>
      <c r="O116" s="4" t="s">
        <v>559</v>
      </c>
      <c r="P116" s="4" t="s">
        <v>560</v>
      </c>
      <c r="Q116" s="4"/>
      <c r="R116" s="7" t="s">
        <v>422</v>
      </c>
      <c r="S116" s="10"/>
      <c r="T116" s="10"/>
      <c r="U116" s="4"/>
      <c r="V116" s="4"/>
      <c r="W116" s="4"/>
      <c r="X116" s="4"/>
      <c r="Y116" s="4"/>
      <c r="Z116" s="4"/>
      <c r="AA116" s="4"/>
      <c r="AB116" s="4"/>
      <c r="AC116" s="4"/>
      <c r="AD116" s="4"/>
      <c r="AE116" s="4"/>
      <c r="AF116" s="4"/>
      <c r="AG116" s="4"/>
      <c r="AH116" s="4"/>
      <c r="AI116" s="4"/>
      <c r="AJ116" s="4"/>
      <c r="AK116" s="4"/>
    </row>
    <row r="117" spans="1:37" ht="70" customHeight="1" x14ac:dyDescent="0.2">
      <c r="A117" s="107">
        <v>44973</v>
      </c>
      <c r="B117" s="4" t="s">
        <v>1128</v>
      </c>
      <c r="C117" s="163" t="s">
        <v>1156</v>
      </c>
      <c r="D117" s="4" t="s">
        <v>1168</v>
      </c>
      <c r="E117" s="4" t="s">
        <v>370</v>
      </c>
      <c r="F117" s="4" t="s">
        <v>1127</v>
      </c>
      <c r="G117" s="4" t="s">
        <v>208</v>
      </c>
      <c r="H117" s="4" t="s">
        <v>208</v>
      </c>
      <c r="I117" s="4" t="s">
        <v>561</v>
      </c>
      <c r="J117" s="4" t="s">
        <v>562</v>
      </c>
      <c r="K117" s="4" t="s">
        <v>563</v>
      </c>
      <c r="L117" s="4" t="s">
        <v>96</v>
      </c>
      <c r="M117" s="4" t="s">
        <v>558</v>
      </c>
      <c r="N117" s="4"/>
      <c r="O117" s="28" t="s">
        <v>564</v>
      </c>
      <c r="P117" s="4" t="s">
        <v>565</v>
      </c>
      <c r="Q117" s="4"/>
      <c r="R117" s="7" t="s">
        <v>422</v>
      </c>
      <c r="S117" s="4"/>
      <c r="T117" s="10"/>
      <c r="U117" s="4"/>
      <c r="V117" s="4"/>
      <c r="W117" s="4"/>
      <c r="X117" s="4"/>
      <c r="Y117" s="4"/>
      <c r="Z117" s="4"/>
      <c r="AA117" s="4"/>
      <c r="AB117" s="4"/>
      <c r="AC117" s="4"/>
      <c r="AD117" s="4"/>
      <c r="AE117" s="4"/>
      <c r="AF117" s="4"/>
      <c r="AG117" s="4"/>
      <c r="AH117" s="4"/>
      <c r="AI117" s="4"/>
      <c r="AJ117" s="4"/>
      <c r="AK117" s="4"/>
    </row>
    <row r="118" spans="1:37" ht="70" customHeight="1" x14ac:dyDescent="0.2">
      <c r="A118" s="108">
        <v>45016</v>
      </c>
      <c r="B118" s="4" t="s">
        <v>566</v>
      </c>
      <c r="C118" s="163" t="s">
        <v>1118</v>
      </c>
      <c r="D118" s="4" t="s">
        <v>1165</v>
      </c>
      <c r="E118" s="4" t="s">
        <v>61</v>
      </c>
      <c r="F118" s="4" t="s">
        <v>1317</v>
      </c>
      <c r="G118" s="4" t="s">
        <v>208</v>
      </c>
      <c r="H118" s="4" t="s">
        <v>208</v>
      </c>
      <c r="I118" s="4" t="s">
        <v>567</v>
      </c>
      <c r="J118" s="4" t="s">
        <v>28</v>
      </c>
      <c r="K118" s="4" t="s">
        <v>568</v>
      </c>
      <c r="L118" s="4" t="s">
        <v>96</v>
      </c>
      <c r="M118" s="4" t="s">
        <v>569</v>
      </c>
      <c r="N118" s="4"/>
      <c r="O118" s="4" t="s">
        <v>570</v>
      </c>
      <c r="P118" s="4" t="s">
        <v>571</v>
      </c>
      <c r="Q118" s="4"/>
      <c r="R118" s="7" t="s">
        <v>572</v>
      </c>
      <c r="S118" s="7" t="s">
        <v>573</v>
      </c>
      <c r="T118" s="4"/>
      <c r="U118" s="7"/>
      <c r="V118" s="7"/>
      <c r="W118" s="4"/>
      <c r="X118" s="4"/>
      <c r="Y118" s="4"/>
      <c r="Z118" s="4"/>
      <c r="AA118" s="4"/>
      <c r="AB118" s="4"/>
      <c r="AC118" s="4"/>
      <c r="AD118" s="4"/>
      <c r="AE118" s="4"/>
      <c r="AF118" s="4"/>
      <c r="AG118" s="4"/>
      <c r="AH118" s="4"/>
      <c r="AI118" s="4"/>
      <c r="AJ118" s="4"/>
      <c r="AK118" s="4"/>
    </row>
    <row r="119" spans="1:37" ht="70" customHeight="1" x14ac:dyDescent="0.2">
      <c r="A119" s="107">
        <v>45023</v>
      </c>
      <c r="B119" s="4" t="s">
        <v>1301</v>
      </c>
      <c r="C119" s="163" t="s">
        <v>1156</v>
      </c>
      <c r="D119" s="4" t="s">
        <v>1169</v>
      </c>
      <c r="E119" s="4" t="s">
        <v>370</v>
      </c>
      <c r="F119" s="4" t="s">
        <v>574</v>
      </c>
      <c r="G119" s="4" t="s">
        <v>208</v>
      </c>
      <c r="H119" s="4" t="s">
        <v>208</v>
      </c>
      <c r="I119" s="4" t="s">
        <v>575</v>
      </c>
      <c r="J119" s="4" t="s">
        <v>576</v>
      </c>
      <c r="K119" s="4" t="s">
        <v>577</v>
      </c>
      <c r="L119" s="4" t="s">
        <v>96</v>
      </c>
      <c r="M119" s="4" t="s">
        <v>372</v>
      </c>
      <c r="N119" s="4" t="s">
        <v>28</v>
      </c>
      <c r="O119" s="4"/>
      <c r="P119" s="4" t="s">
        <v>578</v>
      </c>
      <c r="Q119" s="4"/>
      <c r="R119" s="7" t="s">
        <v>374</v>
      </c>
      <c r="S119" s="4"/>
      <c r="T119" s="10"/>
      <c r="U119" s="10"/>
      <c r="V119" s="4"/>
      <c r="W119" s="4"/>
      <c r="X119" s="4"/>
      <c r="Y119" s="4"/>
      <c r="Z119" s="4"/>
      <c r="AA119" s="4"/>
      <c r="AB119" s="4"/>
      <c r="AC119" s="4"/>
      <c r="AD119" s="4"/>
      <c r="AE119" s="4"/>
      <c r="AF119" s="4"/>
      <c r="AG119" s="4"/>
      <c r="AH119" s="4"/>
      <c r="AI119" s="4"/>
      <c r="AJ119" s="4"/>
      <c r="AK119" s="4"/>
    </row>
    <row r="120" spans="1:37" ht="70" customHeight="1" x14ac:dyDescent="0.2">
      <c r="A120" s="107">
        <v>45023</v>
      </c>
      <c r="B120" s="4" t="s">
        <v>579</v>
      </c>
      <c r="C120" s="163" t="s">
        <v>1156</v>
      </c>
      <c r="D120" s="4" t="s">
        <v>1169</v>
      </c>
      <c r="E120" s="4" t="s">
        <v>370</v>
      </c>
      <c r="F120" s="4" t="s">
        <v>1110</v>
      </c>
      <c r="G120" s="4" t="s">
        <v>208</v>
      </c>
      <c r="H120" s="4" t="s">
        <v>208</v>
      </c>
      <c r="I120" s="4" t="s">
        <v>28</v>
      </c>
      <c r="J120" s="4" t="s">
        <v>28</v>
      </c>
      <c r="K120" s="4" t="s">
        <v>1111</v>
      </c>
      <c r="L120" s="4" t="s">
        <v>1080</v>
      </c>
      <c r="M120" s="4" t="s">
        <v>372</v>
      </c>
      <c r="N120" s="4" t="s">
        <v>28</v>
      </c>
      <c r="O120" s="4"/>
      <c r="P120" s="4" t="s">
        <v>580</v>
      </c>
      <c r="Q120" s="4"/>
      <c r="R120" s="7" t="s">
        <v>493</v>
      </c>
      <c r="S120" s="4"/>
      <c r="T120" s="7"/>
      <c r="U120" s="4"/>
      <c r="V120" s="4"/>
      <c r="W120" s="4"/>
      <c r="X120" s="4"/>
      <c r="Y120" s="4"/>
      <c r="Z120" s="4"/>
      <c r="AA120" s="4"/>
      <c r="AB120" s="4"/>
      <c r="AC120" s="4"/>
      <c r="AD120" s="4"/>
      <c r="AE120" s="4"/>
      <c r="AF120" s="4"/>
      <c r="AG120" s="4"/>
      <c r="AH120" s="4"/>
      <c r="AI120" s="4"/>
      <c r="AJ120" s="4"/>
      <c r="AK120" s="4"/>
    </row>
    <row r="121" spans="1:37" ht="70" customHeight="1" x14ac:dyDescent="0.2">
      <c r="A121" s="107">
        <v>45023</v>
      </c>
      <c r="B121" s="4" t="s">
        <v>581</v>
      </c>
      <c r="C121" s="163" t="s">
        <v>1156</v>
      </c>
      <c r="D121" s="4" t="s">
        <v>1171</v>
      </c>
      <c r="E121" s="4" t="s">
        <v>370</v>
      </c>
      <c r="F121" s="4" t="s">
        <v>582</v>
      </c>
      <c r="G121" s="4" t="s">
        <v>208</v>
      </c>
      <c r="H121" s="4" t="s">
        <v>208</v>
      </c>
      <c r="I121" s="4" t="s">
        <v>28</v>
      </c>
      <c r="J121" s="4" t="s">
        <v>583</v>
      </c>
      <c r="K121" s="4" t="s">
        <v>28</v>
      </c>
      <c r="L121" s="4" t="s">
        <v>1080</v>
      </c>
      <c r="M121" s="4" t="s">
        <v>28</v>
      </c>
      <c r="N121" s="4"/>
      <c r="O121" s="4" t="s">
        <v>1112</v>
      </c>
      <c r="P121" s="4"/>
      <c r="Q121" s="4"/>
      <c r="R121" s="20" t="s">
        <v>493</v>
      </c>
      <c r="S121" s="4"/>
      <c r="T121" s="10"/>
      <c r="U121" s="8"/>
      <c r="V121" s="8"/>
      <c r="W121" s="4"/>
      <c r="X121" s="4"/>
      <c r="Y121" s="4"/>
      <c r="Z121" s="4"/>
      <c r="AA121" s="4"/>
      <c r="AB121" s="4"/>
      <c r="AC121" s="4"/>
      <c r="AD121" s="4"/>
      <c r="AE121" s="4"/>
      <c r="AF121" s="4"/>
      <c r="AG121" s="4"/>
      <c r="AH121" s="4"/>
      <c r="AI121" s="4"/>
      <c r="AJ121" s="4"/>
      <c r="AK121" s="4"/>
    </row>
    <row r="122" spans="1:37" ht="70" customHeight="1" x14ac:dyDescent="0.2">
      <c r="A122" s="107">
        <v>45029</v>
      </c>
      <c r="B122" s="4" t="s">
        <v>1304</v>
      </c>
      <c r="C122" s="163" t="s">
        <v>1156</v>
      </c>
      <c r="D122" s="4" t="s">
        <v>1169</v>
      </c>
      <c r="E122" s="4" t="s">
        <v>370</v>
      </c>
      <c r="F122" s="4" t="s">
        <v>584</v>
      </c>
      <c r="G122" s="4" t="s">
        <v>208</v>
      </c>
      <c r="H122" s="4" t="s">
        <v>208</v>
      </c>
      <c r="I122" s="4" t="s">
        <v>476</v>
      </c>
      <c r="J122" s="4" t="s">
        <v>585</v>
      </c>
      <c r="K122" s="4" t="s">
        <v>28</v>
      </c>
      <c r="L122" s="4" t="s">
        <v>96</v>
      </c>
      <c r="M122" s="4" t="s">
        <v>407</v>
      </c>
      <c r="N122" s="4" t="s">
        <v>28</v>
      </c>
      <c r="O122" s="4"/>
      <c r="P122" s="4" t="s">
        <v>586</v>
      </c>
      <c r="Q122" s="4"/>
      <c r="R122" s="7" t="s">
        <v>374</v>
      </c>
      <c r="S122" s="7"/>
      <c r="T122" s="4"/>
      <c r="U122" s="7"/>
      <c r="V122" s="4"/>
      <c r="W122" s="4"/>
      <c r="X122" s="4"/>
      <c r="Y122" s="4"/>
      <c r="Z122" s="4"/>
      <c r="AA122" s="4"/>
      <c r="AB122" s="4"/>
      <c r="AC122" s="4"/>
      <c r="AD122" s="4"/>
      <c r="AE122" s="4"/>
      <c r="AF122" s="4"/>
      <c r="AG122" s="4"/>
      <c r="AH122" s="4"/>
      <c r="AI122" s="4"/>
      <c r="AJ122" s="4"/>
      <c r="AK122" s="4"/>
    </row>
    <row r="123" spans="1:37" ht="70" customHeight="1" x14ac:dyDescent="0.2">
      <c r="A123" s="107">
        <v>45110</v>
      </c>
      <c r="B123" s="4" t="s">
        <v>1129</v>
      </c>
      <c r="C123" s="163" t="s">
        <v>1118</v>
      </c>
      <c r="D123" s="4" t="s">
        <v>1165</v>
      </c>
      <c r="E123" s="4" t="s">
        <v>24</v>
      </c>
      <c r="F123" s="4"/>
      <c r="G123" s="4" t="s">
        <v>208</v>
      </c>
      <c r="H123" s="4" t="s">
        <v>208</v>
      </c>
      <c r="I123" s="4" t="s">
        <v>587</v>
      </c>
      <c r="J123" s="4" t="s">
        <v>28</v>
      </c>
      <c r="K123" s="4" t="s">
        <v>28</v>
      </c>
      <c r="L123" s="4" t="s">
        <v>28</v>
      </c>
      <c r="M123" s="4" t="s">
        <v>29</v>
      </c>
      <c r="N123" s="4" t="s">
        <v>588</v>
      </c>
      <c r="O123" s="4" t="s">
        <v>589</v>
      </c>
      <c r="P123" s="4" t="s">
        <v>590</v>
      </c>
      <c r="Q123" s="4"/>
      <c r="R123" s="7" t="s">
        <v>422</v>
      </c>
      <c r="S123" s="7" t="s">
        <v>591</v>
      </c>
      <c r="T123" s="7" t="s">
        <v>592</v>
      </c>
      <c r="U123" s="4"/>
      <c r="V123" s="4"/>
      <c r="W123" s="4"/>
      <c r="X123" s="4"/>
      <c r="Y123" s="4"/>
      <c r="Z123" s="4"/>
      <c r="AA123" s="4"/>
      <c r="AB123" s="4"/>
      <c r="AC123" s="4"/>
      <c r="AD123" s="4"/>
      <c r="AE123" s="4"/>
      <c r="AF123" s="4"/>
      <c r="AG123" s="4"/>
      <c r="AH123" s="4"/>
      <c r="AI123" s="4"/>
      <c r="AJ123" s="4"/>
      <c r="AK123" s="4"/>
    </row>
    <row r="124" spans="1:37" ht="70" customHeight="1" x14ac:dyDescent="0.2">
      <c r="A124" s="107">
        <v>45118</v>
      </c>
      <c r="B124" s="4" t="s">
        <v>593</v>
      </c>
      <c r="C124" s="163" t="s">
        <v>1156</v>
      </c>
      <c r="D124" s="4" t="s">
        <v>1169</v>
      </c>
      <c r="E124" s="4" t="s">
        <v>70</v>
      </c>
      <c r="F124" s="4" t="s">
        <v>594</v>
      </c>
      <c r="G124" s="4" t="s">
        <v>72</v>
      </c>
      <c r="H124" s="4" t="s">
        <v>27</v>
      </c>
      <c r="I124" s="4" t="s">
        <v>28</v>
      </c>
      <c r="J124" s="4" t="s">
        <v>28</v>
      </c>
      <c r="K124" s="4" t="s">
        <v>595</v>
      </c>
      <c r="L124" s="4" t="s">
        <v>596</v>
      </c>
      <c r="M124" s="4" t="s">
        <v>217</v>
      </c>
      <c r="N124" s="4"/>
      <c r="O124" s="4" t="s">
        <v>597</v>
      </c>
      <c r="P124" s="4"/>
      <c r="Q124" s="4"/>
      <c r="R124" s="20" t="s">
        <v>598</v>
      </c>
      <c r="S124" s="20" t="s">
        <v>190</v>
      </c>
      <c r="T124" s="10"/>
      <c r="U124" s="7"/>
      <c r="V124" s="7"/>
      <c r="W124" s="7"/>
      <c r="X124" s="4"/>
      <c r="Y124" s="4"/>
      <c r="Z124" s="4"/>
      <c r="AA124" s="4"/>
      <c r="AB124" s="4"/>
      <c r="AC124" s="4"/>
      <c r="AD124" s="4"/>
      <c r="AE124" s="4"/>
      <c r="AF124" s="4"/>
      <c r="AG124" s="4"/>
      <c r="AH124" s="4"/>
      <c r="AI124" s="4"/>
      <c r="AJ124" s="4"/>
      <c r="AK124" s="4"/>
    </row>
    <row r="125" spans="1:37" ht="70" customHeight="1" x14ac:dyDescent="0.2">
      <c r="A125" s="107">
        <v>45138</v>
      </c>
      <c r="B125" s="4" t="s">
        <v>1131</v>
      </c>
      <c r="C125" s="163" t="s">
        <v>28</v>
      </c>
      <c r="D125" s="4" t="s">
        <v>1165</v>
      </c>
      <c r="E125" s="4" t="s">
        <v>24</v>
      </c>
      <c r="F125" s="4" t="s">
        <v>1132</v>
      </c>
      <c r="G125" s="4" t="s">
        <v>208</v>
      </c>
      <c r="H125" s="4" t="s">
        <v>208</v>
      </c>
      <c r="I125" s="4" t="s">
        <v>599</v>
      </c>
      <c r="J125" s="4" t="s">
        <v>28</v>
      </c>
      <c r="K125" s="4" t="s">
        <v>28</v>
      </c>
      <c r="L125" s="94" t="s">
        <v>1090</v>
      </c>
      <c r="M125" s="4" t="s">
        <v>600</v>
      </c>
      <c r="N125" s="4" t="s">
        <v>601</v>
      </c>
      <c r="O125" s="94" t="s">
        <v>602</v>
      </c>
      <c r="P125" s="4" t="s">
        <v>603</v>
      </c>
      <c r="Q125" s="4"/>
      <c r="R125" s="7" t="s">
        <v>422</v>
      </c>
      <c r="S125" s="7" t="s">
        <v>604</v>
      </c>
      <c r="T125" s="7" t="s">
        <v>124</v>
      </c>
      <c r="U125" s="4"/>
      <c r="V125" s="4"/>
      <c r="W125" s="4"/>
      <c r="X125" s="4"/>
      <c r="Y125" s="4"/>
      <c r="Z125" s="4"/>
      <c r="AA125" s="4"/>
      <c r="AB125" s="4"/>
      <c r="AC125" s="4"/>
      <c r="AD125" s="4"/>
      <c r="AE125" s="4"/>
      <c r="AF125" s="4"/>
      <c r="AG125" s="4"/>
      <c r="AH125" s="4"/>
      <c r="AI125" s="4"/>
      <c r="AJ125" s="4"/>
      <c r="AK125" s="4"/>
    </row>
    <row r="126" spans="1:37" ht="70" customHeight="1" x14ac:dyDescent="0.2">
      <c r="A126" s="107">
        <v>45138</v>
      </c>
      <c r="B126" s="4" t="s">
        <v>1130</v>
      </c>
      <c r="C126" s="163" t="s">
        <v>28</v>
      </c>
      <c r="D126" s="4" t="s">
        <v>1165</v>
      </c>
      <c r="E126" s="4" t="s">
        <v>24</v>
      </c>
      <c r="F126" s="4" t="s">
        <v>1133</v>
      </c>
      <c r="G126" s="4" t="s">
        <v>208</v>
      </c>
      <c r="H126" s="4" t="s">
        <v>208</v>
      </c>
      <c r="I126" s="4" t="s">
        <v>599</v>
      </c>
      <c r="J126" s="4" t="s">
        <v>28</v>
      </c>
      <c r="K126" s="4" t="s">
        <v>28</v>
      </c>
      <c r="L126" s="94" t="s">
        <v>1090</v>
      </c>
      <c r="M126" s="4" t="s">
        <v>600</v>
      </c>
      <c r="N126" s="4" t="s">
        <v>605</v>
      </c>
      <c r="O126" s="94" t="s">
        <v>602</v>
      </c>
      <c r="P126" s="4" t="s">
        <v>606</v>
      </c>
      <c r="Q126" s="4"/>
      <c r="R126" s="7" t="s">
        <v>422</v>
      </c>
      <c r="S126" s="7" t="s">
        <v>604</v>
      </c>
      <c r="T126" s="7" t="s">
        <v>124</v>
      </c>
      <c r="U126" s="4"/>
      <c r="V126" s="4"/>
      <c r="W126" s="4"/>
      <c r="X126" s="4"/>
      <c r="Y126" s="4"/>
      <c r="Z126" s="4"/>
      <c r="AA126" s="4"/>
      <c r="AB126" s="4"/>
      <c r="AC126" s="4"/>
      <c r="AD126" s="4"/>
      <c r="AE126" s="4"/>
      <c r="AF126" s="4"/>
      <c r="AG126" s="4"/>
      <c r="AH126" s="4"/>
      <c r="AI126" s="4"/>
      <c r="AJ126" s="4"/>
      <c r="AK126" s="4"/>
    </row>
    <row r="127" spans="1:37" ht="70" customHeight="1" x14ac:dyDescent="0.2">
      <c r="A127" s="107">
        <v>45152</v>
      </c>
      <c r="B127" s="4" t="s">
        <v>607</v>
      </c>
      <c r="C127" s="163" t="s">
        <v>1156</v>
      </c>
      <c r="D127" s="4" t="s">
        <v>1171</v>
      </c>
      <c r="E127" s="4" t="s">
        <v>37</v>
      </c>
      <c r="F127" s="4" t="s">
        <v>608</v>
      </c>
      <c r="G127" s="4" t="s">
        <v>49</v>
      </c>
      <c r="H127" s="4" t="s">
        <v>27</v>
      </c>
      <c r="I127" s="4" t="s">
        <v>66</v>
      </c>
      <c r="J127" s="4" t="s">
        <v>28</v>
      </c>
      <c r="K127" s="4" t="s">
        <v>609</v>
      </c>
      <c r="L127" s="4" t="s">
        <v>1080</v>
      </c>
      <c r="M127" s="4" t="s">
        <v>67</v>
      </c>
      <c r="N127" s="4" t="s">
        <v>610</v>
      </c>
      <c r="O127" s="4" t="s">
        <v>611</v>
      </c>
      <c r="P127" s="4" t="s">
        <v>612</v>
      </c>
      <c r="Q127" s="4"/>
      <c r="R127" s="30" t="s">
        <v>613</v>
      </c>
      <c r="S127" s="7"/>
      <c r="T127" s="10"/>
      <c r="U127" s="7"/>
      <c r="V127" s="4"/>
      <c r="W127" s="4"/>
      <c r="X127" s="4"/>
      <c r="Y127" s="4"/>
      <c r="Z127" s="4"/>
      <c r="AA127" s="4"/>
      <c r="AB127" s="4"/>
      <c r="AC127" s="4"/>
      <c r="AD127" s="4"/>
      <c r="AE127" s="4"/>
      <c r="AF127" s="4"/>
      <c r="AG127" s="4"/>
      <c r="AH127" s="4"/>
      <c r="AI127" s="4"/>
      <c r="AJ127" s="4"/>
      <c r="AK127" s="4"/>
    </row>
    <row r="128" spans="1:37" ht="70" customHeight="1" x14ac:dyDescent="0.2">
      <c r="A128" s="107">
        <v>45159</v>
      </c>
      <c r="B128" s="4" t="s">
        <v>614</v>
      </c>
      <c r="C128" s="163" t="s">
        <v>1156</v>
      </c>
      <c r="D128" s="4" t="s">
        <v>1171</v>
      </c>
      <c r="E128" s="4" t="s">
        <v>37</v>
      </c>
      <c r="F128" s="4" t="s">
        <v>615</v>
      </c>
      <c r="G128" s="4" t="s">
        <v>49</v>
      </c>
      <c r="H128" s="4" t="s">
        <v>27</v>
      </c>
      <c r="I128" s="4" t="s">
        <v>28</v>
      </c>
      <c r="J128" s="4" t="s">
        <v>28</v>
      </c>
      <c r="K128" s="4" t="s">
        <v>28</v>
      </c>
      <c r="L128" s="4" t="s">
        <v>1080</v>
      </c>
      <c r="M128" s="4" t="s">
        <v>616</v>
      </c>
      <c r="N128" s="4" t="s">
        <v>617</v>
      </c>
      <c r="O128" s="4" t="s">
        <v>618</v>
      </c>
      <c r="P128" s="4"/>
      <c r="Q128" s="4"/>
      <c r="R128" s="4" t="s">
        <v>32</v>
      </c>
      <c r="S128" s="31" t="s">
        <v>619</v>
      </c>
      <c r="T128" s="10"/>
      <c r="U128" s="4"/>
      <c r="V128" s="4"/>
      <c r="W128" s="4"/>
      <c r="X128" s="4"/>
      <c r="Y128" s="4"/>
      <c r="Z128" s="4"/>
      <c r="AA128" s="4"/>
      <c r="AB128" s="4"/>
      <c r="AC128" s="4"/>
      <c r="AD128" s="4"/>
      <c r="AE128" s="4"/>
      <c r="AF128" s="4"/>
      <c r="AG128" s="4"/>
      <c r="AH128" s="4"/>
      <c r="AI128" s="4"/>
      <c r="AJ128" s="4"/>
      <c r="AK128" s="4"/>
    </row>
    <row r="129" spans="1:37" ht="70" customHeight="1" x14ac:dyDescent="0.2">
      <c r="A129" s="107">
        <v>45162</v>
      </c>
      <c r="B129" s="4" t="s">
        <v>620</v>
      </c>
      <c r="C129" s="163" t="s">
        <v>1156</v>
      </c>
      <c r="D129" s="4" t="s">
        <v>1165</v>
      </c>
      <c r="E129" s="4" t="s">
        <v>37</v>
      </c>
      <c r="F129" s="4" t="s">
        <v>621</v>
      </c>
      <c r="G129" s="4" t="s">
        <v>49</v>
      </c>
      <c r="H129" s="4" t="s">
        <v>27</v>
      </c>
      <c r="I129" s="4" t="s">
        <v>622</v>
      </c>
      <c r="J129" s="4" t="s">
        <v>28</v>
      </c>
      <c r="K129" s="4" t="s">
        <v>28</v>
      </c>
      <c r="L129" s="4" t="s">
        <v>1057</v>
      </c>
      <c r="M129" s="4" t="s">
        <v>40</v>
      </c>
      <c r="N129" s="4" t="s">
        <v>623</v>
      </c>
      <c r="O129" s="4" t="s">
        <v>624</v>
      </c>
      <c r="P129" s="4" t="s">
        <v>625</v>
      </c>
      <c r="Q129" s="4"/>
      <c r="R129" s="7" t="s">
        <v>535</v>
      </c>
      <c r="S129" s="7" t="s">
        <v>415</v>
      </c>
      <c r="T129" s="7" t="s">
        <v>626</v>
      </c>
      <c r="U129" s="4"/>
      <c r="V129" s="4"/>
      <c r="W129" s="4"/>
      <c r="X129" s="4"/>
      <c r="Y129" s="4"/>
      <c r="Z129" s="4"/>
      <c r="AA129" s="4"/>
      <c r="AB129" s="4"/>
      <c r="AC129" s="4"/>
      <c r="AD129" s="4"/>
      <c r="AE129" s="4"/>
      <c r="AF129" s="4"/>
      <c r="AG129" s="4"/>
      <c r="AH129" s="4"/>
      <c r="AI129" s="4"/>
      <c r="AJ129" s="4"/>
      <c r="AK129" s="4"/>
    </row>
    <row r="130" spans="1:37" ht="70" customHeight="1" x14ac:dyDescent="0.2">
      <c r="A130" s="107">
        <v>45162</v>
      </c>
      <c r="B130" s="4" t="s">
        <v>627</v>
      </c>
      <c r="C130" s="163" t="s">
        <v>1156</v>
      </c>
      <c r="D130" s="4" t="s">
        <v>1165</v>
      </c>
      <c r="E130" s="4" t="s">
        <v>70</v>
      </c>
      <c r="F130" s="4" t="s">
        <v>628</v>
      </c>
      <c r="G130" s="4" t="s">
        <v>72</v>
      </c>
      <c r="H130" s="4" t="s">
        <v>27</v>
      </c>
      <c r="I130" s="4" t="s">
        <v>28</v>
      </c>
      <c r="J130" s="4" t="s">
        <v>28</v>
      </c>
      <c r="K130" s="4" t="s">
        <v>629</v>
      </c>
      <c r="L130" s="4" t="s">
        <v>1057</v>
      </c>
      <c r="M130" s="4" t="s">
        <v>630</v>
      </c>
      <c r="N130" s="4" t="s">
        <v>631</v>
      </c>
      <c r="O130" s="4" t="s">
        <v>632</v>
      </c>
      <c r="P130" s="4"/>
      <c r="Q130" s="24"/>
      <c r="R130" s="7" t="s">
        <v>183</v>
      </c>
      <c r="S130" s="10" t="s">
        <v>633</v>
      </c>
      <c r="T130" s="24"/>
      <c r="U130" s="4"/>
      <c r="V130" s="4"/>
      <c r="W130" s="4"/>
      <c r="X130" s="4"/>
      <c r="Y130" s="4"/>
      <c r="Z130" s="4"/>
      <c r="AA130" s="4"/>
      <c r="AB130" s="4"/>
      <c r="AC130" s="4"/>
      <c r="AD130" s="4"/>
      <c r="AE130" s="4"/>
      <c r="AF130" s="4"/>
      <c r="AG130" s="4"/>
      <c r="AH130" s="4"/>
      <c r="AI130" s="4"/>
      <c r="AJ130" s="4"/>
      <c r="AK130" s="24"/>
    </row>
    <row r="131" spans="1:37" ht="70" customHeight="1" x14ac:dyDescent="0.2">
      <c r="A131" s="107">
        <v>45184</v>
      </c>
      <c r="B131" s="4" t="s">
        <v>634</v>
      </c>
      <c r="C131" s="164" t="s">
        <v>1156</v>
      </c>
      <c r="D131" s="4" t="s">
        <v>1168</v>
      </c>
      <c r="E131" s="4" t="s">
        <v>370</v>
      </c>
      <c r="F131" s="4" t="s">
        <v>635</v>
      </c>
      <c r="G131" s="4" t="s">
        <v>208</v>
      </c>
      <c r="H131" s="4" t="s">
        <v>208</v>
      </c>
      <c r="I131" s="4" t="s">
        <v>476</v>
      </c>
      <c r="J131" s="4" t="s">
        <v>28</v>
      </c>
      <c r="K131" s="4" t="s">
        <v>636</v>
      </c>
      <c r="L131" s="4" t="s">
        <v>96</v>
      </c>
      <c r="M131" s="4" t="s">
        <v>558</v>
      </c>
      <c r="N131" s="4"/>
      <c r="O131" s="4"/>
      <c r="P131" s="4"/>
      <c r="Q131" s="4" t="s">
        <v>637</v>
      </c>
      <c r="R131" s="7" t="s">
        <v>374</v>
      </c>
      <c r="S131" s="4"/>
      <c r="T131" s="7"/>
      <c r="U131" s="4"/>
      <c r="V131" s="4"/>
      <c r="W131" s="4"/>
      <c r="X131" s="4"/>
      <c r="Y131" s="4"/>
      <c r="Z131" s="4"/>
      <c r="AA131" s="4"/>
      <c r="AB131" s="4"/>
      <c r="AC131" s="4"/>
      <c r="AD131" s="4"/>
      <c r="AE131" s="4"/>
      <c r="AF131" s="4"/>
      <c r="AG131" s="4"/>
      <c r="AH131" s="4"/>
      <c r="AI131" s="4"/>
      <c r="AJ131" s="4"/>
      <c r="AK131" s="4"/>
    </row>
    <row r="132" spans="1:37" ht="70" customHeight="1" x14ac:dyDescent="0.2">
      <c r="A132" s="107">
        <v>45219</v>
      </c>
      <c r="B132" s="4" t="s">
        <v>1134</v>
      </c>
      <c r="C132" s="163" t="s">
        <v>1118</v>
      </c>
      <c r="D132" s="4" t="s">
        <v>1165</v>
      </c>
      <c r="E132" s="4" t="s">
        <v>24</v>
      </c>
      <c r="F132" s="4" t="s">
        <v>1136</v>
      </c>
      <c r="G132" s="4" t="s">
        <v>208</v>
      </c>
      <c r="H132" s="4" t="s">
        <v>208</v>
      </c>
      <c r="I132" s="4" t="s">
        <v>587</v>
      </c>
      <c r="J132" s="4" t="s">
        <v>28</v>
      </c>
      <c r="K132" s="4" t="s">
        <v>28</v>
      </c>
      <c r="L132" s="4" t="s">
        <v>28</v>
      </c>
      <c r="M132" s="4" t="s">
        <v>29</v>
      </c>
      <c r="N132" s="4" t="s">
        <v>383</v>
      </c>
      <c r="O132" s="4" t="s">
        <v>1135</v>
      </c>
      <c r="P132" s="4" t="s">
        <v>638</v>
      </c>
      <c r="Q132" s="4"/>
      <c r="R132" s="7" t="s">
        <v>422</v>
      </c>
      <c r="S132" s="7" t="s">
        <v>591</v>
      </c>
      <c r="T132" s="4"/>
      <c r="U132" s="4"/>
      <c r="V132" s="4"/>
      <c r="W132" s="4"/>
      <c r="X132" s="4"/>
      <c r="Y132" s="4"/>
      <c r="Z132" s="4"/>
      <c r="AA132" s="4"/>
      <c r="AB132" s="4"/>
      <c r="AC132" s="4"/>
      <c r="AD132" s="4"/>
      <c r="AE132" s="4"/>
      <c r="AF132" s="4"/>
      <c r="AG132" s="4"/>
      <c r="AH132" s="4"/>
      <c r="AI132" s="4"/>
      <c r="AJ132" s="4"/>
      <c r="AK132" s="4"/>
    </row>
    <row r="133" spans="1:37" ht="70" customHeight="1" x14ac:dyDescent="0.2">
      <c r="A133" s="107">
        <v>45281</v>
      </c>
      <c r="B133" s="4" t="s">
        <v>1143</v>
      </c>
      <c r="C133" s="163" t="s">
        <v>1156</v>
      </c>
      <c r="D133" s="4" t="s">
        <v>1171</v>
      </c>
      <c r="E133" s="4" t="s">
        <v>37</v>
      </c>
      <c r="F133" s="4" t="s">
        <v>639</v>
      </c>
      <c r="G133" s="4" t="s">
        <v>49</v>
      </c>
      <c r="H133" s="4" t="s">
        <v>27</v>
      </c>
      <c r="I133" s="4" t="s">
        <v>640</v>
      </c>
      <c r="J133" s="4" t="s">
        <v>28</v>
      </c>
      <c r="K133" s="4" t="s">
        <v>28</v>
      </c>
      <c r="L133" s="4" t="s">
        <v>1080</v>
      </c>
      <c r="M133" s="4" t="s">
        <v>29</v>
      </c>
      <c r="N133" s="4" t="s">
        <v>641</v>
      </c>
      <c r="O133" s="4" t="s">
        <v>642</v>
      </c>
      <c r="P133" s="4" t="s">
        <v>643</v>
      </c>
      <c r="Q133" s="4"/>
      <c r="R133" s="7" t="s">
        <v>644</v>
      </c>
      <c r="S133" s="7" t="s">
        <v>645</v>
      </c>
      <c r="T133" s="7"/>
      <c r="U133" s="4"/>
      <c r="V133" s="4"/>
      <c r="W133" s="4"/>
      <c r="X133" s="4"/>
      <c r="Y133" s="4"/>
      <c r="Z133" s="4"/>
      <c r="AA133" s="4"/>
      <c r="AB133" s="4"/>
      <c r="AC133" s="4"/>
      <c r="AD133" s="4"/>
      <c r="AE133" s="4"/>
      <c r="AF133" s="4"/>
      <c r="AG133" s="4"/>
      <c r="AH133" s="4"/>
      <c r="AI133" s="4"/>
      <c r="AJ133" s="4"/>
      <c r="AK133" s="4"/>
    </row>
    <row r="134" spans="1:37" ht="70" customHeight="1" x14ac:dyDescent="0.2">
      <c r="A134" s="107">
        <v>45286</v>
      </c>
      <c r="B134" s="4" t="s">
        <v>646</v>
      </c>
      <c r="C134" s="163" t="s">
        <v>1118</v>
      </c>
      <c r="D134" s="4" t="s">
        <v>1119</v>
      </c>
      <c r="E134" s="4" t="s">
        <v>370</v>
      </c>
      <c r="F134" s="4" t="s">
        <v>647</v>
      </c>
      <c r="G134" s="4" t="s">
        <v>208</v>
      </c>
      <c r="H134" s="4" t="s">
        <v>208</v>
      </c>
      <c r="I134" s="4" t="s">
        <v>476</v>
      </c>
      <c r="J134" s="4" t="s">
        <v>648</v>
      </c>
      <c r="K134" s="4" t="s">
        <v>649</v>
      </c>
      <c r="L134" s="4" t="s">
        <v>96</v>
      </c>
      <c r="M134" s="4" t="s">
        <v>558</v>
      </c>
      <c r="N134" s="4"/>
      <c r="O134" s="4"/>
      <c r="P134" s="4"/>
      <c r="Q134" s="4" t="s">
        <v>650</v>
      </c>
      <c r="R134" s="7" t="s">
        <v>374</v>
      </c>
      <c r="S134" s="4"/>
      <c r="T134" s="10"/>
      <c r="U134" s="4"/>
      <c r="V134" s="4"/>
      <c r="W134" s="4"/>
      <c r="X134" s="4"/>
      <c r="Y134" s="4"/>
      <c r="Z134" s="4"/>
      <c r="AA134" s="4"/>
      <c r="AB134" s="4"/>
      <c r="AC134" s="4"/>
      <c r="AD134" s="4"/>
      <c r="AE134" s="4"/>
      <c r="AF134" s="4"/>
      <c r="AG134" s="4"/>
      <c r="AH134" s="4"/>
      <c r="AI134" s="4"/>
      <c r="AJ134" s="4"/>
      <c r="AK134" s="4"/>
    </row>
    <row r="135" spans="1:37" ht="70" customHeight="1" x14ac:dyDescent="0.2">
      <c r="A135" s="107">
        <v>45298</v>
      </c>
      <c r="B135" s="4" t="s">
        <v>1137</v>
      </c>
      <c r="C135" s="163" t="s">
        <v>1118</v>
      </c>
      <c r="D135" s="4" t="s">
        <v>1168</v>
      </c>
      <c r="E135" s="4" t="s">
        <v>370</v>
      </c>
      <c r="F135" s="4" t="s">
        <v>651</v>
      </c>
      <c r="G135" s="4" t="s">
        <v>208</v>
      </c>
      <c r="H135" s="4" t="s">
        <v>208</v>
      </c>
      <c r="I135" s="4" t="s">
        <v>476</v>
      </c>
      <c r="J135" s="4" t="s">
        <v>28</v>
      </c>
      <c r="K135" s="4" t="s">
        <v>652</v>
      </c>
      <c r="L135" s="4" t="s">
        <v>96</v>
      </c>
      <c r="M135" s="4" t="s">
        <v>558</v>
      </c>
      <c r="N135" s="4"/>
      <c r="O135" s="4"/>
      <c r="P135" s="4"/>
      <c r="Q135" s="4" t="s">
        <v>653</v>
      </c>
      <c r="R135" s="7" t="s">
        <v>374</v>
      </c>
      <c r="S135" s="4"/>
      <c r="T135" s="10"/>
      <c r="U135" s="10"/>
      <c r="V135" s="4"/>
      <c r="W135" s="4"/>
      <c r="X135" s="4"/>
      <c r="Y135" s="4"/>
      <c r="Z135" s="4"/>
      <c r="AA135" s="4"/>
      <c r="AB135" s="4"/>
      <c r="AC135" s="4"/>
      <c r="AD135" s="4"/>
      <c r="AE135" s="4"/>
      <c r="AF135" s="4"/>
      <c r="AG135" s="4"/>
      <c r="AH135" s="4"/>
      <c r="AI135" s="4"/>
      <c r="AJ135" s="4"/>
      <c r="AK135" s="4"/>
    </row>
    <row r="136" spans="1:37" ht="70" customHeight="1" x14ac:dyDescent="0.2">
      <c r="A136" s="107">
        <v>45393</v>
      </c>
      <c r="B136" s="4" t="s">
        <v>1138</v>
      </c>
      <c r="C136" s="163" t="s">
        <v>1156</v>
      </c>
      <c r="D136" s="4" t="s">
        <v>1168</v>
      </c>
      <c r="E136" s="4" t="s">
        <v>370</v>
      </c>
      <c r="F136" s="4" t="s">
        <v>654</v>
      </c>
      <c r="G136" s="4" t="s">
        <v>208</v>
      </c>
      <c r="H136" s="4" t="s">
        <v>208</v>
      </c>
      <c r="I136" s="4" t="s">
        <v>655</v>
      </c>
      <c r="J136" s="4" t="s">
        <v>28</v>
      </c>
      <c r="K136" s="4" t="s">
        <v>656</v>
      </c>
      <c r="L136" s="4" t="s">
        <v>96</v>
      </c>
      <c r="M136" s="4" t="s">
        <v>657</v>
      </c>
      <c r="N136" s="4"/>
      <c r="O136" s="4"/>
      <c r="P136" s="4" t="s">
        <v>658</v>
      </c>
      <c r="Q136" s="4"/>
      <c r="R136" s="7" t="s">
        <v>374</v>
      </c>
      <c r="S136" s="4"/>
      <c r="T136" s="7"/>
      <c r="U136" s="10"/>
      <c r="V136" s="10"/>
      <c r="W136" s="8"/>
      <c r="X136" s="4"/>
      <c r="Y136" s="4"/>
      <c r="Z136" s="4"/>
      <c r="AA136" s="4"/>
      <c r="AB136" s="4"/>
      <c r="AC136" s="4"/>
      <c r="AD136" s="4"/>
      <c r="AE136" s="4"/>
      <c r="AF136" s="4"/>
      <c r="AG136" s="4"/>
      <c r="AH136" s="4"/>
      <c r="AI136" s="4"/>
      <c r="AJ136" s="4"/>
      <c r="AK136" s="4"/>
    </row>
    <row r="137" spans="1:37" ht="70" customHeight="1" x14ac:dyDescent="0.2">
      <c r="A137" s="107">
        <v>45432</v>
      </c>
      <c r="B137" s="4" t="s">
        <v>1139</v>
      </c>
      <c r="C137" s="163" t="s">
        <v>1156</v>
      </c>
      <c r="D137" s="4" t="s">
        <v>1168</v>
      </c>
      <c r="E137" s="4" t="s">
        <v>370</v>
      </c>
      <c r="F137" s="4" t="s">
        <v>659</v>
      </c>
      <c r="G137" s="4" t="s">
        <v>208</v>
      </c>
      <c r="H137" s="4" t="s">
        <v>208</v>
      </c>
      <c r="I137" s="4" t="s">
        <v>660</v>
      </c>
      <c r="J137" s="4" t="s">
        <v>28</v>
      </c>
      <c r="K137" s="4" t="s">
        <v>656</v>
      </c>
      <c r="L137" s="4" t="s">
        <v>96</v>
      </c>
      <c r="M137" s="4" t="s">
        <v>558</v>
      </c>
      <c r="N137" s="4"/>
      <c r="O137" s="28" t="s">
        <v>661</v>
      </c>
      <c r="P137" s="4" t="s">
        <v>662</v>
      </c>
      <c r="Q137" s="4"/>
      <c r="R137" s="7" t="s">
        <v>422</v>
      </c>
      <c r="S137" s="4"/>
      <c r="T137" s="7"/>
      <c r="U137" s="7"/>
      <c r="V137" s="4"/>
      <c r="W137" s="4"/>
      <c r="X137" s="4"/>
      <c r="Y137" s="4"/>
      <c r="Z137" s="4"/>
      <c r="AA137" s="4"/>
      <c r="AB137" s="4"/>
      <c r="AC137" s="4"/>
      <c r="AD137" s="4"/>
      <c r="AE137" s="4"/>
      <c r="AF137" s="4"/>
      <c r="AG137" s="4"/>
      <c r="AH137" s="4"/>
      <c r="AI137" s="4"/>
      <c r="AJ137" s="4"/>
      <c r="AK137" s="4"/>
    </row>
    <row r="138" spans="1:37" ht="70" customHeight="1" x14ac:dyDescent="0.2">
      <c r="A138" s="107">
        <v>45432</v>
      </c>
      <c r="B138" s="4" t="s">
        <v>663</v>
      </c>
      <c r="C138" s="163" t="s">
        <v>1156</v>
      </c>
      <c r="D138" s="4" t="s">
        <v>1168</v>
      </c>
      <c r="E138" s="4" t="s">
        <v>370</v>
      </c>
      <c r="F138" s="4" t="s">
        <v>664</v>
      </c>
      <c r="G138" s="4" t="s">
        <v>208</v>
      </c>
      <c r="H138" s="4" t="s">
        <v>208</v>
      </c>
      <c r="I138" s="4" t="s">
        <v>660</v>
      </c>
      <c r="J138" s="4" t="s">
        <v>28</v>
      </c>
      <c r="K138" s="4" t="s">
        <v>665</v>
      </c>
      <c r="L138" s="4" t="s">
        <v>96</v>
      </c>
      <c r="M138" s="4" t="s">
        <v>558</v>
      </c>
      <c r="N138" s="21"/>
      <c r="O138" s="4"/>
      <c r="P138" s="4" t="s">
        <v>666</v>
      </c>
      <c r="Q138" s="4"/>
      <c r="R138" s="7" t="s">
        <v>422</v>
      </c>
      <c r="S138" s="4"/>
      <c r="T138" s="7"/>
      <c r="U138" s="4"/>
      <c r="V138" s="4"/>
      <c r="W138" s="4"/>
      <c r="X138" s="4"/>
      <c r="Y138" s="4"/>
      <c r="Z138" s="4"/>
      <c r="AA138" s="4"/>
      <c r="AB138" s="4"/>
      <c r="AC138" s="4"/>
      <c r="AD138" s="4"/>
      <c r="AE138" s="4"/>
      <c r="AF138" s="4"/>
      <c r="AG138" s="4"/>
      <c r="AH138" s="4"/>
      <c r="AI138" s="4"/>
      <c r="AJ138" s="4"/>
      <c r="AK138" s="4"/>
    </row>
    <row r="139" spans="1:37" ht="70" customHeight="1" x14ac:dyDescent="0.2">
      <c r="A139" s="107">
        <v>45433</v>
      </c>
      <c r="B139" s="4" t="s">
        <v>1305</v>
      </c>
      <c r="C139" s="163" t="s">
        <v>1156</v>
      </c>
      <c r="D139" s="4" t="s">
        <v>1169</v>
      </c>
      <c r="E139" s="4" t="s">
        <v>370</v>
      </c>
      <c r="F139" s="4" t="s">
        <v>667</v>
      </c>
      <c r="G139" s="4" t="s">
        <v>208</v>
      </c>
      <c r="H139" s="4" t="s">
        <v>208</v>
      </c>
      <c r="I139" s="4" t="s">
        <v>668</v>
      </c>
      <c r="J139" s="4" t="s">
        <v>669</v>
      </c>
      <c r="K139" s="4" t="s">
        <v>28</v>
      </c>
      <c r="L139" s="4" t="s">
        <v>96</v>
      </c>
      <c r="M139" s="4" t="s">
        <v>407</v>
      </c>
      <c r="N139" s="4" t="s">
        <v>28</v>
      </c>
      <c r="O139" s="4" t="s">
        <v>1140</v>
      </c>
      <c r="P139" s="4" t="s">
        <v>670</v>
      </c>
      <c r="Q139" s="4"/>
      <c r="R139" s="7" t="s">
        <v>374</v>
      </c>
      <c r="S139" s="84" t="s">
        <v>1141</v>
      </c>
      <c r="T139" s="7"/>
      <c r="U139" s="4"/>
      <c r="V139" s="4"/>
      <c r="W139" s="4"/>
      <c r="X139" s="4"/>
      <c r="Y139" s="4"/>
      <c r="Z139" s="4"/>
      <c r="AA139" s="4"/>
      <c r="AB139" s="4"/>
      <c r="AC139" s="4"/>
      <c r="AD139" s="4"/>
      <c r="AE139" s="4"/>
      <c r="AF139" s="4"/>
      <c r="AG139" s="4"/>
      <c r="AH139" s="4"/>
      <c r="AI139" s="4"/>
      <c r="AJ139" s="4"/>
      <c r="AK139" s="4"/>
    </row>
    <row r="140" spans="1:37" ht="70" customHeight="1" x14ac:dyDescent="0.2">
      <c r="A140" s="107">
        <v>45434</v>
      </c>
      <c r="B140" s="4" t="s">
        <v>1162</v>
      </c>
      <c r="C140" s="163" t="s">
        <v>1118</v>
      </c>
      <c r="D140" s="4" t="s">
        <v>1168</v>
      </c>
      <c r="E140" s="4" t="s">
        <v>370</v>
      </c>
      <c r="F140" s="96" t="s">
        <v>671</v>
      </c>
      <c r="G140" s="4" t="s">
        <v>208</v>
      </c>
      <c r="H140" s="4" t="s">
        <v>208</v>
      </c>
      <c r="I140" s="4" t="s">
        <v>655</v>
      </c>
      <c r="J140" s="4" t="s">
        <v>672</v>
      </c>
      <c r="K140" s="4" t="s">
        <v>673</v>
      </c>
      <c r="L140" s="4" t="s">
        <v>96</v>
      </c>
      <c r="M140" s="4" t="s">
        <v>558</v>
      </c>
      <c r="N140" s="4" t="s">
        <v>674</v>
      </c>
      <c r="O140" s="4" t="s">
        <v>1142</v>
      </c>
      <c r="P140" s="4" t="s">
        <v>675</v>
      </c>
      <c r="Q140" s="4" t="s">
        <v>676</v>
      </c>
      <c r="R140" s="7" t="s">
        <v>374</v>
      </c>
      <c r="S140" s="10" t="s">
        <v>415</v>
      </c>
      <c r="T140" s="4"/>
      <c r="U140" s="4"/>
      <c r="V140" s="4"/>
      <c r="W140" s="4"/>
      <c r="X140" s="4"/>
      <c r="Y140" s="4"/>
      <c r="Z140" s="4"/>
      <c r="AA140" s="4"/>
      <c r="AB140" s="4"/>
      <c r="AC140" s="4"/>
      <c r="AD140" s="4"/>
      <c r="AE140" s="4"/>
      <c r="AF140" s="4"/>
      <c r="AG140" s="4"/>
      <c r="AH140" s="4"/>
      <c r="AI140" s="4"/>
      <c r="AJ140" s="4"/>
      <c r="AK140" s="4"/>
    </row>
    <row r="141" spans="1:37" ht="70" customHeight="1" x14ac:dyDescent="0.2">
      <c r="A141" s="107">
        <v>45442</v>
      </c>
      <c r="B141" s="4" t="s">
        <v>1157</v>
      </c>
      <c r="C141" s="163" t="s">
        <v>1118</v>
      </c>
      <c r="D141" s="4" t="s">
        <v>1165</v>
      </c>
      <c r="E141" s="4" t="s">
        <v>24</v>
      </c>
      <c r="F141" s="4" t="s">
        <v>677</v>
      </c>
      <c r="G141" s="4" t="s">
        <v>208</v>
      </c>
      <c r="H141" s="4" t="s">
        <v>208</v>
      </c>
      <c r="I141" s="4" t="s">
        <v>599</v>
      </c>
      <c r="J141" s="4" t="s">
        <v>28</v>
      </c>
      <c r="K141" s="4" t="s">
        <v>28</v>
      </c>
      <c r="L141" s="4" t="s">
        <v>28</v>
      </c>
      <c r="M141" s="4" t="s">
        <v>678</v>
      </c>
      <c r="N141" s="4" t="s">
        <v>679</v>
      </c>
      <c r="O141" s="4" t="s">
        <v>680</v>
      </c>
      <c r="P141" s="4" t="s">
        <v>681</v>
      </c>
      <c r="Q141" s="4"/>
      <c r="R141" s="7" t="s">
        <v>422</v>
      </c>
      <c r="S141" s="4"/>
      <c r="T141" s="10"/>
      <c r="U141" s="4"/>
      <c r="V141" s="4"/>
      <c r="W141" s="4"/>
      <c r="X141" s="4"/>
      <c r="Y141" s="4"/>
      <c r="Z141" s="4"/>
      <c r="AA141" s="4"/>
      <c r="AB141" s="4"/>
      <c r="AC141" s="4"/>
      <c r="AD141" s="4"/>
      <c r="AE141" s="4"/>
      <c r="AF141" s="4"/>
      <c r="AG141" s="4"/>
      <c r="AH141" s="4"/>
      <c r="AI141" s="4"/>
      <c r="AJ141" s="4"/>
      <c r="AK141" s="4"/>
    </row>
    <row r="142" spans="1:37" ht="70" customHeight="1" x14ac:dyDescent="0.2">
      <c r="A142" s="107">
        <v>45443</v>
      </c>
      <c r="B142" s="4" t="s">
        <v>1144</v>
      </c>
      <c r="C142" s="163" t="s">
        <v>1156</v>
      </c>
      <c r="D142" s="4" t="s">
        <v>1171</v>
      </c>
      <c r="E142" s="4" t="s">
        <v>37</v>
      </c>
      <c r="F142" s="4" t="s">
        <v>682</v>
      </c>
      <c r="G142" s="4" t="s">
        <v>49</v>
      </c>
      <c r="H142" s="4" t="s">
        <v>27</v>
      </c>
      <c r="I142" s="4" t="s">
        <v>640</v>
      </c>
      <c r="J142" s="4" t="s">
        <v>28</v>
      </c>
      <c r="K142" s="4" t="s">
        <v>28</v>
      </c>
      <c r="L142" s="4" t="s">
        <v>1080</v>
      </c>
      <c r="M142" s="4" t="s">
        <v>683</v>
      </c>
      <c r="N142" s="4"/>
      <c r="O142" s="4" t="s">
        <v>684</v>
      </c>
      <c r="P142" s="4" t="s">
        <v>685</v>
      </c>
      <c r="Q142" s="4"/>
      <c r="R142" s="7" t="s">
        <v>644</v>
      </c>
      <c r="S142" s="7" t="s">
        <v>645</v>
      </c>
      <c r="T142" s="7" t="s">
        <v>124</v>
      </c>
      <c r="U142" s="7"/>
      <c r="V142" s="4"/>
      <c r="W142" s="4"/>
      <c r="X142" s="4"/>
      <c r="Y142" s="4"/>
      <c r="Z142" s="4"/>
      <c r="AA142" s="4"/>
      <c r="AB142" s="4"/>
      <c r="AC142" s="4"/>
      <c r="AD142" s="4"/>
      <c r="AE142" s="4"/>
      <c r="AF142" s="4"/>
      <c r="AG142" s="4"/>
      <c r="AH142" s="4"/>
      <c r="AI142" s="4"/>
      <c r="AJ142" s="4"/>
      <c r="AK142" s="4"/>
    </row>
    <row r="143" spans="1:37" ht="70" customHeight="1" x14ac:dyDescent="0.2">
      <c r="A143" s="107">
        <v>45464</v>
      </c>
      <c r="B143" s="4" t="s">
        <v>1163</v>
      </c>
      <c r="C143" s="163" t="s">
        <v>1156</v>
      </c>
      <c r="D143" s="4" t="s">
        <v>1168</v>
      </c>
      <c r="E143" s="4" t="s">
        <v>370</v>
      </c>
      <c r="F143" s="4" t="s">
        <v>686</v>
      </c>
      <c r="G143" s="4" t="s">
        <v>208</v>
      </c>
      <c r="H143" s="4" t="s">
        <v>208</v>
      </c>
      <c r="I143" s="4" t="s">
        <v>655</v>
      </c>
      <c r="J143" s="4" t="s">
        <v>687</v>
      </c>
      <c r="K143" s="4" t="s">
        <v>688</v>
      </c>
      <c r="L143" s="4" t="s">
        <v>96</v>
      </c>
      <c r="M143" s="4" t="s">
        <v>558</v>
      </c>
      <c r="N143" s="4"/>
      <c r="O143" s="4"/>
      <c r="P143" s="4" t="s">
        <v>689</v>
      </c>
      <c r="Q143" s="4"/>
      <c r="R143" s="7" t="s">
        <v>374</v>
      </c>
      <c r="S143" s="4"/>
      <c r="T143" s="10"/>
      <c r="U143" s="10"/>
      <c r="V143" s="7"/>
      <c r="W143" s="4"/>
      <c r="X143" s="4"/>
      <c r="Y143" s="4"/>
      <c r="Z143" s="4"/>
      <c r="AA143" s="4"/>
      <c r="AB143" s="4"/>
      <c r="AC143" s="4"/>
      <c r="AD143" s="4"/>
      <c r="AE143" s="4"/>
      <c r="AF143" s="4"/>
      <c r="AG143" s="4"/>
      <c r="AH143" s="4"/>
      <c r="AI143" s="4"/>
      <c r="AJ143" s="4"/>
      <c r="AK143" s="4"/>
    </row>
    <row r="144" spans="1:37" ht="70" customHeight="1" x14ac:dyDescent="0.2">
      <c r="A144" s="107">
        <v>45485</v>
      </c>
      <c r="B144" s="4" t="s">
        <v>1158</v>
      </c>
      <c r="C144" s="163" t="s">
        <v>1156</v>
      </c>
      <c r="D144" s="4" t="s">
        <v>1168</v>
      </c>
      <c r="E144" s="4" t="s">
        <v>370</v>
      </c>
      <c r="F144" s="4" t="s">
        <v>690</v>
      </c>
      <c r="G144" s="4" t="s">
        <v>208</v>
      </c>
      <c r="H144" s="4" t="s">
        <v>208</v>
      </c>
      <c r="I144" s="4" t="s">
        <v>655</v>
      </c>
      <c r="J144" s="4" t="s">
        <v>691</v>
      </c>
      <c r="K144" s="4" t="s">
        <v>692</v>
      </c>
      <c r="L144" s="4" t="s">
        <v>96</v>
      </c>
      <c r="M144" s="4" t="s">
        <v>558</v>
      </c>
      <c r="N144" s="4" t="s">
        <v>693</v>
      </c>
      <c r="O144" s="4" t="s">
        <v>694</v>
      </c>
      <c r="P144" s="4" t="s">
        <v>695</v>
      </c>
      <c r="Q144" s="4" t="s">
        <v>696</v>
      </c>
      <c r="R144" s="7" t="s">
        <v>374</v>
      </c>
      <c r="S144" s="7" t="s">
        <v>415</v>
      </c>
      <c r="T144" s="4"/>
      <c r="U144" s="4"/>
      <c r="V144" s="4"/>
      <c r="W144" s="4"/>
      <c r="X144" s="4"/>
      <c r="Y144" s="4"/>
      <c r="Z144" s="4"/>
      <c r="AA144" s="4"/>
      <c r="AB144" s="4"/>
      <c r="AC144" s="4"/>
      <c r="AD144" s="4"/>
      <c r="AE144" s="4"/>
      <c r="AF144" s="4"/>
      <c r="AG144" s="4"/>
      <c r="AH144" s="4"/>
      <c r="AI144" s="4"/>
      <c r="AJ144" s="4"/>
      <c r="AK144" s="4"/>
    </row>
    <row r="145" spans="1:37" ht="70" customHeight="1" x14ac:dyDescent="0.2">
      <c r="A145" s="107">
        <v>45504</v>
      </c>
      <c r="B145" s="4" t="s">
        <v>1306</v>
      </c>
      <c r="C145" s="163" t="s">
        <v>1156</v>
      </c>
      <c r="D145" s="4" t="s">
        <v>1170</v>
      </c>
      <c r="E145" s="4" t="s">
        <v>370</v>
      </c>
      <c r="F145" s="4" t="s">
        <v>697</v>
      </c>
      <c r="G145" s="4" t="s">
        <v>208</v>
      </c>
      <c r="H145" s="4" t="s">
        <v>208</v>
      </c>
      <c r="I145" s="4" t="s">
        <v>655</v>
      </c>
      <c r="J145" s="4" t="s">
        <v>698</v>
      </c>
      <c r="K145" s="4" t="s">
        <v>28</v>
      </c>
      <c r="L145" s="4" t="s">
        <v>96</v>
      </c>
      <c r="M145" s="4" t="s">
        <v>407</v>
      </c>
      <c r="N145" s="4" t="s">
        <v>28</v>
      </c>
      <c r="O145" s="4"/>
      <c r="P145" s="4" t="s">
        <v>699</v>
      </c>
      <c r="Q145" s="4"/>
      <c r="R145" s="7" t="s">
        <v>374</v>
      </c>
      <c r="S145" s="84" t="s">
        <v>1230</v>
      </c>
      <c r="T145" s="7"/>
      <c r="U145" s="4"/>
      <c r="V145" s="4"/>
      <c r="W145" s="4"/>
      <c r="X145" s="4"/>
      <c r="Y145" s="4"/>
      <c r="Z145" s="4"/>
      <c r="AA145" s="4"/>
      <c r="AB145" s="4"/>
      <c r="AC145" s="4"/>
      <c r="AD145" s="4"/>
      <c r="AE145" s="4"/>
      <c r="AF145" s="4"/>
      <c r="AG145" s="4"/>
      <c r="AH145" s="4"/>
      <c r="AI145" s="4"/>
      <c r="AJ145" s="4"/>
      <c r="AK145" s="4"/>
    </row>
    <row r="146" spans="1:37" ht="70" customHeight="1" x14ac:dyDescent="0.2">
      <c r="A146" s="107">
        <v>45504</v>
      </c>
      <c r="B146" s="4" t="s">
        <v>1145</v>
      </c>
      <c r="C146" s="163" t="s">
        <v>28</v>
      </c>
      <c r="D146" s="4" t="s">
        <v>1165</v>
      </c>
      <c r="E146" s="4" t="s">
        <v>24</v>
      </c>
      <c r="F146" s="4" t="s">
        <v>700</v>
      </c>
      <c r="G146" s="4" t="s">
        <v>208</v>
      </c>
      <c r="H146" s="4" t="s">
        <v>208</v>
      </c>
      <c r="I146" s="4" t="s">
        <v>599</v>
      </c>
      <c r="J146" s="4" t="s">
        <v>28</v>
      </c>
      <c r="K146" s="4" t="s">
        <v>28</v>
      </c>
      <c r="L146" s="94" t="s">
        <v>1090</v>
      </c>
      <c r="M146" s="4" t="s">
        <v>600</v>
      </c>
      <c r="N146" s="4"/>
      <c r="O146" s="94" t="s">
        <v>701</v>
      </c>
      <c r="P146" s="4" t="s">
        <v>702</v>
      </c>
      <c r="Q146" s="4"/>
      <c r="R146" s="7" t="s">
        <v>422</v>
      </c>
      <c r="S146" s="7" t="s">
        <v>703</v>
      </c>
      <c r="T146" s="7"/>
      <c r="U146" s="10"/>
      <c r="V146" s="4"/>
      <c r="W146" s="4"/>
      <c r="X146" s="4"/>
      <c r="Y146" s="4"/>
      <c r="Z146" s="4"/>
      <c r="AA146" s="4"/>
      <c r="AB146" s="4"/>
      <c r="AC146" s="4"/>
      <c r="AD146" s="4"/>
      <c r="AE146" s="4"/>
      <c r="AF146" s="4"/>
      <c r="AG146" s="4"/>
      <c r="AH146" s="4"/>
      <c r="AI146" s="4"/>
      <c r="AJ146" s="4"/>
      <c r="AK146" s="4"/>
    </row>
    <row r="147" spans="1:37" ht="70" customHeight="1" x14ac:dyDescent="0.2">
      <c r="A147" s="107">
        <v>45519</v>
      </c>
      <c r="B147" s="4" t="s">
        <v>1146</v>
      </c>
      <c r="C147" s="163" t="s">
        <v>1118</v>
      </c>
      <c r="D147" s="4" t="s">
        <v>1165</v>
      </c>
      <c r="E147" s="4" t="s">
        <v>24</v>
      </c>
      <c r="F147" s="4"/>
      <c r="G147" s="4" t="s">
        <v>208</v>
      </c>
      <c r="H147" s="4" t="s">
        <v>208</v>
      </c>
      <c r="I147" s="4" t="s">
        <v>587</v>
      </c>
      <c r="J147" s="4" t="s">
        <v>28</v>
      </c>
      <c r="K147" s="4" t="s">
        <v>28</v>
      </c>
      <c r="L147" s="4" t="s">
        <v>28</v>
      </c>
      <c r="M147" s="4" t="s">
        <v>29</v>
      </c>
      <c r="N147" s="4" t="s">
        <v>1147</v>
      </c>
      <c r="O147" s="4" t="s">
        <v>704</v>
      </c>
      <c r="P147" s="4" t="s">
        <v>705</v>
      </c>
      <c r="Q147" s="4"/>
      <c r="R147" s="7" t="s">
        <v>422</v>
      </c>
      <c r="S147" s="7" t="s">
        <v>706</v>
      </c>
      <c r="T147" s="7" t="s">
        <v>124</v>
      </c>
      <c r="U147" s="10"/>
      <c r="V147" s="10"/>
      <c r="W147" s="4"/>
      <c r="X147" s="4"/>
      <c r="Y147" s="4"/>
      <c r="Z147" s="4"/>
      <c r="AA147" s="4"/>
      <c r="AB147" s="4"/>
      <c r="AC147" s="4"/>
      <c r="AD147" s="4"/>
      <c r="AE147" s="4"/>
      <c r="AF147" s="4"/>
      <c r="AG147" s="4"/>
      <c r="AH147" s="4"/>
      <c r="AI147" s="4"/>
      <c r="AJ147" s="4"/>
      <c r="AK147" s="4"/>
    </row>
    <row r="148" spans="1:37" ht="70" customHeight="1" x14ac:dyDescent="0.2">
      <c r="A148" s="107">
        <v>45553</v>
      </c>
      <c r="B148" s="4" t="s">
        <v>1159</v>
      </c>
      <c r="C148" s="163" t="s">
        <v>1156</v>
      </c>
      <c r="D148" s="4" t="s">
        <v>1168</v>
      </c>
      <c r="E148" s="4" t="s">
        <v>370</v>
      </c>
      <c r="F148" s="4" t="s">
        <v>707</v>
      </c>
      <c r="G148" s="4" t="s">
        <v>208</v>
      </c>
      <c r="H148" s="4" t="s">
        <v>208</v>
      </c>
      <c r="I148" s="4" t="s">
        <v>708</v>
      </c>
      <c r="J148" s="4" t="s">
        <v>28</v>
      </c>
      <c r="K148" s="4" t="s">
        <v>709</v>
      </c>
      <c r="L148" s="4" t="s">
        <v>96</v>
      </c>
      <c r="M148" s="4" t="s">
        <v>558</v>
      </c>
      <c r="N148" s="4" t="s">
        <v>710</v>
      </c>
      <c r="O148" s="4" t="s">
        <v>711</v>
      </c>
      <c r="P148" s="4" t="s">
        <v>712</v>
      </c>
      <c r="Q148" s="4" t="s">
        <v>713</v>
      </c>
      <c r="R148" s="7" t="s">
        <v>374</v>
      </c>
      <c r="S148" s="7" t="s">
        <v>415</v>
      </c>
      <c r="T148" s="4"/>
      <c r="U148" s="4"/>
      <c r="V148" s="4"/>
      <c r="W148" s="4"/>
      <c r="X148" s="4"/>
      <c r="Y148" s="4"/>
      <c r="Z148" s="4"/>
      <c r="AA148" s="4"/>
      <c r="AB148" s="4"/>
      <c r="AC148" s="4"/>
      <c r="AD148" s="4"/>
      <c r="AE148" s="4"/>
      <c r="AF148" s="4"/>
      <c r="AG148" s="4"/>
      <c r="AH148" s="4"/>
      <c r="AI148" s="4"/>
      <c r="AJ148" s="4"/>
      <c r="AK148" s="4"/>
    </row>
    <row r="149" spans="1:37" ht="70" customHeight="1" x14ac:dyDescent="0.2">
      <c r="A149" s="107">
        <v>45573</v>
      </c>
      <c r="B149" s="4" t="s">
        <v>1315</v>
      </c>
      <c r="C149" s="163" t="s">
        <v>1118</v>
      </c>
      <c r="D149" s="4" t="s">
        <v>1167</v>
      </c>
      <c r="E149" s="4" t="s">
        <v>37</v>
      </c>
      <c r="F149" s="4" t="s">
        <v>714</v>
      </c>
      <c r="G149" s="4" t="s">
        <v>49</v>
      </c>
      <c r="H149" s="4" t="s">
        <v>27</v>
      </c>
      <c r="I149" s="4" t="s">
        <v>715</v>
      </c>
      <c r="J149" s="4" t="s">
        <v>28</v>
      </c>
      <c r="K149" s="4" t="s">
        <v>28</v>
      </c>
      <c r="L149" s="4" t="s">
        <v>716</v>
      </c>
      <c r="M149" s="4" t="s">
        <v>40</v>
      </c>
      <c r="N149" s="4" t="s">
        <v>717</v>
      </c>
      <c r="O149" s="4" t="s">
        <v>718</v>
      </c>
      <c r="P149" s="4" t="s">
        <v>719</v>
      </c>
      <c r="Q149" s="4"/>
      <c r="R149" s="7" t="s">
        <v>720</v>
      </c>
      <c r="S149" s="7" t="s">
        <v>721</v>
      </c>
      <c r="T149" s="7" t="s">
        <v>722</v>
      </c>
      <c r="U149" s="7" t="s">
        <v>124</v>
      </c>
      <c r="V149" s="24"/>
      <c r="W149" s="4"/>
      <c r="X149" s="4"/>
      <c r="Y149" s="4"/>
      <c r="Z149" s="4"/>
      <c r="AA149" s="4"/>
      <c r="AB149" s="4"/>
      <c r="AC149" s="4"/>
      <c r="AD149" s="4"/>
      <c r="AE149" s="4"/>
      <c r="AF149" s="4"/>
      <c r="AG149" s="4"/>
      <c r="AH149" s="4"/>
      <c r="AI149" s="4"/>
      <c r="AJ149" s="4"/>
      <c r="AK149" s="4"/>
    </row>
    <row r="150" spans="1:37" ht="70" customHeight="1" x14ac:dyDescent="0.2">
      <c r="A150" s="107">
        <v>45575</v>
      </c>
      <c r="B150" s="4" t="s">
        <v>1160</v>
      </c>
      <c r="C150" s="163" t="s">
        <v>1156</v>
      </c>
      <c r="D150" s="4" t="s">
        <v>1168</v>
      </c>
      <c r="E150" s="4" t="s">
        <v>370</v>
      </c>
      <c r="F150" s="4" t="s">
        <v>723</v>
      </c>
      <c r="G150" s="4" t="s">
        <v>208</v>
      </c>
      <c r="H150" s="4" t="s">
        <v>208</v>
      </c>
      <c r="I150" s="4" t="s">
        <v>655</v>
      </c>
      <c r="J150" s="4" t="s">
        <v>724</v>
      </c>
      <c r="K150" s="4" t="s">
        <v>725</v>
      </c>
      <c r="L150" s="4" t="s">
        <v>96</v>
      </c>
      <c r="M150" s="4" t="s">
        <v>558</v>
      </c>
      <c r="N150" s="4" t="s">
        <v>726</v>
      </c>
      <c r="O150" s="4" t="s">
        <v>727</v>
      </c>
      <c r="P150" s="4" t="s">
        <v>728</v>
      </c>
      <c r="Q150" s="4" t="s">
        <v>1113</v>
      </c>
      <c r="R150" s="7" t="s">
        <v>374</v>
      </c>
      <c r="S150" s="7" t="s">
        <v>415</v>
      </c>
      <c r="T150" s="7" t="s">
        <v>729</v>
      </c>
      <c r="U150" s="4"/>
      <c r="V150" s="4"/>
      <c r="W150" s="4"/>
      <c r="X150" s="4"/>
      <c r="Y150" s="4"/>
      <c r="Z150" s="4"/>
      <c r="AA150" s="4"/>
      <c r="AB150" s="4"/>
      <c r="AC150" s="4"/>
      <c r="AD150" s="4"/>
      <c r="AE150" s="4"/>
      <c r="AF150" s="4"/>
      <c r="AG150" s="4"/>
      <c r="AH150" s="4"/>
      <c r="AI150" s="4"/>
      <c r="AJ150" s="4"/>
      <c r="AK150" s="4"/>
    </row>
    <row r="151" spans="1:37" ht="70" customHeight="1" x14ac:dyDescent="0.2">
      <c r="A151" s="107">
        <v>45628</v>
      </c>
      <c r="B151" s="4" t="s">
        <v>1148</v>
      </c>
      <c r="C151" s="163" t="s">
        <v>1118</v>
      </c>
      <c r="D151" s="4" t="s">
        <v>1165</v>
      </c>
      <c r="E151" s="4" t="s">
        <v>37</v>
      </c>
      <c r="F151" s="4" t="s">
        <v>730</v>
      </c>
      <c r="G151" s="94" t="s">
        <v>35</v>
      </c>
      <c r="H151" s="4" t="s">
        <v>27</v>
      </c>
      <c r="I151" s="4" t="s">
        <v>28</v>
      </c>
      <c r="J151" s="4" t="s">
        <v>28</v>
      </c>
      <c r="K151" s="4" t="s">
        <v>28</v>
      </c>
      <c r="L151" s="4" t="s">
        <v>96</v>
      </c>
      <c r="M151" s="4" t="s">
        <v>569</v>
      </c>
      <c r="N151" s="4"/>
      <c r="O151" s="4"/>
      <c r="P151" s="4"/>
      <c r="Q151" s="4"/>
      <c r="R151" s="20" t="s">
        <v>731</v>
      </c>
      <c r="S151" s="4"/>
      <c r="T151" s="7"/>
      <c r="U151" s="4"/>
      <c r="V151" s="8"/>
      <c r="W151" s="8"/>
      <c r="X151" s="4"/>
      <c r="Y151" s="4"/>
      <c r="Z151" s="4"/>
      <c r="AA151" s="4"/>
      <c r="AB151" s="4"/>
      <c r="AC151" s="4"/>
      <c r="AD151" s="4"/>
      <c r="AE151" s="4"/>
      <c r="AF151" s="4"/>
      <c r="AG151" s="4"/>
      <c r="AH151" s="4"/>
      <c r="AI151" s="4"/>
      <c r="AJ151" s="4"/>
      <c r="AK151" s="4"/>
    </row>
    <row r="152" spans="1:37" ht="70" customHeight="1" x14ac:dyDescent="0.2">
      <c r="A152" s="107">
        <v>45629</v>
      </c>
      <c r="B152" s="4" t="s">
        <v>1149</v>
      </c>
      <c r="C152" s="163" t="s">
        <v>1118</v>
      </c>
      <c r="D152" s="4" t="s">
        <v>1165</v>
      </c>
      <c r="E152" s="4" t="s">
        <v>24</v>
      </c>
      <c r="F152" s="4" t="s">
        <v>1035</v>
      </c>
      <c r="G152" s="4" t="s">
        <v>208</v>
      </c>
      <c r="H152" s="4" t="s">
        <v>208</v>
      </c>
      <c r="I152" s="4" t="s">
        <v>732</v>
      </c>
      <c r="J152" s="4" t="s">
        <v>28</v>
      </c>
      <c r="K152" s="4" t="s">
        <v>28</v>
      </c>
      <c r="L152" s="4" t="s">
        <v>96</v>
      </c>
      <c r="M152" s="4" t="s">
        <v>29</v>
      </c>
      <c r="N152" s="4" t="s">
        <v>733</v>
      </c>
      <c r="O152" s="28" t="s">
        <v>1036</v>
      </c>
      <c r="P152" s="4" t="s">
        <v>734</v>
      </c>
      <c r="Q152" s="4" t="s">
        <v>735</v>
      </c>
      <c r="R152" s="7" t="s">
        <v>422</v>
      </c>
      <c r="S152" s="7" t="s">
        <v>123</v>
      </c>
      <c r="T152" s="84" t="s">
        <v>183</v>
      </c>
      <c r="U152" s="10"/>
      <c r="V152" s="4"/>
      <c r="W152" s="4"/>
      <c r="X152" s="4"/>
      <c r="Y152" s="4"/>
      <c r="Z152" s="4"/>
      <c r="AA152" s="4"/>
      <c r="AB152" s="4"/>
      <c r="AC152" s="4"/>
      <c r="AD152" s="4"/>
      <c r="AE152" s="4"/>
      <c r="AF152" s="4"/>
      <c r="AG152" s="4"/>
      <c r="AH152" s="4"/>
      <c r="AI152" s="4"/>
      <c r="AJ152" s="4"/>
      <c r="AK152" s="4"/>
    </row>
    <row r="153" spans="1:37" ht="70" customHeight="1" x14ac:dyDescent="0.2">
      <c r="A153" s="107">
        <v>45631</v>
      </c>
      <c r="B153" s="4" t="s">
        <v>1161</v>
      </c>
      <c r="C153" s="163" t="s">
        <v>1156</v>
      </c>
      <c r="D153" s="4" t="s">
        <v>1168</v>
      </c>
      <c r="E153" s="4" t="s">
        <v>370</v>
      </c>
      <c r="F153" s="4" t="s">
        <v>736</v>
      </c>
      <c r="G153" s="4" t="s">
        <v>208</v>
      </c>
      <c r="H153" s="4" t="s">
        <v>208</v>
      </c>
      <c r="I153" s="4" t="s">
        <v>655</v>
      </c>
      <c r="J153" s="4" t="s">
        <v>737</v>
      </c>
      <c r="K153" s="4" t="s">
        <v>738</v>
      </c>
      <c r="L153" s="4" t="s">
        <v>96</v>
      </c>
      <c r="M153" s="4" t="s">
        <v>558</v>
      </c>
      <c r="N153" s="4" t="s">
        <v>739</v>
      </c>
      <c r="O153" s="4" t="s">
        <v>694</v>
      </c>
      <c r="P153" s="4" t="s">
        <v>740</v>
      </c>
      <c r="Q153" s="4" t="s">
        <v>741</v>
      </c>
      <c r="R153" s="7" t="s">
        <v>374</v>
      </c>
      <c r="S153" s="7" t="s">
        <v>415</v>
      </c>
      <c r="T153" s="4"/>
      <c r="U153" s="7"/>
      <c r="V153" s="4"/>
      <c r="W153" s="4"/>
      <c r="X153" s="4"/>
      <c r="Y153" s="4"/>
      <c r="Z153" s="4"/>
      <c r="AA153" s="4"/>
      <c r="AB153" s="4"/>
      <c r="AC153" s="4"/>
      <c r="AD153" s="4"/>
      <c r="AE153" s="4"/>
      <c r="AF153" s="4"/>
      <c r="AG153" s="4"/>
      <c r="AH153" s="4"/>
      <c r="AI153" s="4"/>
      <c r="AJ153" s="4"/>
      <c r="AK153" s="4"/>
    </row>
    <row r="154" spans="1:37" ht="70" customHeight="1" x14ac:dyDescent="0.2">
      <c r="A154" s="107">
        <v>45632</v>
      </c>
      <c r="B154" s="4" t="s">
        <v>742</v>
      </c>
      <c r="C154" s="163" t="s">
        <v>1118</v>
      </c>
      <c r="D154" s="4" t="s">
        <v>1119</v>
      </c>
      <c r="E154" s="4" t="s">
        <v>70</v>
      </c>
      <c r="F154" s="4" t="s">
        <v>1114</v>
      </c>
      <c r="G154" s="4" t="s">
        <v>72</v>
      </c>
      <c r="H154" s="4" t="s">
        <v>27</v>
      </c>
      <c r="I154" s="4" t="s">
        <v>28</v>
      </c>
      <c r="J154" s="4" t="s">
        <v>28</v>
      </c>
      <c r="K154" s="4" t="s">
        <v>743</v>
      </c>
      <c r="L154" s="4" t="s">
        <v>1057</v>
      </c>
      <c r="M154" s="4" t="s">
        <v>217</v>
      </c>
      <c r="N154" s="4"/>
      <c r="O154" s="4" t="s">
        <v>744</v>
      </c>
      <c r="P154" s="4"/>
      <c r="Q154" s="4"/>
      <c r="R154" s="20" t="s">
        <v>449</v>
      </c>
      <c r="S154" s="20" t="s">
        <v>124</v>
      </c>
      <c r="T154" s="20" t="s">
        <v>633</v>
      </c>
      <c r="U154" s="4"/>
      <c r="V154" s="4"/>
      <c r="W154" s="4"/>
      <c r="X154" s="4"/>
      <c r="Y154" s="4"/>
      <c r="Z154" s="4"/>
      <c r="AA154" s="4"/>
      <c r="AB154" s="4"/>
      <c r="AC154" s="4"/>
      <c r="AD154" s="4"/>
      <c r="AE154" s="4"/>
      <c r="AF154" s="4"/>
      <c r="AG154" s="4"/>
      <c r="AH154" s="4"/>
      <c r="AI154" s="4"/>
      <c r="AJ154" s="4"/>
      <c r="AK154" s="4"/>
    </row>
    <row r="155" spans="1:37" ht="70" customHeight="1" x14ac:dyDescent="0.2">
      <c r="A155" s="107">
        <v>45647</v>
      </c>
      <c r="B155" s="4" t="s">
        <v>745</v>
      </c>
      <c r="C155" s="163" t="s">
        <v>1118</v>
      </c>
      <c r="D155" s="4" t="s">
        <v>1232</v>
      </c>
      <c r="E155" s="4" t="s">
        <v>370</v>
      </c>
      <c r="F155" s="4" t="s">
        <v>1229</v>
      </c>
      <c r="G155" s="4" t="s">
        <v>208</v>
      </c>
      <c r="H155" s="4" t="s">
        <v>208</v>
      </c>
      <c r="I155" s="4" t="s">
        <v>655</v>
      </c>
      <c r="J155" s="4" t="s">
        <v>746</v>
      </c>
      <c r="K155" s="4" t="s">
        <v>747</v>
      </c>
      <c r="L155" s="4" t="s">
        <v>262</v>
      </c>
      <c r="M155" s="4" t="s">
        <v>372</v>
      </c>
      <c r="N155" s="21" t="s">
        <v>28</v>
      </c>
      <c r="O155" s="4"/>
      <c r="P155" s="4" t="s">
        <v>748</v>
      </c>
      <c r="Q155" s="12" t="s">
        <v>749</v>
      </c>
      <c r="R155" s="129" t="s">
        <v>374</v>
      </c>
      <c r="S155" s="130" t="s">
        <v>1151</v>
      </c>
      <c r="T155" s="133"/>
      <c r="U155" s="12"/>
      <c r="V155" s="4"/>
      <c r="W155" s="4"/>
      <c r="X155" s="4"/>
      <c r="Y155" s="4"/>
      <c r="Z155" s="4"/>
      <c r="AA155" s="4"/>
      <c r="AB155" s="4"/>
      <c r="AC155" s="4"/>
      <c r="AD155" s="4"/>
      <c r="AE155" s="4"/>
      <c r="AF155" s="4"/>
      <c r="AG155" s="4"/>
      <c r="AH155" s="4"/>
      <c r="AI155" s="4"/>
      <c r="AJ155" s="4"/>
      <c r="AK155" s="4"/>
    </row>
    <row r="156" spans="1:37" ht="70" customHeight="1" x14ac:dyDescent="0.2">
      <c r="A156" s="109">
        <v>45659</v>
      </c>
      <c r="B156" s="12" t="s">
        <v>1348</v>
      </c>
      <c r="C156" s="165" t="s">
        <v>1156</v>
      </c>
      <c r="D156" s="4" t="s">
        <v>1165</v>
      </c>
      <c r="E156" s="4" t="s">
        <v>24</v>
      </c>
      <c r="F156" s="4" t="s">
        <v>750</v>
      </c>
      <c r="G156" s="4" t="s">
        <v>208</v>
      </c>
      <c r="H156" s="4" t="s">
        <v>208</v>
      </c>
      <c r="I156" s="4" t="s">
        <v>751</v>
      </c>
      <c r="J156" s="4" t="s">
        <v>28</v>
      </c>
      <c r="K156" s="4" t="s">
        <v>752</v>
      </c>
      <c r="L156" s="4" t="s">
        <v>96</v>
      </c>
      <c r="M156" s="4" t="s">
        <v>558</v>
      </c>
      <c r="N156" s="4" t="s">
        <v>753</v>
      </c>
      <c r="O156" s="32" t="s">
        <v>1150</v>
      </c>
      <c r="P156" s="33" t="s">
        <v>754</v>
      </c>
      <c r="Q156" s="4"/>
      <c r="R156" s="128" t="s">
        <v>422</v>
      </c>
      <c r="S156" s="128" t="s">
        <v>755</v>
      </c>
      <c r="T156" s="128" t="s">
        <v>604</v>
      </c>
      <c r="U156" s="128"/>
      <c r="V156" s="15"/>
      <c r="W156" s="4"/>
      <c r="X156" s="4"/>
      <c r="Y156" s="4"/>
      <c r="Z156" s="4"/>
      <c r="AA156" s="4"/>
      <c r="AB156" s="4"/>
      <c r="AC156" s="4"/>
      <c r="AD156" s="4"/>
      <c r="AE156" s="4"/>
      <c r="AF156" s="4"/>
      <c r="AG156" s="4"/>
      <c r="AH156" s="4"/>
      <c r="AI156" s="4"/>
      <c r="AJ156" s="4"/>
      <c r="AK156" s="4"/>
    </row>
    <row r="157" spans="1:37" ht="70" customHeight="1" x14ac:dyDescent="0.2">
      <c r="A157" s="107">
        <v>45659</v>
      </c>
      <c r="B157" s="4" t="s">
        <v>1331</v>
      </c>
      <c r="C157" s="166" t="s">
        <v>1156</v>
      </c>
      <c r="D157" s="88" t="s">
        <v>1165</v>
      </c>
      <c r="E157" s="15" t="s">
        <v>370</v>
      </c>
      <c r="F157" s="4" t="s">
        <v>756</v>
      </c>
      <c r="G157" s="4" t="s">
        <v>208</v>
      </c>
      <c r="H157" s="4" t="s">
        <v>208</v>
      </c>
      <c r="I157" s="4" t="s">
        <v>757</v>
      </c>
      <c r="J157" s="4" t="s">
        <v>28</v>
      </c>
      <c r="K157" s="4" t="s">
        <v>758</v>
      </c>
      <c r="L157" s="4" t="s">
        <v>96</v>
      </c>
      <c r="M157" s="4" t="s">
        <v>558</v>
      </c>
      <c r="N157" s="4" t="s">
        <v>759</v>
      </c>
      <c r="O157" s="28" t="s">
        <v>760</v>
      </c>
      <c r="P157" s="33" t="s">
        <v>761</v>
      </c>
      <c r="Q157" s="4"/>
      <c r="R157" s="7" t="s">
        <v>422</v>
      </c>
      <c r="S157" s="7" t="s">
        <v>762</v>
      </c>
      <c r="T157" s="7" t="s">
        <v>604</v>
      </c>
      <c r="U157" s="4"/>
      <c r="V157" s="15"/>
      <c r="W157" s="4"/>
      <c r="X157" s="4"/>
      <c r="Y157" s="4"/>
      <c r="Z157" s="4"/>
      <c r="AA157" s="4"/>
      <c r="AB157" s="4"/>
      <c r="AC157" s="4"/>
      <c r="AD157" s="4"/>
      <c r="AE157" s="4"/>
      <c r="AF157" s="4"/>
      <c r="AG157" s="4"/>
      <c r="AH157" s="4"/>
      <c r="AI157" s="4"/>
      <c r="AJ157" s="4"/>
      <c r="AK157" s="4"/>
    </row>
    <row r="158" spans="1:37" ht="70" customHeight="1" x14ac:dyDescent="0.2">
      <c r="A158" s="107">
        <v>45671</v>
      </c>
      <c r="B158" s="4" t="s">
        <v>1332</v>
      </c>
      <c r="C158" s="166" t="s">
        <v>1118</v>
      </c>
      <c r="D158" s="88" t="s">
        <v>1168</v>
      </c>
      <c r="E158" s="15" t="s">
        <v>370</v>
      </c>
      <c r="F158" s="4" t="s">
        <v>763</v>
      </c>
      <c r="G158" s="4" t="s">
        <v>208</v>
      </c>
      <c r="H158" s="4" t="s">
        <v>208</v>
      </c>
      <c r="I158" s="4" t="s">
        <v>764</v>
      </c>
      <c r="J158" s="4" t="s">
        <v>28</v>
      </c>
      <c r="K158" s="4" t="s">
        <v>765</v>
      </c>
      <c r="L158" s="4" t="s">
        <v>96</v>
      </c>
      <c r="M158" s="4" t="s">
        <v>558</v>
      </c>
      <c r="N158" s="4"/>
      <c r="O158" s="4" t="s">
        <v>766</v>
      </c>
      <c r="P158" s="33" t="s">
        <v>767</v>
      </c>
      <c r="Q158" s="4"/>
      <c r="R158" s="7" t="s">
        <v>422</v>
      </c>
      <c r="S158" s="20" t="s">
        <v>604</v>
      </c>
      <c r="T158" s="20" t="s">
        <v>768</v>
      </c>
      <c r="U158" s="4"/>
      <c r="V158" s="15"/>
      <c r="W158" s="4"/>
      <c r="X158" s="4"/>
      <c r="Y158" s="4"/>
      <c r="Z158" s="4"/>
      <c r="AA158" s="4"/>
      <c r="AB158" s="4"/>
      <c r="AC158" s="4"/>
      <c r="AD158" s="4"/>
      <c r="AE158" s="4"/>
      <c r="AF158" s="4"/>
      <c r="AG158" s="4"/>
      <c r="AH158" s="4"/>
      <c r="AI158" s="4"/>
      <c r="AJ158" s="4"/>
      <c r="AK158" s="4"/>
    </row>
    <row r="159" spans="1:37" ht="70" customHeight="1" x14ac:dyDescent="0.2">
      <c r="A159" s="106">
        <v>45672</v>
      </c>
      <c r="B159" s="11" t="s">
        <v>1333</v>
      </c>
      <c r="C159" s="162" t="s">
        <v>1118</v>
      </c>
      <c r="D159" s="11" t="s">
        <v>1168</v>
      </c>
      <c r="E159" s="4" t="s">
        <v>370</v>
      </c>
      <c r="F159" s="4" t="s">
        <v>769</v>
      </c>
      <c r="G159" s="4" t="s">
        <v>208</v>
      </c>
      <c r="H159" s="4" t="s">
        <v>208</v>
      </c>
      <c r="I159" s="4" t="s">
        <v>764</v>
      </c>
      <c r="J159" s="4" t="s">
        <v>28</v>
      </c>
      <c r="K159" s="4" t="s">
        <v>770</v>
      </c>
      <c r="L159" s="4" t="s">
        <v>96</v>
      </c>
      <c r="M159" s="4" t="s">
        <v>558</v>
      </c>
      <c r="N159" s="4"/>
      <c r="O159" s="4" t="s">
        <v>766</v>
      </c>
      <c r="P159" s="33" t="s">
        <v>771</v>
      </c>
      <c r="Q159" s="4"/>
      <c r="R159" s="20" t="s">
        <v>422</v>
      </c>
      <c r="S159" s="20" t="s">
        <v>604</v>
      </c>
      <c r="T159" s="7"/>
      <c r="U159" s="4"/>
      <c r="V159" s="15"/>
      <c r="W159" s="4"/>
      <c r="X159" s="4"/>
      <c r="Y159" s="4"/>
      <c r="Z159" s="4"/>
      <c r="AA159" s="4"/>
      <c r="AB159" s="4"/>
      <c r="AC159" s="4"/>
      <c r="AD159" s="4"/>
      <c r="AE159" s="4"/>
      <c r="AF159" s="4"/>
      <c r="AG159" s="4"/>
      <c r="AH159" s="4"/>
      <c r="AI159" s="4"/>
      <c r="AJ159" s="4"/>
      <c r="AK159" s="4"/>
    </row>
    <row r="160" spans="1:37" ht="70" customHeight="1" x14ac:dyDescent="0.2">
      <c r="A160" s="107">
        <v>45673</v>
      </c>
      <c r="B160" s="4" t="s">
        <v>1152</v>
      </c>
      <c r="C160" s="163" t="s">
        <v>1118</v>
      </c>
      <c r="D160" s="4" t="s">
        <v>1165</v>
      </c>
      <c r="E160" s="4" t="s">
        <v>37</v>
      </c>
      <c r="F160" s="4" t="s">
        <v>772</v>
      </c>
      <c r="G160" s="4" t="s">
        <v>49</v>
      </c>
      <c r="H160" s="4" t="s">
        <v>27</v>
      </c>
      <c r="I160" s="4" t="s">
        <v>773</v>
      </c>
      <c r="J160" s="4" t="s">
        <v>28</v>
      </c>
      <c r="K160" s="4" t="s">
        <v>774</v>
      </c>
      <c r="L160" s="4" t="s">
        <v>1115</v>
      </c>
      <c r="M160" s="4" t="s">
        <v>67</v>
      </c>
      <c r="N160" s="4" t="s">
        <v>775</v>
      </c>
      <c r="O160" s="4" t="s">
        <v>766</v>
      </c>
      <c r="P160" s="4" t="s">
        <v>776</v>
      </c>
      <c r="Q160" s="11"/>
      <c r="R160" s="127" t="s">
        <v>422</v>
      </c>
      <c r="S160" s="127" t="s">
        <v>604</v>
      </c>
      <c r="T160" s="7"/>
      <c r="U160" s="11"/>
      <c r="V160" s="11"/>
      <c r="W160" s="4"/>
      <c r="X160" s="4"/>
      <c r="Y160" s="4"/>
      <c r="Z160" s="4"/>
      <c r="AA160" s="4"/>
      <c r="AB160" s="4"/>
      <c r="AC160" s="4"/>
      <c r="AD160" s="4"/>
      <c r="AE160" s="4"/>
      <c r="AF160" s="4"/>
      <c r="AG160" s="4"/>
      <c r="AH160" s="4"/>
      <c r="AI160" s="4"/>
      <c r="AJ160" s="4"/>
      <c r="AK160" s="4"/>
    </row>
    <row r="161" spans="1:37" ht="70" customHeight="1" x14ac:dyDescent="0.2">
      <c r="A161" s="107">
        <v>45692</v>
      </c>
      <c r="B161" s="4" t="s">
        <v>1155</v>
      </c>
      <c r="C161" s="163" t="s">
        <v>1118</v>
      </c>
      <c r="D161" s="4" t="s">
        <v>1167</v>
      </c>
      <c r="E161" s="4" t="s">
        <v>24</v>
      </c>
      <c r="F161" s="4" t="s">
        <v>777</v>
      </c>
      <c r="G161" s="4" t="s">
        <v>208</v>
      </c>
      <c r="H161" s="4" t="s">
        <v>208</v>
      </c>
      <c r="I161" s="4" t="s">
        <v>778</v>
      </c>
      <c r="J161" s="4" t="s">
        <v>28</v>
      </c>
      <c r="K161" s="4" t="s">
        <v>28</v>
      </c>
      <c r="L161" s="4" t="s">
        <v>28</v>
      </c>
      <c r="M161" s="4" t="s">
        <v>29</v>
      </c>
      <c r="N161" s="4" t="s">
        <v>779</v>
      </c>
      <c r="O161" s="4" t="s">
        <v>1153</v>
      </c>
      <c r="P161" s="4" t="s">
        <v>780</v>
      </c>
      <c r="Q161" s="12"/>
      <c r="R161" s="126" t="s">
        <v>422</v>
      </c>
      <c r="S161" s="126" t="s">
        <v>781</v>
      </c>
      <c r="T161" s="84" t="s">
        <v>1030</v>
      </c>
      <c r="U161" s="134" t="s">
        <v>604</v>
      </c>
      <c r="V161" s="134" t="s">
        <v>782</v>
      </c>
      <c r="W161" s="84" t="s">
        <v>768</v>
      </c>
      <c r="X161" s="4"/>
      <c r="Y161" s="4"/>
      <c r="Z161" s="4"/>
      <c r="AA161" s="4"/>
      <c r="AB161" s="4"/>
      <c r="AC161" s="4"/>
      <c r="AD161" s="4"/>
      <c r="AE161" s="4"/>
      <c r="AF161" s="4"/>
      <c r="AG161" s="4"/>
      <c r="AH161" s="4"/>
      <c r="AI161" s="4"/>
      <c r="AJ161" s="4"/>
      <c r="AK161" s="4"/>
    </row>
    <row r="162" spans="1:37" ht="70" customHeight="1" x14ac:dyDescent="0.2">
      <c r="A162" s="107">
        <v>45692</v>
      </c>
      <c r="B162" s="4" t="s">
        <v>1334</v>
      </c>
      <c r="C162" s="163" t="s">
        <v>1118</v>
      </c>
      <c r="D162" s="4" t="s">
        <v>1167</v>
      </c>
      <c r="E162" s="4" t="s">
        <v>61</v>
      </c>
      <c r="F162" s="4" t="s">
        <v>1318</v>
      </c>
      <c r="G162" s="4" t="s">
        <v>208</v>
      </c>
      <c r="H162" s="4" t="s">
        <v>208</v>
      </c>
      <c r="I162" s="4" t="s">
        <v>783</v>
      </c>
      <c r="J162" s="4" t="s">
        <v>28</v>
      </c>
      <c r="K162" s="4" t="s">
        <v>784</v>
      </c>
      <c r="L162" s="4" t="s">
        <v>96</v>
      </c>
      <c r="M162" s="4" t="s">
        <v>785</v>
      </c>
      <c r="N162" s="4"/>
      <c r="O162" s="4" t="s">
        <v>786</v>
      </c>
      <c r="P162" s="33" t="s">
        <v>787</v>
      </c>
      <c r="Q162" s="4"/>
      <c r="R162" s="125" t="s">
        <v>422</v>
      </c>
      <c r="S162" s="125" t="s">
        <v>788</v>
      </c>
      <c r="T162" s="132" t="s">
        <v>422</v>
      </c>
      <c r="U162" s="84" t="s">
        <v>1030</v>
      </c>
      <c r="V162" s="20" t="s">
        <v>789</v>
      </c>
      <c r="W162" s="20" t="s">
        <v>604</v>
      </c>
      <c r="X162" s="20" t="s">
        <v>782</v>
      </c>
      <c r="Y162" s="4"/>
      <c r="Z162" s="4"/>
      <c r="AA162" s="4"/>
      <c r="AB162" s="4"/>
      <c r="AC162" s="4"/>
      <c r="AD162" s="4"/>
      <c r="AE162" s="4"/>
      <c r="AF162" s="4"/>
      <c r="AG162" s="4"/>
      <c r="AH162" s="4"/>
      <c r="AI162" s="4"/>
      <c r="AJ162" s="4"/>
      <c r="AK162" s="4"/>
    </row>
    <row r="163" spans="1:37" ht="70" customHeight="1" x14ac:dyDescent="0.2">
      <c r="A163" s="107">
        <v>45692</v>
      </c>
      <c r="B163" s="9" t="s">
        <v>1154</v>
      </c>
      <c r="C163" s="167" t="s">
        <v>1118</v>
      </c>
      <c r="D163" s="4" t="s">
        <v>1167</v>
      </c>
      <c r="E163" s="4" t="s">
        <v>37</v>
      </c>
      <c r="F163" s="4" t="s">
        <v>790</v>
      </c>
      <c r="G163" s="4" t="s">
        <v>208</v>
      </c>
      <c r="H163" s="4" t="s">
        <v>208</v>
      </c>
      <c r="I163" s="4" t="s">
        <v>791</v>
      </c>
      <c r="J163" s="4" t="s">
        <v>28</v>
      </c>
      <c r="K163" s="4" t="s">
        <v>28</v>
      </c>
      <c r="L163" s="4" t="s">
        <v>96</v>
      </c>
      <c r="M163" s="4" t="s">
        <v>792</v>
      </c>
      <c r="N163" s="4" t="s">
        <v>793</v>
      </c>
      <c r="O163" s="4" t="s">
        <v>794</v>
      </c>
      <c r="P163" s="33" t="s">
        <v>795</v>
      </c>
      <c r="Q163" s="4"/>
      <c r="R163" s="20" t="s">
        <v>644</v>
      </c>
      <c r="S163" s="20" t="s">
        <v>796</v>
      </c>
      <c r="T163" s="34" t="s">
        <v>797</v>
      </c>
      <c r="U163" s="20" t="s">
        <v>604</v>
      </c>
      <c r="V163" s="20" t="s">
        <v>782</v>
      </c>
      <c r="W163" s="10"/>
      <c r="X163" s="4"/>
      <c r="Y163" s="4"/>
      <c r="Z163" s="4"/>
      <c r="AA163" s="4"/>
      <c r="AB163" s="4"/>
      <c r="AC163" s="4"/>
      <c r="AD163" s="4"/>
      <c r="AE163" s="4"/>
      <c r="AF163" s="4"/>
      <c r="AG163" s="4"/>
      <c r="AH163" s="4"/>
      <c r="AI163" s="4"/>
      <c r="AJ163" s="4"/>
      <c r="AK163" s="4"/>
    </row>
    <row r="164" spans="1:37" ht="70" customHeight="1" x14ac:dyDescent="0.2">
      <c r="A164" s="107">
        <v>45703</v>
      </c>
      <c r="B164" s="4" t="s">
        <v>1038</v>
      </c>
      <c r="C164" s="163" t="s">
        <v>1156</v>
      </c>
      <c r="D164" s="4" t="s">
        <v>1165</v>
      </c>
      <c r="E164" s="4" t="s">
        <v>24</v>
      </c>
      <c r="F164" s="4" t="s">
        <v>1116</v>
      </c>
      <c r="G164" s="4" t="s">
        <v>1032</v>
      </c>
      <c r="H164" s="4" t="s">
        <v>27</v>
      </c>
      <c r="I164" s="4" t="s">
        <v>28</v>
      </c>
      <c r="J164" s="4" t="s">
        <v>28</v>
      </c>
      <c r="K164" s="4" t="s">
        <v>1033</v>
      </c>
      <c r="L164" s="4" t="s">
        <v>1117</v>
      </c>
      <c r="M164" s="4" t="s">
        <v>1034</v>
      </c>
      <c r="N164" s="4"/>
      <c r="O164" s="4" t="s">
        <v>1037</v>
      </c>
      <c r="P164" s="4"/>
      <c r="Q164" s="11"/>
      <c r="R164" s="124" t="s">
        <v>183</v>
      </c>
      <c r="S164" s="11"/>
      <c r="T164" s="131"/>
      <c r="U164" s="19"/>
      <c r="V164" s="4"/>
      <c r="W164" s="4"/>
      <c r="X164" s="4"/>
      <c r="Y164" s="4"/>
      <c r="Z164" s="4"/>
      <c r="AA164" s="4"/>
      <c r="AB164" s="4"/>
      <c r="AC164" s="4"/>
      <c r="AD164" s="4"/>
      <c r="AE164" s="4"/>
      <c r="AF164" s="4"/>
      <c r="AG164" s="4"/>
      <c r="AH164" s="4"/>
      <c r="AI164" s="4"/>
      <c r="AJ164" s="4"/>
      <c r="AK164" s="4"/>
    </row>
    <row r="165" spans="1:37" ht="70" customHeight="1" x14ac:dyDescent="0.2">
      <c r="A165" s="107">
        <v>45720</v>
      </c>
      <c r="B165" s="4" t="s">
        <v>1335</v>
      </c>
      <c r="C165" s="163" t="s">
        <v>1118</v>
      </c>
      <c r="D165" s="4" t="s">
        <v>1339</v>
      </c>
      <c r="E165" s="4" t="s">
        <v>370</v>
      </c>
      <c r="F165" s="4" t="s">
        <v>1325</v>
      </c>
      <c r="G165" s="4" t="s">
        <v>208</v>
      </c>
      <c r="H165" s="4" t="s">
        <v>208</v>
      </c>
      <c r="I165" s="4" t="s">
        <v>764</v>
      </c>
      <c r="J165" s="4" t="s">
        <v>28</v>
      </c>
      <c r="K165" s="4" t="s">
        <v>1326</v>
      </c>
      <c r="L165" s="4" t="s">
        <v>96</v>
      </c>
      <c r="M165" s="4" t="s">
        <v>558</v>
      </c>
      <c r="N165" s="4"/>
      <c r="O165" s="4" t="s">
        <v>1327</v>
      </c>
      <c r="P165" s="4" t="s">
        <v>1329</v>
      </c>
      <c r="Q165" s="4"/>
      <c r="R165" s="84" t="s">
        <v>422</v>
      </c>
      <c r="S165" s="84" t="s">
        <v>1328</v>
      </c>
      <c r="T165" s="10"/>
      <c r="U165" s="10"/>
      <c r="V165" s="4"/>
      <c r="W165" s="4"/>
      <c r="X165" s="4"/>
      <c r="Y165" s="4"/>
      <c r="Z165" s="4"/>
      <c r="AA165" s="4"/>
      <c r="AB165" s="4"/>
      <c r="AC165" s="4"/>
      <c r="AD165" s="4"/>
      <c r="AE165" s="4"/>
      <c r="AF165" s="4"/>
      <c r="AG165" s="4"/>
      <c r="AH165" s="4"/>
      <c r="AI165" s="4"/>
      <c r="AJ165" s="4"/>
      <c r="AK165" s="4"/>
    </row>
    <row r="166" spans="1:37" ht="70" customHeight="1" x14ac:dyDescent="0.2">
      <c r="A166" s="107">
        <v>45720</v>
      </c>
      <c r="B166" s="4" t="s">
        <v>1346</v>
      </c>
      <c r="C166" s="163" t="s">
        <v>1118</v>
      </c>
      <c r="D166" s="4" t="s">
        <v>1167</v>
      </c>
      <c r="E166" s="4" t="s">
        <v>370</v>
      </c>
      <c r="F166" s="4" t="s">
        <v>1330</v>
      </c>
      <c r="G166" s="4" t="s">
        <v>208</v>
      </c>
      <c r="H166" s="4" t="s">
        <v>208</v>
      </c>
      <c r="I166" s="4" t="s">
        <v>764</v>
      </c>
      <c r="J166" s="4" t="s">
        <v>28</v>
      </c>
      <c r="K166" s="4" t="s">
        <v>1336</v>
      </c>
      <c r="L166" s="4" t="s">
        <v>96</v>
      </c>
      <c r="M166" s="4" t="s">
        <v>914</v>
      </c>
      <c r="N166" s="4" t="s">
        <v>1337</v>
      </c>
      <c r="O166" s="4" t="s">
        <v>1322</v>
      </c>
      <c r="P166" s="4" t="s">
        <v>1338</v>
      </c>
      <c r="Q166" s="4"/>
      <c r="R166" s="84" t="s">
        <v>422</v>
      </c>
      <c r="S166" s="84" t="s">
        <v>1328</v>
      </c>
      <c r="T166" s="84" t="s">
        <v>768</v>
      </c>
      <c r="U166" s="10"/>
      <c r="V166" s="4"/>
      <c r="W166" s="4"/>
      <c r="X166" s="4"/>
      <c r="Y166" s="4"/>
      <c r="Z166" s="4"/>
      <c r="AA166" s="4"/>
      <c r="AB166" s="4"/>
      <c r="AC166" s="4"/>
      <c r="AD166" s="4"/>
      <c r="AE166" s="4"/>
      <c r="AF166" s="4"/>
      <c r="AG166" s="4"/>
      <c r="AH166" s="4"/>
      <c r="AI166" s="4"/>
      <c r="AJ166" s="4"/>
      <c r="AK166" s="4"/>
    </row>
    <row r="167" spans="1:37" ht="70" customHeight="1" x14ac:dyDescent="0.2">
      <c r="A167" s="107">
        <v>45720</v>
      </c>
      <c r="B167" s="4" t="s">
        <v>1347</v>
      </c>
      <c r="C167" s="163" t="s">
        <v>1118</v>
      </c>
      <c r="D167" s="4" t="s">
        <v>1339</v>
      </c>
      <c r="E167" s="4" t="s">
        <v>24</v>
      </c>
      <c r="F167" s="4" t="s">
        <v>1341</v>
      </c>
      <c r="G167" s="4" t="s">
        <v>208</v>
      </c>
      <c r="H167" s="4" t="s">
        <v>208</v>
      </c>
      <c r="I167" s="4" t="s">
        <v>1342</v>
      </c>
      <c r="J167" s="4" t="s">
        <v>28</v>
      </c>
      <c r="K167" s="4" t="s">
        <v>1343</v>
      </c>
      <c r="L167" s="4" t="s">
        <v>96</v>
      </c>
      <c r="M167" s="4" t="s">
        <v>558</v>
      </c>
      <c r="N167" s="4"/>
      <c r="O167" s="4" t="s">
        <v>1340</v>
      </c>
      <c r="P167" s="4" t="s">
        <v>1344</v>
      </c>
      <c r="Q167" s="4"/>
      <c r="R167" s="84" t="s">
        <v>422</v>
      </c>
      <c r="S167" s="84" t="s">
        <v>1328</v>
      </c>
      <c r="T167" s="84" t="s">
        <v>768</v>
      </c>
      <c r="U167" s="4"/>
      <c r="V167" s="4"/>
      <c r="W167" s="4"/>
      <c r="X167" s="4"/>
      <c r="Y167" s="4"/>
      <c r="Z167" s="4"/>
      <c r="AA167" s="4"/>
      <c r="AB167" s="4"/>
      <c r="AC167" s="4"/>
      <c r="AD167" s="4"/>
      <c r="AE167" s="4"/>
      <c r="AF167" s="4"/>
      <c r="AG167" s="4"/>
      <c r="AH167" s="4"/>
      <c r="AI167" s="4"/>
      <c r="AJ167" s="4"/>
      <c r="AK167" s="4"/>
    </row>
    <row r="168" spans="1:37" ht="70" customHeight="1" x14ac:dyDescent="0.2">
      <c r="A168" s="107">
        <v>45720</v>
      </c>
      <c r="B168" s="4" t="s">
        <v>1349</v>
      </c>
      <c r="C168" s="163" t="s">
        <v>1118</v>
      </c>
      <c r="D168" s="4" t="s">
        <v>1167</v>
      </c>
      <c r="E168" s="4" t="s">
        <v>37</v>
      </c>
      <c r="F168" s="4" t="s">
        <v>1350</v>
      </c>
      <c r="G168" s="94" t="s">
        <v>49</v>
      </c>
      <c r="H168" s="94" t="s">
        <v>27</v>
      </c>
      <c r="I168" s="4" t="s">
        <v>1351</v>
      </c>
      <c r="J168" s="4" t="s">
        <v>28</v>
      </c>
      <c r="K168" s="4" t="s">
        <v>28</v>
      </c>
      <c r="L168" s="4" t="s">
        <v>96</v>
      </c>
      <c r="M168" s="4" t="s">
        <v>905</v>
      </c>
      <c r="N168" s="4" t="s">
        <v>1353</v>
      </c>
      <c r="O168" s="4" t="s">
        <v>1345</v>
      </c>
      <c r="P168" s="4" t="s">
        <v>1352</v>
      </c>
      <c r="Q168" s="4"/>
      <c r="R168" s="84" t="s">
        <v>422</v>
      </c>
      <c r="S168" s="84" t="s">
        <v>1328</v>
      </c>
      <c r="T168" s="10"/>
      <c r="U168" s="10"/>
      <c r="V168" s="4"/>
      <c r="W168" s="4"/>
      <c r="X168" s="4"/>
      <c r="Y168" s="4"/>
      <c r="Z168" s="4"/>
      <c r="AA168" s="4"/>
      <c r="AB168" s="4"/>
      <c r="AC168" s="4"/>
      <c r="AD168" s="4"/>
      <c r="AE168" s="4"/>
      <c r="AF168" s="4"/>
      <c r="AG168" s="4"/>
      <c r="AH168" s="4"/>
      <c r="AI168" s="4"/>
      <c r="AJ168" s="4"/>
      <c r="AK168" s="4"/>
    </row>
    <row r="169" spans="1:37" ht="70" customHeight="1" x14ac:dyDescent="0.2">
      <c r="A169" s="107">
        <v>45720</v>
      </c>
      <c r="B169" s="12" t="s">
        <v>1324</v>
      </c>
      <c r="C169" s="165" t="s">
        <v>1118</v>
      </c>
      <c r="D169" s="4" t="s">
        <v>1167</v>
      </c>
      <c r="E169" s="4" t="s">
        <v>37</v>
      </c>
      <c r="F169" s="4" t="s">
        <v>1320</v>
      </c>
      <c r="G169" s="4" t="s">
        <v>208</v>
      </c>
      <c r="H169" s="4" t="s">
        <v>208</v>
      </c>
      <c r="I169" s="4" t="s">
        <v>791</v>
      </c>
      <c r="J169" s="4" t="s">
        <v>28</v>
      </c>
      <c r="K169" s="4" t="s">
        <v>28</v>
      </c>
      <c r="L169" s="4" t="s">
        <v>96</v>
      </c>
      <c r="M169" s="4" t="s">
        <v>296</v>
      </c>
      <c r="N169" s="4" t="s">
        <v>1321</v>
      </c>
      <c r="O169" s="4" t="s">
        <v>1322</v>
      </c>
      <c r="P169" s="4" t="s">
        <v>1323</v>
      </c>
      <c r="Q169" s="4"/>
      <c r="R169" s="84" t="s">
        <v>644</v>
      </c>
      <c r="S169" s="84" t="s">
        <v>1328</v>
      </c>
      <c r="T169" s="10"/>
      <c r="U169" s="10"/>
      <c r="V169" s="4"/>
      <c r="W169" s="4"/>
      <c r="X169" s="4"/>
      <c r="Y169" s="4"/>
      <c r="Z169" s="4"/>
      <c r="AA169" s="4"/>
      <c r="AB169" s="4"/>
      <c r="AC169" s="4"/>
      <c r="AD169" s="4"/>
      <c r="AE169" s="4"/>
      <c r="AF169" s="4"/>
      <c r="AG169" s="4"/>
      <c r="AH169" s="4"/>
      <c r="AI169" s="4"/>
      <c r="AJ169" s="4"/>
      <c r="AK169" s="4"/>
    </row>
    <row r="170" spans="1:37" ht="70" customHeight="1" x14ac:dyDescent="0.2">
      <c r="A170" s="107">
        <v>45720</v>
      </c>
      <c r="B170" s="160" t="s">
        <v>1356</v>
      </c>
      <c r="C170" s="168" t="s">
        <v>1118</v>
      </c>
      <c r="D170" s="88" t="s">
        <v>1167</v>
      </c>
      <c r="E170" s="4" t="s">
        <v>37</v>
      </c>
      <c r="F170" s="4" t="s">
        <v>1354</v>
      </c>
      <c r="G170" s="4" t="s">
        <v>49</v>
      </c>
      <c r="H170" s="4" t="s">
        <v>27</v>
      </c>
      <c r="I170" s="4" t="s">
        <v>1355</v>
      </c>
      <c r="J170" s="4" t="s">
        <v>28</v>
      </c>
      <c r="K170" s="4" t="s">
        <v>1359</v>
      </c>
      <c r="L170" s="4" t="s">
        <v>96</v>
      </c>
      <c r="M170" s="4" t="s">
        <v>616</v>
      </c>
      <c r="N170" s="4" t="s">
        <v>1360</v>
      </c>
      <c r="O170" s="4" t="s">
        <v>1322</v>
      </c>
      <c r="P170" s="4" t="s">
        <v>1358</v>
      </c>
      <c r="Q170" s="4"/>
      <c r="R170" s="84" t="s">
        <v>1357</v>
      </c>
      <c r="S170" s="4"/>
      <c r="T170" s="10"/>
      <c r="U170" s="10"/>
      <c r="V170" s="10"/>
      <c r="W170" s="4"/>
      <c r="X170" s="4"/>
      <c r="Y170" s="4"/>
      <c r="Z170" s="4"/>
      <c r="AA170" s="4"/>
      <c r="AB170" s="4"/>
      <c r="AC170" s="4"/>
      <c r="AD170" s="4"/>
      <c r="AE170" s="4"/>
      <c r="AF170" s="4"/>
      <c r="AG170" s="4"/>
      <c r="AH170" s="4"/>
      <c r="AI170" s="4"/>
      <c r="AJ170" s="4"/>
      <c r="AK170" s="4"/>
    </row>
    <row r="171" spans="1:37" ht="70" customHeight="1" x14ac:dyDescent="0.2">
      <c r="A171" s="107">
        <v>45720</v>
      </c>
      <c r="B171" s="160" t="s">
        <v>1361</v>
      </c>
      <c r="C171" s="168" t="s">
        <v>1118</v>
      </c>
      <c r="D171" s="88" t="s">
        <v>1167</v>
      </c>
      <c r="E171" s="4" t="s">
        <v>37</v>
      </c>
      <c r="F171" s="4" t="s">
        <v>1362</v>
      </c>
      <c r="G171" s="4" t="s">
        <v>49</v>
      </c>
      <c r="H171" s="4" t="s">
        <v>27</v>
      </c>
      <c r="I171" s="4" t="s">
        <v>1363</v>
      </c>
      <c r="J171" s="4" t="s">
        <v>28</v>
      </c>
      <c r="K171" s="4" t="s">
        <v>28</v>
      </c>
      <c r="L171" s="4" t="s">
        <v>96</v>
      </c>
      <c r="M171" s="4" t="s">
        <v>616</v>
      </c>
      <c r="N171" s="4" t="s">
        <v>1364</v>
      </c>
      <c r="O171" s="4" t="s">
        <v>1322</v>
      </c>
      <c r="P171" s="4" t="s">
        <v>1365</v>
      </c>
      <c r="Q171" s="4"/>
      <c r="R171" s="84" t="s">
        <v>1357</v>
      </c>
      <c r="S171" s="4"/>
      <c r="T171" s="10"/>
      <c r="U171" s="4"/>
      <c r="V171" s="4"/>
      <c r="W171" s="4"/>
      <c r="X171" s="4"/>
      <c r="Y171" s="4"/>
      <c r="Z171" s="4"/>
      <c r="AA171" s="4"/>
      <c r="AB171" s="4"/>
      <c r="AC171" s="4"/>
      <c r="AD171" s="4"/>
      <c r="AE171" s="4"/>
      <c r="AF171" s="4"/>
      <c r="AG171" s="4"/>
      <c r="AH171" s="4"/>
      <c r="AI171" s="4"/>
      <c r="AJ171" s="4"/>
      <c r="AK171" s="4"/>
    </row>
    <row r="172" spans="1:37" ht="70" customHeight="1" x14ac:dyDescent="0.2">
      <c r="A172" s="159">
        <v>45724</v>
      </c>
      <c r="B172" s="160" t="s">
        <v>1378</v>
      </c>
      <c r="C172" s="168" t="s">
        <v>1118</v>
      </c>
      <c r="D172" s="88" t="s">
        <v>1167</v>
      </c>
      <c r="E172" s="4" t="s">
        <v>37</v>
      </c>
      <c r="F172" s="4" t="s">
        <v>1377</v>
      </c>
      <c r="G172" s="4" t="s">
        <v>208</v>
      </c>
      <c r="H172" s="4" t="s">
        <v>208</v>
      </c>
      <c r="I172" s="4" t="s">
        <v>1379</v>
      </c>
      <c r="J172" s="4" t="s">
        <v>28</v>
      </c>
      <c r="K172" s="4" t="s">
        <v>28</v>
      </c>
      <c r="L172" s="4" t="s">
        <v>262</v>
      </c>
      <c r="M172" s="4" t="s">
        <v>616</v>
      </c>
      <c r="N172" s="4" t="s">
        <v>1373</v>
      </c>
      <c r="O172" s="4" t="s">
        <v>1380</v>
      </c>
      <c r="P172" s="4" t="s">
        <v>1374</v>
      </c>
      <c r="Q172" s="4"/>
      <c r="R172" s="84" t="s">
        <v>644</v>
      </c>
      <c r="S172" s="84" t="s">
        <v>1375</v>
      </c>
      <c r="T172" s="84" t="s">
        <v>124</v>
      </c>
      <c r="U172" s="84" t="s">
        <v>219</v>
      </c>
      <c r="V172" s="84" t="s">
        <v>1381</v>
      </c>
      <c r="W172" s="4"/>
      <c r="X172" s="4"/>
      <c r="Y172" s="4"/>
      <c r="Z172" s="4"/>
      <c r="AA172" s="4"/>
      <c r="AB172" s="4"/>
      <c r="AC172" s="4"/>
      <c r="AD172" s="4"/>
      <c r="AE172" s="4"/>
      <c r="AF172" s="4"/>
      <c r="AG172" s="4"/>
      <c r="AH172" s="4"/>
      <c r="AI172" s="4"/>
      <c r="AJ172" s="4"/>
      <c r="AK172" s="4"/>
    </row>
    <row r="173" spans="1:37" ht="70" customHeight="1" x14ac:dyDescent="0.2">
      <c r="A173" s="107"/>
      <c r="B173" s="160"/>
      <c r="C173" s="162"/>
      <c r="D173" s="4"/>
      <c r="E173" s="4"/>
      <c r="F173" s="4"/>
      <c r="G173" s="4"/>
      <c r="H173" s="4"/>
      <c r="I173" s="4"/>
      <c r="J173" s="4"/>
      <c r="K173" s="4"/>
      <c r="L173" s="4"/>
      <c r="M173" s="4"/>
      <c r="N173" s="4"/>
      <c r="O173" s="4"/>
      <c r="P173" s="4"/>
      <c r="Q173" s="4"/>
      <c r="R173" s="4"/>
      <c r="S173" s="4"/>
      <c r="T173" s="10"/>
      <c r="U173" s="4"/>
      <c r="V173" s="4"/>
      <c r="W173" s="4"/>
      <c r="X173" s="4"/>
      <c r="Y173" s="4"/>
      <c r="Z173" s="4"/>
      <c r="AA173" s="4"/>
      <c r="AB173" s="4"/>
      <c r="AC173" s="4"/>
      <c r="AD173" s="4"/>
      <c r="AE173" s="4"/>
      <c r="AF173" s="4"/>
      <c r="AG173" s="4"/>
      <c r="AH173" s="4"/>
      <c r="AI173" s="4"/>
      <c r="AJ173" s="4"/>
      <c r="AK173" s="4"/>
    </row>
    <row r="174" spans="1:37" ht="70" customHeight="1" x14ac:dyDescent="0.2">
      <c r="A174" s="107"/>
      <c r="B174" s="4"/>
      <c r="C174" s="163"/>
      <c r="D174" s="4"/>
      <c r="E174" s="4"/>
      <c r="F174" s="4"/>
      <c r="G174" s="4"/>
      <c r="H174" s="4"/>
      <c r="I174" s="4"/>
      <c r="J174" s="4"/>
      <c r="K174" s="4"/>
      <c r="L174" s="4"/>
      <c r="M174" s="4"/>
      <c r="N174" s="4"/>
      <c r="O174" s="4"/>
      <c r="P174" s="4"/>
      <c r="Q174" s="4"/>
      <c r="R174" s="4"/>
      <c r="S174" s="4"/>
      <c r="T174" s="10"/>
      <c r="U174" s="4"/>
      <c r="V174" s="4"/>
      <c r="W174" s="4"/>
      <c r="X174" s="4"/>
      <c r="Y174" s="4"/>
      <c r="Z174" s="4"/>
      <c r="AA174" s="4"/>
      <c r="AB174" s="4"/>
      <c r="AC174" s="4"/>
      <c r="AD174" s="4"/>
      <c r="AE174" s="4"/>
      <c r="AF174" s="4"/>
      <c r="AG174" s="4"/>
      <c r="AH174" s="4"/>
      <c r="AI174" s="4"/>
      <c r="AJ174" s="4"/>
      <c r="AK174" s="4"/>
    </row>
    <row r="175" spans="1:37" ht="70" customHeight="1" x14ac:dyDescent="0.2">
      <c r="A175" s="107"/>
      <c r="B175" s="4"/>
      <c r="C175" s="163"/>
      <c r="D175" s="4"/>
      <c r="E175" s="4"/>
      <c r="F175" s="4"/>
      <c r="G175" s="4"/>
      <c r="H175" s="4"/>
      <c r="I175" s="4"/>
      <c r="J175" s="4"/>
      <c r="K175" s="4"/>
      <c r="L175" s="4"/>
      <c r="M175" s="4"/>
      <c r="N175" s="4"/>
      <c r="O175" s="4"/>
      <c r="P175" s="4"/>
      <c r="Q175" s="4"/>
      <c r="R175" s="4"/>
      <c r="S175" s="4"/>
      <c r="T175" s="10"/>
      <c r="U175" s="10"/>
      <c r="V175" s="4"/>
      <c r="W175" s="4"/>
      <c r="X175" s="4"/>
      <c r="Y175" s="4"/>
      <c r="Z175" s="4"/>
      <c r="AA175" s="4"/>
      <c r="AB175" s="4"/>
      <c r="AC175" s="4"/>
      <c r="AD175" s="4"/>
      <c r="AE175" s="4"/>
      <c r="AF175" s="4"/>
      <c r="AG175" s="4"/>
      <c r="AH175" s="4"/>
      <c r="AI175" s="4"/>
      <c r="AJ175" s="4"/>
      <c r="AK175" s="4"/>
    </row>
    <row r="176" spans="1:37" ht="70" customHeight="1" x14ac:dyDescent="0.2">
      <c r="A176" s="107"/>
      <c r="B176" s="4"/>
      <c r="C176" s="163"/>
      <c r="D176" s="4"/>
      <c r="E176" s="4"/>
      <c r="F176" s="4"/>
      <c r="G176" s="4"/>
      <c r="H176" s="4"/>
      <c r="I176" s="4"/>
      <c r="J176" s="4"/>
      <c r="K176" s="4"/>
      <c r="L176" s="4"/>
      <c r="M176" s="4"/>
      <c r="N176" s="4"/>
      <c r="O176" s="4"/>
      <c r="P176" s="4"/>
      <c r="Q176" s="4"/>
      <c r="R176" s="4"/>
      <c r="S176" s="4"/>
      <c r="T176" s="10"/>
      <c r="U176" s="10"/>
      <c r="V176" s="4"/>
      <c r="W176" s="4"/>
      <c r="X176" s="4"/>
      <c r="Y176" s="4"/>
      <c r="Z176" s="4"/>
      <c r="AA176" s="4"/>
      <c r="AB176" s="4"/>
      <c r="AC176" s="4"/>
      <c r="AD176" s="4"/>
      <c r="AE176" s="4"/>
      <c r="AF176" s="4"/>
      <c r="AG176" s="4"/>
      <c r="AH176" s="4"/>
      <c r="AI176" s="4"/>
      <c r="AJ176" s="4"/>
      <c r="AK176" s="4"/>
    </row>
    <row r="177" spans="1:37" ht="70" customHeight="1" x14ac:dyDescent="0.2">
      <c r="A177" s="107"/>
      <c r="B177" s="4"/>
      <c r="C177" s="163"/>
      <c r="D177" s="4"/>
      <c r="E177" s="4"/>
      <c r="F177" s="4"/>
      <c r="G177" s="4"/>
      <c r="H177" s="4"/>
      <c r="I177" s="4"/>
      <c r="J177" s="4"/>
      <c r="K177" s="4"/>
      <c r="L177" s="4"/>
      <c r="M177" s="4"/>
      <c r="N177" s="4"/>
      <c r="O177" s="4"/>
      <c r="P177" s="4"/>
      <c r="Q177" s="4"/>
      <c r="R177" s="4"/>
      <c r="S177" s="4"/>
      <c r="T177" s="10"/>
      <c r="U177" s="10"/>
      <c r="V177" s="4"/>
      <c r="W177" s="4"/>
      <c r="X177" s="4"/>
      <c r="Y177" s="4"/>
      <c r="Z177" s="4"/>
      <c r="AA177" s="4"/>
      <c r="AB177" s="4"/>
      <c r="AC177" s="4"/>
      <c r="AD177" s="4"/>
      <c r="AE177" s="4"/>
      <c r="AF177" s="4"/>
      <c r="AG177" s="4"/>
      <c r="AH177" s="4"/>
      <c r="AI177" s="4"/>
      <c r="AJ177" s="4"/>
      <c r="AK177" s="4"/>
    </row>
    <row r="178" spans="1:37" ht="70" customHeight="1" x14ac:dyDescent="0.2">
      <c r="A178" s="107"/>
      <c r="B178" s="4"/>
      <c r="C178" s="163"/>
      <c r="D178" s="4"/>
      <c r="E178" s="4"/>
      <c r="F178" s="4"/>
      <c r="G178" s="4"/>
      <c r="H178" s="4"/>
      <c r="I178" s="4"/>
      <c r="J178" s="4"/>
      <c r="K178" s="4"/>
      <c r="L178" s="4"/>
      <c r="M178" s="4"/>
      <c r="N178" s="4"/>
      <c r="O178" s="4"/>
      <c r="P178" s="4"/>
      <c r="Q178" s="4"/>
      <c r="R178" s="4"/>
      <c r="S178" s="4"/>
      <c r="T178" s="10"/>
      <c r="U178" s="4"/>
      <c r="V178" s="4"/>
      <c r="W178" s="4"/>
      <c r="X178" s="4"/>
      <c r="Y178" s="4"/>
      <c r="Z178" s="4"/>
      <c r="AA178" s="4"/>
      <c r="AB178" s="4"/>
      <c r="AC178" s="4"/>
      <c r="AD178" s="4"/>
      <c r="AE178" s="4"/>
      <c r="AF178" s="4"/>
      <c r="AG178" s="4"/>
      <c r="AH178" s="4"/>
      <c r="AI178" s="4"/>
      <c r="AJ178" s="4"/>
      <c r="AK178" s="4"/>
    </row>
    <row r="179" spans="1:37" ht="70" customHeight="1" x14ac:dyDescent="0.2">
      <c r="A179" s="107"/>
      <c r="B179" s="4"/>
      <c r="C179" s="163"/>
      <c r="D179" s="4"/>
      <c r="E179" s="4"/>
      <c r="F179" s="4"/>
      <c r="G179" s="4"/>
      <c r="H179" s="4"/>
      <c r="I179" s="4"/>
      <c r="J179" s="4"/>
      <c r="K179" s="4"/>
      <c r="L179" s="4"/>
      <c r="M179" s="4"/>
      <c r="N179" s="4"/>
      <c r="O179" s="4"/>
      <c r="P179" s="4"/>
      <c r="Q179" s="4"/>
      <c r="R179" s="4"/>
      <c r="S179" s="4"/>
      <c r="T179" s="10"/>
      <c r="U179" s="7"/>
      <c r="V179" s="4"/>
      <c r="W179" s="4"/>
      <c r="X179" s="4"/>
      <c r="Y179" s="4"/>
      <c r="Z179" s="4"/>
      <c r="AA179" s="4"/>
      <c r="AB179" s="4"/>
      <c r="AC179" s="4"/>
      <c r="AD179" s="4"/>
      <c r="AE179" s="4"/>
      <c r="AF179" s="4"/>
      <c r="AG179" s="4"/>
      <c r="AH179" s="4"/>
      <c r="AI179" s="4"/>
      <c r="AJ179" s="4"/>
      <c r="AK179" s="4"/>
    </row>
    <row r="180" spans="1:37" ht="70" customHeight="1" x14ac:dyDescent="0.2">
      <c r="A180" s="107"/>
      <c r="B180" s="4"/>
      <c r="C180" s="163"/>
      <c r="D180" s="4"/>
      <c r="E180" s="4"/>
      <c r="F180" s="4"/>
      <c r="G180" s="4"/>
      <c r="H180" s="4"/>
      <c r="I180" s="4"/>
      <c r="J180" s="4"/>
      <c r="K180" s="4"/>
      <c r="L180" s="4"/>
      <c r="M180" s="4"/>
      <c r="N180" s="4"/>
      <c r="O180" s="4"/>
      <c r="P180" s="4"/>
      <c r="Q180" s="4"/>
      <c r="R180" s="9"/>
      <c r="S180" s="4"/>
      <c r="T180" s="7"/>
      <c r="U180" s="10"/>
      <c r="V180" s="4"/>
      <c r="W180" s="4"/>
      <c r="X180" s="4"/>
      <c r="Y180" s="4"/>
      <c r="Z180" s="4"/>
      <c r="AA180" s="4"/>
      <c r="AB180" s="4"/>
      <c r="AC180" s="4"/>
      <c r="AD180" s="4"/>
      <c r="AE180" s="4"/>
      <c r="AF180" s="4"/>
      <c r="AG180" s="4"/>
      <c r="AH180" s="4"/>
      <c r="AI180" s="4"/>
      <c r="AJ180" s="4"/>
      <c r="AK180" s="4"/>
    </row>
    <row r="181" spans="1:37" ht="70" customHeight="1" x14ac:dyDescent="0.2">
      <c r="A181" s="107"/>
      <c r="B181" s="4"/>
      <c r="C181" s="163"/>
      <c r="D181" s="4"/>
      <c r="E181" s="4"/>
      <c r="F181" s="4"/>
      <c r="G181" s="4"/>
      <c r="H181" s="4"/>
      <c r="I181" s="4"/>
      <c r="J181" s="4"/>
      <c r="K181" s="4"/>
      <c r="L181" s="4"/>
      <c r="M181" s="4"/>
      <c r="N181" s="4"/>
      <c r="O181" s="4"/>
      <c r="P181" s="4"/>
      <c r="Q181" s="4"/>
      <c r="R181" s="9"/>
      <c r="S181" s="4"/>
      <c r="T181" s="10"/>
      <c r="U181" s="7"/>
      <c r="V181" s="4"/>
      <c r="W181" s="4"/>
      <c r="X181" s="4"/>
      <c r="Y181" s="4"/>
      <c r="Z181" s="4"/>
      <c r="AA181" s="4"/>
      <c r="AB181" s="4"/>
      <c r="AC181" s="4"/>
      <c r="AD181" s="4"/>
      <c r="AE181" s="4"/>
      <c r="AF181" s="4"/>
      <c r="AG181" s="4"/>
      <c r="AH181" s="4"/>
      <c r="AI181" s="4"/>
      <c r="AJ181" s="4"/>
      <c r="AK181" s="4"/>
    </row>
    <row r="182" spans="1:37" ht="70" customHeight="1" x14ac:dyDescent="0.2">
      <c r="A182" s="107"/>
      <c r="B182" s="4"/>
      <c r="C182" s="163"/>
      <c r="D182" s="4"/>
      <c r="E182" s="4"/>
      <c r="F182" s="4"/>
      <c r="G182" s="4"/>
      <c r="H182" s="4"/>
      <c r="I182" s="4"/>
      <c r="J182" s="4"/>
      <c r="K182" s="4"/>
      <c r="L182" s="4"/>
      <c r="M182" s="4"/>
      <c r="N182" s="4"/>
      <c r="O182" s="4"/>
      <c r="P182" s="4"/>
      <c r="Q182" s="4"/>
      <c r="R182" s="4"/>
      <c r="S182" s="4"/>
      <c r="T182" s="10"/>
      <c r="U182" s="10"/>
      <c r="V182" s="4"/>
      <c r="W182" s="4"/>
      <c r="X182" s="4"/>
      <c r="Y182" s="4"/>
      <c r="Z182" s="4"/>
      <c r="AA182" s="4"/>
      <c r="AB182" s="4"/>
      <c r="AC182" s="4"/>
      <c r="AD182" s="4"/>
      <c r="AE182" s="4"/>
      <c r="AF182" s="4"/>
      <c r="AG182" s="4"/>
      <c r="AH182" s="4"/>
      <c r="AI182" s="4"/>
      <c r="AJ182" s="4"/>
      <c r="AK182" s="4"/>
    </row>
    <row r="183" spans="1:37" ht="70" customHeight="1" x14ac:dyDescent="0.2">
      <c r="A183" s="107"/>
      <c r="B183" s="4"/>
      <c r="C183" s="163"/>
      <c r="D183" s="4"/>
      <c r="E183" s="4"/>
      <c r="F183" s="4"/>
      <c r="G183" s="4"/>
      <c r="H183" s="4"/>
      <c r="I183" s="4"/>
      <c r="J183" s="4"/>
      <c r="K183" s="4"/>
      <c r="L183" s="4"/>
      <c r="M183" s="4"/>
      <c r="N183" s="4"/>
      <c r="O183" s="4"/>
      <c r="P183" s="4"/>
      <c r="Q183" s="4"/>
      <c r="R183" s="4"/>
      <c r="S183" s="4"/>
      <c r="T183" s="10"/>
      <c r="U183" s="4"/>
      <c r="V183" s="4"/>
      <c r="W183" s="4"/>
      <c r="X183" s="4"/>
      <c r="Y183" s="4"/>
      <c r="Z183" s="4"/>
      <c r="AA183" s="4"/>
      <c r="AB183" s="4"/>
      <c r="AC183" s="4"/>
      <c r="AD183" s="4"/>
      <c r="AE183" s="4"/>
      <c r="AF183" s="4"/>
      <c r="AG183" s="4"/>
      <c r="AH183" s="4"/>
      <c r="AI183" s="4"/>
      <c r="AJ183" s="4"/>
      <c r="AK183" s="4"/>
    </row>
    <row r="184" spans="1:37" ht="70" customHeight="1" x14ac:dyDescent="0.2">
      <c r="A184" s="107"/>
      <c r="B184" s="4"/>
      <c r="C184" s="163"/>
      <c r="D184" s="4"/>
      <c r="E184" s="4"/>
      <c r="F184" s="4"/>
      <c r="G184" s="4"/>
      <c r="H184" s="4"/>
      <c r="I184" s="4"/>
      <c r="J184" s="4"/>
      <c r="K184" s="4"/>
      <c r="L184" s="4"/>
      <c r="M184" s="4"/>
      <c r="N184" s="4"/>
      <c r="O184" s="4"/>
      <c r="P184" s="4"/>
      <c r="Q184" s="4"/>
      <c r="R184" s="4"/>
      <c r="S184" s="4"/>
      <c r="T184" s="10"/>
      <c r="U184" s="4"/>
      <c r="V184" s="4"/>
      <c r="W184" s="4"/>
      <c r="X184" s="4"/>
      <c r="Y184" s="4"/>
      <c r="Z184" s="4"/>
      <c r="AA184" s="4"/>
      <c r="AB184" s="4"/>
      <c r="AC184" s="4"/>
      <c r="AD184" s="4"/>
      <c r="AE184" s="4"/>
      <c r="AF184" s="4"/>
      <c r="AG184" s="4"/>
      <c r="AH184" s="4"/>
      <c r="AI184" s="4"/>
      <c r="AJ184" s="4"/>
      <c r="AK184" s="4"/>
    </row>
    <row r="185" spans="1:37" ht="70" customHeight="1" x14ac:dyDescent="0.2">
      <c r="A185" s="107"/>
      <c r="B185" s="4"/>
      <c r="C185" s="163"/>
      <c r="D185" s="4"/>
      <c r="E185" s="4"/>
      <c r="F185" s="4"/>
      <c r="G185" s="4"/>
      <c r="H185" s="4"/>
      <c r="I185" s="4"/>
      <c r="J185" s="4"/>
      <c r="K185" s="4"/>
      <c r="L185" s="4"/>
      <c r="M185" s="4"/>
      <c r="N185" s="4"/>
      <c r="O185" s="4"/>
      <c r="P185" s="4"/>
      <c r="Q185" s="4"/>
      <c r="R185" s="4"/>
      <c r="S185" s="4"/>
      <c r="T185" s="10"/>
      <c r="U185" s="10"/>
      <c r="V185" s="4"/>
      <c r="W185" s="4"/>
      <c r="X185" s="4"/>
      <c r="Y185" s="4"/>
      <c r="Z185" s="4"/>
      <c r="AA185" s="4"/>
      <c r="AB185" s="4"/>
      <c r="AC185" s="4"/>
      <c r="AD185" s="4"/>
      <c r="AE185" s="4"/>
      <c r="AF185" s="4"/>
      <c r="AG185" s="4"/>
      <c r="AH185" s="4"/>
      <c r="AI185" s="4"/>
      <c r="AJ185" s="4"/>
      <c r="AK185" s="4"/>
    </row>
    <row r="186" spans="1:37" ht="70" customHeight="1" x14ac:dyDescent="0.2">
      <c r="A186" s="107"/>
      <c r="B186" s="4"/>
      <c r="C186" s="163"/>
      <c r="D186" s="4"/>
      <c r="E186" s="4"/>
      <c r="F186" s="4"/>
      <c r="G186" s="4"/>
      <c r="H186" s="4"/>
      <c r="I186" s="4"/>
      <c r="J186" s="4"/>
      <c r="K186" s="4"/>
      <c r="L186" s="4"/>
      <c r="M186" s="4"/>
      <c r="N186" s="4"/>
      <c r="O186" s="4"/>
      <c r="P186" s="4"/>
      <c r="Q186" s="4"/>
      <c r="R186" s="4"/>
      <c r="S186" s="4"/>
      <c r="T186" s="10"/>
      <c r="U186" s="4"/>
      <c r="V186" s="4"/>
      <c r="W186" s="4"/>
      <c r="X186" s="4"/>
      <c r="Y186" s="4"/>
      <c r="Z186" s="4"/>
      <c r="AA186" s="4"/>
      <c r="AB186" s="4"/>
      <c r="AC186" s="4"/>
      <c r="AD186" s="4"/>
      <c r="AE186" s="4"/>
      <c r="AF186" s="4"/>
      <c r="AG186" s="4"/>
      <c r="AH186" s="4"/>
      <c r="AI186" s="4"/>
      <c r="AJ186" s="4"/>
      <c r="AK186" s="4"/>
    </row>
    <row r="187" spans="1:37" ht="70" customHeight="1" x14ac:dyDescent="0.2">
      <c r="A187" s="107"/>
      <c r="B187" s="4"/>
      <c r="C187" s="163"/>
      <c r="D187" s="4"/>
      <c r="E187" s="4"/>
      <c r="F187" s="4"/>
      <c r="G187" s="4"/>
      <c r="H187" s="4"/>
      <c r="I187" s="4"/>
      <c r="J187" s="4"/>
      <c r="K187" s="4"/>
      <c r="L187" s="4"/>
      <c r="M187" s="4"/>
      <c r="N187" s="4"/>
      <c r="O187" s="4"/>
      <c r="P187" s="4"/>
      <c r="Q187" s="4"/>
      <c r="R187" s="4"/>
      <c r="S187" s="4"/>
      <c r="T187" s="10"/>
      <c r="U187" s="10"/>
      <c r="V187" s="10"/>
      <c r="W187" s="4"/>
      <c r="X187" s="4"/>
      <c r="Y187" s="4"/>
      <c r="Z187" s="4"/>
      <c r="AA187" s="4"/>
      <c r="AB187" s="4"/>
      <c r="AC187" s="4"/>
      <c r="AD187" s="4"/>
      <c r="AE187" s="4"/>
      <c r="AF187" s="4"/>
      <c r="AG187" s="4"/>
      <c r="AH187" s="4"/>
      <c r="AI187" s="4"/>
      <c r="AJ187" s="4"/>
      <c r="AK187" s="4"/>
    </row>
    <row r="188" spans="1:37" ht="70" customHeight="1" x14ac:dyDescent="0.2">
      <c r="A188" s="107"/>
      <c r="B188" s="4"/>
      <c r="C188" s="163"/>
      <c r="D188" s="4"/>
      <c r="E188" s="4"/>
      <c r="F188" s="4"/>
      <c r="G188" s="4"/>
      <c r="H188" s="4"/>
      <c r="I188" s="4"/>
      <c r="J188" s="4"/>
      <c r="K188" s="4"/>
      <c r="L188" s="4"/>
      <c r="M188" s="4"/>
      <c r="N188" s="4"/>
      <c r="O188" s="4"/>
      <c r="P188" s="4"/>
      <c r="Q188" s="4"/>
      <c r="R188" s="4"/>
      <c r="S188" s="4"/>
      <c r="T188" s="19"/>
      <c r="U188" s="4"/>
      <c r="V188" s="4"/>
      <c r="W188" s="4"/>
      <c r="X188" s="4"/>
      <c r="Y188" s="4"/>
      <c r="Z188" s="4"/>
      <c r="AA188" s="4"/>
      <c r="AB188" s="4"/>
      <c r="AC188" s="4"/>
      <c r="AD188" s="4"/>
      <c r="AE188" s="4"/>
      <c r="AF188" s="4"/>
      <c r="AG188" s="4"/>
      <c r="AH188" s="4"/>
      <c r="AI188" s="4"/>
      <c r="AJ188" s="4"/>
      <c r="AK188" s="4"/>
    </row>
    <row r="189" spans="1:37" ht="70" customHeight="1" x14ac:dyDescent="0.2">
      <c r="A189" s="107"/>
      <c r="B189" s="4"/>
      <c r="C189" s="163"/>
      <c r="D189" s="4"/>
      <c r="E189" s="4"/>
      <c r="F189" s="4"/>
      <c r="G189" s="4"/>
      <c r="H189" s="4"/>
      <c r="I189" s="4"/>
      <c r="J189" s="4"/>
      <c r="K189" s="4"/>
      <c r="L189" s="4"/>
      <c r="M189" s="4"/>
      <c r="N189" s="4"/>
      <c r="O189" s="4"/>
      <c r="P189" s="4"/>
      <c r="Q189" s="4"/>
      <c r="R189" s="4"/>
      <c r="S189" s="4"/>
      <c r="T189" s="7"/>
      <c r="U189" s="4"/>
      <c r="V189" s="4"/>
      <c r="W189" s="4"/>
      <c r="X189" s="4"/>
      <c r="Y189" s="4"/>
      <c r="Z189" s="4"/>
      <c r="AA189" s="4"/>
      <c r="AB189" s="4"/>
      <c r="AC189" s="4"/>
      <c r="AD189" s="4"/>
      <c r="AE189" s="4"/>
      <c r="AF189" s="4"/>
      <c r="AG189" s="4"/>
      <c r="AH189" s="4"/>
      <c r="AI189" s="4"/>
      <c r="AJ189" s="4"/>
      <c r="AK189" s="4"/>
    </row>
    <row r="190" spans="1:37" ht="70" customHeight="1" x14ac:dyDescent="0.2">
      <c r="A190" s="107"/>
      <c r="B190" s="4"/>
      <c r="C190" s="163"/>
      <c r="D190" s="4"/>
      <c r="E190" s="4"/>
      <c r="F190" s="4"/>
      <c r="G190" s="4"/>
      <c r="H190" s="4"/>
      <c r="I190" s="4"/>
      <c r="J190" s="4"/>
      <c r="K190" s="4"/>
      <c r="L190" s="4"/>
      <c r="M190" s="4"/>
      <c r="N190" s="4"/>
      <c r="O190" s="4"/>
      <c r="P190" s="4"/>
      <c r="Q190" s="4"/>
      <c r="R190" s="4"/>
      <c r="S190" s="4"/>
      <c r="T190" s="7"/>
      <c r="U190" s="10"/>
      <c r="V190" s="10"/>
      <c r="W190" s="10"/>
      <c r="X190" s="4"/>
      <c r="Y190" s="4"/>
      <c r="Z190" s="4"/>
      <c r="AA190" s="4"/>
      <c r="AB190" s="4"/>
      <c r="AC190" s="4"/>
      <c r="AD190" s="4"/>
      <c r="AE190" s="4"/>
      <c r="AF190" s="4"/>
      <c r="AG190" s="4"/>
      <c r="AH190" s="4"/>
      <c r="AI190" s="4"/>
      <c r="AJ190" s="4"/>
      <c r="AK190" s="4"/>
    </row>
    <row r="191" spans="1:37" ht="70" customHeight="1" x14ac:dyDescent="0.2">
      <c r="A191" s="107"/>
      <c r="B191" s="4"/>
      <c r="C191" s="163"/>
      <c r="D191" s="4"/>
      <c r="E191" s="4"/>
      <c r="F191" s="4"/>
      <c r="G191" s="4"/>
      <c r="H191" s="4"/>
      <c r="I191" s="4"/>
      <c r="J191" s="4"/>
      <c r="K191" s="4"/>
      <c r="L191" s="4"/>
      <c r="M191" s="4"/>
      <c r="N191" s="4"/>
      <c r="O191" s="4"/>
      <c r="P191" s="4"/>
      <c r="Q191" s="4"/>
      <c r="R191" s="4"/>
      <c r="S191" s="4"/>
      <c r="T191" s="10"/>
      <c r="U191" s="4"/>
      <c r="V191" s="4"/>
      <c r="W191" s="4"/>
      <c r="X191" s="4"/>
      <c r="Y191" s="4"/>
      <c r="Z191" s="4"/>
      <c r="AA191" s="4"/>
      <c r="AB191" s="4"/>
      <c r="AC191" s="4"/>
      <c r="AD191" s="4"/>
      <c r="AE191" s="4"/>
      <c r="AF191" s="4"/>
      <c r="AG191" s="4"/>
      <c r="AH191" s="4"/>
      <c r="AI191" s="4"/>
      <c r="AJ191" s="4"/>
      <c r="AK191" s="4"/>
    </row>
    <row r="192" spans="1:37" ht="70" customHeight="1" x14ac:dyDescent="0.2">
      <c r="A192" s="107"/>
      <c r="B192" s="4"/>
      <c r="C192" s="163"/>
      <c r="D192" s="4"/>
      <c r="E192" s="4"/>
      <c r="F192" s="4"/>
      <c r="G192" s="4"/>
      <c r="H192" s="4"/>
      <c r="I192" s="4"/>
      <c r="J192" s="4"/>
      <c r="K192" s="4"/>
      <c r="L192" s="4"/>
      <c r="M192" s="4"/>
      <c r="N192" s="4"/>
      <c r="O192" s="4"/>
      <c r="P192" s="4"/>
      <c r="Q192" s="4"/>
      <c r="R192" s="4"/>
      <c r="S192" s="4"/>
      <c r="T192" s="10"/>
      <c r="U192" s="4"/>
      <c r="V192" s="4"/>
      <c r="W192" s="4"/>
      <c r="X192" s="4"/>
      <c r="Y192" s="4"/>
      <c r="Z192" s="4"/>
      <c r="AA192" s="4"/>
      <c r="AB192" s="4"/>
      <c r="AC192" s="4"/>
      <c r="AD192" s="4"/>
      <c r="AE192" s="4"/>
      <c r="AF192" s="4"/>
      <c r="AG192" s="4"/>
      <c r="AH192" s="4"/>
      <c r="AI192" s="4"/>
      <c r="AJ192" s="4"/>
      <c r="AK192" s="4"/>
    </row>
    <row r="193" spans="1:37" ht="70" customHeight="1" x14ac:dyDescent="0.2">
      <c r="A193" s="107"/>
      <c r="B193" s="4"/>
      <c r="C193" s="163"/>
      <c r="D193" s="4"/>
      <c r="E193" s="4"/>
      <c r="F193" s="4"/>
      <c r="G193" s="4"/>
      <c r="H193" s="4"/>
      <c r="I193" s="4"/>
      <c r="J193" s="4"/>
      <c r="K193" s="4"/>
      <c r="L193" s="4"/>
      <c r="M193" s="4"/>
      <c r="N193" s="4"/>
      <c r="O193" s="4"/>
      <c r="P193" s="4"/>
      <c r="Q193" s="4"/>
      <c r="R193" s="4"/>
      <c r="S193" s="4"/>
      <c r="T193" s="10"/>
      <c r="U193" s="4"/>
      <c r="V193" s="4"/>
      <c r="W193" s="4"/>
      <c r="X193" s="4"/>
      <c r="Y193" s="4"/>
      <c r="Z193" s="4"/>
      <c r="AA193" s="4"/>
      <c r="AB193" s="4"/>
      <c r="AC193" s="4"/>
      <c r="AD193" s="4"/>
      <c r="AE193" s="4"/>
      <c r="AF193" s="4"/>
      <c r="AG193" s="4"/>
      <c r="AH193" s="4"/>
      <c r="AI193" s="4"/>
      <c r="AJ193" s="4"/>
      <c r="AK193" s="4"/>
    </row>
    <row r="194" spans="1:37" ht="70" customHeight="1" x14ac:dyDescent="0.2">
      <c r="A194" s="107"/>
      <c r="B194" s="4"/>
      <c r="C194" s="163"/>
      <c r="D194" s="4"/>
      <c r="E194" s="4"/>
      <c r="F194" s="4"/>
      <c r="G194" s="4"/>
      <c r="H194" s="4"/>
      <c r="I194" s="4"/>
      <c r="J194" s="4"/>
      <c r="K194" s="4"/>
      <c r="L194" s="4"/>
      <c r="M194" s="4"/>
      <c r="N194" s="4"/>
      <c r="O194" s="4"/>
      <c r="P194" s="4"/>
      <c r="Q194" s="4"/>
      <c r="R194" s="4"/>
      <c r="S194" s="4"/>
      <c r="T194" s="7"/>
      <c r="U194" s="7"/>
      <c r="V194" s="7"/>
      <c r="W194" s="4"/>
      <c r="X194" s="4"/>
      <c r="Y194" s="4"/>
      <c r="Z194" s="4"/>
      <c r="AA194" s="4"/>
      <c r="AB194" s="4"/>
      <c r="AC194" s="4"/>
      <c r="AD194" s="4"/>
      <c r="AE194" s="4"/>
      <c r="AF194" s="4"/>
      <c r="AG194" s="4"/>
      <c r="AH194" s="4"/>
      <c r="AI194" s="4"/>
      <c r="AJ194" s="4"/>
      <c r="AK194" s="4"/>
    </row>
    <row r="195" spans="1:37" ht="70" customHeight="1" x14ac:dyDescent="0.2">
      <c r="A195" s="107"/>
      <c r="B195" s="4"/>
      <c r="C195" s="163"/>
      <c r="D195" s="4"/>
      <c r="E195" s="4"/>
      <c r="F195" s="4"/>
      <c r="G195" s="4"/>
      <c r="H195" s="4"/>
      <c r="I195" s="4"/>
      <c r="J195" s="4"/>
      <c r="K195" s="4"/>
      <c r="L195" s="4"/>
      <c r="M195" s="4"/>
      <c r="N195" s="4"/>
      <c r="O195" s="4"/>
      <c r="P195" s="4"/>
      <c r="Q195" s="4"/>
      <c r="R195" s="4"/>
      <c r="S195" s="4"/>
      <c r="T195" s="7"/>
      <c r="U195" s="7"/>
      <c r="V195" s="4"/>
      <c r="W195" s="4"/>
      <c r="X195" s="4"/>
      <c r="Y195" s="4"/>
      <c r="Z195" s="4"/>
      <c r="AA195" s="4"/>
      <c r="AB195" s="4"/>
      <c r="AC195" s="4"/>
      <c r="AD195" s="4"/>
      <c r="AE195" s="4"/>
      <c r="AF195" s="4"/>
      <c r="AG195" s="4"/>
      <c r="AH195" s="4"/>
      <c r="AI195" s="4"/>
      <c r="AJ195" s="4"/>
      <c r="AK195" s="4"/>
    </row>
    <row r="196" spans="1:37" ht="70" customHeight="1" x14ac:dyDescent="0.2">
      <c r="A196" s="107"/>
      <c r="B196" s="4"/>
      <c r="C196" s="163"/>
      <c r="D196" s="4"/>
      <c r="E196" s="4"/>
      <c r="F196" s="4"/>
      <c r="G196" s="4"/>
      <c r="H196" s="4"/>
      <c r="I196" s="4"/>
      <c r="J196" s="4"/>
      <c r="K196" s="4"/>
      <c r="L196" s="4"/>
      <c r="M196" s="4"/>
      <c r="N196" s="4"/>
      <c r="O196" s="4"/>
      <c r="P196" s="4"/>
      <c r="Q196" s="4"/>
      <c r="R196" s="4"/>
      <c r="S196" s="4"/>
      <c r="T196" s="7"/>
      <c r="U196" s="10"/>
      <c r="V196" s="4"/>
      <c r="W196" s="4"/>
      <c r="X196" s="4"/>
      <c r="Y196" s="4"/>
      <c r="Z196" s="4"/>
      <c r="AA196" s="4"/>
      <c r="AB196" s="4"/>
      <c r="AC196" s="4"/>
      <c r="AD196" s="4"/>
      <c r="AE196" s="4"/>
      <c r="AF196" s="4"/>
      <c r="AG196" s="4"/>
      <c r="AH196" s="4"/>
      <c r="AI196" s="4"/>
      <c r="AJ196" s="4"/>
      <c r="AK196" s="4"/>
    </row>
    <row r="197" spans="1:37" ht="70" customHeight="1" x14ac:dyDescent="0.2">
      <c r="A197" s="107"/>
      <c r="B197" s="4"/>
      <c r="C197" s="163"/>
      <c r="D197" s="4"/>
      <c r="E197" s="4"/>
      <c r="F197" s="4"/>
      <c r="G197" s="4"/>
      <c r="H197" s="4"/>
      <c r="I197" s="4"/>
      <c r="J197" s="4"/>
      <c r="K197" s="4"/>
      <c r="L197" s="4"/>
      <c r="M197" s="4"/>
      <c r="N197" s="4"/>
      <c r="O197" s="4"/>
      <c r="P197" s="4"/>
      <c r="Q197" s="4"/>
      <c r="R197" s="4"/>
      <c r="S197" s="4"/>
      <c r="T197" s="10"/>
      <c r="U197" s="4"/>
      <c r="V197" s="4"/>
      <c r="W197" s="4"/>
      <c r="X197" s="4"/>
      <c r="Y197" s="4"/>
      <c r="Z197" s="4"/>
      <c r="AA197" s="4"/>
      <c r="AB197" s="4"/>
      <c r="AC197" s="4"/>
      <c r="AD197" s="4"/>
      <c r="AE197" s="4"/>
      <c r="AF197" s="4"/>
      <c r="AG197" s="4"/>
      <c r="AH197" s="4"/>
      <c r="AI197" s="4"/>
      <c r="AJ197" s="4"/>
      <c r="AK197" s="4"/>
    </row>
    <row r="198" spans="1:37" ht="70" customHeight="1" x14ac:dyDescent="0.2">
      <c r="A198" s="107"/>
      <c r="B198" s="4"/>
      <c r="C198" s="163"/>
      <c r="D198" s="4"/>
      <c r="E198" s="4"/>
      <c r="F198" s="4"/>
      <c r="G198" s="4"/>
      <c r="H198" s="4"/>
      <c r="I198" s="4"/>
      <c r="J198" s="4"/>
      <c r="K198" s="4"/>
      <c r="L198" s="4"/>
      <c r="M198" s="4"/>
      <c r="N198" s="4"/>
      <c r="O198" s="4"/>
      <c r="P198" s="4"/>
      <c r="Q198" s="4"/>
      <c r="R198" s="4"/>
      <c r="S198" s="4"/>
      <c r="T198" s="10"/>
      <c r="U198" s="4"/>
      <c r="V198" s="10"/>
      <c r="W198" s="4"/>
      <c r="X198" s="4"/>
      <c r="Y198" s="4"/>
      <c r="Z198" s="4"/>
      <c r="AA198" s="4"/>
      <c r="AB198" s="4"/>
      <c r="AC198" s="4"/>
      <c r="AD198" s="4"/>
      <c r="AE198" s="4"/>
      <c r="AF198" s="4"/>
      <c r="AG198" s="4"/>
      <c r="AH198" s="4"/>
      <c r="AI198" s="4"/>
      <c r="AJ198" s="4"/>
      <c r="AK198" s="4"/>
    </row>
    <row r="199" spans="1:37" ht="70" customHeight="1" x14ac:dyDescent="0.2">
      <c r="A199" s="107"/>
      <c r="B199" s="4"/>
      <c r="C199" s="163"/>
      <c r="D199" s="4"/>
      <c r="E199" s="4"/>
      <c r="F199" s="4"/>
      <c r="G199" s="4"/>
      <c r="H199" s="4"/>
      <c r="I199" s="4"/>
      <c r="J199" s="4"/>
      <c r="K199" s="4"/>
      <c r="L199" s="4"/>
      <c r="M199" s="4"/>
      <c r="N199" s="4"/>
      <c r="O199" s="4"/>
      <c r="P199" s="4"/>
      <c r="Q199" s="4"/>
      <c r="R199" s="4"/>
      <c r="S199" s="4"/>
      <c r="T199" s="7"/>
      <c r="U199" s="10"/>
      <c r="V199" s="4"/>
      <c r="W199" s="4"/>
      <c r="X199" s="4"/>
      <c r="Y199" s="4"/>
      <c r="Z199" s="4"/>
      <c r="AA199" s="4"/>
      <c r="AB199" s="4"/>
      <c r="AC199" s="4"/>
      <c r="AD199" s="4"/>
      <c r="AE199" s="4"/>
      <c r="AF199" s="4"/>
      <c r="AG199" s="4"/>
      <c r="AH199" s="4"/>
      <c r="AI199" s="4"/>
      <c r="AJ199" s="4"/>
      <c r="AK199" s="4"/>
    </row>
    <row r="200" spans="1:37" ht="70" customHeight="1" x14ac:dyDescent="0.2">
      <c r="A200" s="107"/>
      <c r="B200" s="4"/>
      <c r="C200" s="163"/>
      <c r="D200" s="4"/>
      <c r="E200" s="4"/>
      <c r="F200" s="4"/>
      <c r="G200" s="4"/>
      <c r="H200" s="4"/>
      <c r="I200" s="4"/>
      <c r="J200" s="4"/>
      <c r="K200" s="4"/>
      <c r="L200" s="4"/>
      <c r="M200" s="4"/>
      <c r="N200" s="4"/>
      <c r="O200" s="4"/>
      <c r="P200" s="4"/>
      <c r="Q200" s="4"/>
      <c r="R200" s="4"/>
      <c r="S200" s="4"/>
      <c r="T200" s="7"/>
      <c r="U200" s="10"/>
      <c r="V200" s="4"/>
      <c r="W200" s="4"/>
      <c r="X200" s="4"/>
      <c r="Y200" s="4"/>
      <c r="Z200" s="4"/>
      <c r="AA200" s="4"/>
      <c r="AB200" s="4"/>
      <c r="AC200" s="4"/>
      <c r="AD200" s="4"/>
      <c r="AE200" s="4"/>
      <c r="AF200" s="4"/>
      <c r="AG200" s="4"/>
      <c r="AH200" s="4"/>
      <c r="AI200" s="4"/>
      <c r="AJ200" s="4"/>
      <c r="AK200" s="4"/>
    </row>
    <row r="201" spans="1:37" ht="70" customHeight="1" x14ac:dyDescent="0.2">
      <c r="A201" s="107"/>
      <c r="B201" s="4"/>
      <c r="C201" s="163"/>
      <c r="D201" s="4"/>
      <c r="E201" s="4"/>
      <c r="F201" s="4"/>
      <c r="G201" s="4"/>
      <c r="H201" s="4"/>
      <c r="I201" s="4"/>
      <c r="J201" s="4"/>
      <c r="K201" s="4"/>
      <c r="L201" s="4"/>
      <c r="M201" s="4"/>
      <c r="N201" s="4"/>
      <c r="O201" s="4"/>
      <c r="P201" s="4"/>
      <c r="Q201" s="4"/>
      <c r="R201" s="4"/>
      <c r="S201" s="4"/>
      <c r="T201" s="7"/>
      <c r="U201" s="10"/>
      <c r="V201" s="4"/>
      <c r="W201" s="4"/>
      <c r="X201" s="4"/>
      <c r="Y201" s="4"/>
      <c r="Z201" s="4"/>
      <c r="AA201" s="4"/>
      <c r="AB201" s="4"/>
      <c r="AC201" s="4"/>
      <c r="AD201" s="4"/>
      <c r="AE201" s="4"/>
      <c r="AF201" s="4"/>
      <c r="AG201" s="4"/>
      <c r="AH201" s="4"/>
      <c r="AI201" s="4"/>
      <c r="AJ201" s="4"/>
      <c r="AK201" s="4"/>
    </row>
    <row r="202" spans="1:37" ht="70" customHeight="1" x14ac:dyDescent="0.2">
      <c r="A202" s="107"/>
      <c r="B202" s="4"/>
      <c r="C202" s="163"/>
      <c r="D202" s="4"/>
      <c r="E202" s="4"/>
      <c r="F202" s="4"/>
      <c r="G202" s="4"/>
      <c r="H202" s="4"/>
      <c r="I202" s="4"/>
      <c r="J202" s="4"/>
      <c r="K202" s="4"/>
      <c r="L202" s="4"/>
      <c r="M202" s="4"/>
      <c r="N202" s="4"/>
      <c r="O202" s="4"/>
      <c r="P202" s="4"/>
      <c r="Q202" s="4"/>
      <c r="R202" s="4"/>
      <c r="S202" s="4"/>
      <c r="T202" s="10"/>
      <c r="U202" s="4"/>
      <c r="V202" s="4"/>
      <c r="W202" s="4"/>
      <c r="X202" s="4"/>
      <c r="Y202" s="4"/>
      <c r="Z202" s="4"/>
      <c r="AA202" s="4"/>
      <c r="AB202" s="4"/>
      <c r="AC202" s="4"/>
      <c r="AD202" s="4"/>
      <c r="AE202" s="4"/>
      <c r="AF202" s="4"/>
      <c r="AG202" s="4"/>
      <c r="AH202" s="4"/>
      <c r="AI202" s="4"/>
      <c r="AJ202" s="4"/>
      <c r="AK202" s="4"/>
    </row>
    <row r="203" spans="1:37" ht="70" customHeight="1" x14ac:dyDescent="0.2">
      <c r="A203" s="107"/>
      <c r="B203" s="4"/>
      <c r="C203" s="163"/>
      <c r="D203" s="4"/>
      <c r="E203" s="4"/>
      <c r="F203" s="4"/>
      <c r="G203" s="4"/>
      <c r="H203" s="4"/>
      <c r="I203" s="4"/>
      <c r="J203" s="4"/>
      <c r="K203" s="4"/>
      <c r="L203" s="4"/>
      <c r="M203" s="4"/>
      <c r="N203" s="4"/>
      <c r="O203" s="4"/>
      <c r="P203" s="4"/>
      <c r="Q203" s="4"/>
      <c r="R203" s="4"/>
      <c r="S203" s="4"/>
      <c r="T203" s="10"/>
      <c r="U203" s="4"/>
      <c r="V203" s="4"/>
      <c r="W203" s="4"/>
      <c r="X203" s="4"/>
      <c r="Y203" s="4"/>
      <c r="Z203" s="4"/>
      <c r="AA203" s="4"/>
      <c r="AB203" s="4"/>
      <c r="AC203" s="4"/>
      <c r="AD203" s="4"/>
      <c r="AE203" s="4"/>
      <c r="AF203" s="4"/>
      <c r="AG203" s="4"/>
      <c r="AH203" s="4"/>
      <c r="AI203" s="4"/>
      <c r="AJ203" s="4"/>
      <c r="AK203" s="4"/>
    </row>
    <row r="204" spans="1:37" ht="70" customHeight="1" x14ac:dyDescent="0.2">
      <c r="A204" s="107"/>
      <c r="B204" s="4"/>
      <c r="C204" s="163"/>
      <c r="D204" s="4"/>
      <c r="E204" s="4"/>
      <c r="F204" s="4"/>
      <c r="G204" s="4"/>
      <c r="H204" s="4"/>
      <c r="I204" s="4"/>
      <c r="J204" s="4"/>
      <c r="K204" s="4"/>
      <c r="L204" s="4"/>
      <c r="M204" s="4"/>
      <c r="N204" s="4"/>
      <c r="O204" s="4"/>
      <c r="P204" s="4"/>
      <c r="Q204" s="4"/>
      <c r="R204" s="4"/>
      <c r="S204" s="4"/>
      <c r="T204" s="10"/>
      <c r="U204" s="4"/>
      <c r="V204" s="4"/>
      <c r="W204" s="4"/>
      <c r="X204" s="4"/>
      <c r="Y204" s="4"/>
      <c r="Z204" s="4"/>
      <c r="AA204" s="4"/>
      <c r="AB204" s="4"/>
      <c r="AC204" s="4"/>
      <c r="AD204" s="4"/>
      <c r="AE204" s="4"/>
      <c r="AF204" s="4"/>
      <c r="AG204" s="4"/>
      <c r="AH204" s="4"/>
      <c r="AI204" s="4"/>
      <c r="AJ204" s="4"/>
      <c r="AK204" s="4"/>
    </row>
    <row r="205" spans="1:37" ht="70" customHeight="1" x14ac:dyDescent="0.2">
      <c r="A205" s="107"/>
      <c r="B205" s="4"/>
      <c r="C205" s="163"/>
      <c r="D205" s="4"/>
      <c r="E205" s="4"/>
      <c r="F205" s="4"/>
      <c r="G205" s="4"/>
      <c r="H205" s="4"/>
      <c r="I205" s="4"/>
      <c r="J205" s="4"/>
      <c r="K205" s="4"/>
      <c r="L205" s="4"/>
      <c r="M205" s="4"/>
      <c r="N205" s="4"/>
      <c r="O205" s="4"/>
      <c r="P205" s="4"/>
      <c r="Q205" s="4"/>
      <c r="R205" s="4"/>
      <c r="S205" s="4"/>
      <c r="T205" s="10"/>
      <c r="U205" s="4"/>
      <c r="V205" s="4"/>
      <c r="W205" s="4"/>
      <c r="X205" s="4"/>
      <c r="Y205" s="4"/>
      <c r="Z205" s="4"/>
      <c r="AA205" s="4"/>
      <c r="AB205" s="4"/>
      <c r="AC205" s="4"/>
      <c r="AD205" s="4"/>
      <c r="AE205" s="4"/>
      <c r="AF205" s="4"/>
      <c r="AG205" s="4"/>
      <c r="AH205" s="4"/>
      <c r="AI205" s="4"/>
      <c r="AJ205" s="4"/>
      <c r="AK205" s="4"/>
    </row>
    <row r="206" spans="1:37" ht="70" customHeight="1" x14ac:dyDescent="0.2">
      <c r="A206" s="107"/>
      <c r="B206" s="4"/>
      <c r="C206" s="163"/>
      <c r="D206" s="4"/>
      <c r="E206" s="4"/>
      <c r="F206" s="4"/>
      <c r="G206" s="4"/>
      <c r="H206" s="4"/>
      <c r="I206" s="4"/>
      <c r="J206" s="4"/>
      <c r="K206" s="4"/>
      <c r="L206" s="4"/>
      <c r="M206" s="4"/>
      <c r="N206" s="4"/>
      <c r="O206" s="4"/>
      <c r="P206" s="4"/>
      <c r="Q206" s="4"/>
      <c r="R206" s="4"/>
      <c r="S206" s="4"/>
      <c r="T206" s="7"/>
      <c r="U206" s="7"/>
      <c r="V206" s="7"/>
      <c r="W206" s="4"/>
      <c r="X206" s="4"/>
      <c r="Y206" s="4"/>
      <c r="Z206" s="4"/>
      <c r="AA206" s="4"/>
      <c r="AB206" s="4"/>
      <c r="AC206" s="4"/>
      <c r="AD206" s="4"/>
      <c r="AE206" s="4"/>
      <c r="AF206" s="4"/>
      <c r="AG206" s="4"/>
      <c r="AH206" s="4"/>
      <c r="AI206" s="4"/>
      <c r="AJ206" s="4"/>
      <c r="AK206" s="4"/>
    </row>
    <row r="207" spans="1:37" ht="70" customHeight="1" x14ac:dyDescent="0.2">
      <c r="A207" s="107"/>
      <c r="B207" s="4"/>
      <c r="C207" s="163"/>
      <c r="D207" s="4"/>
      <c r="E207" s="4"/>
      <c r="F207" s="4"/>
      <c r="G207" s="4"/>
      <c r="H207" s="4"/>
      <c r="I207" s="4"/>
      <c r="J207" s="4"/>
      <c r="K207" s="4"/>
      <c r="L207" s="4"/>
      <c r="M207" s="4"/>
      <c r="N207" s="4"/>
      <c r="O207" s="4"/>
      <c r="P207" s="4"/>
      <c r="Q207" s="4"/>
      <c r="R207" s="4"/>
      <c r="S207" s="4"/>
      <c r="T207" s="7"/>
      <c r="U207" s="10"/>
      <c r="V207" s="4"/>
      <c r="W207" s="4"/>
      <c r="X207" s="4"/>
      <c r="Y207" s="4"/>
      <c r="Z207" s="4"/>
      <c r="AA207" s="4"/>
      <c r="AB207" s="4"/>
      <c r="AC207" s="4"/>
      <c r="AD207" s="4"/>
      <c r="AE207" s="4"/>
      <c r="AF207" s="4"/>
      <c r="AG207" s="4"/>
      <c r="AH207" s="4"/>
      <c r="AI207" s="4"/>
      <c r="AJ207" s="4"/>
      <c r="AK207" s="4"/>
    </row>
    <row r="208" spans="1:37" ht="70" customHeight="1" x14ac:dyDescent="0.2">
      <c r="A208" s="107"/>
      <c r="B208" s="4"/>
      <c r="C208" s="163"/>
      <c r="D208" s="4"/>
      <c r="E208" s="4"/>
      <c r="F208" s="4"/>
      <c r="G208" s="4"/>
      <c r="H208" s="4"/>
      <c r="I208" s="4"/>
      <c r="J208" s="4"/>
      <c r="K208" s="4"/>
      <c r="L208" s="4"/>
      <c r="M208" s="4"/>
      <c r="N208" s="4"/>
      <c r="O208" s="4"/>
      <c r="P208" s="4"/>
      <c r="Q208" s="4"/>
      <c r="R208" s="4"/>
      <c r="S208" s="4"/>
      <c r="T208" s="10"/>
      <c r="U208" s="10"/>
      <c r="V208" s="4"/>
      <c r="W208" s="4"/>
      <c r="X208" s="4"/>
      <c r="Y208" s="4"/>
      <c r="Z208" s="4"/>
      <c r="AA208" s="4"/>
      <c r="AB208" s="4"/>
      <c r="AC208" s="4"/>
      <c r="AD208" s="4"/>
      <c r="AE208" s="4"/>
      <c r="AF208" s="4"/>
      <c r="AG208" s="4"/>
      <c r="AH208" s="4"/>
      <c r="AI208" s="4"/>
      <c r="AJ208" s="4"/>
      <c r="AK208" s="4"/>
    </row>
    <row r="209" spans="1:37" ht="70" customHeight="1" x14ac:dyDescent="0.2">
      <c r="A209" s="107"/>
      <c r="B209" s="4"/>
      <c r="C209" s="163"/>
      <c r="D209" s="4"/>
      <c r="E209" s="4"/>
      <c r="F209" s="4"/>
      <c r="G209" s="4"/>
      <c r="H209" s="4"/>
      <c r="I209" s="4"/>
      <c r="J209" s="4"/>
      <c r="K209" s="4"/>
      <c r="L209" s="4"/>
      <c r="M209" s="4"/>
      <c r="N209" s="4"/>
      <c r="O209" s="4"/>
      <c r="P209" s="4"/>
      <c r="Q209" s="4"/>
      <c r="R209" s="4"/>
      <c r="S209" s="4"/>
      <c r="T209" s="7"/>
      <c r="U209" s="4"/>
      <c r="V209" s="4"/>
      <c r="W209" s="4"/>
      <c r="X209" s="4"/>
      <c r="Y209" s="4"/>
      <c r="Z209" s="4"/>
      <c r="AA209" s="4"/>
      <c r="AB209" s="4"/>
      <c r="AC209" s="4"/>
      <c r="AD209" s="4"/>
      <c r="AE209" s="4"/>
      <c r="AF209" s="4"/>
      <c r="AG209" s="4"/>
      <c r="AH209" s="4"/>
      <c r="AI209" s="4"/>
      <c r="AJ209" s="4"/>
      <c r="AK209" s="4"/>
    </row>
    <row r="210" spans="1:37" ht="70" customHeight="1" x14ac:dyDescent="0.2">
      <c r="A210" s="107"/>
      <c r="B210" s="4"/>
      <c r="C210" s="163"/>
      <c r="D210" s="4"/>
      <c r="E210" s="4"/>
      <c r="F210" s="4"/>
      <c r="G210" s="4"/>
      <c r="H210" s="4"/>
      <c r="I210" s="4"/>
      <c r="J210" s="4"/>
      <c r="K210" s="4"/>
      <c r="L210" s="4"/>
      <c r="M210" s="4"/>
      <c r="N210" s="4"/>
      <c r="O210" s="4"/>
      <c r="P210" s="4"/>
      <c r="Q210" s="4"/>
      <c r="R210" s="4"/>
      <c r="S210" s="4"/>
      <c r="T210" s="10"/>
      <c r="U210" s="4"/>
      <c r="V210" s="4"/>
      <c r="W210" s="4"/>
      <c r="X210" s="4"/>
      <c r="Y210" s="4"/>
      <c r="Z210" s="4"/>
      <c r="AA210" s="4"/>
      <c r="AB210" s="4"/>
      <c r="AC210" s="4"/>
      <c r="AD210" s="4"/>
      <c r="AE210" s="4"/>
      <c r="AF210" s="4"/>
      <c r="AG210" s="4"/>
      <c r="AH210" s="4"/>
      <c r="AI210" s="4"/>
      <c r="AJ210" s="4"/>
      <c r="AK210" s="4"/>
    </row>
    <row r="211" spans="1:37" ht="70" customHeight="1" x14ac:dyDescent="0.2">
      <c r="A211" s="107"/>
      <c r="B211" s="4"/>
      <c r="C211" s="163"/>
      <c r="D211" s="4"/>
      <c r="E211" s="4"/>
      <c r="F211" s="4"/>
      <c r="G211" s="4"/>
      <c r="H211" s="4"/>
      <c r="I211" s="4"/>
      <c r="J211" s="4"/>
      <c r="K211" s="4"/>
      <c r="L211" s="4"/>
      <c r="M211" s="4"/>
      <c r="N211" s="4"/>
      <c r="O211" s="4"/>
      <c r="P211" s="4"/>
      <c r="Q211" s="4"/>
      <c r="R211" s="4"/>
      <c r="S211" s="4"/>
      <c r="T211" s="10"/>
      <c r="U211" s="4"/>
      <c r="V211" s="4"/>
      <c r="W211" s="4"/>
      <c r="X211" s="4"/>
      <c r="Y211" s="4"/>
      <c r="Z211" s="4"/>
      <c r="AA211" s="4"/>
      <c r="AB211" s="4"/>
      <c r="AC211" s="4"/>
      <c r="AD211" s="4"/>
      <c r="AE211" s="4"/>
      <c r="AF211" s="4"/>
      <c r="AG211" s="4"/>
      <c r="AH211" s="4"/>
      <c r="AI211" s="4"/>
      <c r="AJ211" s="4"/>
      <c r="AK211" s="4"/>
    </row>
    <row r="212" spans="1:37" ht="70" customHeight="1" x14ac:dyDescent="0.2">
      <c r="A212" s="107"/>
      <c r="B212" s="4"/>
      <c r="C212" s="163"/>
      <c r="D212" s="4"/>
      <c r="E212" s="4"/>
      <c r="F212" s="4"/>
      <c r="G212" s="4"/>
      <c r="H212" s="4"/>
      <c r="I212" s="4"/>
      <c r="J212" s="4"/>
      <c r="K212" s="4"/>
      <c r="L212" s="4"/>
      <c r="M212" s="4"/>
      <c r="N212" s="4"/>
      <c r="O212" s="4"/>
      <c r="P212" s="4"/>
      <c r="Q212" s="4"/>
      <c r="R212" s="4"/>
      <c r="S212" s="4"/>
      <c r="T212" s="10"/>
      <c r="U212" s="4"/>
      <c r="V212" s="4"/>
      <c r="W212" s="4"/>
      <c r="X212" s="4"/>
      <c r="Y212" s="4"/>
      <c r="Z212" s="4"/>
      <c r="AA212" s="4"/>
      <c r="AB212" s="4"/>
      <c r="AC212" s="4"/>
      <c r="AD212" s="4"/>
      <c r="AE212" s="4"/>
      <c r="AF212" s="4"/>
      <c r="AG212" s="4"/>
      <c r="AH212" s="4"/>
      <c r="AI212" s="4"/>
      <c r="AJ212" s="4"/>
      <c r="AK212" s="4"/>
    </row>
    <row r="213" spans="1:37" ht="70" customHeight="1" x14ac:dyDescent="0.2">
      <c r="A213" s="107"/>
      <c r="B213" s="4"/>
      <c r="C213" s="163"/>
      <c r="D213" s="4"/>
      <c r="E213" s="4"/>
      <c r="F213" s="4"/>
      <c r="G213" s="4"/>
      <c r="H213" s="4"/>
      <c r="I213" s="4"/>
      <c r="J213" s="4"/>
      <c r="K213" s="4"/>
      <c r="L213" s="4"/>
      <c r="M213" s="4"/>
      <c r="N213" s="4"/>
      <c r="O213" s="4"/>
      <c r="P213" s="4"/>
      <c r="Q213" s="4"/>
      <c r="R213" s="4"/>
      <c r="S213" s="4"/>
      <c r="T213" s="10"/>
      <c r="U213" s="10"/>
      <c r="V213" s="4"/>
      <c r="W213" s="4"/>
      <c r="X213" s="4"/>
      <c r="Y213" s="4"/>
      <c r="Z213" s="4"/>
      <c r="AA213" s="4"/>
      <c r="AB213" s="4"/>
      <c r="AC213" s="4"/>
      <c r="AD213" s="4"/>
      <c r="AE213" s="4"/>
      <c r="AF213" s="4"/>
      <c r="AG213" s="4"/>
      <c r="AH213" s="4"/>
      <c r="AI213" s="4"/>
      <c r="AJ213" s="4"/>
      <c r="AK213" s="4"/>
    </row>
    <row r="214" spans="1:37" ht="70" customHeight="1" x14ac:dyDescent="0.2">
      <c r="A214" s="107"/>
      <c r="B214" s="4"/>
      <c r="C214" s="163"/>
      <c r="D214" s="4"/>
      <c r="E214" s="4"/>
      <c r="F214" s="4"/>
      <c r="G214" s="4"/>
      <c r="H214" s="4"/>
      <c r="I214" s="4"/>
      <c r="J214" s="4"/>
      <c r="K214" s="4"/>
      <c r="L214" s="4"/>
      <c r="M214" s="4"/>
      <c r="N214" s="4"/>
      <c r="O214" s="4"/>
      <c r="P214" s="4"/>
      <c r="Q214" s="4"/>
      <c r="R214" s="4"/>
      <c r="S214" s="4"/>
      <c r="T214" s="10"/>
      <c r="U214" s="10"/>
      <c r="V214" s="4"/>
      <c r="W214" s="4"/>
      <c r="X214" s="4"/>
      <c r="Y214" s="4"/>
      <c r="Z214" s="4"/>
      <c r="AA214" s="4"/>
      <c r="AB214" s="4"/>
      <c r="AC214" s="4"/>
      <c r="AD214" s="4"/>
      <c r="AE214" s="4"/>
      <c r="AF214" s="4"/>
      <c r="AG214" s="4"/>
      <c r="AH214" s="4"/>
      <c r="AI214" s="4"/>
      <c r="AJ214" s="4"/>
      <c r="AK214" s="4"/>
    </row>
    <row r="215" spans="1:37" ht="70" customHeight="1" x14ac:dyDescent="0.2">
      <c r="A215" s="107"/>
      <c r="B215" s="4"/>
      <c r="C215" s="163"/>
      <c r="D215" s="4"/>
      <c r="E215" s="4"/>
      <c r="F215" s="4"/>
      <c r="G215" s="4"/>
      <c r="H215" s="4"/>
      <c r="I215" s="4"/>
      <c r="J215" s="4"/>
      <c r="K215" s="4"/>
      <c r="L215" s="4"/>
      <c r="M215" s="4"/>
      <c r="N215" s="4"/>
      <c r="O215" s="4"/>
      <c r="P215" s="4"/>
      <c r="Q215" s="4"/>
      <c r="R215" s="4"/>
      <c r="S215" s="4"/>
      <c r="T215" s="10"/>
      <c r="U215" s="4"/>
      <c r="V215" s="4"/>
      <c r="W215" s="4"/>
      <c r="X215" s="4"/>
      <c r="Y215" s="4"/>
      <c r="Z215" s="4"/>
      <c r="AA215" s="4"/>
      <c r="AB215" s="4"/>
      <c r="AC215" s="4"/>
      <c r="AD215" s="4"/>
      <c r="AE215" s="4"/>
      <c r="AF215" s="4"/>
      <c r="AG215" s="4"/>
      <c r="AH215" s="4"/>
      <c r="AI215" s="4"/>
      <c r="AJ215" s="4"/>
      <c r="AK215" s="4"/>
    </row>
    <row r="216" spans="1:37" ht="70" customHeight="1" x14ac:dyDescent="0.2">
      <c r="A216" s="107"/>
      <c r="B216" s="4"/>
      <c r="C216" s="163"/>
      <c r="D216" s="4"/>
      <c r="E216" s="4"/>
      <c r="F216" s="4"/>
      <c r="G216" s="4"/>
      <c r="H216" s="4"/>
      <c r="I216" s="4"/>
      <c r="J216" s="4"/>
      <c r="K216" s="4"/>
      <c r="L216" s="4"/>
      <c r="M216" s="4"/>
      <c r="N216" s="4"/>
      <c r="O216" s="4"/>
      <c r="P216" s="4"/>
      <c r="Q216" s="4"/>
      <c r="R216" s="35"/>
      <c r="S216" s="4"/>
      <c r="T216" s="10"/>
      <c r="U216" s="10"/>
      <c r="V216" s="4"/>
      <c r="W216" s="4"/>
      <c r="X216" s="4"/>
      <c r="Y216" s="4"/>
      <c r="Z216" s="4"/>
      <c r="AA216" s="4"/>
      <c r="AB216" s="4"/>
      <c r="AC216" s="4"/>
      <c r="AD216" s="4"/>
      <c r="AE216" s="4"/>
      <c r="AF216" s="4"/>
      <c r="AG216" s="4"/>
      <c r="AH216" s="4"/>
      <c r="AI216" s="4"/>
      <c r="AJ216" s="4"/>
      <c r="AK216" s="4"/>
    </row>
    <row r="217" spans="1:37" ht="70" customHeight="1" x14ac:dyDescent="0.2">
      <c r="A217" s="107"/>
      <c r="B217" s="4"/>
      <c r="C217" s="163"/>
      <c r="D217" s="4"/>
      <c r="E217" s="4"/>
      <c r="F217" s="4"/>
      <c r="G217" s="4"/>
      <c r="H217" s="4"/>
      <c r="I217" s="4"/>
      <c r="J217" s="4"/>
      <c r="K217" s="4"/>
      <c r="L217" s="4"/>
      <c r="M217" s="4"/>
      <c r="N217" s="4"/>
      <c r="O217" s="4"/>
      <c r="P217" s="4"/>
      <c r="Q217" s="4"/>
      <c r="R217" s="4"/>
      <c r="S217" s="4"/>
      <c r="T217" s="10"/>
      <c r="U217" s="10"/>
      <c r="V217" s="4"/>
      <c r="W217" s="4"/>
      <c r="X217" s="4"/>
      <c r="Y217" s="4"/>
      <c r="Z217" s="4"/>
      <c r="AA217" s="4"/>
      <c r="AB217" s="4"/>
      <c r="AC217" s="4"/>
      <c r="AD217" s="4"/>
      <c r="AE217" s="4"/>
      <c r="AF217" s="4"/>
      <c r="AG217" s="4"/>
      <c r="AH217" s="4"/>
      <c r="AI217" s="4"/>
      <c r="AJ217" s="4"/>
      <c r="AK217" s="4"/>
    </row>
    <row r="218" spans="1:37" ht="70" customHeight="1" x14ac:dyDescent="0.2">
      <c r="A218" s="107"/>
      <c r="B218" s="4"/>
      <c r="C218" s="163"/>
      <c r="D218" s="4"/>
      <c r="E218" s="4"/>
      <c r="F218" s="4"/>
      <c r="G218" s="4"/>
      <c r="H218" s="4"/>
      <c r="I218" s="4"/>
      <c r="J218" s="4"/>
      <c r="K218" s="4"/>
      <c r="L218" s="4"/>
      <c r="M218" s="4"/>
      <c r="N218" s="4"/>
      <c r="O218" s="4"/>
      <c r="P218" s="4"/>
      <c r="Q218" s="4"/>
      <c r="R218" s="4"/>
      <c r="S218" s="4"/>
      <c r="T218" s="10"/>
      <c r="U218" s="10"/>
      <c r="V218" s="4"/>
      <c r="W218" s="4"/>
      <c r="X218" s="4"/>
      <c r="Y218" s="4"/>
      <c r="Z218" s="4"/>
      <c r="AA218" s="4"/>
      <c r="AB218" s="4"/>
      <c r="AC218" s="4"/>
      <c r="AD218" s="4"/>
      <c r="AE218" s="4"/>
      <c r="AF218" s="4"/>
      <c r="AG218" s="4"/>
      <c r="AH218" s="4"/>
      <c r="AI218" s="4"/>
      <c r="AJ218" s="4"/>
      <c r="AK218" s="4"/>
    </row>
    <row r="219" spans="1:37" ht="70" customHeight="1" x14ac:dyDescent="0.2">
      <c r="A219" s="107"/>
      <c r="B219" s="4"/>
      <c r="C219" s="163"/>
      <c r="D219" s="4"/>
      <c r="E219" s="4"/>
      <c r="F219" s="4"/>
      <c r="G219" s="4"/>
      <c r="H219" s="4"/>
      <c r="I219" s="4"/>
      <c r="J219" s="4"/>
      <c r="K219" s="4"/>
      <c r="L219" s="4"/>
      <c r="M219" s="4"/>
      <c r="N219" s="4"/>
      <c r="O219" s="4"/>
      <c r="P219" s="4"/>
      <c r="Q219" s="4"/>
      <c r="R219" s="4"/>
      <c r="S219" s="4"/>
      <c r="T219" s="10"/>
      <c r="U219" s="4"/>
      <c r="V219" s="4"/>
      <c r="W219" s="4"/>
      <c r="X219" s="4"/>
      <c r="Y219" s="4"/>
      <c r="Z219" s="4"/>
      <c r="AA219" s="4"/>
      <c r="AB219" s="4"/>
      <c r="AC219" s="4"/>
      <c r="AD219" s="4"/>
      <c r="AE219" s="4"/>
      <c r="AF219" s="4"/>
      <c r="AG219" s="4"/>
      <c r="AH219" s="4"/>
      <c r="AI219" s="4"/>
      <c r="AJ219" s="4"/>
      <c r="AK219" s="4"/>
    </row>
    <row r="220" spans="1:37" ht="70" customHeight="1" x14ac:dyDescent="0.2">
      <c r="A220" s="107"/>
      <c r="B220" s="4"/>
      <c r="C220" s="163"/>
      <c r="D220" s="4"/>
      <c r="E220" s="4"/>
      <c r="F220" s="4"/>
      <c r="G220" s="4"/>
      <c r="H220" s="4"/>
      <c r="I220" s="4"/>
      <c r="J220" s="4"/>
      <c r="K220" s="4"/>
      <c r="L220" s="4"/>
      <c r="M220" s="4"/>
      <c r="N220" s="4"/>
      <c r="O220" s="4"/>
      <c r="P220" s="4"/>
      <c r="Q220" s="4"/>
      <c r="R220" s="4"/>
      <c r="S220" s="4"/>
      <c r="T220" s="10"/>
      <c r="U220" s="10"/>
      <c r="V220" s="10"/>
      <c r="W220" s="4"/>
      <c r="X220" s="4"/>
      <c r="Y220" s="4"/>
      <c r="Z220" s="4"/>
      <c r="AA220" s="4"/>
      <c r="AB220" s="4"/>
      <c r="AC220" s="4"/>
      <c r="AD220" s="4"/>
      <c r="AE220" s="4"/>
      <c r="AF220" s="4"/>
      <c r="AG220" s="4"/>
      <c r="AH220" s="4"/>
      <c r="AI220" s="4"/>
      <c r="AJ220" s="4"/>
      <c r="AK220" s="4"/>
    </row>
    <row r="221" spans="1:37" ht="70" customHeight="1" x14ac:dyDescent="0.2">
      <c r="A221" s="107"/>
      <c r="B221" s="4"/>
      <c r="C221" s="163"/>
      <c r="D221" s="4"/>
      <c r="E221" s="4"/>
      <c r="F221" s="4"/>
      <c r="G221" s="4"/>
      <c r="H221" s="4"/>
      <c r="I221" s="4"/>
      <c r="J221" s="4"/>
      <c r="K221" s="4"/>
      <c r="L221" s="4"/>
      <c r="M221" s="4"/>
      <c r="N221" s="4"/>
      <c r="O221" s="4"/>
      <c r="P221" s="4"/>
      <c r="Q221" s="4"/>
      <c r="R221" s="35"/>
      <c r="S221" s="4"/>
      <c r="T221" s="10"/>
      <c r="U221" s="4"/>
      <c r="V221" s="4"/>
      <c r="W221" s="4"/>
      <c r="X221" s="4"/>
      <c r="Y221" s="4"/>
      <c r="Z221" s="4"/>
      <c r="AA221" s="4"/>
      <c r="AB221" s="4"/>
      <c r="AC221" s="4"/>
      <c r="AD221" s="4"/>
      <c r="AE221" s="4"/>
      <c r="AF221" s="4"/>
      <c r="AG221" s="4"/>
      <c r="AH221" s="4"/>
      <c r="AI221" s="4"/>
      <c r="AJ221" s="4"/>
      <c r="AK221" s="4"/>
    </row>
    <row r="222" spans="1:37" ht="70" customHeight="1" x14ac:dyDescent="0.2">
      <c r="A222" s="107"/>
      <c r="B222" s="4"/>
      <c r="C222" s="163"/>
      <c r="D222" s="4"/>
      <c r="E222" s="4"/>
      <c r="F222" s="4"/>
      <c r="G222" s="4"/>
      <c r="H222" s="4"/>
      <c r="I222" s="4"/>
      <c r="J222" s="4"/>
      <c r="K222" s="4"/>
      <c r="L222" s="4"/>
      <c r="M222" s="4"/>
      <c r="N222" s="4"/>
      <c r="O222" s="4"/>
      <c r="P222" s="4"/>
      <c r="Q222" s="4"/>
      <c r="R222" s="4"/>
      <c r="S222" s="4"/>
      <c r="T222" s="7"/>
      <c r="U222" s="4"/>
      <c r="V222" s="4"/>
      <c r="W222" s="4"/>
      <c r="X222" s="4"/>
      <c r="Y222" s="4"/>
      <c r="Z222" s="4"/>
      <c r="AA222" s="4"/>
      <c r="AB222" s="4"/>
      <c r="AC222" s="4"/>
      <c r="AD222" s="4"/>
      <c r="AE222" s="4"/>
      <c r="AF222" s="4"/>
      <c r="AG222" s="4"/>
      <c r="AH222" s="4"/>
      <c r="AI222" s="4"/>
      <c r="AJ222" s="4"/>
      <c r="AK222" s="4"/>
    </row>
    <row r="223" spans="1:37" ht="70" customHeight="1" x14ac:dyDescent="0.2">
      <c r="A223" s="107"/>
      <c r="B223" s="4"/>
      <c r="C223" s="163"/>
      <c r="D223" s="4"/>
      <c r="E223" s="4"/>
      <c r="F223" s="4"/>
      <c r="G223" s="4"/>
      <c r="H223" s="4"/>
      <c r="I223" s="4"/>
      <c r="J223" s="4"/>
      <c r="K223" s="4"/>
      <c r="L223" s="4"/>
      <c r="M223" s="4"/>
      <c r="N223" s="4"/>
      <c r="O223" s="4"/>
      <c r="P223" s="4"/>
      <c r="Q223" s="4"/>
      <c r="R223" s="4"/>
      <c r="S223" s="4"/>
      <c r="T223" s="10"/>
      <c r="U223" s="4"/>
      <c r="V223" s="4"/>
      <c r="W223" s="4"/>
      <c r="X223" s="4"/>
      <c r="Y223" s="4"/>
      <c r="Z223" s="4"/>
      <c r="AA223" s="4"/>
      <c r="AB223" s="4"/>
      <c r="AC223" s="4"/>
      <c r="AD223" s="4"/>
      <c r="AE223" s="4"/>
      <c r="AF223" s="4"/>
      <c r="AG223" s="4"/>
      <c r="AH223" s="4"/>
      <c r="AI223" s="4"/>
      <c r="AJ223" s="4"/>
      <c r="AK223" s="4"/>
    </row>
    <row r="224" spans="1:37" ht="70" customHeight="1" x14ac:dyDescent="0.2">
      <c r="A224" s="107"/>
      <c r="B224" s="4"/>
      <c r="C224" s="163"/>
      <c r="D224" s="4"/>
      <c r="E224" s="4"/>
      <c r="F224" s="4"/>
      <c r="G224" s="4"/>
      <c r="H224" s="4"/>
      <c r="I224" s="4"/>
      <c r="J224" s="4"/>
      <c r="K224" s="4"/>
      <c r="L224" s="4"/>
      <c r="M224" s="4"/>
      <c r="N224" s="4"/>
      <c r="O224" s="4"/>
      <c r="P224" s="4"/>
      <c r="Q224" s="4"/>
      <c r="R224" s="4"/>
      <c r="S224" s="4"/>
      <c r="T224" s="10"/>
      <c r="U224" s="4"/>
      <c r="V224" s="4"/>
      <c r="W224" s="4"/>
      <c r="X224" s="4"/>
      <c r="Y224" s="4"/>
      <c r="Z224" s="4"/>
      <c r="AA224" s="4"/>
      <c r="AB224" s="4"/>
      <c r="AC224" s="4"/>
      <c r="AD224" s="4"/>
      <c r="AE224" s="4"/>
      <c r="AF224" s="4"/>
      <c r="AG224" s="4"/>
      <c r="AH224" s="4"/>
      <c r="AI224" s="4"/>
      <c r="AJ224" s="4"/>
      <c r="AK224" s="4"/>
    </row>
    <row r="225" spans="1:37" ht="70" customHeight="1" x14ac:dyDescent="0.2">
      <c r="A225" s="107"/>
      <c r="B225" s="4"/>
      <c r="C225" s="163"/>
      <c r="D225" s="4"/>
      <c r="E225" s="9"/>
      <c r="F225" s="9"/>
      <c r="G225" s="4"/>
      <c r="H225" s="4"/>
      <c r="I225" s="4"/>
      <c r="J225" s="4"/>
      <c r="K225" s="4"/>
      <c r="L225" s="4"/>
      <c r="M225" s="4"/>
      <c r="N225" s="4"/>
      <c r="O225" s="4"/>
      <c r="P225" s="4"/>
      <c r="Q225" s="4"/>
      <c r="R225" s="4"/>
      <c r="S225" s="4"/>
      <c r="T225" s="10"/>
      <c r="U225" s="4"/>
      <c r="V225" s="4"/>
      <c r="W225" s="4"/>
      <c r="X225" s="4"/>
      <c r="Y225" s="4"/>
      <c r="Z225" s="4"/>
      <c r="AA225" s="4"/>
      <c r="AB225" s="4"/>
      <c r="AC225" s="4"/>
      <c r="AD225" s="4"/>
      <c r="AE225" s="4"/>
      <c r="AF225" s="4"/>
      <c r="AG225" s="4"/>
      <c r="AH225" s="4"/>
      <c r="AI225" s="4"/>
      <c r="AJ225" s="4"/>
      <c r="AK225" s="4"/>
    </row>
    <row r="226" spans="1:37" ht="70" customHeight="1" x14ac:dyDescent="0.2">
      <c r="A226" s="107"/>
      <c r="B226" s="4"/>
      <c r="C226" s="163"/>
      <c r="D226" s="4"/>
      <c r="E226" s="4"/>
      <c r="F226" s="4"/>
      <c r="G226" s="4"/>
      <c r="H226" s="4"/>
      <c r="I226" s="4"/>
      <c r="J226" s="4"/>
      <c r="K226" s="4"/>
      <c r="L226" s="4"/>
      <c r="M226" s="4"/>
      <c r="N226" s="4"/>
      <c r="O226" s="4"/>
      <c r="P226" s="4"/>
      <c r="Q226" s="4"/>
      <c r="R226" s="4"/>
      <c r="S226" s="4"/>
      <c r="T226" s="10"/>
      <c r="U226" s="4"/>
      <c r="V226" s="4"/>
      <c r="W226" s="4"/>
      <c r="X226" s="4"/>
      <c r="Y226" s="4"/>
      <c r="Z226" s="4"/>
      <c r="AA226" s="4"/>
      <c r="AB226" s="4"/>
      <c r="AC226" s="4"/>
      <c r="AD226" s="4"/>
      <c r="AE226" s="4"/>
      <c r="AF226" s="4"/>
      <c r="AG226" s="4"/>
      <c r="AH226" s="4"/>
      <c r="AI226" s="4"/>
      <c r="AJ226" s="4"/>
      <c r="AK226" s="4"/>
    </row>
    <row r="227" spans="1:37" ht="70" customHeight="1" x14ac:dyDescent="0.2">
      <c r="A227" s="107"/>
      <c r="B227" s="4"/>
      <c r="C227" s="163"/>
      <c r="D227" s="4"/>
      <c r="E227" s="4"/>
      <c r="F227" s="4"/>
      <c r="G227" s="4"/>
      <c r="H227" s="4"/>
      <c r="I227" s="4"/>
      <c r="J227" s="4"/>
      <c r="K227" s="4"/>
      <c r="L227" s="4"/>
      <c r="M227" s="4"/>
      <c r="N227" s="4"/>
      <c r="O227" s="4"/>
      <c r="P227" s="4"/>
      <c r="Q227" s="4"/>
      <c r="R227" s="4"/>
      <c r="S227" s="4"/>
      <c r="T227" s="7"/>
      <c r="U227" s="4"/>
      <c r="V227" s="4"/>
      <c r="W227" s="4"/>
      <c r="X227" s="4"/>
      <c r="Y227" s="4"/>
      <c r="Z227" s="4"/>
      <c r="AA227" s="4"/>
      <c r="AB227" s="4"/>
      <c r="AC227" s="4"/>
      <c r="AD227" s="4"/>
      <c r="AE227" s="4"/>
      <c r="AF227" s="4"/>
      <c r="AG227" s="4"/>
      <c r="AH227" s="4"/>
      <c r="AI227" s="4"/>
      <c r="AJ227" s="4"/>
      <c r="AK227" s="4"/>
    </row>
    <row r="228" spans="1:37" ht="70" customHeight="1" x14ac:dyDescent="0.2">
      <c r="A228" s="107"/>
      <c r="B228" s="4"/>
      <c r="C228" s="163"/>
      <c r="D228" s="4"/>
      <c r="E228" s="4"/>
      <c r="F228" s="4"/>
      <c r="G228" s="4"/>
      <c r="H228" s="4"/>
      <c r="I228" s="4"/>
      <c r="J228" s="4"/>
      <c r="K228" s="4"/>
      <c r="L228" s="4"/>
      <c r="M228" s="4"/>
      <c r="N228" s="4"/>
      <c r="O228" s="4"/>
      <c r="P228" s="4"/>
      <c r="Q228" s="4"/>
      <c r="R228" s="4"/>
      <c r="S228" s="4"/>
      <c r="T228" s="7"/>
      <c r="U228" s="4"/>
      <c r="V228" s="4"/>
      <c r="W228" s="4"/>
      <c r="X228" s="4"/>
      <c r="Y228" s="4"/>
      <c r="Z228" s="4"/>
      <c r="AA228" s="4"/>
      <c r="AB228" s="4"/>
      <c r="AC228" s="4"/>
      <c r="AD228" s="4"/>
      <c r="AE228" s="4"/>
      <c r="AF228" s="4"/>
      <c r="AG228" s="4"/>
      <c r="AH228" s="4"/>
      <c r="AI228" s="4"/>
      <c r="AJ228" s="4"/>
      <c r="AK228" s="4"/>
    </row>
    <row r="229" spans="1:37" ht="70" customHeight="1" x14ac:dyDescent="0.2">
      <c r="A229" s="107"/>
      <c r="B229" s="4"/>
      <c r="C229" s="163"/>
      <c r="D229" s="4"/>
      <c r="E229" s="4"/>
      <c r="F229" s="4"/>
      <c r="G229" s="4"/>
      <c r="H229" s="4"/>
      <c r="I229" s="4"/>
      <c r="J229" s="4"/>
      <c r="K229" s="4"/>
      <c r="L229" s="4"/>
      <c r="M229" s="4"/>
      <c r="N229" s="4"/>
      <c r="O229" s="4"/>
      <c r="P229" s="4"/>
      <c r="Q229" s="4"/>
      <c r="R229" s="4"/>
      <c r="S229" s="4"/>
      <c r="T229" s="10"/>
      <c r="U229" s="4"/>
      <c r="V229" s="4"/>
      <c r="W229" s="4"/>
      <c r="X229" s="4"/>
      <c r="Y229" s="4"/>
      <c r="Z229" s="4"/>
      <c r="AA229" s="4"/>
      <c r="AB229" s="4"/>
      <c r="AC229" s="4"/>
      <c r="AD229" s="4"/>
      <c r="AE229" s="4"/>
      <c r="AF229" s="4"/>
      <c r="AG229" s="4"/>
      <c r="AH229" s="4"/>
      <c r="AI229" s="4"/>
      <c r="AJ229" s="4"/>
      <c r="AK229" s="4"/>
    </row>
    <row r="230" spans="1:37" ht="70" customHeight="1" x14ac:dyDescent="0.2">
      <c r="A230" s="107"/>
      <c r="B230" s="4"/>
      <c r="C230" s="163"/>
      <c r="D230" s="4"/>
      <c r="E230" s="4"/>
      <c r="F230" s="4"/>
      <c r="G230" s="4"/>
      <c r="H230" s="4"/>
      <c r="I230" s="4"/>
      <c r="J230" s="4"/>
      <c r="K230" s="4"/>
      <c r="L230" s="4"/>
      <c r="M230" s="4"/>
      <c r="N230" s="4"/>
      <c r="O230" s="4"/>
      <c r="P230" s="4"/>
      <c r="Q230" s="4"/>
      <c r="R230" s="35"/>
      <c r="S230" s="4"/>
      <c r="T230" s="7"/>
      <c r="U230" s="10"/>
      <c r="V230" s="4"/>
      <c r="W230" s="4"/>
      <c r="X230" s="4"/>
      <c r="Y230" s="4"/>
      <c r="Z230" s="4"/>
      <c r="AA230" s="4"/>
      <c r="AB230" s="4"/>
      <c r="AC230" s="4"/>
      <c r="AD230" s="4"/>
      <c r="AE230" s="4"/>
      <c r="AF230" s="4"/>
      <c r="AG230" s="4"/>
      <c r="AH230" s="4"/>
      <c r="AI230" s="4"/>
      <c r="AJ230" s="4"/>
      <c r="AK230" s="4"/>
    </row>
    <row r="231" spans="1:37" ht="70" customHeight="1" x14ac:dyDescent="0.2">
      <c r="A231" s="107"/>
      <c r="B231" s="4"/>
      <c r="C231" s="163"/>
      <c r="D231" s="4"/>
      <c r="E231" s="4"/>
      <c r="F231" s="4"/>
      <c r="G231" s="4"/>
      <c r="H231" s="4"/>
      <c r="I231" s="4"/>
      <c r="J231" s="4"/>
      <c r="K231" s="4"/>
      <c r="L231" s="4"/>
      <c r="M231" s="4"/>
      <c r="N231" s="4"/>
      <c r="O231" s="4"/>
      <c r="P231" s="4"/>
      <c r="Q231" s="4"/>
      <c r="R231" s="4"/>
      <c r="S231" s="4"/>
      <c r="T231" s="10"/>
      <c r="U231" s="4"/>
      <c r="V231" s="4"/>
      <c r="W231" s="4"/>
      <c r="X231" s="4"/>
      <c r="Y231" s="4"/>
      <c r="Z231" s="4"/>
      <c r="AA231" s="4"/>
      <c r="AB231" s="4"/>
      <c r="AC231" s="4"/>
      <c r="AD231" s="4"/>
      <c r="AE231" s="4"/>
      <c r="AF231" s="4"/>
      <c r="AG231" s="4"/>
      <c r="AH231" s="4"/>
      <c r="AI231" s="4"/>
      <c r="AJ231" s="4"/>
      <c r="AK231" s="4"/>
    </row>
    <row r="232" spans="1:37" ht="70" customHeight="1" x14ac:dyDescent="0.2">
      <c r="A232" s="107"/>
      <c r="B232" s="4"/>
      <c r="C232" s="163"/>
      <c r="D232" s="4"/>
      <c r="E232" s="4"/>
      <c r="F232" s="4"/>
      <c r="G232" s="4"/>
      <c r="H232" s="4"/>
      <c r="I232" s="4"/>
      <c r="J232" s="4"/>
      <c r="K232" s="4"/>
      <c r="L232" s="4"/>
      <c r="M232" s="4"/>
      <c r="N232" s="4"/>
      <c r="O232" s="4"/>
      <c r="P232" s="4"/>
      <c r="Q232" s="4"/>
      <c r="R232" s="4"/>
      <c r="S232" s="4"/>
      <c r="T232" s="10"/>
      <c r="U232" s="4"/>
      <c r="V232" s="4"/>
      <c r="W232" s="4"/>
      <c r="X232" s="4"/>
      <c r="Y232" s="4"/>
      <c r="Z232" s="4"/>
      <c r="AA232" s="4"/>
      <c r="AB232" s="4"/>
      <c r="AC232" s="4"/>
      <c r="AD232" s="4"/>
      <c r="AE232" s="4"/>
      <c r="AF232" s="4"/>
      <c r="AG232" s="4"/>
      <c r="AH232" s="4"/>
      <c r="AI232" s="4"/>
      <c r="AJ232" s="4"/>
      <c r="AK232" s="4"/>
    </row>
    <row r="233" spans="1:37" ht="70" customHeight="1" x14ac:dyDescent="0.2">
      <c r="A233" s="107"/>
      <c r="B233" s="4"/>
      <c r="C233" s="163"/>
      <c r="D233" s="4"/>
      <c r="E233" s="4"/>
      <c r="F233" s="4"/>
      <c r="G233" s="4"/>
      <c r="H233" s="4"/>
      <c r="I233" s="4"/>
      <c r="J233" s="4"/>
      <c r="K233" s="4"/>
      <c r="L233" s="4"/>
      <c r="M233" s="4"/>
      <c r="N233" s="4"/>
      <c r="O233" s="4"/>
      <c r="P233" s="4"/>
      <c r="Q233" s="4"/>
      <c r="R233" s="4"/>
      <c r="S233" s="4"/>
      <c r="T233" s="7"/>
      <c r="U233" s="4"/>
      <c r="V233" s="4"/>
      <c r="W233" s="4"/>
      <c r="X233" s="4"/>
      <c r="Y233" s="4"/>
      <c r="Z233" s="4"/>
      <c r="AA233" s="4"/>
      <c r="AB233" s="4"/>
      <c r="AC233" s="4"/>
      <c r="AD233" s="4"/>
      <c r="AE233" s="4"/>
      <c r="AF233" s="4"/>
      <c r="AG233" s="4"/>
      <c r="AH233" s="4"/>
      <c r="AI233" s="4"/>
      <c r="AJ233" s="4"/>
      <c r="AK233" s="4"/>
    </row>
    <row r="234" spans="1:37" ht="70" customHeight="1" x14ac:dyDescent="0.2">
      <c r="A234" s="107"/>
      <c r="B234" s="4"/>
      <c r="C234" s="163"/>
      <c r="D234" s="4"/>
      <c r="E234" s="4"/>
      <c r="F234" s="4"/>
      <c r="G234" s="4"/>
      <c r="H234" s="4"/>
      <c r="I234" s="4"/>
      <c r="J234" s="4"/>
      <c r="K234" s="4"/>
      <c r="L234" s="4"/>
      <c r="M234" s="4"/>
      <c r="N234" s="4"/>
      <c r="O234" s="4"/>
      <c r="P234" s="4"/>
      <c r="Q234" s="4"/>
      <c r="R234" s="4"/>
      <c r="S234" s="4"/>
      <c r="T234" s="7"/>
      <c r="U234" s="4"/>
      <c r="V234" s="4"/>
      <c r="W234" s="4"/>
      <c r="X234" s="4"/>
      <c r="Y234" s="4"/>
      <c r="Z234" s="4"/>
      <c r="AA234" s="4"/>
      <c r="AB234" s="4"/>
      <c r="AC234" s="4"/>
      <c r="AD234" s="4"/>
      <c r="AE234" s="4"/>
      <c r="AF234" s="4"/>
      <c r="AG234" s="4"/>
      <c r="AH234" s="4"/>
      <c r="AI234" s="4"/>
      <c r="AJ234" s="4"/>
      <c r="AK234" s="4"/>
    </row>
    <row r="235" spans="1:37" ht="70" customHeight="1" x14ac:dyDescent="0.2">
      <c r="A235" s="107"/>
      <c r="B235" s="4"/>
      <c r="C235" s="163"/>
      <c r="D235" s="4"/>
      <c r="E235" s="4"/>
      <c r="F235" s="4"/>
      <c r="G235" s="4"/>
      <c r="H235" s="4"/>
      <c r="I235" s="4"/>
      <c r="J235" s="4"/>
      <c r="K235" s="4"/>
      <c r="L235" s="4"/>
      <c r="M235" s="4"/>
      <c r="N235" s="4"/>
      <c r="O235" s="4"/>
      <c r="P235" s="4"/>
      <c r="Q235" s="4"/>
      <c r="R235" s="4"/>
      <c r="S235" s="4"/>
      <c r="T235" s="10"/>
      <c r="U235" s="10"/>
      <c r="V235" s="4"/>
      <c r="W235" s="4"/>
      <c r="X235" s="4"/>
      <c r="Y235" s="4"/>
      <c r="Z235" s="4"/>
      <c r="AA235" s="4"/>
      <c r="AB235" s="4"/>
      <c r="AC235" s="4"/>
      <c r="AD235" s="4"/>
      <c r="AE235" s="4"/>
      <c r="AF235" s="4"/>
      <c r="AG235" s="4"/>
      <c r="AH235" s="4"/>
      <c r="AI235" s="4"/>
      <c r="AJ235" s="4"/>
      <c r="AK235" s="4"/>
    </row>
    <row r="236" spans="1:37" ht="70" customHeight="1" x14ac:dyDescent="0.2">
      <c r="A236" s="107"/>
      <c r="B236" s="4"/>
      <c r="C236" s="163"/>
      <c r="D236" s="4"/>
      <c r="E236" s="4"/>
      <c r="F236" s="4"/>
      <c r="G236" s="4"/>
      <c r="H236" s="4"/>
      <c r="I236" s="4"/>
      <c r="J236" s="4"/>
      <c r="K236" s="4"/>
      <c r="L236" s="4"/>
      <c r="M236" s="4"/>
      <c r="N236" s="4"/>
      <c r="O236" s="4"/>
      <c r="P236" s="4"/>
      <c r="Q236" s="4"/>
      <c r="R236" s="35"/>
      <c r="S236" s="4"/>
      <c r="T236" s="10"/>
      <c r="U236" s="4"/>
      <c r="V236" s="4"/>
      <c r="W236" s="4"/>
      <c r="X236" s="4"/>
      <c r="Y236" s="4"/>
      <c r="Z236" s="4"/>
      <c r="AA236" s="4"/>
      <c r="AB236" s="4"/>
      <c r="AC236" s="4"/>
      <c r="AD236" s="4"/>
      <c r="AE236" s="4"/>
      <c r="AF236" s="4"/>
      <c r="AG236" s="4"/>
      <c r="AH236" s="4"/>
      <c r="AI236" s="4"/>
      <c r="AJ236" s="4"/>
      <c r="AK236" s="4"/>
    </row>
    <row r="237" spans="1:37" ht="70" customHeight="1" x14ac:dyDescent="0.2">
      <c r="A237" s="107"/>
      <c r="B237" s="4"/>
      <c r="C237" s="163"/>
      <c r="D237" s="4"/>
      <c r="E237" s="4"/>
      <c r="F237" s="4"/>
      <c r="G237" s="4"/>
      <c r="H237" s="4"/>
      <c r="I237" s="4"/>
      <c r="J237" s="4"/>
      <c r="K237" s="4"/>
      <c r="L237" s="4"/>
      <c r="M237" s="4"/>
      <c r="N237" s="4"/>
      <c r="O237" s="4"/>
      <c r="P237" s="4"/>
      <c r="Q237" s="4"/>
      <c r="R237" s="4"/>
      <c r="S237" s="4"/>
      <c r="T237" s="7"/>
      <c r="U237" s="4"/>
      <c r="V237" s="4"/>
      <c r="W237" s="4"/>
      <c r="X237" s="4"/>
      <c r="Y237" s="4"/>
      <c r="Z237" s="4"/>
      <c r="AA237" s="4"/>
      <c r="AB237" s="4"/>
      <c r="AC237" s="4"/>
      <c r="AD237" s="4"/>
      <c r="AE237" s="4"/>
      <c r="AF237" s="4"/>
      <c r="AG237" s="4"/>
      <c r="AH237" s="4"/>
      <c r="AI237" s="4"/>
      <c r="AJ237" s="4"/>
      <c r="AK237" s="4"/>
    </row>
    <row r="238" spans="1:37" ht="70" customHeight="1" x14ac:dyDescent="0.2">
      <c r="A238" s="107"/>
      <c r="B238" s="4"/>
      <c r="C238" s="163"/>
      <c r="D238" s="4"/>
      <c r="E238" s="4"/>
      <c r="F238" s="4"/>
      <c r="G238" s="4"/>
      <c r="H238" s="4"/>
      <c r="I238" s="4"/>
      <c r="J238" s="4"/>
      <c r="K238" s="4"/>
      <c r="L238" s="4"/>
      <c r="M238" s="4"/>
      <c r="N238" s="4"/>
      <c r="O238" s="4"/>
      <c r="P238" s="4"/>
      <c r="Q238" s="4"/>
      <c r="R238" s="4"/>
      <c r="S238" s="4"/>
      <c r="T238" s="7"/>
      <c r="U238" s="10"/>
      <c r="V238" s="10"/>
      <c r="W238" s="4"/>
      <c r="X238" s="4"/>
      <c r="Y238" s="4"/>
      <c r="Z238" s="4"/>
      <c r="AA238" s="4"/>
      <c r="AB238" s="4"/>
      <c r="AC238" s="4"/>
      <c r="AD238" s="4"/>
      <c r="AE238" s="4"/>
      <c r="AF238" s="4"/>
      <c r="AG238" s="4"/>
      <c r="AH238" s="4"/>
      <c r="AI238" s="4"/>
      <c r="AJ238" s="4"/>
      <c r="AK238" s="4"/>
    </row>
    <row r="239" spans="1:37" ht="70" customHeight="1" x14ac:dyDescent="0.2">
      <c r="A239" s="107"/>
      <c r="B239" s="4"/>
      <c r="C239" s="163"/>
      <c r="D239" s="4"/>
      <c r="E239" s="4"/>
      <c r="F239" s="4"/>
      <c r="G239" s="4"/>
      <c r="H239" s="4"/>
      <c r="I239" s="4"/>
      <c r="J239" s="4"/>
      <c r="K239" s="4"/>
      <c r="L239" s="4"/>
      <c r="M239" s="4"/>
      <c r="N239" s="4"/>
      <c r="O239" s="4"/>
      <c r="P239" s="4"/>
      <c r="Q239" s="4"/>
      <c r="R239" s="4"/>
      <c r="S239" s="4"/>
      <c r="T239" s="7"/>
      <c r="U239" s="4"/>
      <c r="V239" s="4"/>
      <c r="W239" s="4"/>
      <c r="X239" s="4"/>
      <c r="Y239" s="4"/>
      <c r="Z239" s="4"/>
      <c r="AA239" s="4"/>
      <c r="AB239" s="4"/>
      <c r="AC239" s="4"/>
      <c r="AD239" s="4"/>
      <c r="AE239" s="4"/>
      <c r="AF239" s="4"/>
      <c r="AG239" s="4"/>
      <c r="AH239" s="4"/>
      <c r="AI239" s="4"/>
      <c r="AJ239" s="4"/>
      <c r="AK239" s="4"/>
    </row>
    <row r="240" spans="1:37" ht="70" customHeight="1" x14ac:dyDescent="0.2">
      <c r="A240" s="107"/>
      <c r="B240" s="4"/>
      <c r="C240" s="163"/>
      <c r="D240" s="4"/>
      <c r="E240" s="4"/>
      <c r="F240" s="4"/>
      <c r="G240" s="4"/>
      <c r="H240" s="4"/>
      <c r="I240" s="4"/>
      <c r="J240" s="4"/>
      <c r="K240" s="4"/>
      <c r="L240" s="4"/>
      <c r="M240" s="4"/>
      <c r="N240" s="4"/>
      <c r="O240" s="4"/>
      <c r="P240" s="4"/>
      <c r="Q240" s="4"/>
      <c r="R240" s="4"/>
      <c r="S240" s="4"/>
      <c r="T240" s="10"/>
      <c r="U240" s="4"/>
      <c r="V240" s="4"/>
      <c r="W240" s="4"/>
      <c r="X240" s="4"/>
      <c r="Y240" s="4"/>
      <c r="Z240" s="4"/>
      <c r="AA240" s="4"/>
      <c r="AB240" s="4"/>
      <c r="AC240" s="4"/>
      <c r="AD240" s="4"/>
      <c r="AE240" s="4"/>
      <c r="AF240" s="4"/>
      <c r="AG240" s="4"/>
      <c r="AH240" s="4"/>
      <c r="AI240" s="4"/>
      <c r="AJ240" s="4"/>
      <c r="AK240" s="4"/>
    </row>
    <row r="241" spans="1:37" ht="70" customHeight="1" x14ac:dyDescent="0.2">
      <c r="A241" s="107"/>
      <c r="B241" s="4"/>
      <c r="C241" s="163"/>
      <c r="D241" s="4"/>
      <c r="E241" s="4"/>
      <c r="F241" s="4"/>
      <c r="G241" s="4"/>
      <c r="H241" s="4"/>
      <c r="I241" s="4"/>
      <c r="J241" s="4"/>
      <c r="K241" s="4"/>
      <c r="L241" s="4"/>
      <c r="M241" s="4"/>
      <c r="N241" s="4"/>
      <c r="O241" s="4"/>
      <c r="P241" s="4"/>
      <c r="Q241" s="4"/>
      <c r="R241" s="4"/>
      <c r="S241" s="4"/>
      <c r="T241" s="10"/>
      <c r="U241" s="4"/>
      <c r="V241" s="4"/>
      <c r="W241" s="4"/>
      <c r="X241" s="4"/>
      <c r="Y241" s="4"/>
      <c r="Z241" s="4"/>
      <c r="AA241" s="4"/>
      <c r="AB241" s="4"/>
      <c r="AC241" s="4"/>
      <c r="AD241" s="4"/>
      <c r="AE241" s="4"/>
      <c r="AF241" s="4"/>
      <c r="AG241" s="4"/>
      <c r="AH241" s="4"/>
      <c r="AI241" s="4"/>
      <c r="AJ241" s="4"/>
      <c r="AK241" s="4"/>
    </row>
    <row r="242" spans="1:37" ht="70" customHeight="1" x14ac:dyDescent="0.2">
      <c r="A242" s="107"/>
      <c r="B242" s="4"/>
      <c r="C242" s="163"/>
      <c r="D242" s="4"/>
      <c r="E242" s="4"/>
      <c r="F242" s="4"/>
      <c r="G242" s="4"/>
      <c r="H242" s="4"/>
      <c r="I242" s="4"/>
      <c r="J242" s="4"/>
      <c r="K242" s="4"/>
      <c r="L242" s="4"/>
      <c r="M242" s="4"/>
      <c r="N242" s="4"/>
      <c r="O242" s="4"/>
      <c r="P242" s="4"/>
      <c r="Q242" s="4"/>
      <c r="R242" s="4"/>
      <c r="S242" s="4"/>
      <c r="T242" s="7"/>
      <c r="U242" s="4"/>
      <c r="V242" s="4"/>
      <c r="W242" s="4"/>
      <c r="X242" s="4"/>
      <c r="Y242" s="4"/>
      <c r="Z242" s="4"/>
      <c r="AA242" s="4"/>
      <c r="AB242" s="4"/>
      <c r="AC242" s="4"/>
      <c r="AD242" s="4"/>
      <c r="AE242" s="4"/>
      <c r="AF242" s="4"/>
      <c r="AG242" s="4"/>
      <c r="AH242" s="4"/>
      <c r="AI242" s="4"/>
      <c r="AJ242" s="4"/>
      <c r="AK242" s="4"/>
    </row>
    <row r="243" spans="1:37" ht="70" customHeight="1" x14ac:dyDescent="0.2">
      <c r="A243" s="107"/>
      <c r="B243" s="4"/>
      <c r="C243" s="163"/>
      <c r="D243" s="4"/>
      <c r="E243" s="4"/>
      <c r="F243" s="4"/>
      <c r="G243" s="4"/>
      <c r="H243" s="4"/>
      <c r="I243" s="4"/>
      <c r="J243" s="4"/>
      <c r="K243" s="4"/>
      <c r="L243" s="4"/>
      <c r="M243" s="4"/>
      <c r="N243" s="4"/>
      <c r="O243" s="4"/>
      <c r="P243" s="4"/>
      <c r="Q243" s="4"/>
      <c r="R243" s="4"/>
      <c r="S243" s="4"/>
      <c r="T243" s="7"/>
      <c r="U243" s="4"/>
      <c r="V243" s="4"/>
      <c r="W243" s="4"/>
      <c r="X243" s="4"/>
      <c r="Y243" s="4"/>
      <c r="Z243" s="4"/>
      <c r="AA243" s="4"/>
      <c r="AB243" s="4"/>
      <c r="AC243" s="4"/>
      <c r="AD243" s="4"/>
      <c r="AE243" s="4"/>
      <c r="AF243" s="4"/>
      <c r="AG243" s="4"/>
      <c r="AH243" s="4"/>
      <c r="AI243" s="4"/>
      <c r="AJ243" s="4"/>
      <c r="AK243" s="4"/>
    </row>
    <row r="244" spans="1:37" ht="70" customHeight="1" x14ac:dyDescent="0.2">
      <c r="A244" s="107"/>
      <c r="B244" s="4"/>
      <c r="C244" s="163"/>
      <c r="D244" s="4"/>
      <c r="E244" s="4"/>
      <c r="F244" s="4"/>
      <c r="G244" s="4"/>
      <c r="H244" s="4"/>
      <c r="I244" s="4"/>
      <c r="J244" s="4"/>
      <c r="K244" s="4"/>
      <c r="L244" s="4"/>
      <c r="M244" s="4"/>
      <c r="N244" s="4"/>
      <c r="O244" s="4"/>
      <c r="P244" s="4"/>
      <c r="Q244" s="4"/>
      <c r="R244" s="4"/>
      <c r="S244" s="4"/>
      <c r="T244" s="7"/>
      <c r="U244" s="4"/>
      <c r="V244" s="4"/>
      <c r="W244" s="4"/>
      <c r="X244" s="4"/>
      <c r="Y244" s="4"/>
      <c r="Z244" s="4"/>
      <c r="AA244" s="4"/>
      <c r="AB244" s="4"/>
      <c r="AC244" s="4"/>
      <c r="AD244" s="4"/>
      <c r="AE244" s="4"/>
      <c r="AF244" s="4"/>
      <c r="AG244" s="4"/>
      <c r="AH244" s="4"/>
      <c r="AI244" s="4"/>
      <c r="AJ244" s="4"/>
      <c r="AK244" s="4"/>
    </row>
    <row r="245" spans="1:37" ht="70" customHeight="1" x14ac:dyDescent="0.2">
      <c r="A245" s="107"/>
      <c r="B245" s="4"/>
      <c r="C245" s="163"/>
      <c r="D245" s="4"/>
      <c r="E245" s="4"/>
      <c r="F245" s="4"/>
      <c r="G245" s="4"/>
      <c r="H245" s="4"/>
      <c r="I245" s="4"/>
      <c r="J245" s="4"/>
      <c r="K245" s="4"/>
      <c r="L245" s="4"/>
      <c r="M245" s="4"/>
      <c r="N245" s="4"/>
      <c r="O245" s="4"/>
      <c r="P245" s="4"/>
      <c r="Q245" s="4"/>
      <c r="R245" s="4"/>
      <c r="S245" s="4"/>
      <c r="T245" s="7"/>
      <c r="U245" s="10"/>
      <c r="V245" s="4"/>
      <c r="W245" s="4"/>
      <c r="X245" s="4"/>
      <c r="Y245" s="4"/>
      <c r="Z245" s="4"/>
      <c r="AA245" s="4"/>
      <c r="AB245" s="4"/>
      <c r="AC245" s="4"/>
      <c r="AD245" s="4"/>
      <c r="AE245" s="4"/>
      <c r="AF245" s="4"/>
      <c r="AG245" s="4"/>
      <c r="AH245" s="4"/>
      <c r="AI245" s="4"/>
      <c r="AJ245" s="4"/>
      <c r="AK245" s="4"/>
    </row>
    <row r="246" spans="1:37" ht="70" customHeight="1" x14ac:dyDescent="0.2">
      <c r="A246" s="107"/>
      <c r="B246" s="4"/>
      <c r="C246" s="163"/>
      <c r="D246" s="4"/>
      <c r="E246" s="4"/>
      <c r="F246" s="4"/>
      <c r="G246" s="4"/>
      <c r="H246" s="4"/>
      <c r="I246" s="4"/>
      <c r="J246" s="4"/>
      <c r="K246" s="4"/>
      <c r="L246" s="4"/>
      <c r="M246" s="4"/>
      <c r="N246" s="4"/>
      <c r="O246" s="4"/>
      <c r="P246" s="4"/>
      <c r="Q246" s="4"/>
      <c r="R246" s="4"/>
      <c r="S246" s="4"/>
      <c r="T246" s="10"/>
      <c r="U246" s="4"/>
      <c r="V246" s="4"/>
      <c r="W246" s="4"/>
      <c r="X246" s="4"/>
      <c r="Y246" s="4"/>
      <c r="Z246" s="4"/>
      <c r="AA246" s="4"/>
      <c r="AB246" s="4"/>
      <c r="AC246" s="4"/>
      <c r="AD246" s="4"/>
      <c r="AE246" s="4"/>
      <c r="AF246" s="4"/>
      <c r="AG246" s="4"/>
      <c r="AH246" s="4"/>
      <c r="AI246" s="4"/>
      <c r="AJ246" s="4"/>
      <c r="AK246" s="4"/>
    </row>
    <row r="247" spans="1:37" ht="70" customHeight="1" x14ac:dyDescent="0.2">
      <c r="A247" s="107"/>
      <c r="B247" s="4"/>
      <c r="C247" s="163"/>
      <c r="D247" s="4"/>
      <c r="E247" s="4"/>
      <c r="F247" s="4"/>
      <c r="G247" s="4"/>
      <c r="H247" s="4"/>
      <c r="I247" s="4"/>
      <c r="J247" s="4"/>
      <c r="K247" s="4"/>
      <c r="L247" s="4"/>
      <c r="M247" s="4"/>
      <c r="N247" s="4"/>
      <c r="O247" s="4"/>
      <c r="P247" s="4"/>
      <c r="Q247" s="4"/>
      <c r="R247" s="4"/>
      <c r="S247" s="4"/>
      <c r="T247" s="7"/>
      <c r="U247" s="10"/>
      <c r="V247" s="10"/>
      <c r="W247" s="10"/>
      <c r="X247" s="4"/>
      <c r="Y247" s="4"/>
      <c r="Z247" s="4"/>
      <c r="AA247" s="4"/>
      <c r="AB247" s="4"/>
      <c r="AC247" s="4"/>
      <c r="AD247" s="4"/>
      <c r="AE247" s="4"/>
      <c r="AF247" s="4"/>
      <c r="AG247" s="4"/>
      <c r="AH247" s="4"/>
      <c r="AI247" s="4"/>
      <c r="AJ247" s="4"/>
      <c r="AK247" s="4"/>
    </row>
    <row r="248" spans="1:37" ht="70" customHeight="1" x14ac:dyDescent="0.2">
      <c r="A248" s="107"/>
      <c r="B248" s="4"/>
      <c r="C248" s="163"/>
      <c r="D248" s="4"/>
      <c r="E248" s="4"/>
      <c r="F248" s="4"/>
      <c r="G248" s="4"/>
      <c r="H248" s="4"/>
      <c r="I248" s="4"/>
      <c r="J248" s="4"/>
      <c r="K248" s="4"/>
      <c r="L248" s="4"/>
      <c r="M248" s="4"/>
      <c r="N248" s="4"/>
      <c r="O248" s="4"/>
      <c r="P248" s="4"/>
      <c r="Q248" s="4"/>
      <c r="R248" s="4"/>
      <c r="S248" s="4"/>
      <c r="T248" s="10"/>
      <c r="U248" s="4"/>
      <c r="V248" s="4"/>
      <c r="W248" s="4"/>
      <c r="X248" s="4"/>
      <c r="Y248" s="4"/>
      <c r="Z248" s="4"/>
      <c r="AA248" s="4"/>
      <c r="AB248" s="4"/>
      <c r="AC248" s="4"/>
      <c r="AD248" s="4"/>
      <c r="AE248" s="4"/>
      <c r="AF248" s="4"/>
      <c r="AG248" s="4"/>
      <c r="AH248" s="4"/>
      <c r="AI248" s="4"/>
      <c r="AJ248" s="4"/>
      <c r="AK248" s="4"/>
    </row>
    <row r="249" spans="1:37" ht="70" customHeight="1" x14ac:dyDescent="0.2">
      <c r="A249" s="107"/>
      <c r="B249" s="4"/>
      <c r="C249" s="163"/>
      <c r="D249" s="4"/>
      <c r="E249" s="4"/>
      <c r="F249" s="4"/>
      <c r="G249" s="4"/>
      <c r="H249" s="4"/>
      <c r="I249" s="4"/>
      <c r="J249" s="4"/>
      <c r="K249" s="4"/>
      <c r="L249" s="4"/>
      <c r="M249" s="4"/>
      <c r="N249" s="4"/>
      <c r="O249" s="4"/>
      <c r="P249" s="4"/>
      <c r="Q249" s="4"/>
      <c r="R249" s="4"/>
      <c r="S249" s="4"/>
      <c r="T249" s="10"/>
      <c r="U249" s="4"/>
      <c r="V249" s="4"/>
      <c r="W249" s="4"/>
      <c r="X249" s="4"/>
      <c r="Y249" s="4"/>
      <c r="Z249" s="4"/>
      <c r="AA249" s="4"/>
      <c r="AB249" s="4"/>
      <c r="AC249" s="4"/>
      <c r="AD249" s="4"/>
      <c r="AE249" s="4"/>
      <c r="AF249" s="4"/>
      <c r="AG249" s="4"/>
      <c r="AH249" s="4"/>
      <c r="AI249" s="4"/>
      <c r="AJ249" s="4"/>
      <c r="AK249" s="4"/>
    </row>
    <row r="250" spans="1:37" ht="70" customHeight="1" x14ac:dyDescent="0.2">
      <c r="A250" s="107"/>
      <c r="B250" s="4"/>
      <c r="C250" s="163"/>
      <c r="D250" s="4"/>
      <c r="E250" s="4"/>
      <c r="F250" s="4"/>
      <c r="G250" s="4"/>
      <c r="H250" s="4"/>
      <c r="I250" s="4"/>
      <c r="J250" s="4"/>
      <c r="K250" s="4"/>
      <c r="L250" s="4"/>
      <c r="M250" s="4"/>
      <c r="N250" s="4"/>
      <c r="O250" s="4"/>
      <c r="P250" s="4"/>
      <c r="Q250" s="4"/>
      <c r="R250" s="4"/>
      <c r="S250" s="4"/>
      <c r="T250" s="10"/>
      <c r="U250" s="7"/>
      <c r="V250" s="10"/>
      <c r="W250" s="4"/>
      <c r="X250" s="4"/>
      <c r="Y250" s="4"/>
      <c r="Z250" s="4"/>
      <c r="AA250" s="4"/>
      <c r="AB250" s="4"/>
      <c r="AC250" s="4"/>
      <c r="AD250" s="4"/>
      <c r="AE250" s="4"/>
      <c r="AF250" s="4"/>
      <c r="AG250" s="4"/>
      <c r="AH250" s="4"/>
      <c r="AI250" s="4"/>
      <c r="AJ250" s="4"/>
      <c r="AK250" s="4"/>
    </row>
    <row r="251" spans="1:37" ht="70" customHeight="1" x14ac:dyDescent="0.2">
      <c r="A251" s="107"/>
      <c r="B251" s="4"/>
      <c r="C251" s="163"/>
      <c r="D251" s="4"/>
      <c r="E251" s="4"/>
      <c r="F251" s="4"/>
      <c r="G251" s="4"/>
      <c r="H251" s="4"/>
      <c r="I251" s="4"/>
      <c r="J251" s="4"/>
      <c r="K251" s="4"/>
      <c r="L251" s="4"/>
      <c r="M251" s="4"/>
      <c r="N251" s="4"/>
      <c r="O251" s="4"/>
      <c r="P251" s="4"/>
      <c r="Q251" s="4"/>
      <c r="R251" s="4"/>
      <c r="S251" s="4"/>
      <c r="T251" s="7"/>
      <c r="U251" s="4"/>
      <c r="V251" s="4"/>
      <c r="W251" s="4"/>
      <c r="X251" s="4"/>
      <c r="Y251" s="4"/>
      <c r="Z251" s="4"/>
      <c r="AA251" s="4"/>
      <c r="AB251" s="4"/>
      <c r="AC251" s="4"/>
      <c r="AD251" s="4"/>
      <c r="AE251" s="4"/>
      <c r="AF251" s="4"/>
      <c r="AG251" s="4"/>
      <c r="AH251" s="4"/>
      <c r="AI251" s="4"/>
      <c r="AJ251" s="4"/>
      <c r="AK251" s="4"/>
    </row>
    <row r="252" spans="1:37" ht="70" customHeight="1" x14ac:dyDescent="0.2">
      <c r="A252" s="107"/>
      <c r="B252" s="4"/>
      <c r="C252" s="163"/>
      <c r="D252" s="4"/>
      <c r="E252" s="4"/>
      <c r="F252" s="4"/>
      <c r="G252" s="4"/>
      <c r="H252" s="4"/>
      <c r="I252" s="4"/>
      <c r="J252" s="4"/>
      <c r="K252" s="4"/>
      <c r="L252" s="4"/>
      <c r="M252" s="4"/>
      <c r="N252" s="4"/>
      <c r="O252" s="4"/>
      <c r="P252" s="4"/>
      <c r="Q252" s="4"/>
      <c r="R252" s="4"/>
      <c r="S252" s="4"/>
      <c r="T252" s="10"/>
      <c r="U252" s="4"/>
      <c r="V252" s="4"/>
      <c r="W252" s="4"/>
      <c r="X252" s="4"/>
      <c r="Y252" s="4"/>
      <c r="Z252" s="4"/>
      <c r="AA252" s="4"/>
      <c r="AB252" s="4"/>
      <c r="AC252" s="4"/>
      <c r="AD252" s="4"/>
      <c r="AE252" s="4"/>
      <c r="AF252" s="4"/>
      <c r="AG252" s="4"/>
      <c r="AH252" s="4"/>
      <c r="AI252" s="4"/>
      <c r="AJ252" s="4"/>
      <c r="AK252" s="4"/>
    </row>
    <row r="253" spans="1:37" ht="70" customHeight="1" x14ac:dyDescent="0.2">
      <c r="A253" s="107"/>
      <c r="B253" s="4"/>
      <c r="C253" s="163"/>
      <c r="D253" s="4"/>
      <c r="E253" s="4"/>
      <c r="F253" s="4"/>
      <c r="G253" s="4"/>
      <c r="H253" s="4"/>
      <c r="I253" s="4"/>
      <c r="J253" s="4"/>
      <c r="K253" s="4"/>
      <c r="L253" s="4"/>
      <c r="M253" s="4"/>
      <c r="N253" s="4"/>
      <c r="O253" s="4"/>
      <c r="P253" s="4"/>
      <c r="Q253" s="4"/>
      <c r="R253" s="4"/>
      <c r="S253" s="4"/>
      <c r="T253" s="10"/>
      <c r="U253" s="10"/>
      <c r="V253" s="4"/>
      <c r="W253" s="4"/>
      <c r="X253" s="4"/>
      <c r="Y253" s="4"/>
      <c r="Z253" s="4"/>
      <c r="AA253" s="4"/>
      <c r="AB253" s="4"/>
      <c r="AC253" s="4"/>
      <c r="AD253" s="4"/>
      <c r="AE253" s="4"/>
      <c r="AF253" s="4"/>
      <c r="AG253" s="4"/>
      <c r="AH253" s="4"/>
      <c r="AI253" s="4"/>
      <c r="AJ253" s="4"/>
      <c r="AK253" s="4"/>
    </row>
    <row r="254" spans="1:37" ht="70" customHeight="1" x14ac:dyDescent="0.2">
      <c r="A254" s="107"/>
      <c r="B254" s="4"/>
      <c r="C254" s="163"/>
      <c r="D254" s="4"/>
      <c r="E254" s="4"/>
      <c r="F254" s="4"/>
      <c r="G254" s="4"/>
      <c r="H254" s="4"/>
      <c r="I254" s="4"/>
      <c r="J254" s="4"/>
      <c r="K254" s="4"/>
      <c r="L254" s="4"/>
      <c r="M254" s="4"/>
      <c r="N254" s="4"/>
      <c r="O254" s="4"/>
      <c r="P254" s="4"/>
      <c r="Q254" s="4"/>
      <c r="R254" s="4"/>
      <c r="S254" s="4"/>
      <c r="T254" s="19"/>
      <c r="U254" s="10"/>
      <c r="V254" s="4"/>
      <c r="W254" s="4"/>
      <c r="X254" s="4"/>
      <c r="Y254" s="4"/>
      <c r="Z254" s="4"/>
      <c r="AA254" s="4"/>
      <c r="AB254" s="4"/>
      <c r="AC254" s="4"/>
      <c r="AD254" s="4"/>
      <c r="AE254" s="4"/>
      <c r="AF254" s="4"/>
      <c r="AG254" s="4"/>
      <c r="AH254" s="4"/>
      <c r="AI254" s="4"/>
      <c r="AJ254" s="4"/>
      <c r="AK254" s="4"/>
    </row>
    <row r="255" spans="1:37" ht="70" customHeight="1" x14ac:dyDescent="0.2">
      <c r="A255" s="107"/>
      <c r="B255" s="4"/>
      <c r="C255" s="163"/>
      <c r="D255" s="4"/>
      <c r="E255" s="4"/>
      <c r="F255" s="4"/>
      <c r="G255" s="4"/>
      <c r="H255" s="4"/>
      <c r="I255" s="4"/>
      <c r="J255" s="4"/>
      <c r="K255" s="4"/>
      <c r="L255" s="4"/>
      <c r="M255" s="4"/>
      <c r="N255" s="4"/>
      <c r="O255" s="4"/>
      <c r="P255" s="4"/>
      <c r="Q255" s="4"/>
      <c r="R255" s="4"/>
      <c r="S255" s="4"/>
      <c r="T255" s="10"/>
      <c r="U255" s="4"/>
      <c r="V255" s="10"/>
      <c r="W255" s="4"/>
      <c r="X255" s="4"/>
      <c r="Y255" s="4"/>
      <c r="Z255" s="4"/>
      <c r="AA255" s="4"/>
      <c r="AB255" s="4"/>
      <c r="AC255" s="4"/>
      <c r="AD255" s="4"/>
      <c r="AE255" s="4"/>
      <c r="AF255" s="4"/>
      <c r="AG255" s="4"/>
      <c r="AH255" s="4"/>
      <c r="AI255" s="4"/>
      <c r="AJ255" s="4"/>
      <c r="AK255" s="4"/>
    </row>
    <row r="256" spans="1:37" ht="70" customHeight="1" x14ac:dyDescent="0.2">
      <c r="A256" s="107"/>
      <c r="B256" s="4"/>
      <c r="C256" s="163"/>
      <c r="D256" s="4"/>
      <c r="E256" s="4"/>
      <c r="F256" s="4"/>
      <c r="G256" s="4"/>
      <c r="H256" s="4"/>
      <c r="I256" s="4"/>
      <c r="J256" s="4"/>
      <c r="K256" s="4"/>
      <c r="L256" s="4"/>
      <c r="M256" s="4"/>
      <c r="N256" s="4"/>
      <c r="O256" s="4"/>
      <c r="P256" s="4"/>
      <c r="Q256" s="4"/>
      <c r="R256" s="4"/>
      <c r="S256" s="4"/>
      <c r="T256" s="7"/>
      <c r="U256" s="4"/>
      <c r="V256" s="4"/>
      <c r="W256" s="4"/>
      <c r="X256" s="4"/>
      <c r="Y256" s="4"/>
      <c r="Z256" s="4"/>
      <c r="AA256" s="4"/>
      <c r="AB256" s="4"/>
      <c r="AC256" s="4"/>
      <c r="AD256" s="4"/>
      <c r="AE256" s="4"/>
      <c r="AF256" s="4"/>
      <c r="AG256" s="4"/>
      <c r="AH256" s="4"/>
      <c r="AI256" s="4"/>
      <c r="AJ256" s="4"/>
      <c r="AK256" s="4"/>
    </row>
    <row r="257" spans="1:37" ht="70" customHeight="1" x14ac:dyDescent="0.2">
      <c r="A257" s="107"/>
      <c r="B257" s="4"/>
      <c r="C257" s="163"/>
      <c r="D257" s="4"/>
      <c r="E257" s="4"/>
      <c r="F257" s="4"/>
      <c r="G257" s="4"/>
      <c r="H257" s="4"/>
      <c r="I257" s="4"/>
      <c r="J257" s="4"/>
      <c r="K257" s="4"/>
      <c r="L257" s="4"/>
      <c r="M257" s="4"/>
      <c r="N257" s="4"/>
      <c r="O257" s="4"/>
      <c r="P257" s="4"/>
      <c r="Q257" s="4"/>
      <c r="R257" s="4"/>
      <c r="S257" s="4"/>
      <c r="T257" s="10"/>
      <c r="U257" s="10"/>
      <c r="V257" s="10"/>
      <c r="W257" s="4"/>
      <c r="X257" s="7"/>
      <c r="Y257" s="4"/>
      <c r="Z257" s="4"/>
      <c r="AA257" s="4"/>
      <c r="AB257" s="4"/>
      <c r="AC257" s="4"/>
      <c r="AD257" s="4"/>
      <c r="AE257" s="4"/>
      <c r="AF257" s="4"/>
      <c r="AG257" s="4"/>
      <c r="AH257" s="4"/>
      <c r="AI257" s="4"/>
      <c r="AJ257" s="4"/>
      <c r="AK257" s="4"/>
    </row>
    <row r="258" spans="1:37" ht="70" customHeight="1" x14ac:dyDescent="0.2">
      <c r="A258" s="107"/>
      <c r="B258" s="4"/>
      <c r="C258" s="163"/>
      <c r="D258" s="4"/>
      <c r="E258" s="36"/>
      <c r="F258" s="36"/>
      <c r="G258" s="4"/>
      <c r="H258" s="4"/>
      <c r="I258" s="4"/>
      <c r="J258" s="4"/>
      <c r="K258" s="4"/>
      <c r="L258" s="4"/>
      <c r="M258" s="4"/>
      <c r="N258" s="4"/>
      <c r="O258" s="4"/>
      <c r="P258" s="4"/>
      <c r="Q258" s="4"/>
      <c r="R258" s="4"/>
      <c r="S258" s="4"/>
      <c r="T258" s="10"/>
      <c r="U258" s="10"/>
      <c r="V258" s="7"/>
      <c r="W258" s="4"/>
      <c r="X258" s="4"/>
      <c r="Y258" s="4"/>
      <c r="Z258" s="4"/>
      <c r="AA258" s="4"/>
      <c r="AB258" s="4"/>
      <c r="AC258" s="4"/>
      <c r="AD258" s="4"/>
      <c r="AE258" s="4"/>
      <c r="AF258" s="4"/>
      <c r="AG258" s="4"/>
      <c r="AH258" s="4"/>
      <c r="AI258" s="4"/>
      <c r="AJ258" s="4"/>
      <c r="AK258" s="4"/>
    </row>
    <row r="259" spans="1:37" ht="70" customHeight="1" x14ac:dyDescent="0.2">
      <c r="A259" s="107"/>
      <c r="B259" s="4"/>
      <c r="C259" s="163"/>
      <c r="D259" s="4"/>
      <c r="E259" s="4"/>
      <c r="F259" s="4"/>
      <c r="G259" s="4"/>
      <c r="H259" s="4"/>
      <c r="I259" s="4"/>
      <c r="J259" s="4"/>
      <c r="K259" s="4"/>
      <c r="L259" s="4"/>
      <c r="M259" s="4"/>
      <c r="N259" s="4"/>
      <c r="O259" s="4"/>
      <c r="P259" s="4"/>
      <c r="Q259" s="4"/>
      <c r="R259" s="4"/>
      <c r="S259" s="4"/>
      <c r="T259" s="10"/>
      <c r="U259" s="4"/>
      <c r="V259" s="4"/>
      <c r="W259" s="4"/>
      <c r="X259" s="4"/>
      <c r="Y259" s="4"/>
      <c r="Z259" s="4"/>
      <c r="AA259" s="4"/>
      <c r="AB259" s="4"/>
      <c r="AC259" s="4"/>
      <c r="AD259" s="4"/>
      <c r="AE259" s="4"/>
      <c r="AF259" s="4"/>
      <c r="AG259" s="4"/>
      <c r="AH259" s="4"/>
      <c r="AI259" s="4"/>
      <c r="AJ259" s="4"/>
      <c r="AK259" s="4"/>
    </row>
    <row r="260" spans="1:37" ht="70" customHeight="1" x14ac:dyDescent="0.2">
      <c r="A260" s="107"/>
      <c r="B260" s="4"/>
      <c r="C260" s="163"/>
      <c r="D260" s="4"/>
      <c r="E260" s="4"/>
      <c r="F260" s="4"/>
      <c r="G260" s="4"/>
      <c r="H260" s="4"/>
      <c r="I260" s="4"/>
      <c r="J260" s="4"/>
      <c r="K260" s="4"/>
      <c r="L260" s="4"/>
      <c r="M260" s="4"/>
      <c r="N260" s="4"/>
      <c r="O260" s="4"/>
      <c r="P260" s="4"/>
      <c r="Q260" s="4"/>
      <c r="R260" s="4"/>
      <c r="S260" s="4"/>
      <c r="T260" s="10"/>
      <c r="U260" s="10"/>
      <c r="V260" s="7"/>
      <c r="W260" s="4"/>
      <c r="X260" s="4"/>
      <c r="Y260" s="4"/>
      <c r="Z260" s="4"/>
      <c r="AA260" s="4"/>
      <c r="AB260" s="4"/>
      <c r="AC260" s="4"/>
      <c r="AD260" s="4"/>
      <c r="AE260" s="4"/>
      <c r="AF260" s="4"/>
      <c r="AG260" s="4"/>
      <c r="AH260" s="4"/>
      <c r="AI260" s="4"/>
      <c r="AJ260" s="4"/>
      <c r="AK260" s="4"/>
    </row>
    <row r="261" spans="1:37" ht="70" customHeight="1" x14ac:dyDescent="0.2">
      <c r="A261" s="107"/>
      <c r="B261" s="4"/>
      <c r="C261" s="163"/>
      <c r="D261" s="4"/>
      <c r="E261" s="4"/>
      <c r="F261" s="4"/>
      <c r="G261" s="4"/>
      <c r="H261" s="4"/>
      <c r="I261" s="4"/>
      <c r="J261" s="4"/>
      <c r="K261" s="4"/>
      <c r="L261" s="4"/>
      <c r="M261" s="4"/>
      <c r="N261" s="4"/>
      <c r="O261" s="4"/>
      <c r="P261" s="4"/>
      <c r="Q261" s="4"/>
      <c r="R261" s="4"/>
      <c r="S261" s="4"/>
      <c r="T261" s="10"/>
      <c r="U261" s="7"/>
      <c r="V261" s="7"/>
      <c r="W261" s="4"/>
      <c r="X261" s="4"/>
      <c r="Y261" s="4"/>
      <c r="Z261" s="4"/>
      <c r="AA261" s="4"/>
      <c r="AB261" s="4"/>
      <c r="AC261" s="4"/>
      <c r="AD261" s="4"/>
      <c r="AE261" s="4"/>
      <c r="AF261" s="4"/>
      <c r="AG261" s="4"/>
      <c r="AH261" s="4"/>
      <c r="AI261" s="4"/>
      <c r="AJ261" s="4"/>
      <c r="AK261" s="4"/>
    </row>
    <row r="262" spans="1:37" ht="70" customHeight="1" x14ac:dyDescent="0.2">
      <c r="A262" s="107"/>
      <c r="B262" s="4"/>
      <c r="C262" s="163"/>
      <c r="D262" s="4"/>
      <c r="E262" s="4"/>
      <c r="F262" s="4"/>
      <c r="G262" s="4"/>
      <c r="H262" s="4"/>
      <c r="I262" s="4"/>
      <c r="J262" s="4"/>
      <c r="K262" s="4"/>
      <c r="L262" s="4"/>
      <c r="M262" s="4"/>
      <c r="N262" s="4"/>
      <c r="O262" s="4"/>
      <c r="P262" s="4"/>
      <c r="Q262" s="4"/>
      <c r="R262" s="35"/>
      <c r="S262" s="4"/>
      <c r="T262" s="7"/>
      <c r="U262" s="4"/>
      <c r="V262" s="4"/>
      <c r="W262" s="4"/>
      <c r="X262" s="4"/>
      <c r="Y262" s="4"/>
      <c r="Z262" s="4"/>
      <c r="AA262" s="4"/>
      <c r="AB262" s="4"/>
      <c r="AC262" s="4"/>
      <c r="AD262" s="4"/>
      <c r="AE262" s="4"/>
      <c r="AF262" s="4"/>
      <c r="AG262" s="4"/>
      <c r="AH262" s="4"/>
      <c r="AI262" s="4"/>
      <c r="AJ262" s="4"/>
      <c r="AK262" s="4"/>
    </row>
    <row r="263" spans="1:37" ht="70" customHeight="1" x14ac:dyDescent="0.2">
      <c r="A263" s="107"/>
      <c r="B263" s="4"/>
      <c r="C263" s="163"/>
      <c r="D263" s="4"/>
      <c r="E263" s="4"/>
      <c r="F263" s="4"/>
      <c r="G263" s="4"/>
      <c r="H263" s="4"/>
      <c r="I263" s="4"/>
      <c r="J263" s="4"/>
      <c r="K263" s="4"/>
      <c r="L263" s="4"/>
      <c r="M263" s="4"/>
      <c r="N263" s="4"/>
      <c r="O263" s="4"/>
      <c r="P263" s="4"/>
      <c r="Q263" s="4"/>
      <c r="R263" s="4"/>
      <c r="S263" s="4"/>
      <c r="T263" s="10"/>
      <c r="U263" s="4"/>
      <c r="V263" s="4"/>
      <c r="W263" s="4"/>
      <c r="X263" s="4"/>
      <c r="Y263" s="4"/>
      <c r="Z263" s="4"/>
      <c r="AA263" s="4"/>
      <c r="AB263" s="4"/>
      <c r="AC263" s="4"/>
      <c r="AD263" s="4"/>
      <c r="AE263" s="4"/>
      <c r="AF263" s="4"/>
      <c r="AG263" s="4"/>
      <c r="AH263" s="4"/>
      <c r="AI263" s="4"/>
      <c r="AJ263" s="4"/>
      <c r="AK263" s="4"/>
    </row>
    <row r="264" spans="1:37" ht="70" customHeight="1" x14ac:dyDescent="0.2">
      <c r="A264" s="107"/>
      <c r="B264" s="4"/>
      <c r="C264" s="163"/>
      <c r="D264" s="4"/>
      <c r="E264" s="4"/>
      <c r="F264" s="4"/>
      <c r="G264" s="4"/>
      <c r="H264" s="4"/>
      <c r="I264" s="4"/>
      <c r="J264" s="4"/>
      <c r="K264" s="4"/>
      <c r="L264" s="4"/>
      <c r="M264" s="4"/>
      <c r="N264" s="4"/>
      <c r="O264" s="4"/>
      <c r="P264" s="4"/>
      <c r="Q264" s="4"/>
      <c r="R264" s="9"/>
      <c r="S264" s="4"/>
      <c r="T264" s="10"/>
      <c r="U264" s="10"/>
      <c r="V264" s="10"/>
      <c r="W264" s="7"/>
      <c r="X264" s="4"/>
      <c r="Y264" s="4"/>
      <c r="Z264" s="4"/>
      <c r="AA264" s="4"/>
      <c r="AB264" s="4"/>
      <c r="AC264" s="4"/>
      <c r="AD264" s="4"/>
      <c r="AE264" s="4"/>
      <c r="AF264" s="4"/>
      <c r="AG264" s="4"/>
      <c r="AH264" s="4"/>
      <c r="AI264" s="4"/>
      <c r="AJ264" s="4"/>
      <c r="AK264" s="4"/>
    </row>
    <row r="265" spans="1:37" ht="70" customHeight="1" x14ac:dyDescent="0.2">
      <c r="A265" s="107"/>
      <c r="B265" s="4"/>
      <c r="C265" s="163"/>
      <c r="D265" s="4"/>
      <c r="E265" s="4"/>
      <c r="F265" s="4"/>
      <c r="G265" s="4"/>
      <c r="H265" s="4"/>
      <c r="I265" s="4"/>
      <c r="J265" s="4"/>
      <c r="K265" s="4"/>
      <c r="L265" s="4"/>
      <c r="M265" s="4"/>
      <c r="N265" s="4"/>
      <c r="O265" s="4"/>
      <c r="P265" s="4"/>
      <c r="Q265" s="4"/>
      <c r="R265" s="9"/>
      <c r="S265" s="4"/>
      <c r="T265" s="10"/>
      <c r="U265" s="10"/>
      <c r="V265" s="10"/>
      <c r="W265" s="7"/>
      <c r="X265" s="4"/>
      <c r="Y265" s="4"/>
      <c r="Z265" s="4"/>
      <c r="AA265" s="4"/>
      <c r="AB265" s="4"/>
      <c r="AC265" s="4"/>
      <c r="AD265" s="4"/>
      <c r="AE265" s="4"/>
      <c r="AF265" s="4"/>
      <c r="AG265" s="4"/>
      <c r="AH265" s="4"/>
      <c r="AI265" s="4"/>
      <c r="AJ265" s="4"/>
      <c r="AK265" s="4"/>
    </row>
    <row r="266" spans="1:37" ht="70" customHeight="1" x14ac:dyDescent="0.2">
      <c r="A266" s="107"/>
      <c r="B266" s="4"/>
      <c r="C266" s="163"/>
      <c r="D266" s="4"/>
      <c r="E266" s="4"/>
      <c r="F266" s="4"/>
      <c r="G266" s="4"/>
      <c r="H266" s="4"/>
      <c r="I266" s="4"/>
      <c r="J266" s="4"/>
      <c r="K266" s="4"/>
      <c r="L266" s="4"/>
      <c r="M266" s="4"/>
      <c r="N266" s="4"/>
      <c r="O266" s="4"/>
      <c r="P266" s="4"/>
      <c r="Q266" s="4"/>
      <c r="R266" s="4"/>
      <c r="S266" s="4"/>
      <c r="T266" s="10"/>
      <c r="U266" s="10"/>
      <c r="V266" s="10"/>
      <c r="W266" s="4"/>
      <c r="X266" s="4"/>
      <c r="Y266" s="4"/>
      <c r="Z266" s="4"/>
      <c r="AA266" s="4"/>
      <c r="AB266" s="4"/>
      <c r="AC266" s="4"/>
      <c r="AD266" s="4"/>
      <c r="AE266" s="4"/>
      <c r="AF266" s="4"/>
      <c r="AG266" s="4"/>
      <c r="AH266" s="4"/>
      <c r="AI266" s="4"/>
      <c r="AJ266" s="4"/>
      <c r="AK266" s="4"/>
    </row>
    <row r="267" spans="1:37" ht="70" customHeight="1" x14ac:dyDescent="0.2">
      <c r="A267" s="107"/>
      <c r="B267" s="4"/>
      <c r="C267" s="163"/>
      <c r="D267" s="4"/>
      <c r="E267" s="4"/>
      <c r="F267" s="4"/>
      <c r="G267" s="4"/>
      <c r="H267" s="4"/>
      <c r="I267" s="4"/>
      <c r="J267" s="4"/>
      <c r="K267" s="4"/>
      <c r="L267" s="4"/>
      <c r="M267" s="4"/>
      <c r="N267" s="4"/>
      <c r="O267" s="4"/>
      <c r="P267" s="4"/>
      <c r="Q267" s="4"/>
      <c r="R267" s="4"/>
      <c r="S267" s="4"/>
      <c r="T267" s="10"/>
      <c r="U267" s="7"/>
      <c r="V267" s="10"/>
      <c r="W267" s="4"/>
      <c r="X267" s="4"/>
      <c r="Y267" s="4"/>
      <c r="Z267" s="4"/>
      <c r="AA267" s="4"/>
      <c r="AB267" s="4"/>
      <c r="AC267" s="4"/>
      <c r="AD267" s="4"/>
      <c r="AE267" s="4"/>
      <c r="AF267" s="4"/>
      <c r="AG267" s="4"/>
      <c r="AH267" s="4"/>
      <c r="AI267" s="4"/>
      <c r="AJ267" s="4"/>
      <c r="AK267" s="4"/>
    </row>
    <row r="268" spans="1:37" ht="70" customHeight="1" x14ac:dyDescent="0.2">
      <c r="A268" s="107"/>
      <c r="B268" s="4"/>
      <c r="C268" s="163"/>
      <c r="D268" s="4"/>
      <c r="E268" s="4"/>
      <c r="F268" s="4"/>
      <c r="G268" s="4"/>
      <c r="H268" s="4"/>
      <c r="I268" s="4"/>
      <c r="J268" s="4"/>
      <c r="K268" s="4"/>
      <c r="L268" s="4"/>
      <c r="M268" s="4"/>
      <c r="N268" s="4"/>
      <c r="O268" s="4"/>
      <c r="P268" s="4"/>
      <c r="Q268" s="4"/>
      <c r="R268" s="4"/>
      <c r="S268" s="4"/>
      <c r="T268" s="10"/>
      <c r="U268" s="10"/>
      <c r="V268" s="4"/>
      <c r="W268" s="4"/>
      <c r="X268" s="4"/>
      <c r="Y268" s="4"/>
      <c r="Z268" s="4"/>
      <c r="AA268" s="4"/>
      <c r="AB268" s="4"/>
      <c r="AC268" s="4"/>
      <c r="AD268" s="4"/>
      <c r="AE268" s="4"/>
      <c r="AF268" s="4"/>
      <c r="AG268" s="4"/>
      <c r="AH268" s="4"/>
      <c r="AI268" s="4"/>
      <c r="AJ268" s="4"/>
      <c r="AK268" s="4"/>
    </row>
    <row r="269" spans="1:37" ht="70" customHeight="1" x14ac:dyDescent="0.2">
      <c r="A269" s="107"/>
      <c r="B269" s="4"/>
      <c r="C269" s="163"/>
      <c r="D269" s="4"/>
      <c r="E269" s="4"/>
      <c r="F269" s="4"/>
      <c r="G269" s="4"/>
      <c r="H269" s="4"/>
      <c r="I269" s="4"/>
      <c r="J269" s="4"/>
      <c r="K269" s="4"/>
      <c r="L269" s="4"/>
      <c r="M269" s="4"/>
      <c r="N269" s="4"/>
      <c r="O269" s="4"/>
      <c r="P269" s="4"/>
      <c r="Q269" s="4"/>
      <c r="R269" s="35"/>
      <c r="S269" s="4"/>
      <c r="T269" s="10"/>
      <c r="U269" s="4"/>
      <c r="V269" s="4"/>
      <c r="W269" s="4"/>
      <c r="X269" s="4"/>
      <c r="Y269" s="4"/>
      <c r="Z269" s="4"/>
      <c r="AA269" s="4"/>
      <c r="AB269" s="4"/>
      <c r="AC269" s="4"/>
      <c r="AD269" s="4"/>
      <c r="AE269" s="4"/>
      <c r="AF269" s="4"/>
      <c r="AG269" s="4"/>
      <c r="AH269" s="4"/>
      <c r="AI269" s="4"/>
      <c r="AJ269" s="4"/>
      <c r="AK269" s="4"/>
    </row>
    <row r="270" spans="1:37" ht="70" customHeight="1" x14ac:dyDescent="0.2">
      <c r="A270" s="107"/>
      <c r="B270" s="4"/>
      <c r="C270" s="163"/>
      <c r="D270" s="4"/>
      <c r="E270" s="4"/>
      <c r="F270" s="4"/>
      <c r="G270" s="4"/>
      <c r="H270" s="4"/>
      <c r="I270" s="4"/>
      <c r="J270" s="4"/>
      <c r="K270" s="4"/>
      <c r="L270" s="4"/>
      <c r="M270" s="4"/>
      <c r="N270" s="4"/>
      <c r="O270" s="4"/>
      <c r="P270" s="4"/>
      <c r="Q270" s="4"/>
      <c r="R270" s="35"/>
      <c r="S270" s="4"/>
      <c r="T270" s="10"/>
      <c r="U270" s="10"/>
      <c r="V270" s="4"/>
      <c r="W270" s="4"/>
      <c r="X270" s="4"/>
      <c r="Y270" s="4"/>
      <c r="Z270" s="4"/>
      <c r="AA270" s="4"/>
      <c r="AB270" s="4"/>
      <c r="AC270" s="4"/>
      <c r="AD270" s="4"/>
      <c r="AE270" s="4"/>
      <c r="AF270" s="4"/>
      <c r="AG270" s="4"/>
      <c r="AH270" s="4"/>
      <c r="AI270" s="4"/>
      <c r="AJ270" s="4"/>
      <c r="AK270" s="4"/>
    </row>
    <row r="271" spans="1:37" ht="70" customHeight="1" x14ac:dyDescent="0.2">
      <c r="A271" s="107"/>
      <c r="B271" s="4"/>
      <c r="C271" s="163"/>
      <c r="D271" s="4"/>
      <c r="E271" s="4"/>
      <c r="F271" s="4"/>
      <c r="G271" s="4"/>
      <c r="H271" s="4"/>
      <c r="I271" s="4"/>
      <c r="J271" s="4"/>
      <c r="K271" s="4"/>
      <c r="L271" s="4"/>
      <c r="M271" s="4"/>
      <c r="N271" s="4"/>
      <c r="O271" s="4"/>
      <c r="P271" s="4"/>
      <c r="Q271" s="4"/>
      <c r="R271" s="35"/>
      <c r="S271" s="4"/>
      <c r="T271" s="10"/>
      <c r="U271" s="4"/>
      <c r="V271" s="4"/>
      <c r="W271" s="4"/>
      <c r="X271" s="4"/>
      <c r="Y271" s="4"/>
      <c r="Z271" s="4"/>
      <c r="AA271" s="4"/>
      <c r="AB271" s="4"/>
      <c r="AC271" s="4"/>
      <c r="AD271" s="4"/>
      <c r="AE271" s="4"/>
      <c r="AF271" s="4"/>
      <c r="AG271" s="4"/>
      <c r="AH271" s="4"/>
      <c r="AI271" s="4"/>
      <c r="AJ271" s="4"/>
      <c r="AK271" s="4"/>
    </row>
    <row r="272" spans="1:37" ht="70" customHeight="1" x14ac:dyDescent="0.2">
      <c r="A272" s="107"/>
      <c r="B272" s="4"/>
      <c r="C272" s="163"/>
      <c r="D272" s="4"/>
      <c r="E272" s="4"/>
      <c r="F272" s="4"/>
      <c r="G272" s="4"/>
      <c r="H272" s="4"/>
      <c r="I272" s="4"/>
      <c r="J272" s="4"/>
      <c r="K272" s="4"/>
      <c r="L272" s="4"/>
      <c r="M272" s="4"/>
      <c r="N272" s="4"/>
      <c r="O272" s="4"/>
      <c r="P272" s="4"/>
      <c r="Q272" s="4"/>
      <c r="R272" s="35"/>
      <c r="S272" s="4"/>
      <c r="T272" s="7"/>
      <c r="U272" s="4"/>
      <c r="V272" s="4"/>
      <c r="W272" s="4"/>
      <c r="X272" s="4"/>
      <c r="Y272" s="4"/>
      <c r="Z272" s="4"/>
      <c r="AA272" s="4"/>
      <c r="AB272" s="4"/>
      <c r="AC272" s="4"/>
      <c r="AD272" s="4"/>
      <c r="AE272" s="4"/>
      <c r="AF272" s="4"/>
      <c r="AG272" s="4"/>
      <c r="AH272" s="4"/>
      <c r="AI272" s="4"/>
      <c r="AJ272" s="4"/>
      <c r="AK272" s="4"/>
    </row>
    <row r="273" spans="1:37" ht="70" customHeight="1" x14ac:dyDescent="0.2">
      <c r="A273" s="107"/>
      <c r="B273" s="4"/>
      <c r="C273" s="163"/>
      <c r="D273" s="4"/>
      <c r="E273" s="4"/>
      <c r="F273" s="4"/>
      <c r="G273" s="4"/>
      <c r="H273" s="4"/>
      <c r="I273" s="4"/>
      <c r="J273" s="4"/>
      <c r="K273" s="4"/>
      <c r="L273" s="4"/>
      <c r="M273" s="4"/>
      <c r="N273" s="4"/>
      <c r="O273" s="4"/>
      <c r="P273" s="4"/>
      <c r="Q273" s="4"/>
      <c r="R273" s="35"/>
      <c r="S273" s="4"/>
      <c r="T273" s="7"/>
      <c r="U273" s="4"/>
      <c r="V273" s="4"/>
      <c r="W273" s="4"/>
      <c r="X273" s="4"/>
      <c r="Y273" s="4"/>
      <c r="Z273" s="4"/>
      <c r="AA273" s="4"/>
      <c r="AB273" s="4"/>
      <c r="AC273" s="4"/>
      <c r="AD273" s="4"/>
      <c r="AE273" s="4"/>
      <c r="AF273" s="4"/>
      <c r="AG273" s="4"/>
      <c r="AH273" s="4"/>
      <c r="AI273" s="4"/>
      <c r="AJ273" s="4"/>
      <c r="AK273" s="4"/>
    </row>
    <row r="274" spans="1:37" ht="70" customHeight="1" x14ac:dyDescent="0.2">
      <c r="A274" s="107"/>
      <c r="B274" s="4"/>
      <c r="C274" s="163"/>
      <c r="D274" s="4"/>
      <c r="E274" s="4"/>
      <c r="F274" s="4"/>
      <c r="G274" s="4"/>
      <c r="H274" s="4"/>
      <c r="I274" s="4"/>
      <c r="J274" s="4"/>
      <c r="K274" s="4"/>
      <c r="L274" s="4"/>
      <c r="M274" s="4"/>
      <c r="N274" s="4"/>
      <c r="O274" s="4"/>
      <c r="P274" s="4"/>
      <c r="Q274" s="4"/>
      <c r="R274" s="35"/>
      <c r="S274" s="4"/>
      <c r="T274" s="7"/>
      <c r="U274" s="4"/>
      <c r="V274" s="4"/>
      <c r="W274" s="4"/>
      <c r="X274" s="4"/>
      <c r="Y274" s="4"/>
      <c r="Z274" s="4"/>
      <c r="AA274" s="4"/>
      <c r="AB274" s="4"/>
      <c r="AC274" s="4"/>
      <c r="AD274" s="4"/>
      <c r="AE274" s="4"/>
      <c r="AF274" s="4"/>
      <c r="AG274" s="4"/>
      <c r="AH274" s="4"/>
      <c r="AI274" s="4"/>
      <c r="AJ274" s="4"/>
      <c r="AK274" s="4"/>
    </row>
    <row r="275" spans="1:37" ht="70" customHeight="1" x14ac:dyDescent="0.2">
      <c r="A275" s="107"/>
      <c r="B275" s="4"/>
      <c r="C275" s="163"/>
      <c r="D275" s="4"/>
      <c r="E275" s="4"/>
      <c r="F275" s="4"/>
      <c r="G275" s="4"/>
      <c r="H275" s="4"/>
      <c r="I275" s="4"/>
      <c r="J275" s="4"/>
      <c r="K275" s="4"/>
      <c r="L275" s="4"/>
      <c r="M275" s="4"/>
      <c r="N275" s="4"/>
      <c r="O275" s="4"/>
      <c r="P275" s="4"/>
      <c r="Q275" s="4"/>
      <c r="R275" s="35"/>
      <c r="S275" s="4"/>
      <c r="T275" s="7"/>
      <c r="U275" s="4"/>
      <c r="V275" s="4"/>
      <c r="W275" s="4"/>
      <c r="X275" s="4"/>
      <c r="Y275" s="4"/>
      <c r="Z275" s="4"/>
      <c r="AA275" s="4"/>
      <c r="AB275" s="4"/>
      <c r="AC275" s="4"/>
      <c r="AD275" s="4"/>
      <c r="AE275" s="4"/>
      <c r="AF275" s="4"/>
      <c r="AG275" s="4"/>
      <c r="AH275" s="4"/>
      <c r="AI275" s="4"/>
      <c r="AJ275" s="4"/>
      <c r="AK275" s="4"/>
    </row>
    <row r="276" spans="1:37" ht="70" customHeight="1" x14ac:dyDescent="0.2">
      <c r="A276" s="107"/>
      <c r="B276" s="4"/>
      <c r="C276" s="163"/>
      <c r="D276" s="4"/>
      <c r="E276" s="4"/>
      <c r="F276" s="4"/>
      <c r="G276" s="4"/>
      <c r="H276" s="4"/>
      <c r="I276" s="4"/>
      <c r="J276" s="4"/>
      <c r="K276" s="4"/>
      <c r="L276" s="4"/>
      <c r="M276" s="4"/>
      <c r="N276" s="4"/>
      <c r="O276" s="4"/>
      <c r="P276" s="4"/>
      <c r="Q276" s="4"/>
      <c r="R276" s="35"/>
      <c r="S276" s="4"/>
      <c r="T276" s="7"/>
      <c r="U276" s="4"/>
      <c r="V276" s="4"/>
      <c r="W276" s="4"/>
      <c r="X276" s="4"/>
      <c r="Y276" s="4"/>
      <c r="Z276" s="4"/>
      <c r="AA276" s="4"/>
      <c r="AB276" s="4"/>
      <c r="AC276" s="4"/>
      <c r="AD276" s="4"/>
      <c r="AE276" s="4"/>
      <c r="AF276" s="4"/>
      <c r="AG276" s="4"/>
      <c r="AH276" s="4"/>
      <c r="AI276" s="4"/>
      <c r="AJ276" s="4"/>
      <c r="AK276" s="4"/>
    </row>
    <row r="277" spans="1:37" ht="70" customHeight="1" x14ac:dyDescent="0.2">
      <c r="A277" s="107"/>
      <c r="B277" s="4"/>
      <c r="C277" s="163"/>
      <c r="D277" s="4"/>
      <c r="E277" s="4"/>
      <c r="F277" s="4"/>
      <c r="G277" s="4"/>
      <c r="H277" s="4"/>
      <c r="I277" s="4"/>
      <c r="J277" s="4"/>
      <c r="K277" s="4"/>
      <c r="L277" s="4"/>
      <c r="M277" s="4"/>
      <c r="N277" s="4"/>
      <c r="O277" s="4"/>
      <c r="P277" s="4"/>
      <c r="Q277" s="4"/>
      <c r="R277" s="35"/>
      <c r="S277" s="4"/>
      <c r="T277" s="7"/>
      <c r="U277" s="4"/>
      <c r="V277" s="4"/>
      <c r="W277" s="4"/>
      <c r="X277" s="4"/>
      <c r="Y277" s="4"/>
      <c r="Z277" s="4"/>
      <c r="AA277" s="4"/>
      <c r="AB277" s="4"/>
      <c r="AC277" s="4"/>
      <c r="AD277" s="4"/>
      <c r="AE277" s="4"/>
      <c r="AF277" s="4"/>
      <c r="AG277" s="4"/>
      <c r="AH277" s="4"/>
      <c r="AI277" s="4"/>
      <c r="AJ277" s="4"/>
      <c r="AK277" s="4"/>
    </row>
    <row r="278" spans="1:37" ht="70" customHeight="1" x14ac:dyDescent="0.2">
      <c r="A278" s="107"/>
      <c r="B278" s="4"/>
      <c r="C278" s="163"/>
      <c r="D278" s="4"/>
      <c r="E278" s="4"/>
      <c r="F278" s="4"/>
      <c r="G278" s="4"/>
      <c r="H278" s="4"/>
      <c r="I278" s="4"/>
      <c r="J278" s="4"/>
      <c r="K278" s="4"/>
      <c r="L278" s="4"/>
      <c r="M278" s="4"/>
      <c r="N278" s="4"/>
      <c r="O278" s="4"/>
      <c r="P278" s="4"/>
      <c r="Q278" s="4"/>
      <c r="R278" s="35"/>
      <c r="S278" s="4"/>
      <c r="T278" s="7"/>
      <c r="U278" s="4"/>
      <c r="V278" s="4"/>
      <c r="W278" s="4"/>
      <c r="X278" s="4"/>
      <c r="Y278" s="4"/>
      <c r="Z278" s="4"/>
      <c r="AA278" s="4"/>
      <c r="AB278" s="4"/>
      <c r="AC278" s="4"/>
      <c r="AD278" s="4"/>
      <c r="AE278" s="4"/>
      <c r="AF278" s="4"/>
      <c r="AG278" s="4"/>
      <c r="AH278" s="4"/>
      <c r="AI278" s="4"/>
      <c r="AJ278" s="4"/>
      <c r="AK278" s="4"/>
    </row>
    <row r="279" spans="1:37" ht="70" customHeight="1" x14ac:dyDescent="0.2">
      <c r="A279" s="107"/>
      <c r="B279" s="4"/>
      <c r="C279" s="163"/>
      <c r="D279" s="4"/>
      <c r="E279" s="4"/>
      <c r="F279" s="4"/>
      <c r="G279" s="4"/>
      <c r="H279" s="4"/>
      <c r="I279" s="4"/>
      <c r="J279" s="4"/>
      <c r="K279" s="4"/>
      <c r="L279" s="4"/>
      <c r="M279" s="4"/>
      <c r="N279" s="4"/>
      <c r="O279" s="4"/>
      <c r="P279" s="4"/>
      <c r="Q279" s="4"/>
      <c r="R279" s="35"/>
      <c r="S279" s="4"/>
      <c r="T279" s="7"/>
      <c r="U279" s="4"/>
      <c r="V279" s="4"/>
      <c r="W279" s="4"/>
      <c r="X279" s="4"/>
      <c r="Y279" s="4"/>
      <c r="Z279" s="4"/>
      <c r="AA279" s="4"/>
      <c r="AB279" s="4"/>
      <c r="AC279" s="4"/>
      <c r="AD279" s="4"/>
      <c r="AE279" s="4"/>
      <c r="AF279" s="4"/>
      <c r="AG279" s="4"/>
      <c r="AH279" s="4"/>
      <c r="AI279" s="4"/>
      <c r="AJ279" s="4"/>
      <c r="AK279" s="4"/>
    </row>
    <row r="280" spans="1:37" ht="70" customHeight="1" x14ac:dyDescent="0.2">
      <c r="A280" s="107"/>
      <c r="B280" s="4"/>
      <c r="C280" s="163"/>
      <c r="D280" s="4"/>
      <c r="E280" s="4"/>
      <c r="F280" s="4"/>
      <c r="G280" s="4"/>
      <c r="H280" s="4"/>
      <c r="I280" s="4"/>
      <c r="J280" s="4"/>
      <c r="K280" s="4"/>
      <c r="L280" s="4"/>
      <c r="M280" s="4"/>
      <c r="N280" s="4"/>
      <c r="O280" s="4"/>
      <c r="P280" s="4"/>
      <c r="Q280" s="4"/>
      <c r="R280" s="35"/>
      <c r="S280" s="4"/>
      <c r="T280" s="7"/>
      <c r="U280" s="4"/>
      <c r="V280" s="4"/>
      <c r="W280" s="4"/>
      <c r="X280" s="4"/>
      <c r="Y280" s="4"/>
      <c r="Z280" s="4"/>
      <c r="AA280" s="4"/>
      <c r="AB280" s="4"/>
      <c r="AC280" s="4"/>
      <c r="AD280" s="4"/>
      <c r="AE280" s="4"/>
      <c r="AF280" s="4"/>
      <c r="AG280" s="4"/>
      <c r="AH280" s="4"/>
      <c r="AI280" s="4"/>
      <c r="AJ280" s="4"/>
      <c r="AK280" s="4"/>
    </row>
    <row r="281" spans="1:37" ht="70" customHeight="1" x14ac:dyDescent="0.2">
      <c r="A281" s="107"/>
      <c r="B281" s="4"/>
      <c r="C281" s="163"/>
      <c r="D281" s="4"/>
      <c r="E281" s="4"/>
      <c r="F281" s="4"/>
      <c r="G281" s="4"/>
      <c r="H281" s="4"/>
      <c r="I281" s="4"/>
      <c r="J281" s="4"/>
      <c r="K281" s="4"/>
      <c r="L281" s="4"/>
      <c r="M281" s="4"/>
      <c r="N281" s="4"/>
      <c r="O281" s="4"/>
      <c r="P281" s="4"/>
      <c r="Q281" s="4"/>
      <c r="R281" s="35"/>
      <c r="S281" s="4"/>
      <c r="T281" s="7"/>
      <c r="U281" s="4"/>
      <c r="V281" s="4"/>
      <c r="W281" s="4"/>
      <c r="X281" s="4"/>
      <c r="Y281" s="4"/>
      <c r="Z281" s="4"/>
      <c r="AA281" s="4"/>
      <c r="AB281" s="4"/>
      <c r="AC281" s="4"/>
      <c r="AD281" s="4"/>
      <c r="AE281" s="4"/>
      <c r="AF281" s="4"/>
      <c r="AG281" s="4"/>
      <c r="AH281" s="4"/>
      <c r="AI281" s="4"/>
      <c r="AJ281" s="4"/>
      <c r="AK281" s="4"/>
    </row>
    <row r="282" spans="1:37" ht="70" customHeight="1" x14ac:dyDescent="0.2">
      <c r="A282" s="107"/>
      <c r="B282" s="4"/>
      <c r="C282" s="163"/>
      <c r="D282" s="4"/>
      <c r="E282" s="4"/>
      <c r="F282" s="4"/>
      <c r="G282" s="4"/>
      <c r="H282" s="4"/>
      <c r="I282" s="4"/>
      <c r="J282" s="4"/>
      <c r="K282" s="4"/>
      <c r="L282" s="4"/>
      <c r="M282" s="4"/>
      <c r="N282" s="4"/>
      <c r="O282" s="4"/>
      <c r="P282" s="4"/>
      <c r="Q282" s="4"/>
      <c r="R282" s="35"/>
      <c r="S282" s="4"/>
      <c r="T282" s="7"/>
      <c r="U282" s="4"/>
      <c r="V282" s="4"/>
      <c r="W282" s="4"/>
      <c r="X282" s="4"/>
      <c r="Y282" s="4"/>
      <c r="Z282" s="4"/>
      <c r="AA282" s="4"/>
      <c r="AB282" s="4"/>
      <c r="AC282" s="4"/>
      <c r="AD282" s="4"/>
      <c r="AE282" s="4"/>
      <c r="AF282" s="4"/>
      <c r="AG282" s="4"/>
      <c r="AH282" s="4"/>
      <c r="AI282" s="4"/>
      <c r="AJ282" s="4"/>
      <c r="AK282" s="4"/>
    </row>
    <row r="283" spans="1:37" ht="70" customHeight="1" x14ac:dyDescent="0.2">
      <c r="A283" s="107"/>
      <c r="B283" s="4"/>
      <c r="C283" s="163"/>
      <c r="D283" s="4"/>
      <c r="E283" s="4"/>
      <c r="F283" s="4"/>
      <c r="G283" s="4"/>
      <c r="H283" s="4"/>
      <c r="I283" s="4"/>
      <c r="J283" s="4"/>
      <c r="K283" s="4"/>
      <c r="L283" s="4"/>
      <c r="M283" s="4"/>
      <c r="N283" s="4"/>
      <c r="O283" s="4"/>
      <c r="P283" s="4"/>
      <c r="Q283" s="4"/>
      <c r="R283" s="35"/>
      <c r="S283" s="4"/>
      <c r="T283" s="7"/>
      <c r="U283" s="4"/>
      <c r="V283" s="4"/>
      <c r="W283" s="4"/>
      <c r="X283" s="4"/>
      <c r="Y283" s="4"/>
      <c r="Z283" s="4"/>
      <c r="AA283" s="4"/>
      <c r="AB283" s="4"/>
      <c r="AC283" s="4"/>
      <c r="AD283" s="4"/>
      <c r="AE283" s="4"/>
      <c r="AF283" s="4"/>
      <c r="AG283" s="4"/>
      <c r="AH283" s="4"/>
      <c r="AI283" s="4"/>
      <c r="AJ283" s="4"/>
      <c r="AK283" s="4"/>
    </row>
    <row r="284" spans="1:37" ht="70" customHeight="1" x14ac:dyDescent="0.2">
      <c r="A284" s="107"/>
      <c r="B284" s="4"/>
      <c r="C284" s="163"/>
      <c r="D284" s="4"/>
      <c r="E284" s="4"/>
      <c r="F284" s="4"/>
      <c r="G284" s="4"/>
      <c r="H284" s="4"/>
      <c r="I284" s="4"/>
      <c r="J284" s="4"/>
      <c r="K284" s="4"/>
      <c r="L284" s="4"/>
      <c r="M284" s="4"/>
      <c r="N284" s="4"/>
      <c r="O284" s="4"/>
      <c r="P284" s="4"/>
      <c r="Q284" s="4"/>
      <c r="R284" s="35"/>
      <c r="S284" s="4"/>
      <c r="T284" s="7"/>
      <c r="U284" s="4"/>
      <c r="V284" s="4"/>
      <c r="W284" s="4"/>
      <c r="X284" s="4"/>
      <c r="Y284" s="4"/>
      <c r="Z284" s="4"/>
      <c r="AA284" s="4"/>
      <c r="AB284" s="4"/>
      <c r="AC284" s="4"/>
      <c r="AD284" s="4"/>
      <c r="AE284" s="4"/>
      <c r="AF284" s="4"/>
      <c r="AG284" s="4"/>
      <c r="AH284" s="4"/>
      <c r="AI284" s="4"/>
      <c r="AJ284" s="4"/>
      <c r="AK284" s="4"/>
    </row>
    <row r="285" spans="1:37" ht="70" customHeight="1" x14ac:dyDescent="0.2">
      <c r="A285" s="107"/>
      <c r="B285" s="4"/>
      <c r="C285" s="163"/>
      <c r="D285" s="4"/>
      <c r="E285" s="4"/>
      <c r="F285" s="4"/>
      <c r="G285" s="4"/>
      <c r="H285" s="4"/>
      <c r="I285" s="4"/>
      <c r="J285" s="4"/>
      <c r="K285" s="4"/>
      <c r="L285" s="4"/>
      <c r="M285" s="4"/>
      <c r="N285" s="4"/>
      <c r="O285" s="4"/>
      <c r="P285" s="4"/>
      <c r="Q285" s="4"/>
      <c r="R285" s="35"/>
      <c r="S285" s="4"/>
      <c r="T285" s="7"/>
      <c r="U285" s="4"/>
      <c r="V285" s="4"/>
      <c r="W285" s="4"/>
      <c r="X285" s="4"/>
      <c r="Y285" s="4"/>
      <c r="Z285" s="4"/>
      <c r="AA285" s="4"/>
      <c r="AB285" s="4"/>
      <c r="AC285" s="4"/>
      <c r="AD285" s="4"/>
      <c r="AE285" s="4"/>
      <c r="AF285" s="4"/>
      <c r="AG285" s="4"/>
      <c r="AH285" s="4"/>
      <c r="AI285" s="4"/>
      <c r="AJ285" s="4"/>
      <c r="AK285" s="4"/>
    </row>
    <row r="286" spans="1:37" ht="70" customHeight="1" x14ac:dyDescent="0.2">
      <c r="A286" s="107"/>
      <c r="B286" s="4"/>
      <c r="C286" s="163"/>
      <c r="D286" s="4"/>
      <c r="E286" s="4"/>
      <c r="F286" s="4"/>
      <c r="G286" s="4"/>
      <c r="H286" s="4"/>
      <c r="I286" s="4"/>
      <c r="J286" s="4"/>
      <c r="K286" s="4"/>
      <c r="L286" s="4"/>
      <c r="M286" s="4"/>
      <c r="N286" s="4"/>
      <c r="O286" s="4"/>
      <c r="P286" s="4"/>
      <c r="Q286" s="4"/>
      <c r="R286" s="35"/>
      <c r="S286" s="4"/>
      <c r="T286" s="7"/>
      <c r="U286" s="4"/>
      <c r="V286" s="4"/>
      <c r="W286" s="4"/>
      <c r="X286" s="4"/>
      <c r="Y286" s="4"/>
      <c r="Z286" s="4"/>
      <c r="AA286" s="4"/>
      <c r="AB286" s="4"/>
      <c r="AC286" s="4"/>
      <c r="AD286" s="4"/>
      <c r="AE286" s="4"/>
      <c r="AF286" s="4"/>
      <c r="AG286" s="4"/>
      <c r="AH286" s="4"/>
      <c r="AI286" s="4"/>
      <c r="AJ286" s="4"/>
      <c r="AK286" s="4"/>
    </row>
    <row r="287" spans="1:37" ht="70" customHeight="1" x14ac:dyDescent="0.2">
      <c r="A287" s="107"/>
      <c r="B287" s="4"/>
      <c r="C287" s="163"/>
      <c r="D287" s="4"/>
      <c r="E287" s="4"/>
      <c r="F287" s="4"/>
      <c r="G287" s="4"/>
      <c r="H287" s="4"/>
      <c r="I287" s="4"/>
      <c r="J287" s="4"/>
      <c r="K287" s="4"/>
      <c r="L287" s="4"/>
      <c r="M287" s="4"/>
      <c r="N287" s="4"/>
      <c r="O287" s="4"/>
      <c r="P287" s="4"/>
      <c r="Q287" s="4"/>
      <c r="R287" s="35"/>
      <c r="S287" s="4"/>
      <c r="T287" s="7"/>
      <c r="U287" s="4"/>
      <c r="V287" s="4"/>
      <c r="W287" s="4"/>
      <c r="X287" s="4"/>
      <c r="Y287" s="4"/>
      <c r="Z287" s="4"/>
      <c r="AA287" s="4"/>
      <c r="AB287" s="4"/>
      <c r="AC287" s="4"/>
      <c r="AD287" s="4"/>
      <c r="AE287" s="4"/>
      <c r="AF287" s="4"/>
      <c r="AG287" s="4"/>
      <c r="AH287" s="4"/>
      <c r="AI287" s="4"/>
      <c r="AJ287" s="4"/>
      <c r="AK287" s="4"/>
    </row>
    <row r="288" spans="1:37" ht="70" customHeight="1" x14ac:dyDescent="0.2">
      <c r="A288" s="107"/>
      <c r="B288" s="4"/>
      <c r="C288" s="163"/>
      <c r="D288" s="4"/>
      <c r="E288" s="4"/>
      <c r="F288" s="4"/>
      <c r="G288" s="4"/>
      <c r="H288" s="4"/>
      <c r="I288" s="4"/>
      <c r="J288" s="4"/>
      <c r="K288" s="4"/>
      <c r="L288" s="4"/>
      <c r="M288" s="4"/>
      <c r="N288" s="4"/>
      <c r="O288" s="4"/>
      <c r="P288" s="4"/>
      <c r="Q288" s="4"/>
      <c r="R288" s="35"/>
      <c r="S288" s="4"/>
      <c r="T288" s="7"/>
      <c r="U288" s="4"/>
      <c r="V288" s="4"/>
      <c r="W288" s="4"/>
      <c r="X288" s="4"/>
      <c r="Y288" s="4"/>
      <c r="Z288" s="4"/>
      <c r="AA288" s="4"/>
      <c r="AB288" s="4"/>
      <c r="AC288" s="4"/>
      <c r="AD288" s="4"/>
      <c r="AE288" s="4"/>
      <c r="AF288" s="4"/>
      <c r="AG288" s="4"/>
      <c r="AH288" s="4"/>
      <c r="AI288" s="4"/>
      <c r="AJ288" s="4"/>
      <c r="AK288" s="4"/>
    </row>
    <row r="289" spans="1:37" ht="70" customHeight="1" x14ac:dyDescent="0.2">
      <c r="A289" s="107"/>
      <c r="B289" s="4"/>
      <c r="C289" s="163"/>
      <c r="D289" s="4"/>
      <c r="E289" s="4"/>
      <c r="F289" s="4"/>
      <c r="G289" s="4"/>
      <c r="H289" s="4"/>
      <c r="I289" s="4"/>
      <c r="J289" s="4"/>
      <c r="K289" s="4"/>
      <c r="L289" s="4"/>
      <c r="M289" s="4"/>
      <c r="N289" s="4"/>
      <c r="O289" s="4"/>
      <c r="P289" s="4"/>
      <c r="Q289" s="4"/>
      <c r="R289" s="35"/>
      <c r="S289" s="4"/>
      <c r="T289" s="7"/>
      <c r="U289" s="4"/>
      <c r="V289" s="4"/>
      <c r="W289" s="4"/>
      <c r="X289" s="4"/>
      <c r="Y289" s="4"/>
      <c r="Z289" s="4"/>
      <c r="AA289" s="4"/>
      <c r="AB289" s="4"/>
      <c r="AC289" s="4"/>
      <c r="AD289" s="4"/>
      <c r="AE289" s="4"/>
      <c r="AF289" s="4"/>
      <c r="AG289" s="4"/>
      <c r="AH289" s="4"/>
      <c r="AI289" s="4"/>
      <c r="AJ289" s="4"/>
      <c r="AK289" s="4"/>
    </row>
    <row r="290" spans="1:37" ht="70" customHeight="1" x14ac:dyDescent="0.2">
      <c r="A290" s="107"/>
      <c r="B290" s="4"/>
      <c r="C290" s="163"/>
      <c r="D290" s="4"/>
      <c r="E290" s="4"/>
      <c r="F290" s="4"/>
      <c r="G290" s="4"/>
      <c r="H290" s="4"/>
      <c r="I290" s="4"/>
      <c r="J290" s="4"/>
      <c r="K290" s="4"/>
      <c r="L290" s="4"/>
      <c r="M290" s="4"/>
      <c r="N290" s="4"/>
      <c r="O290" s="4"/>
      <c r="P290" s="4"/>
      <c r="Q290" s="4"/>
      <c r="R290" s="35"/>
      <c r="S290" s="4"/>
      <c r="T290" s="7"/>
      <c r="U290" s="4"/>
      <c r="V290" s="4"/>
      <c r="W290" s="4"/>
      <c r="X290" s="4"/>
      <c r="Y290" s="4"/>
      <c r="Z290" s="4"/>
      <c r="AA290" s="4"/>
      <c r="AB290" s="4"/>
      <c r="AC290" s="4"/>
      <c r="AD290" s="4"/>
      <c r="AE290" s="4"/>
      <c r="AF290" s="4"/>
      <c r="AG290" s="4"/>
      <c r="AH290" s="4"/>
      <c r="AI290" s="4"/>
      <c r="AJ290" s="4"/>
      <c r="AK290" s="4"/>
    </row>
    <row r="291" spans="1:37" ht="70" customHeight="1" x14ac:dyDescent="0.2">
      <c r="A291" s="107"/>
      <c r="B291" s="4"/>
      <c r="C291" s="163"/>
      <c r="D291" s="4"/>
      <c r="E291" s="4"/>
      <c r="F291" s="4"/>
      <c r="G291" s="4"/>
      <c r="H291" s="4"/>
      <c r="I291" s="4"/>
      <c r="J291" s="4"/>
      <c r="K291" s="4"/>
      <c r="L291" s="4"/>
      <c r="M291" s="4"/>
      <c r="N291" s="4"/>
      <c r="O291" s="4"/>
      <c r="P291" s="4"/>
      <c r="Q291" s="4"/>
      <c r="R291" s="35"/>
      <c r="S291" s="4"/>
      <c r="T291" s="7"/>
      <c r="U291" s="4"/>
      <c r="V291" s="4"/>
      <c r="W291" s="4"/>
      <c r="X291" s="4"/>
      <c r="Y291" s="4"/>
      <c r="Z291" s="4"/>
      <c r="AA291" s="4"/>
      <c r="AB291" s="4"/>
      <c r="AC291" s="4"/>
      <c r="AD291" s="4"/>
      <c r="AE291" s="4"/>
      <c r="AF291" s="4"/>
      <c r="AG291" s="4"/>
      <c r="AH291" s="4"/>
      <c r="AI291" s="4"/>
      <c r="AJ291" s="4"/>
      <c r="AK291" s="4"/>
    </row>
    <row r="292" spans="1:37" ht="70" customHeight="1" x14ac:dyDescent="0.2">
      <c r="A292" s="107"/>
      <c r="B292" s="4"/>
      <c r="C292" s="163"/>
      <c r="D292" s="4"/>
      <c r="E292" s="4"/>
      <c r="F292" s="4"/>
      <c r="G292" s="4"/>
      <c r="H292" s="4"/>
      <c r="I292" s="4"/>
      <c r="J292" s="4"/>
      <c r="K292" s="4"/>
      <c r="L292" s="4"/>
      <c r="M292" s="4"/>
      <c r="N292" s="4"/>
      <c r="O292" s="4"/>
      <c r="P292" s="4"/>
      <c r="Q292" s="4"/>
      <c r="R292" s="35"/>
      <c r="S292" s="4"/>
      <c r="T292" s="7"/>
      <c r="U292" s="4"/>
      <c r="V292" s="4"/>
      <c r="W292" s="4"/>
      <c r="X292" s="4"/>
      <c r="Y292" s="4"/>
      <c r="Z292" s="4"/>
      <c r="AA292" s="4"/>
      <c r="AB292" s="4"/>
      <c r="AC292" s="4"/>
      <c r="AD292" s="4"/>
      <c r="AE292" s="4"/>
      <c r="AF292" s="4"/>
      <c r="AG292" s="4"/>
      <c r="AH292" s="4"/>
      <c r="AI292" s="4"/>
      <c r="AJ292" s="4"/>
      <c r="AK292" s="4"/>
    </row>
    <row r="293" spans="1:37" ht="70" customHeight="1" x14ac:dyDescent="0.2">
      <c r="A293" s="107"/>
      <c r="B293" s="4"/>
      <c r="C293" s="163"/>
      <c r="D293" s="4"/>
      <c r="E293" s="4"/>
      <c r="F293" s="4"/>
      <c r="G293" s="4"/>
      <c r="H293" s="4"/>
      <c r="I293" s="4"/>
      <c r="J293" s="4"/>
      <c r="K293" s="4"/>
      <c r="L293" s="4"/>
      <c r="M293" s="4"/>
      <c r="N293" s="4"/>
      <c r="O293" s="4"/>
      <c r="P293" s="4"/>
      <c r="Q293" s="4"/>
      <c r="R293" s="35"/>
      <c r="S293" s="4"/>
      <c r="T293" s="7"/>
      <c r="U293" s="4"/>
      <c r="V293" s="4"/>
      <c r="W293" s="4"/>
      <c r="X293" s="4"/>
      <c r="Y293" s="4"/>
      <c r="Z293" s="4"/>
      <c r="AA293" s="4"/>
      <c r="AB293" s="4"/>
      <c r="AC293" s="4"/>
      <c r="AD293" s="4"/>
      <c r="AE293" s="4"/>
      <c r="AF293" s="4"/>
      <c r="AG293" s="4"/>
      <c r="AH293" s="4"/>
      <c r="AI293" s="4"/>
      <c r="AJ293" s="4"/>
      <c r="AK293" s="4"/>
    </row>
    <row r="294" spans="1:37" ht="70" customHeight="1" x14ac:dyDescent="0.2">
      <c r="A294" s="107"/>
      <c r="B294" s="4"/>
      <c r="C294" s="163"/>
      <c r="D294" s="4"/>
      <c r="E294" s="4"/>
      <c r="F294" s="4"/>
      <c r="G294" s="4"/>
      <c r="H294" s="4"/>
      <c r="I294" s="4"/>
      <c r="J294" s="4"/>
      <c r="K294" s="4"/>
      <c r="L294" s="4"/>
      <c r="M294" s="4"/>
      <c r="N294" s="4"/>
      <c r="O294" s="4"/>
      <c r="P294" s="4"/>
      <c r="Q294" s="4"/>
      <c r="R294" s="35"/>
      <c r="S294" s="4"/>
      <c r="T294" s="7"/>
      <c r="U294" s="4"/>
      <c r="V294" s="4"/>
      <c r="W294" s="4"/>
      <c r="X294" s="4"/>
      <c r="Y294" s="4"/>
      <c r="Z294" s="4"/>
      <c r="AA294" s="4"/>
      <c r="AB294" s="4"/>
      <c r="AC294" s="4"/>
      <c r="AD294" s="4"/>
      <c r="AE294" s="4"/>
      <c r="AF294" s="4"/>
      <c r="AG294" s="4"/>
      <c r="AH294" s="4"/>
      <c r="AI294" s="4"/>
      <c r="AJ294" s="4"/>
      <c r="AK294" s="4"/>
    </row>
    <row r="295" spans="1:37" ht="70" customHeight="1" x14ac:dyDescent="0.2">
      <c r="A295" s="107"/>
      <c r="B295" s="4"/>
      <c r="C295" s="163"/>
      <c r="D295" s="4"/>
      <c r="E295" s="4"/>
      <c r="F295" s="4"/>
      <c r="G295" s="4"/>
      <c r="H295" s="4"/>
      <c r="I295" s="4"/>
      <c r="J295" s="4"/>
      <c r="K295" s="4"/>
      <c r="L295" s="4"/>
      <c r="M295" s="4"/>
      <c r="N295" s="4"/>
      <c r="O295" s="4"/>
      <c r="P295" s="4"/>
      <c r="Q295" s="4"/>
      <c r="R295" s="35"/>
      <c r="S295" s="4"/>
      <c r="T295" s="7"/>
      <c r="U295" s="4"/>
      <c r="V295" s="4"/>
      <c r="W295" s="4"/>
      <c r="X295" s="4"/>
      <c r="Y295" s="4"/>
      <c r="Z295" s="4"/>
      <c r="AA295" s="4"/>
      <c r="AB295" s="4"/>
      <c r="AC295" s="4"/>
      <c r="AD295" s="4"/>
      <c r="AE295" s="4"/>
      <c r="AF295" s="4"/>
      <c r="AG295" s="4"/>
      <c r="AH295" s="4"/>
      <c r="AI295" s="4"/>
      <c r="AJ295" s="4"/>
      <c r="AK295" s="4"/>
    </row>
    <row r="296" spans="1:37" ht="70" customHeight="1" x14ac:dyDescent="0.2">
      <c r="A296" s="107"/>
      <c r="B296" s="4"/>
      <c r="C296" s="163"/>
      <c r="D296" s="4"/>
      <c r="E296" s="4"/>
      <c r="F296" s="4"/>
      <c r="G296" s="4"/>
      <c r="H296" s="4"/>
      <c r="I296" s="4"/>
      <c r="J296" s="4"/>
      <c r="K296" s="4"/>
      <c r="L296" s="4"/>
      <c r="M296" s="4"/>
      <c r="N296" s="4"/>
      <c r="O296" s="4"/>
      <c r="P296" s="4"/>
      <c r="Q296" s="4"/>
      <c r="R296" s="35"/>
      <c r="S296" s="4"/>
      <c r="T296" s="7"/>
      <c r="U296" s="4"/>
      <c r="V296" s="4"/>
      <c r="W296" s="4"/>
      <c r="X296" s="4"/>
      <c r="Y296" s="4"/>
      <c r="Z296" s="4"/>
      <c r="AA296" s="4"/>
      <c r="AB296" s="4"/>
      <c r="AC296" s="4"/>
      <c r="AD296" s="4"/>
      <c r="AE296" s="4"/>
      <c r="AF296" s="4"/>
      <c r="AG296" s="4"/>
      <c r="AH296" s="4"/>
      <c r="AI296" s="4"/>
      <c r="AJ296" s="4"/>
      <c r="AK296" s="4"/>
    </row>
    <row r="297" spans="1:37" ht="70" customHeight="1" x14ac:dyDescent="0.2">
      <c r="A297" s="107"/>
      <c r="B297" s="4"/>
      <c r="C297" s="163"/>
      <c r="D297" s="4"/>
      <c r="E297" s="4"/>
      <c r="F297" s="4"/>
      <c r="G297" s="4"/>
      <c r="H297" s="4"/>
      <c r="I297" s="4"/>
      <c r="J297" s="4"/>
      <c r="K297" s="4"/>
      <c r="L297" s="4"/>
      <c r="M297" s="4"/>
      <c r="N297" s="4"/>
      <c r="O297" s="4"/>
      <c r="P297" s="4"/>
      <c r="Q297" s="4"/>
      <c r="R297" s="35"/>
      <c r="S297" s="4"/>
      <c r="T297" s="7"/>
      <c r="U297" s="4"/>
      <c r="V297" s="4"/>
      <c r="W297" s="4"/>
      <c r="X297" s="4"/>
      <c r="Y297" s="4"/>
      <c r="Z297" s="4"/>
      <c r="AA297" s="4"/>
      <c r="AB297" s="4"/>
      <c r="AC297" s="4"/>
      <c r="AD297" s="4"/>
      <c r="AE297" s="4"/>
      <c r="AF297" s="4"/>
      <c r="AG297" s="4"/>
      <c r="AH297" s="4"/>
      <c r="AI297" s="4"/>
      <c r="AJ297" s="4"/>
      <c r="AK297" s="4"/>
    </row>
    <row r="298" spans="1:37" ht="70" customHeight="1" x14ac:dyDescent="0.2">
      <c r="A298" s="107"/>
      <c r="B298" s="4"/>
      <c r="C298" s="163"/>
      <c r="D298" s="4"/>
      <c r="E298" s="4"/>
      <c r="F298" s="4"/>
      <c r="G298" s="4"/>
      <c r="H298" s="4"/>
      <c r="I298" s="4"/>
      <c r="J298" s="4"/>
      <c r="K298" s="4"/>
      <c r="L298" s="4"/>
      <c r="M298" s="4"/>
      <c r="N298" s="4"/>
      <c r="O298" s="4"/>
      <c r="P298" s="4"/>
      <c r="Q298" s="4"/>
      <c r="R298" s="35"/>
      <c r="S298" s="4"/>
      <c r="T298" s="7"/>
      <c r="U298" s="4"/>
      <c r="V298" s="4"/>
      <c r="W298" s="4"/>
      <c r="X298" s="4"/>
      <c r="Y298" s="4"/>
      <c r="Z298" s="4"/>
      <c r="AA298" s="4"/>
      <c r="AB298" s="4"/>
      <c r="AC298" s="4"/>
      <c r="AD298" s="4"/>
      <c r="AE298" s="4"/>
      <c r="AF298" s="4"/>
      <c r="AG298" s="4"/>
      <c r="AH298" s="4"/>
      <c r="AI298" s="4"/>
      <c r="AJ298" s="4"/>
      <c r="AK298" s="4"/>
    </row>
    <row r="299" spans="1:37" ht="70" customHeight="1" x14ac:dyDescent="0.2">
      <c r="A299" s="107"/>
      <c r="B299" s="4"/>
      <c r="C299" s="163"/>
      <c r="D299" s="4"/>
      <c r="E299" s="4"/>
      <c r="F299" s="4"/>
      <c r="G299" s="4"/>
      <c r="H299" s="4"/>
      <c r="I299" s="4"/>
      <c r="J299" s="4"/>
      <c r="K299" s="4"/>
      <c r="L299" s="4"/>
      <c r="M299" s="4"/>
      <c r="N299" s="4"/>
      <c r="O299" s="4"/>
      <c r="P299" s="4"/>
      <c r="Q299" s="4"/>
      <c r="R299" s="35"/>
      <c r="S299" s="4"/>
      <c r="T299" s="7"/>
      <c r="U299" s="4"/>
      <c r="V299" s="4"/>
      <c r="W299" s="4"/>
      <c r="X299" s="4"/>
      <c r="Y299" s="4"/>
      <c r="Z299" s="4"/>
      <c r="AA299" s="4"/>
      <c r="AB299" s="4"/>
      <c r="AC299" s="4"/>
      <c r="AD299" s="4"/>
      <c r="AE299" s="4"/>
      <c r="AF299" s="4"/>
      <c r="AG299" s="4"/>
      <c r="AH299" s="4"/>
      <c r="AI299" s="4"/>
      <c r="AJ299" s="4"/>
      <c r="AK299" s="4"/>
    </row>
    <row r="300" spans="1:37" ht="70" customHeight="1" x14ac:dyDescent="0.2">
      <c r="A300" s="107"/>
      <c r="B300" s="4"/>
      <c r="C300" s="163"/>
      <c r="D300" s="4"/>
      <c r="E300" s="4"/>
      <c r="F300" s="4"/>
      <c r="G300" s="4"/>
      <c r="H300" s="4"/>
      <c r="I300" s="4"/>
      <c r="J300" s="4"/>
      <c r="K300" s="4"/>
      <c r="L300" s="4"/>
      <c r="M300" s="4"/>
      <c r="N300" s="4"/>
      <c r="O300" s="4"/>
      <c r="P300" s="4"/>
      <c r="Q300" s="4"/>
      <c r="R300" s="35"/>
      <c r="S300" s="4"/>
      <c r="T300" s="7"/>
      <c r="U300" s="4"/>
      <c r="V300" s="4"/>
      <c r="W300" s="4"/>
      <c r="X300" s="4"/>
      <c r="Y300" s="4"/>
      <c r="Z300" s="4"/>
      <c r="AA300" s="4"/>
      <c r="AB300" s="4"/>
      <c r="AC300" s="4"/>
      <c r="AD300" s="4"/>
      <c r="AE300" s="4"/>
      <c r="AF300" s="4"/>
      <c r="AG300" s="4"/>
      <c r="AH300" s="4"/>
      <c r="AI300" s="4"/>
      <c r="AJ300" s="4"/>
      <c r="AK300" s="4"/>
    </row>
    <row r="301" spans="1:37" ht="70" customHeight="1" x14ac:dyDescent="0.2">
      <c r="A301" s="107"/>
      <c r="B301" s="4"/>
      <c r="C301" s="163"/>
      <c r="D301" s="4"/>
      <c r="E301" s="4"/>
      <c r="F301" s="4"/>
      <c r="G301" s="4"/>
      <c r="H301" s="4"/>
      <c r="I301" s="4"/>
      <c r="J301" s="4"/>
      <c r="K301" s="4"/>
      <c r="L301" s="4"/>
      <c r="M301" s="4"/>
      <c r="N301" s="4"/>
      <c r="O301" s="4"/>
      <c r="P301" s="4"/>
      <c r="Q301" s="4"/>
      <c r="R301" s="35"/>
      <c r="S301" s="4"/>
      <c r="T301" s="7"/>
      <c r="U301" s="4"/>
      <c r="V301" s="4"/>
      <c r="W301" s="4"/>
      <c r="X301" s="4"/>
      <c r="Y301" s="4"/>
      <c r="Z301" s="4"/>
      <c r="AA301" s="4"/>
      <c r="AB301" s="4"/>
      <c r="AC301" s="4"/>
      <c r="AD301" s="4"/>
      <c r="AE301" s="4"/>
      <c r="AF301" s="4"/>
      <c r="AG301" s="4"/>
      <c r="AH301" s="4"/>
      <c r="AI301" s="4"/>
      <c r="AJ301" s="4"/>
      <c r="AK301" s="4"/>
    </row>
    <row r="302" spans="1:37" ht="70" customHeight="1" x14ac:dyDescent="0.2">
      <c r="A302" s="107"/>
      <c r="B302" s="4"/>
      <c r="C302" s="163"/>
      <c r="D302" s="4"/>
      <c r="E302" s="4"/>
      <c r="F302" s="4"/>
      <c r="G302" s="4"/>
      <c r="H302" s="4"/>
      <c r="I302" s="4"/>
      <c r="J302" s="4"/>
      <c r="K302" s="4"/>
      <c r="L302" s="4"/>
      <c r="M302" s="4"/>
      <c r="N302" s="4"/>
      <c r="O302" s="4"/>
      <c r="P302" s="4"/>
      <c r="Q302" s="4"/>
      <c r="R302" s="35"/>
      <c r="S302" s="4"/>
      <c r="T302" s="7"/>
      <c r="U302" s="4"/>
      <c r="V302" s="4"/>
      <c r="W302" s="4"/>
      <c r="X302" s="4"/>
      <c r="Y302" s="4"/>
      <c r="Z302" s="4"/>
      <c r="AA302" s="4"/>
      <c r="AB302" s="4"/>
      <c r="AC302" s="4"/>
      <c r="AD302" s="4"/>
      <c r="AE302" s="4"/>
      <c r="AF302" s="4"/>
      <c r="AG302" s="4"/>
      <c r="AH302" s="4"/>
      <c r="AI302" s="4"/>
      <c r="AJ302" s="4"/>
      <c r="AK302" s="4"/>
    </row>
    <row r="303" spans="1:37" ht="70" customHeight="1" x14ac:dyDescent="0.2">
      <c r="A303" s="107"/>
      <c r="B303" s="4"/>
      <c r="C303" s="163"/>
      <c r="D303" s="4"/>
      <c r="E303" s="4"/>
      <c r="F303" s="4"/>
      <c r="G303" s="4"/>
      <c r="H303" s="4"/>
      <c r="I303" s="4"/>
      <c r="J303" s="4"/>
      <c r="K303" s="4"/>
      <c r="L303" s="4"/>
      <c r="M303" s="4"/>
      <c r="N303" s="4"/>
      <c r="O303" s="4"/>
      <c r="P303" s="4"/>
      <c r="Q303" s="4"/>
      <c r="R303" s="4"/>
      <c r="S303" s="4"/>
      <c r="T303" s="7"/>
      <c r="U303" s="4"/>
      <c r="V303" s="4"/>
      <c r="W303" s="4"/>
      <c r="X303" s="4"/>
      <c r="Y303" s="4"/>
      <c r="Z303" s="4"/>
      <c r="AA303" s="4"/>
      <c r="AB303" s="4"/>
      <c r="AC303" s="4"/>
      <c r="AD303" s="4"/>
      <c r="AE303" s="4"/>
      <c r="AF303" s="4"/>
      <c r="AG303" s="4"/>
      <c r="AH303" s="4"/>
      <c r="AI303" s="4"/>
      <c r="AJ303" s="4"/>
      <c r="AK303" s="4"/>
    </row>
    <row r="304" spans="1:37" ht="70" customHeight="1" x14ac:dyDescent="0.2">
      <c r="A304" s="107"/>
      <c r="B304" s="4"/>
      <c r="C304" s="163"/>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row>
    <row r="305" spans="1:37" ht="70" customHeight="1" x14ac:dyDescent="0.2">
      <c r="A305" s="107"/>
      <c r="B305" s="4"/>
      <c r="C305" s="163"/>
      <c r="D305" s="4"/>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row>
    <row r="306" spans="1:37" ht="70" customHeight="1" x14ac:dyDescent="0.2">
      <c r="A306" s="107"/>
      <c r="B306" s="4"/>
      <c r="C306" s="163"/>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row>
    <row r="307" spans="1:37" ht="70" customHeight="1" x14ac:dyDescent="0.2">
      <c r="A307" s="107"/>
      <c r="B307" s="4"/>
      <c r="C307" s="163"/>
      <c r="D307" s="4"/>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4"/>
      <c r="AE307" s="4"/>
      <c r="AF307" s="4"/>
      <c r="AG307" s="4"/>
      <c r="AH307" s="4"/>
      <c r="AI307" s="4"/>
      <c r="AJ307" s="4"/>
      <c r="AK307" s="4"/>
    </row>
    <row r="308" spans="1:37" ht="70" customHeight="1" x14ac:dyDescent="0.2">
      <c r="A308" s="107"/>
      <c r="B308" s="4"/>
      <c r="C308" s="163"/>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row>
    <row r="309" spans="1:37" ht="70" customHeight="1" x14ac:dyDescent="0.2">
      <c r="A309" s="107"/>
      <c r="B309" s="4"/>
      <c r="C309" s="163"/>
      <c r="D309" s="4"/>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4"/>
      <c r="AE309" s="4"/>
      <c r="AF309" s="4"/>
      <c r="AG309" s="4"/>
      <c r="AH309" s="4"/>
      <c r="AI309" s="4"/>
      <c r="AJ309" s="4"/>
      <c r="AK309" s="4"/>
    </row>
    <row r="310" spans="1:37" ht="70" customHeight="1" x14ac:dyDescent="0.2">
      <c r="A310" s="107"/>
      <c r="B310" s="4"/>
      <c r="C310" s="163"/>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row>
    <row r="311" spans="1:37" ht="70" customHeight="1" x14ac:dyDescent="0.2">
      <c r="A311" s="107"/>
      <c r="B311" s="4"/>
      <c r="C311" s="163"/>
      <c r="D311" s="4"/>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row>
    <row r="312" spans="1:37" ht="70" customHeight="1" x14ac:dyDescent="0.2">
      <c r="A312" s="107"/>
      <c r="B312" s="4"/>
      <c r="C312" s="163"/>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row>
    <row r="313" spans="1:37" ht="70" customHeight="1" x14ac:dyDescent="0.2">
      <c r="A313" s="107"/>
      <c r="B313" s="4"/>
      <c r="C313" s="163"/>
      <c r="D313" s="4"/>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4"/>
      <c r="AE313" s="4"/>
      <c r="AF313" s="4"/>
      <c r="AG313" s="4"/>
      <c r="AH313" s="4"/>
      <c r="AI313" s="4"/>
      <c r="AJ313" s="4"/>
      <c r="AK313" s="4"/>
    </row>
    <row r="314" spans="1:37" ht="70" customHeight="1" x14ac:dyDescent="0.2">
      <c r="A314" s="107"/>
      <c r="B314" s="4"/>
      <c r="C314" s="163"/>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row>
    <row r="315" spans="1:37" ht="70" customHeight="1" x14ac:dyDescent="0.2">
      <c r="A315" s="107"/>
      <c r="B315" s="4"/>
      <c r="C315" s="163"/>
      <c r="D315" s="4"/>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4"/>
      <c r="AE315" s="4"/>
      <c r="AF315" s="4"/>
      <c r="AG315" s="4"/>
      <c r="AH315" s="4"/>
      <c r="AI315" s="4"/>
      <c r="AJ315" s="4"/>
      <c r="AK315" s="4"/>
    </row>
    <row r="316" spans="1:37" ht="70" customHeight="1" x14ac:dyDescent="0.2">
      <c r="A316" s="107"/>
      <c r="B316" s="4"/>
      <c r="C316" s="163"/>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row>
    <row r="317" spans="1:37" ht="70" customHeight="1" x14ac:dyDescent="0.2">
      <c r="A317" s="107"/>
      <c r="B317" s="4"/>
      <c r="C317" s="163"/>
      <c r="D317" s="4"/>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row>
    <row r="318" spans="1:37" ht="70" customHeight="1" x14ac:dyDescent="0.2">
      <c r="A318" s="107"/>
      <c r="B318" s="4"/>
      <c r="C318" s="163"/>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row>
    <row r="319" spans="1:37" ht="70" customHeight="1" x14ac:dyDescent="0.2">
      <c r="A319" s="107"/>
      <c r="B319" s="4"/>
      <c r="C319" s="163"/>
      <c r="D319" s="4"/>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4"/>
      <c r="AE319" s="4"/>
      <c r="AF319" s="4"/>
      <c r="AG319" s="4"/>
      <c r="AH319" s="4"/>
      <c r="AI319" s="4"/>
      <c r="AJ319" s="4"/>
      <c r="AK319" s="4"/>
    </row>
    <row r="320" spans="1:37" ht="70" customHeight="1" x14ac:dyDescent="0.2">
      <c r="A320" s="107"/>
      <c r="B320" s="4"/>
      <c r="C320" s="163"/>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row>
    <row r="321" spans="1:37" ht="70" customHeight="1" x14ac:dyDescent="0.2">
      <c r="A321" s="107"/>
      <c r="B321" s="4"/>
      <c r="C321" s="163"/>
      <c r="D321" s="4"/>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row>
    <row r="322" spans="1:37" ht="70" customHeight="1" x14ac:dyDescent="0.2">
      <c r="A322" s="107"/>
      <c r="B322" s="4"/>
      <c r="C322" s="163"/>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row>
    <row r="323" spans="1:37" ht="70" customHeight="1" x14ac:dyDescent="0.2">
      <c r="A323" s="107"/>
      <c r="B323" s="4"/>
      <c r="C323" s="163"/>
      <c r="D323" s="4"/>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row>
    <row r="324" spans="1:37" ht="70" customHeight="1" x14ac:dyDescent="0.2">
      <c r="A324" s="107"/>
      <c r="B324" s="4"/>
      <c r="C324" s="163"/>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row>
    <row r="325" spans="1:37" ht="70" customHeight="1" x14ac:dyDescent="0.2">
      <c r="A325" s="107"/>
      <c r="B325" s="4"/>
      <c r="C325" s="163"/>
      <c r="D325" s="4"/>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row>
    <row r="326" spans="1:37" ht="70" customHeight="1" x14ac:dyDescent="0.2">
      <c r="A326" s="107"/>
      <c r="B326" s="4"/>
      <c r="C326" s="163"/>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row>
    <row r="327" spans="1:37" ht="70" customHeight="1" x14ac:dyDescent="0.2">
      <c r="A327" s="107"/>
      <c r="B327" s="4"/>
      <c r="C327" s="163"/>
      <c r="D327" s="4"/>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row>
    <row r="328" spans="1:37" ht="70" customHeight="1" x14ac:dyDescent="0.2">
      <c r="A328" s="107"/>
      <c r="B328" s="4"/>
      <c r="C328" s="163"/>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row>
    <row r="329" spans="1:37" ht="70" customHeight="1" x14ac:dyDescent="0.2">
      <c r="A329" s="107"/>
      <c r="B329" s="4"/>
      <c r="C329" s="163"/>
      <c r="D329" s="4"/>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row>
    <row r="330" spans="1:37" ht="70" customHeight="1" x14ac:dyDescent="0.2">
      <c r="A330" s="107"/>
      <c r="B330" s="4"/>
      <c r="C330" s="163"/>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row>
    <row r="331" spans="1:37" ht="70" customHeight="1" x14ac:dyDescent="0.2">
      <c r="A331" s="107"/>
      <c r="B331" s="4"/>
      <c r="C331" s="163"/>
      <c r="D331" s="4"/>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row>
    <row r="332" spans="1:37" ht="70" customHeight="1" x14ac:dyDescent="0.2">
      <c r="A332" s="107"/>
      <c r="B332" s="4"/>
      <c r="C332" s="163"/>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row>
    <row r="333" spans="1:37" ht="70" customHeight="1" x14ac:dyDescent="0.2">
      <c r="A333" s="107"/>
      <c r="B333" s="4"/>
      <c r="C333" s="163"/>
      <c r="D333" s="4"/>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row>
    <row r="334" spans="1:37" ht="70" customHeight="1" x14ac:dyDescent="0.2">
      <c r="A334" s="107"/>
      <c r="B334" s="4"/>
      <c r="C334" s="163"/>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row>
    <row r="335" spans="1:37" ht="70" customHeight="1" x14ac:dyDescent="0.2">
      <c r="A335" s="107"/>
      <c r="B335" s="4"/>
      <c r="C335" s="163"/>
      <c r="D335" s="4"/>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row>
    <row r="336" spans="1:37" ht="70" customHeight="1" x14ac:dyDescent="0.2">
      <c r="A336" s="107"/>
      <c r="B336" s="4"/>
      <c r="C336" s="163"/>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row>
    <row r="337" spans="1:37" ht="70" customHeight="1" x14ac:dyDescent="0.2">
      <c r="A337" s="107"/>
      <c r="B337" s="4"/>
      <c r="C337" s="163"/>
      <c r="D337" s="4"/>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row>
    <row r="338" spans="1:37" ht="70" customHeight="1" x14ac:dyDescent="0.2">
      <c r="A338" s="107"/>
      <c r="B338" s="4"/>
      <c r="C338" s="163"/>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row>
    <row r="339" spans="1:37" ht="70" customHeight="1" x14ac:dyDescent="0.2">
      <c r="A339" s="107"/>
      <c r="B339" s="4"/>
      <c r="C339" s="163"/>
      <c r="D339" s="4"/>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row>
    <row r="340" spans="1:37" ht="70" customHeight="1" x14ac:dyDescent="0.2">
      <c r="A340" s="107"/>
      <c r="B340" s="4"/>
      <c r="C340" s="163"/>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row>
    <row r="341" spans="1:37" ht="70" customHeight="1" x14ac:dyDescent="0.2">
      <c r="A341" s="107"/>
      <c r="B341" s="4"/>
      <c r="C341" s="163"/>
      <c r="D341" s="4"/>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row>
    <row r="342" spans="1:37" ht="70" customHeight="1" x14ac:dyDescent="0.2">
      <c r="A342" s="107"/>
      <c r="B342" s="4"/>
      <c r="C342" s="163"/>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row>
    <row r="343" spans="1:37" ht="70" customHeight="1" x14ac:dyDescent="0.2">
      <c r="A343" s="107"/>
      <c r="B343" s="4"/>
      <c r="C343" s="163"/>
      <c r="D343" s="4"/>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4"/>
      <c r="AE343" s="4"/>
      <c r="AF343" s="4"/>
      <c r="AG343" s="4"/>
      <c r="AH343" s="4"/>
      <c r="AI343" s="4"/>
      <c r="AJ343" s="4"/>
      <c r="AK343" s="4"/>
    </row>
    <row r="344" spans="1:37" ht="70" customHeight="1" x14ac:dyDescent="0.2">
      <c r="A344" s="107"/>
      <c r="B344" s="4"/>
      <c r="C344" s="163"/>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row>
    <row r="345" spans="1:37" ht="70" customHeight="1" x14ac:dyDescent="0.2">
      <c r="A345" s="107"/>
      <c r="B345" s="4"/>
      <c r="C345" s="163"/>
      <c r="D345" s="4"/>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row>
    <row r="346" spans="1:37" ht="70" customHeight="1" x14ac:dyDescent="0.2">
      <c r="A346" s="107"/>
      <c r="B346" s="4"/>
      <c r="C346" s="163"/>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row>
    <row r="347" spans="1:37" ht="70" customHeight="1" x14ac:dyDescent="0.2">
      <c r="A347" s="107"/>
      <c r="B347" s="4"/>
      <c r="C347" s="163"/>
      <c r="D347" s="4"/>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row>
    <row r="348" spans="1:37" ht="70" customHeight="1" x14ac:dyDescent="0.2">
      <c r="A348" s="107"/>
      <c r="B348" s="4"/>
      <c r="C348" s="163"/>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row>
    <row r="349" spans="1:37" ht="70" customHeight="1" x14ac:dyDescent="0.2">
      <c r="A349" s="107"/>
      <c r="B349" s="4"/>
      <c r="C349" s="163"/>
      <c r="D349" s="4"/>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4"/>
      <c r="AE349" s="4"/>
      <c r="AF349" s="4"/>
      <c r="AG349" s="4"/>
      <c r="AH349" s="4"/>
      <c r="AI349" s="4"/>
      <c r="AJ349" s="4"/>
      <c r="AK349" s="4"/>
    </row>
    <row r="350" spans="1:37" ht="70" customHeight="1" x14ac:dyDescent="0.2">
      <c r="A350" s="107"/>
      <c r="B350" s="4"/>
      <c r="C350" s="163"/>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row>
    <row r="351" spans="1:37" ht="70" customHeight="1" x14ac:dyDescent="0.2">
      <c r="A351" s="107"/>
      <c r="B351" s="4"/>
      <c r="C351" s="163"/>
      <c r="D351" s="4"/>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row>
    <row r="352" spans="1:37" ht="70" customHeight="1" x14ac:dyDescent="0.2">
      <c r="A352" s="107"/>
      <c r="B352" s="4"/>
      <c r="C352" s="163"/>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row>
    <row r="353" spans="1:37" ht="70" customHeight="1" x14ac:dyDescent="0.2">
      <c r="A353" s="107"/>
      <c r="B353" s="4"/>
      <c r="C353" s="163"/>
      <c r="D353" s="4"/>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row>
    <row r="354" spans="1:37" ht="70" customHeight="1" x14ac:dyDescent="0.2">
      <c r="A354" s="107"/>
      <c r="B354" s="4"/>
      <c r="C354" s="163"/>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row>
    <row r="355" spans="1:37" ht="70" customHeight="1" x14ac:dyDescent="0.2">
      <c r="A355" s="107"/>
      <c r="B355" s="4"/>
      <c r="C355" s="163"/>
      <c r="D355" s="4"/>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4"/>
      <c r="AE355" s="4"/>
      <c r="AF355" s="4"/>
      <c r="AG355" s="4"/>
      <c r="AH355" s="4"/>
      <c r="AI355" s="4"/>
      <c r="AJ355" s="4"/>
      <c r="AK355" s="4"/>
    </row>
    <row r="356" spans="1:37" ht="70" customHeight="1" x14ac:dyDescent="0.2">
      <c r="A356" s="107"/>
      <c r="B356" s="4"/>
      <c r="C356" s="163"/>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row>
    <row r="357" spans="1:37" ht="70" customHeight="1" x14ac:dyDescent="0.2">
      <c r="A357" s="107"/>
      <c r="B357" s="4"/>
      <c r="C357" s="163"/>
      <c r="D357" s="4"/>
      <c r="E357" s="4"/>
      <c r="F357" s="4"/>
      <c r="G357" s="4"/>
      <c r="H357" s="4"/>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row>
    <row r="358" spans="1:37" ht="70" customHeight="1" x14ac:dyDescent="0.2">
      <c r="A358" s="107"/>
      <c r="B358" s="4"/>
      <c r="C358" s="163"/>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row>
    <row r="359" spans="1:37" ht="70" customHeight="1" x14ac:dyDescent="0.2">
      <c r="A359" s="107"/>
      <c r="B359" s="4"/>
      <c r="C359" s="163"/>
      <c r="D359" s="4"/>
      <c r="E359" s="4"/>
      <c r="F359" s="4"/>
      <c r="G359" s="4"/>
      <c r="H359" s="4"/>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row>
    <row r="360" spans="1:37" ht="70" customHeight="1" x14ac:dyDescent="0.2">
      <c r="A360" s="107"/>
      <c r="B360" s="4"/>
      <c r="C360" s="163"/>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row>
    <row r="361" spans="1:37" ht="70" customHeight="1" x14ac:dyDescent="0.2">
      <c r="A361" s="107"/>
      <c r="B361" s="4"/>
      <c r="C361" s="163"/>
      <c r="D361" s="4"/>
      <c r="E361" s="4"/>
      <c r="F361" s="4"/>
      <c r="G361" s="4"/>
      <c r="H361" s="4"/>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row>
    <row r="362" spans="1:37" ht="70" customHeight="1" x14ac:dyDescent="0.2">
      <c r="A362" s="107"/>
      <c r="B362" s="4"/>
      <c r="C362" s="163"/>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row>
    <row r="363" spans="1:37" ht="70" customHeight="1" x14ac:dyDescent="0.2">
      <c r="A363" s="107"/>
      <c r="B363" s="4"/>
      <c r="C363" s="163"/>
      <c r="D363" s="4"/>
      <c r="E363" s="4"/>
      <c r="F363" s="4"/>
      <c r="G363" s="4"/>
      <c r="H363" s="4"/>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row>
    <row r="364" spans="1:37" ht="70" customHeight="1" x14ac:dyDescent="0.2">
      <c r="A364" s="107"/>
      <c r="B364" s="4"/>
      <c r="C364" s="163"/>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row>
    <row r="365" spans="1:37" ht="70" customHeight="1" x14ac:dyDescent="0.2">
      <c r="A365" s="107"/>
      <c r="B365" s="4"/>
      <c r="C365" s="163"/>
      <c r="D365" s="4"/>
      <c r="E365" s="4"/>
      <c r="F365" s="4"/>
      <c r="G365" s="4"/>
      <c r="H365" s="4"/>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row>
    <row r="366" spans="1:37" ht="70" customHeight="1" x14ac:dyDescent="0.2">
      <c r="A366" s="107"/>
      <c r="B366" s="4"/>
      <c r="C366" s="163"/>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row>
    <row r="367" spans="1:37" ht="70" customHeight="1" x14ac:dyDescent="0.2">
      <c r="A367" s="107"/>
      <c r="B367" s="4"/>
      <c r="C367" s="163"/>
      <c r="D367" s="4"/>
      <c r="E367" s="4"/>
      <c r="F367" s="4"/>
      <c r="G367" s="4"/>
      <c r="H367" s="4"/>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row>
    <row r="368" spans="1:37" ht="70" customHeight="1" x14ac:dyDescent="0.2">
      <c r="A368" s="107"/>
      <c r="B368" s="4"/>
      <c r="C368" s="163"/>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row>
    <row r="369" spans="1:37" ht="70" customHeight="1" x14ac:dyDescent="0.2">
      <c r="A369" s="107"/>
      <c r="B369" s="4"/>
      <c r="C369" s="163"/>
      <c r="D369" s="4"/>
      <c r="E369" s="4"/>
      <c r="F369" s="4"/>
      <c r="G369" s="4"/>
      <c r="H369" s="4"/>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row>
    <row r="370" spans="1:37" ht="70" customHeight="1" x14ac:dyDescent="0.2">
      <c r="A370" s="107"/>
      <c r="B370" s="4"/>
      <c r="C370" s="163"/>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row>
    <row r="371" spans="1:37" ht="70" customHeight="1" x14ac:dyDescent="0.2">
      <c r="A371" s="107"/>
      <c r="B371" s="4"/>
      <c r="C371" s="163"/>
      <c r="D371" s="4"/>
      <c r="E371" s="4"/>
      <c r="F371" s="4"/>
      <c r="G371" s="4"/>
      <c r="H371" s="4"/>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row>
    <row r="372" spans="1:37" ht="70" customHeight="1" x14ac:dyDescent="0.2">
      <c r="A372" s="107"/>
      <c r="B372" s="4"/>
      <c r="C372" s="163"/>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row>
    <row r="373" spans="1:37" ht="70" customHeight="1" x14ac:dyDescent="0.2">
      <c r="A373" s="107"/>
      <c r="B373" s="4"/>
      <c r="C373" s="163"/>
      <c r="D373" s="4"/>
      <c r="E373" s="4"/>
      <c r="F373" s="4"/>
      <c r="G373" s="4"/>
      <c r="H373" s="4"/>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row>
    <row r="374" spans="1:37" ht="70" customHeight="1" x14ac:dyDescent="0.2">
      <c r="A374" s="107"/>
      <c r="B374" s="4"/>
      <c r="C374" s="163"/>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row>
    <row r="375" spans="1:37" ht="70" customHeight="1" x14ac:dyDescent="0.2">
      <c r="A375" s="107"/>
      <c r="B375" s="4"/>
      <c r="C375" s="163"/>
      <c r="D375" s="4"/>
      <c r="E375" s="4"/>
      <c r="F375" s="4"/>
      <c r="G375" s="4"/>
      <c r="H375" s="4"/>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row>
    <row r="376" spans="1:37" ht="70" customHeight="1" x14ac:dyDescent="0.2">
      <c r="A376" s="107"/>
      <c r="B376" s="4"/>
      <c r="C376" s="163"/>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row>
    <row r="377" spans="1:37" ht="70" customHeight="1" x14ac:dyDescent="0.2">
      <c r="A377" s="107"/>
      <c r="B377" s="4"/>
      <c r="C377" s="163"/>
      <c r="D377" s="4"/>
      <c r="E377" s="4"/>
      <c r="F377" s="4"/>
      <c r="G377" s="4"/>
      <c r="H377" s="4"/>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row>
    <row r="378" spans="1:37" ht="70" customHeight="1" x14ac:dyDescent="0.2">
      <c r="A378" s="107"/>
      <c r="B378" s="4"/>
      <c r="C378" s="163"/>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row>
    <row r="379" spans="1:37" ht="70" customHeight="1" x14ac:dyDescent="0.2">
      <c r="A379" s="107"/>
      <c r="B379" s="4"/>
      <c r="C379" s="163"/>
      <c r="D379" s="4"/>
      <c r="E379" s="4"/>
      <c r="F379" s="4"/>
      <c r="G379" s="4"/>
      <c r="H379" s="4"/>
      <c r="I379" s="4"/>
      <c r="J379" s="4"/>
      <c r="K379" s="4"/>
      <c r="L379" s="4"/>
      <c r="M379" s="4"/>
      <c r="N379" s="4"/>
      <c r="O379" s="4"/>
      <c r="P379" s="4"/>
      <c r="Q379" s="4"/>
      <c r="R379" s="4"/>
      <c r="S379" s="4"/>
      <c r="T379" s="4"/>
      <c r="U379" s="4"/>
      <c r="V379" s="4"/>
      <c r="W379" s="4"/>
      <c r="X379" s="4"/>
      <c r="Y379" s="4"/>
      <c r="Z379" s="4"/>
      <c r="AA379" s="4"/>
      <c r="AB379" s="4"/>
      <c r="AC379" s="4"/>
      <c r="AD379" s="4"/>
      <c r="AE379" s="4"/>
      <c r="AF379" s="4"/>
      <c r="AG379" s="4"/>
      <c r="AH379" s="4"/>
      <c r="AI379" s="4"/>
      <c r="AJ379" s="4"/>
      <c r="AK379" s="4"/>
    </row>
    <row r="380" spans="1:37" ht="70" customHeight="1" x14ac:dyDescent="0.2">
      <c r="A380" s="107"/>
      <c r="B380" s="4"/>
      <c r="C380" s="163"/>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row>
    <row r="381" spans="1:37" ht="70" customHeight="1" x14ac:dyDescent="0.2">
      <c r="A381" s="107"/>
      <c r="B381" s="4"/>
      <c r="C381" s="163"/>
      <c r="D381" s="4"/>
      <c r="E381" s="4"/>
      <c r="F381" s="4"/>
      <c r="G381" s="4"/>
      <c r="H381" s="4"/>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row>
    <row r="382" spans="1:37" ht="70" customHeight="1" x14ac:dyDescent="0.2">
      <c r="A382" s="107"/>
      <c r="B382" s="4"/>
      <c r="C382" s="163"/>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row>
    <row r="383" spans="1:37" ht="70" customHeight="1" x14ac:dyDescent="0.2">
      <c r="A383" s="107"/>
      <c r="B383" s="4"/>
      <c r="C383" s="163"/>
      <c r="D383" s="4"/>
      <c r="E383" s="4"/>
      <c r="F383" s="4"/>
      <c r="G383" s="4"/>
      <c r="H383" s="4"/>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row>
    <row r="384" spans="1:37" ht="70" customHeight="1" x14ac:dyDescent="0.2">
      <c r="A384" s="107"/>
      <c r="B384" s="4"/>
      <c r="C384" s="163"/>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row>
    <row r="385" spans="1:37" ht="70" customHeight="1" x14ac:dyDescent="0.2">
      <c r="A385" s="107"/>
      <c r="B385" s="4"/>
      <c r="C385" s="163"/>
      <c r="D385" s="4"/>
      <c r="E385" s="4"/>
      <c r="F385" s="4"/>
      <c r="G385" s="4"/>
      <c r="H385" s="4"/>
      <c r="I385" s="4"/>
      <c r="J385" s="4"/>
      <c r="K385" s="4"/>
      <c r="L385" s="4"/>
      <c r="M385" s="4"/>
      <c r="N385" s="4"/>
      <c r="O385" s="4"/>
      <c r="P385" s="4"/>
      <c r="Q385" s="4"/>
      <c r="R385" s="4"/>
      <c r="S385" s="4"/>
      <c r="T385" s="4"/>
      <c r="U385" s="4"/>
      <c r="V385" s="4"/>
      <c r="W385" s="4"/>
      <c r="X385" s="4"/>
      <c r="Y385" s="4"/>
      <c r="Z385" s="4"/>
      <c r="AA385" s="4"/>
      <c r="AB385" s="4"/>
      <c r="AC385" s="4"/>
      <c r="AD385" s="4"/>
      <c r="AE385" s="4"/>
      <c r="AF385" s="4"/>
      <c r="AG385" s="4"/>
      <c r="AH385" s="4"/>
      <c r="AI385" s="4"/>
      <c r="AJ385" s="4"/>
      <c r="AK385" s="4"/>
    </row>
    <row r="386" spans="1:37" ht="70" customHeight="1" x14ac:dyDescent="0.2">
      <c r="A386" s="107"/>
      <c r="B386" s="4"/>
      <c r="C386" s="163"/>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row>
    <row r="387" spans="1:37" ht="70" customHeight="1" x14ac:dyDescent="0.2">
      <c r="A387" s="107"/>
      <c r="B387" s="4"/>
      <c r="C387" s="163"/>
      <c r="D387" s="4"/>
      <c r="E387" s="4"/>
      <c r="F387" s="4"/>
      <c r="G387" s="4"/>
      <c r="H387" s="4"/>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row>
    <row r="388" spans="1:37" ht="70" customHeight="1" x14ac:dyDescent="0.2">
      <c r="A388" s="107"/>
      <c r="B388" s="4"/>
      <c r="C388" s="163"/>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row>
    <row r="389" spans="1:37" ht="70" customHeight="1" x14ac:dyDescent="0.2">
      <c r="A389" s="107"/>
      <c r="B389" s="4"/>
      <c r="C389" s="163"/>
      <c r="D389" s="4"/>
      <c r="E389" s="4"/>
      <c r="F389" s="4"/>
      <c r="G389" s="4"/>
      <c r="H389" s="4"/>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c r="AJ389" s="4"/>
      <c r="AK389" s="4"/>
    </row>
    <row r="390" spans="1:37" ht="70" customHeight="1" x14ac:dyDescent="0.2">
      <c r="A390" s="107"/>
      <c r="B390" s="4"/>
      <c r="C390" s="163"/>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row>
    <row r="391" spans="1:37" ht="70" customHeight="1" x14ac:dyDescent="0.2">
      <c r="A391" s="107"/>
      <c r="B391" s="4"/>
      <c r="C391" s="163"/>
      <c r="D391" s="4"/>
      <c r="E391" s="4"/>
      <c r="F391" s="4"/>
      <c r="G391" s="4"/>
      <c r="H391" s="4"/>
      <c r="I391" s="4"/>
      <c r="J391" s="4"/>
      <c r="K391" s="4"/>
      <c r="L391" s="4"/>
      <c r="M391" s="4"/>
      <c r="N391" s="4"/>
      <c r="O391" s="4"/>
      <c r="P391" s="4"/>
      <c r="Q391" s="4"/>
      <c r="R391" s="4"/>
      <c r="S391" s="4"/>
      <c r="T391" s="4"/>
      <c r="U391" s="4"/>
      <c r="V391" s="4"/>
      <c r="W391" s="4"/>
      <c r="X391" s="4"/>
      <c r="Y391" s="4"/>
      <c r="Z391" s="4"/>
      <c r="AA391" s="4"/>
      <c r="AB391" s="4"/>
      <c r="AC391" s="4"/>
      <c r="AD391" s="4"/>
      <c r="AE391" s="4"/>
      <c r="AF391" s="4"/>
      <c r="AG391" s="4"/>
      <c r="AH391" s="4"/>
      <c r="AI391" s="4"/>
      <c r="AJ391" s="4"/>
      <c r="AK391" s="4"/>
    </row>
    <row r="392" spans="1:37" ht="70" customHeight="1" x14ac:dyDescent="0.2">
      <c r="A392" s="107"/>
      <c r="B392" s="4"/>
      <c r="C392" s="163"/>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row>
    <row r="393" spans="1:37" ht="70" customHeight="1" x14ac:dyDescent="0.2">
      <c r="A393" s="107"/>
      <c r="B393" s="4"/>
      <c r="C393" s="163"/>
      <c r="D393" s="4"/>
      <c r="E393" s="4"/>
      <c r="F393" s="4"/>
      <c r="G393" s="4"/>
      <c r="H393" s="4"/>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row>
    <row r="394" spans="1:37" ht="70" customHeight="1" x14ac:dyDescent="0.2">
      <c r="A394" s="107"/>
      <c r="B394" s="4"/>
      <c r="C394" s="163"/>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row>
    <row r="395" spans="1:37" ht="70" customHeight="1" x14ac:dyDescent="0.2">
      <c r="A395" s="107"/>
      <c r="B395" s="4"/>
      <c r="C395" s="163"/>
      <c r="D395" s="4"/>
      <c r="E395" s="4"/>
      <c r="F395" s="4"/>
      <c r="G395" s="4"/>
      <c r="H395" s="4"/>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row>
    <row r="396" spans="1:37" ht="70" customHeight="1" x14ac:dyDescent="0.2">
      <c r="A396" s="107"/>
      <c r="B396" s="4"/>
      <c r="C396" s="163"/>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row>
    <row r="397" spans="1:37" ht="70" customHeight="1" x14ac:dyDescent="0.2">
      <c r="A397" s="107"/>
      <c r="B397" s="4"/>
      <c r="C397" s="163"/>
      <c r="D397" s="4"/>
      <c r="E397" s="4"/>
      <c r="F397" s="4"/>
      <c r="G397" s="4"/>
      <c r="H397" s="4"/>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row>
    <row r="398" spans="1:37" ht="70" customHeight="1" x14ac:dyDescent="0.2">
      <c r="A398" s="107"/>
      <c r="B398" s="4"/>
      <c r="C398" s="163"/>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row>
    <row r="399" spans="1:37" ht="70" customHeight="1" x14ac:dyDescent="0.2">
      <c r="A399" s="107"/>
      <c r="B399" s="4"/>
      <c r="C399" s="163"/>
      <c r="D399" s="4"/>
      <c r="E399" s="4"/>
      <c r="F399" s="4"/>
      <c r="G399" s="4"/>
      <c r="H399" s="4"/>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row>
    <row r="400" spans="1:37" ht="70" customHeight="1" x14ac:dyDescent="0.2">
      <c r="A400" s="107"/>
      <c r="B400" s="4"/>
      <c r="C400" s="163"/>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row>
    <row r="401" spans="1:37" ht="70" customHeight="1" x14ac:dyDescent="0.2">
      <c r="A401" s="107"/>
      <c r="B401" s="4"/>
      <c r="C401" s="163"/>
      <c r="D401" s="4"/>
      <c r="E401" s="4"/>
      <c r="F401" s="4"/>
      <c r="G401" s="4"/>
      <c r="H401" s="4"/>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c r="AJ401" s="4"/>
      <c r="AK401" s="4"/>
    </row>
    <row r="402" spans="1:37" ht="70" customHeight="1" x14ac:dyDescent="0.2">
      <c r="A402" s="107"/>
      <c r="B402" s="4"/>
      <c r="C402" s="163"/>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row>
    <row r="403" spans="1:37" ht="70" customHeight="1" x14ac:dyDescent="0.2">
      <c r="A403" s="107"/>
      <c r="B403" s="4"/>
      <c r="C403" s="163"/>
      <c r="D403" s="4"/>
      <c r="E403" s="4"/>
      <c r="F403" s="4"/>
      <c r="G403" s="4"/>
      <c r="H403" s="4"/>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row>
    <row r="404" spans="1:37" ht="70" customHeight="1" x14ac:dyDescent="0.2">
      <c r="A404" s="107"/>
      <c r="B404" s="4"/>
      <c r="C404" s="163"/>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row>
    <row r="405" spans="1:37" ht="70" customHeight="1" x14ac:dyDescent="0.2">
      <c r="A405" s="107"/>
      <c r="B405" s="4"/>
      <c r="C405" s="163"/>
      <c r="D405" s="4"/>
      <c r="E405" s="4"/>
      <c r="F405" s="4"/>
      <c r="G405" s="4"/>
      <c r="H405" s="4"/>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row>
    <row r="406" spans="1:37" ht="70" customHeight="1" x14ac:dyDescent="0.2">
      <c r="A406" s="107"/>
      <c r="B406" s="4"/>
      <c r="C406" s="163"/>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row>
    <row r="407" spans="1:37" ht="70" customHeight="1" x14ac:dyDescent="0.2">
      <c r="A407" s="107"/>
      <c r="B407" s="4"/>
      <c r="C407" s="163"/>
      <c r="D407" s="4"/>
      <c r="E407" s="4"/>
      <c r="F407" s="4"/>
      <c r="G407" s="4"/>
      <c r="H407" s="4"/>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c r="AJ407" s="4"/>
      <c r="AK407" s="4"/>
    </row>
    <row r="408" spans="1:37" ht="70" customHeight="1" x14ac:dyDescent="0.2">
      <c r="A408" s="107"/>
      <c r="B408" s="4"/>
      <c r="C408" s="163"/>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row>
    <row r="409" spans="1:37" ht="70" customHeight="1" x14ac:dyDescent="0.2">
      <c r="A409" s="107"/>
      <c r="B409" s="4"/>
      <c r="C409" s="163"/>
      <c r="D409" s="4"/>
      <c r="E409" s="4"/>
      <c r="F409" s="4"/>
      <c r="G409" s="4"/>
      <c r="H409" s="4"/>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row>
    <row r="410" spans="1:37" ht="70" customHeight="1" x14ac:dyDescent="0.2">
      <c r="A410" s="107"/>
      <c r="B410" s="4"/>
      <c r="C410" s="163"/>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row>
    <row r="411" spans="1:37" ht="70" customHeight="1" x14ac:dyDescent="0.2">
      <c r="A411" s="107"/>
      <c r="B411" s="4"/>
      <c r="C411" s="163"/>
      <c r="D411" s="4"/>
      <c r="E411" s="4"/>
      <c r="F411" s="4"/>
      <c r="G411" s="4"/>
      <c r="H411" s="4"/>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row>
    <row r="412" spans="1:37" ht="70" customHeight="1" x14ac:dyDescent="0.2">
      <c r="A412" s="107"/>
      <c r="B412" s="4"/>
      <c r="C412" s="163"/>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row>
    <row r="413" spans="1:37" ht="70" customHeight="1" x14ac:dyDescent="0.2">
      <c r="A413" s="107"/>
      <c r="B413" s="4"/>
      <c r="C413" s="163"/>
      <c r="D413" s="4"/>
      <c r="E413" s="4"/>
      <c r="F413" s="4"/>
      <c r="G413" s="4"/>
      <c r="H413" s="4"/>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c r="AJ413" s="4"/>
      <c r="AK413" s="4"/>
    </row>
    <row r="414" spans="1:37" ht="70" customHeight="1" x14ac:dyDescent="0.2">
      <c r="A414" s="107"/>
      <c r="B414" s="4"/>
      <c r="C414" s="163"/>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row>
    <row r="415" spans="1:37" ht="70" customHeight="1" x14ac:dyDescent="0.2">
      <c r="A415" s="107"/>
      <c r="B415" s="4"/>
      <c r="C415" s="163"/>
      <c r="D415" s="4"/>
      <c r="E415" s="4"/>
      <c r="F415" s="4"/>
      <c r="G415" s="4"/>
      <c r="H415" s="4"/>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row>
    <row r="416" spans="1:37" ht="70" customHeight="1" x14ac:dyDescent="0.2">
      <c r="A416" s="107"/>
      <c r="B416" s="4"/>
      <c r="C416" s="163"/>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row>
    <row r="417" spans="1:37" ht="70" customHeight="1" x14ac:dyDescent="0.2">
      <c r="A417" s="107"/>
      <c r="B417" s="4"/>
      <c r="C417" s="163"/>
      <c r="D417" s="4"/>
      <c r="E417" s="4"/>
      <c r="F417" s="4"/>
      <c r="G417" s="4"/>
      <c r="H417" s="4"/>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row>
    <row r="418" spans="1:37" ht="70" customHeight="1" x14ac:dyDescent="0.2">
      <c r="A418" s="107"/>
      <c r="B418" s="4"/>
      <c r="C418" s="163"/>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row>
    <row r="419" spans="1:37" ht="70" customHeight="1" x14ac:dyDescent="0.2">
      <c r="A419" s="107"/>
      <c r="B419" s="4"/>
      <c r="C419" s="163"/>
      <c r="D419" s="4"/>
      <c r="E419" s="4"/>
      <c r="F419" s="4"/>
      <c r="G419" s="4"/>
      <c r="H419" s="4"/>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row>
    <row r="420" spans="1:37" ht="70" customHeight="1" x14ac:dyDescent="0.2">
      <c r="A420" s="107"/>
      <c r="B420" s="4"/>
      <c r="C420" s="163"/>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row>
    <row r="421" spans="1:37" ht="70" customHeight="1" x14ac:dyDescent="0.2">
      <c r="A421" s="107"/>
      <c r="B421" s="4"/>
      <c r="C421" s="163"/>
      <c r="D421" s="4"/>
      <c r="E421" s="4"/>
      <c r="F421" s="4"/>
      <c r="G421" s="4"/>
      <c r="H421" s="4"/>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row>
    <row r="422" spans="1:37" ht="70" customHeight="1" x14ac:dyDescent="0.2">
      <c r="A422" s="107"/>
      <c r="B422" s="4"/>
      <c r="C422" s="163"/>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row>
    <row r="423" spans="1:37" ht="70" customHeight="1" x14ac:dyDescent="0.2">
      <c r="A423" s="107"/>
      <c r="B423" s="4"/>
      <c r="C423" s="163"/>
      <c r="D423" s="4"/>
      <c r="E423" s="4"/>
      <c r="F423" s="4"/>
      <c r="G423" s="4"/>
      <c r="H423" s="4"/>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row>
    <row r="424" spans="1:37" ht="70" customHeight="1" x14ac:dyDescent="0.2">
      <c r="A424" s="107"/>
      <c r="B424" s="4"/>
      <c r="C424" s="163"/>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row>
    <row r="425" spans="1:37" ht="70" customHeight="1" x14ac:dyDescent="0.2">
      <c r="A425" s="107"/>
      <c r="B425" s="4"/>
      <c r="C425" s="163"/>
      <c r="D425" s="4"/>
      <c r="E425" s="4"/>
      <c r="F425" s="4"/>
      <c r="G425" s="4"/>
      <c r="H425" s="4"/>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row>
    <row r="426" spans="1:37" ht="70" customHeight="1" x14ac:dyDescent="0.2">
      <c r="A426" s="107"/>
      <c r="B426" s="4"/>
      <c r="C426" s="163"/>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row>
    <row r="427" spans="1:37" ht="70" customHeight="1" x14ac:dyDescent="0.2">
      <c r="A427" s="107"/>
      <c r="B427" s="4"/>
      <c r="C427" s="163"/>
      <c r="D427" s="4"/>
      <c r="E427" s="4"/>
      <c r="F427" s="4"/>
      <c r="G427" s="4"/>
      <c r="H427" s="4"/>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c r="AJ427" s="4"/>
      <c r="AK427" s="4"/>
    </row>
    <row r="428" spans="1:37" ht="70" customHeight="1" x14ac:dyDescent="0.2">
      <c r="A428" s="107"/>
      <c r="B428" s="4"/>
      <c r="C428" s="163"/>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row>
    <row r="429" spans="1:37" ht="70" customHeight="1" x14ac:dyDescent="0.2">
      <c r="A429" s="107"/>
      <c r="B429" s="4"/>
      <c r="C429" s="163"/>
      <c r="D429" s="4"/>
      <c r="E429" s="4"/>
      <c r="F429" s="4"/>
      <c r="G429" s="4"/>
      <c r="H429" s="4"/>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row>
    <row r="430" spans="1:37" ht="70" customHeight="1" x14ac:dyDescent="0.2">
      <c r="A430" s="107"/>
      <c r="B430" s="4"/>
      <c r="C430" s="163"/>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row>
    <row r="431" spans="1:37" ht="70" customHeight="1" x14ac:dyDescent="0.2">
      <c r="A431" s="107"/>
      <c r="B431" s="4"/>
      <c r="C431" s="163"/>
      <c r="D431" s="4"/>
      <c r="E431" s="4"/>
      <c r="F431" s="4"/>
      <c r="G431" s="4"/>
      <c r="H431" s="4"/>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row>
    <row r="432" spans="1:37" ht="70" customHeight="1" x14ac:dyDescent="0.2">
      <c r="A432" s="107"/>
      <c r="B432" s="4"/>
      <c r="C432" s="163"/>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row>
    <row r="433" spans="1:37" ht="70" customHeight="1" x14ac:dyDescent="0.2">
      <c r="A433" s="107"/>
      <c r="B433" s="4"/>
      <c r="C433" s="163"/>
      <c r="D433" s="4"/>
      <c r="E433" s="4"/>
      <c r="F433" s="4"/>
      <c r="G433" s="4"/>
      <c r="H433" s="4"/>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row>
    <row r="434" spans="1:37" ht="70" customHeight="1" x14ac:dyDescent="0.2">
      <c r="A434" s="107"/>
      <c r="B434" s="4"/>
      <c r="C434" s="163"/>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row>
    <row r="435" spans="1:37" ht="70" customHeight="1" x14ac:dyDescent="0.2">
      <c r="A435" s="107"/>
      <c r="B435" s="4"/>
      <c r="C435" s="163"/>
      <c r="D435" s="4"/>
      <c r="E435" s="4"/>
      <c r="F435" s="4"/>
      <c r="G435" s="4"/>
      <c r="H435" s="4"/>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row>
    <row r="436" spans="1:37" ht="70" customHeight="1" x14ac:dyDescent="0.2">
      <c r="A436" s="107"/>
      <c r="B436" s="4"/>
      <c r="C436" s="163"/>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row>
    <row r="437" spans="1:37" ht="70" customHeight="1" x14ac:dyDescent="0.2">
      <c r="A437" s="107"/>
      <c r="B437" s="4"/>
      <c r="C437" s="163"/>
      <c r="D437" s="4"/>
      <c r="E437" s="4"/>
      <c r="F437" s="4"/>
      <c r="G437" s="4"/>
      <c r="H437" s="4"/>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row>
    <row r="438" spans="1:37" ht="70" customHeight="1" x14ac:dyDescent="0.2">
      <c r="A438" s="107"/>
      <c r="B438" s="4"/>
      <c r="C438" s="163"/>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row>
    <row r="439" spans="1:37" ht="70" customHeight="1" x14ac:dyDescent="0.2">
      <c r="A439" s="107"/>
      <c r="B439" s="4"/>
      <c r="C439" s="163"/>
      <c r="D439" s="4"/>
      <c r="E439" s="4"/>
      <c r="F439" s="4"/>
      <c r="G439" s="4"/>
      <c r="H439" s="4"/>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row>
    <row r="440" spans="1:37" ht="70" customHeight="1" x14ac:dyDescent="0.2">
      <c r="A440" s="107"/>
      <c r="B440" s="4"/>
      <c r="C440" s="163"/>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row>
    <row r="441" spans="1:37" ht="70" customHeight="1" x14ac:dyDescent="0.2">
      <c r="A441" s="107"/>
      <c r="B441" s="4"/>
      <c r="C441" s="163"/>
      <c r="D441" s="4"/>
      <c r="E441" s="4"/>
      <c r="F441" s="4"/>
      <c r="G441" s="4"/>
      <c r="H441" s="4"/>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row>
    <row r="442" spans="1:37" ht="70" customHeight="1" x14ac:dyDescent="0.2">
      <c r="A442" s="107"/>
      <c r="B442" s="4"/>
      <c r="C442" s="163"/>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row>
    <row r="443" spans="1:37" ht="70" customHeight="1" x14ac:dyDescent="0.2">
      <c r="A443" s="107"/>
      <c r="B443" s="4"/>
      <c r="C443" s="163"/>
      <c r="D443" s="4"/>
      <c r="E443" s="4"/>
      <c r="F443" s="4"/>
      <c r="G443" s="4"/>
      <c r="H443" s="4"/>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c r="AJ443" s="4"/>
      <c r="AK443" s="4"/>
    </row>
    <row r="444" spans="1:37" ht="70" customHeight="1" x14ac:dyDescent="0.2">
      <c r="A444" s="107"/>
      <c r="B444" s="4"/>
      <c r="C444" s="163"/>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row>
    <row r="445" spans="1:37" ht="70" customHeight="1" x14ac:dyDescent="0.2">
      <c r="A445" s="107"/>
      <c r="B445" s="4"/>
      <c r="C445" s="163"/>
      <c r="D445" s="4"/>
      <c r="E445" s="4"/>
      <c r="F445" s="4"/>
      <c r="G445" s="4"/>
      <c r="H445" s="4"/>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c r="AJ445" s="4"/>
      <c r="AK445" s="4"/>
    </row>
    <row r="446" spans="1:37" ht="70" customHeight="1" x14ac:dyDescent="0.2">
      <c r="A446" s="107"/>
      <c r="B446" s="4"/>
      <c r="C446" s="163"/>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row>
    <row r="447" spans="1:37" ht="70" customHeight="1" x14ac:dyDescent="0.2">
      <c r="A447" s="107"/>
      <c r="B447" s="4"/>
      <c r="C447" s="163"/>
      <c r="D447" s="4"/>
      <c r="E447" s="4"/>
      <c r="F447" s="4"/>
      <c r="G447" s="4"/>
      <c r="H447" s="4"/>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c r="AJ447" s="4"/>
      <c r="AK447" s="4"/>
    </row>
    <row r="448" spans="1:37" ht="70" customHeight="1" x14ac:dyDescent="0.2">
      <c r="A448" s="107"/>
      <c r="B448" s="4"/>
      <c r="C448" s="163"/>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row>
    <row r="449" spans="1:37" ht="70" customHeight="1" x14ac:dyDescent="0.2">
      <c r="A449" s="107"/>
      <c r="B449" s="4"/>
      <c r="C449" s="163"/>
      <c r="D449" s="4"/>
      <c r="E449" s="4"/>
      <c r="F449" s="4"/>
      <c r="G449" s="4"/>
      <c r="H449" s="4"/>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c r="AJ449" s="4"/>
      <c r="AK449" s="4"/>
    </row>
    <row r="450" spans="1:37" ht="70" customHeight="1" x14ac:dyDescent="0.2">
      <c r="A450" s="107"/>
      <c r="B450" s="4"/>
      <c r="C450" s="163"/>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row>
    <row r="451" spans="1:37" ht="70" customHeight="1" x14ac:dyDescent="0.2">
      <c r="A451" s="107"/>
      <c r="B451" s="4"/>
      <c r="C451" s="163"/>
      <c r="D451" s="4"/>
      <c r="E451" s="4"/>
      <c r="F451" s="4"/>
      <c r="G451" s="4"/>
      <c r="H451" s="4"/>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c r="AJ451" s="4"/>
      <c r="AK451" s="4"/>
    </row>
    <row r="452" spans="1:37" ht="70" customHeight="1" x14ac:dyDescent="0.2">
      <c r="A452" s="107"/>
      <c r="B452" s="4"/>
      <c r="C452" s="163"/>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row>
    <row r="453" spans="1:37" ht="70" customHeight="1" x14ac:dyDescent="0.2">
      <c r="A453" s="107"/>
      <c r="B453" s="4"/>
      <c r="C453" s="163"/>
      <c r="D453" s="4"/>
      <c r="E453" s="4"/>
      <c r="F453" s="4"/>
      <c r="G453" s="4"/>
      <c r="H453" s="4"/>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c r="AJ453" s="4"/>
      <c r="AK453" s="4"/>
    </row>
    <row r="454" spans="1:37" ht="70" customHeight="1" x14ac:dyDescent="0.2">
      <c r="A454" s="107"/>
      <c r="B454" s="4"/>
      <c r="C454" s="163"/>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row>
    <row r="455" spans="1:37" ht="70" customHeight="1" x14ac:dyDescent="0.2">
      <c r="A455" s="107"/>
      <c r="B455" s="4"/>
      <c r="C455" s="163"/>
      <c r="D455" s="4"/>
      <c r="E455" s="4"/>
      <c r="F455" s="4"/>
      <c r="G455" s="4"/>
      <c r="H455" s="4"/>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c r="AJ455" s="4"/>
      <c r="AK455" s="4"/>
    </row>
    <row r="456" spans="1:37" ht="70" customHeight="1" x14ac:dyDescent="0.2">
      <c r="A456" s="107"/>
      <c r="B456" s="4"/>
      <c r="C456" s="163"/>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row>
    <row r="457" spans="1:37" ht="70" customHeight="1" x14ac:dyDescent="0.2">
      <c r="A457" s="107"/>
      <c r="B457" s="4"/>
      <c r="C457" s="163"/>
      <c r="D457" s="4"/>
      <c r="E457" s="4"/>
      <c r="F457" s="4"/>
      <c r="G457" s="4"/>
      <c r="H457" s="4"/>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c r="AJ457" s="4"/>
      <c r="AK457" s="4"/>
    </row>
    <row r="458" spans="1:37" ht="70" customHeight="1" x14ac:dyDescent="0.2">
      <c r="A458" s="107"/>
      <c r="B458" s="4"/>
      <c r="C458" s="163"/>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row>
    <row r="459" spans="1:37" ht="70" customHeight="1" x14ac:dyDescent="0.2">
      <c r="A459" s="107"/>
      <c r="B459" s="4"/>
      <c r="C459" s="163"/>
      <c r="D459" s="4"/>
      <c r="E459" s="4"/>
      <c r="F459" s="4"/>
      <c r="G459" s="4"/>
      <c r="H459" s="4"/>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c r="AJ459" s="4"/>
      <c r="AK459" s="4"/>
    </row>
    <row r="460" spans="1:37" ht="70" customHeight="1" x14ac:dyDescent="0.2">
      <c r="A460" s="107"/>
      <c r="B460" s="4"/>
      <c r="C460" s="163"/>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row>
    <row r="461" spans="1:37" ht="70" customHeight="1" x14ac:dyDescent="0.2">
      <c r="A461" s="107"/>
      <c r="B461" s="4"/>
      <c r="C461" s="163"/>
      <c r="D461" s="4"/>
      <c r="E461" s="4"/>
      <c r="F461" s="4"/>
      <c r="G461" s="4"/>
      <c r="H461" s="4"/>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c r="AJ461" s="4"/>
      <c r="AK461" s="4"/>
    </row>
    <row r="462" spans="1:37" ht="70" customHeight="1" x14ac:dyDescent="0.2">
      <c r="A462" s="107"/>
      <c r="B462" s="4"/>
      <c r="C462" s="163"/>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row>
    <row r="463" spans="1:37" ht="70" customHeight="1" x14ac:dyDescent="0.2">
      <c r="A463" s="107"/>
      <c r="B463" s="4"/>
      <c r="C463" s="163"/>
      <c r="D463" s="4"/>
      <c r="E463" s="4"/>
      <c r="F463" s="4"/>
      <c r="G463" s="4"/>
      <c r="H463" s="4"/>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c r="AJ463" s="4"/>
      <c r="AK463" s="4"/>
    </row>
    <row r="464" spans="1:37" ht="70" customHeight="1" x14ac:dyDescent="0.2">
      <c r="A464" s="107"/>
      <c r="B464" s="4"/>
      <c r="C464" s="163"/>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row>
    <row r="465" spans="1:37" ht="70" customHeight="1" x14ac:dyDescent="0.2">
      <c r="A465" s="107"/>
      <c r="B465" s="4"/>
      <c r="C465" s="163"/>
      <c r="D465" s="4"/>
      <c r="E465" s="4"/>
      <c r="F465" s="4"/>
      <c r="G465" s="4"/>
      <c r="H465" s="4"/>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c r="AJ465" s="4"/>
      <c r="AK465" s="4"/>
    </row>
    <row r="466" spans="1:37" ht="70" customHeight="1" x14ac:dyDescent="0.2">
      <c r="A466" s="107"/>
      <c r="B466" s="4"/>
      <c r="C466" s="163"/>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row>
    <row r="467" spans="1:37" ht="70" customHeight="1" x14ac:dyDescent="0.2">
      <c r="A467" s="107"/>
      <c r="B467" s="4"/>
      <c r="C467" s="163"/>
      <c r="D467" s="4"/>
      <c r="E467" s="4"/>
      <c r="F467" s="4"/>
      <c r="G467" s="4"/>
      <c r="H467" s="4"/>
      <c r="I467" s="4"/>
      <c r="J467" s="4"/>
      <c r="K467" s="4"/>
      <c r="L467" s="4"/>
      <c r="M467" s="4"/>
      <c r="N467" s="4"/>
      <c r="O467" s="4"/>
      <c r="P467" s="4"/>
      <c r="Q467" s="4"/>
      <c r="R467" s="4"/>
      <c r="S467" s="4"/>
      <c r="T467" s="4"/>
      <c r="U467" s="4"/>
      <c r="V467" s="4"/>
      <c r="W467" s="4"/>
      <c r="X467" s="4"/>
      <c r="Y467" s="4"/>
      <c r="Z467" s="4"/>
      <c r="AA467" s="4"/>
      <c r="AB467" s="4"/>
      <c r="AC467" s="4"/>
      <c r="AD467" s="4"/>
      <c r="AE467" s="4"/>
      <c r="AF467" s="4"/>
      <c r="AG467" s="4"/>
      <c r="AH467" s="4"/>
      <c r="AI467" s="4"/>
      <c r="AJ467" s="4"/>
      <c r="AK467" s="4"/>
    </row>
    <row r="468" spans="1:37" ht="70" customHeight="1" x14ac:dyDescent="0.2">
      <c r="A468" s="107"/>
      <c r="B468" s="4"/>
      <c r="C468" s="163"/>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row>
    <row r="469" spans="1:37" ht="70" customHeight="1" x14ac:dyDescent="0.2">
      <c r="A469" s="107"/>
      <c r="B469" s="4"/>
      <c r="C469" s="163"/>
      <c r="D469" s="4"/>
      <c r="E469" s="4"/>
      <c r="F469" s="4"/>
      <c r="G469" s="4"/>
      <c r="H469" s="4"/>
      <c r="I469" s="4"/>
      <c r="J469" s="4"/>
      <c r="K469" s="4"/>
      <c r="L469" s="4"/>
      <c r="M469" s="4"/>
      <c r="N469" s="4"/>
      <c r="O469" s="4"/>
      <c r="P469" s="4"/>
      <c r="Q469" s="4"/>
      <c r="R469" s="4"/>
      <c r="S469" s="4"/>
      <c r="T469" s="4"/>
      <c r="U469" s="4"/>
      <c r="V469" s="4"/>
      <c r="W469" s="4"/>
      <c r="X469" s="4"/>
      <c r="Y469" s="4"/>
      <c r="Z469" s="4"/>
      <c r="AA469" s="4"/>
      <c r="AB469" s="4"/>
      <c r="AC469" s="4"/>
      <c r="AD469" s="4"/>
      <c r="AE469" s="4"/>
      <c r="AF469" s="4"/>
      <c r="AG469" s="4"/>
      <c r="AH469" s="4"/>
      <c r="AI469" s="4"/>
      <c r="AJ469" s="4"/>
      <c r="AK469" s="4"/>
    </row>
    <row r="470" spans="1:37" ht="70" customHeight="1" x14ac:dyDescent="0.2">
      <c r="A470" s="107"/>
      <c r="B470" s="4"/>
      <c r="C470" s="163"/>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row>
    <row r="471" spans="1:37" ht="70" customHeight="1" x14ac:dyDescent="0.2">
      <c r="A471" s="107"/>
      <c r="B471" s="4"/>
      <c r="C471" s="163"/>
      <c r="D471" s="4"/>
      <c r="E471" s="4"/>
      <c r="F471" s="4"/>
      <c r="G471" s="4"/>
      <c r="H471" s="4"/>
      <c r="I471" s="4"/>
      <c r="J471" s="4"/>
      <c r="K471" s="4"/>
      <c r="L471" s="4"/>
      <c r="M471" s="4"/>
      <c r="N471" s="4"/>
      <c r="O471" s="4"/>
      <c r="P471" s="4"/>
      <c r="Q471" s="4"/>
      <c r="R471" s="4"/>
      <c r="S471" s="4"/>
      <c r="T471" s="4"/>
      <c r="U471" s="4"/>
      <c r="V471" s="4"/>
      <c r="W471" s="4"/>
      <c r="X471" s="4"/>
      <c r="Y471" s="4"/>
      <c r="Z471" s="4"/>
      <c r="AA471" s="4"/>
      <c r="AB471" s="4"/>
      <c r="AC471" s="4"/>
      <c r="AD471" s="4"/>
      <c r="AE471" s="4"/>
      <c r="AF471" s="4"/>
      <c r="AG471" s="4"/>
      <c r="AH471" s="4"/>
      <c r="AI471" s="4"/>
      <c r="AJ471" s="4"/>
      <c r="AK471" s="4"/>
    </row>
    <row r="472" spans="1:37" ht="70" customHeight="1" x14ac:dyDescent="0.2">
      <c r="A472" s="107"/>
      <c r="B472" s="4"/>
      <c r="C472" s="163"/>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row>
    <row r="473" spans="1:37" ht="70" customHeight="1" x14ac:dyDescent="0.2">
      <c r="A473" s="107"/>
      <c r="B473" s="4"/>
      <c r="C473" s="163"/>
      <c r="D473" s="4"/>
      <c r="E473" s="4"/>
      <c r="F473" s="4"/>
      <c r="G473" s="4"/>
      <c r="H473" s="4"/>
      <c r="I473" s="4"/>
      <c r="J473" s="4"/>
      <c r="K473" s="4"/>
      <c r="L473" s="4"/>
      <c r="M473" s="4"/>
      <c r="N473" s="4"/>
      <c r="O473" s="4"/>
      <c r="P473" s="4"/>
      <c r="Q473" s="4"/>
      <c r="R473" s="4"/>
      <c r="S473" s="4"/>
      <c r="T473" s="4"/>
      <c r="U473" s="4"/>
      <c r="V473" s="4"/>
      <c r="W473" s="4"/>
      <c r="X473" s="4"/>
      <c r="Y473" s="4"/>
      <c r="Z473" s="4"/>
      <c r="AA473" s="4"/>
      <c r="AB473" s="4"/>
      <c r="AC473" s="4"/>
      <c r="AD473" s="4"/>
      <c r="AE473" s="4"/>
      <c r="AF473" s="4"/>
      <c r="AG473" s="4"/>
      <c r="AH473" s="4"/>
      <c r="AI473" s="4"/>
      <c r="AJ473" s="4"/>
      <c r="AK473" s="4"/>
    </row>
    <row r="474" spans="1:37" ht="70" customHeight="1" x14ac:dyDescent="0.2">
      <c r="A474" s="107"/>
      <c r="B474" s="4"/>
      <c r="C474" s="163"/>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row>
    <row r="475" spans="1:37" ht="70" customHeight="1" x14ac:dyDescent="0.2">
      <c r="A475" s="107"/>
      <c r="B475" s="4"/>
      <c r="C475" s="163"/>
      <c r="D475" s="4"/>
      <c r="E475" s="4"/>
      <c r="F475" s="4"/>
      <c r="G475" s="4"/>
      <c r="H475" s="4"/>
      <c r="I475" s="4"/>
      <c r="J475" s="4"/>
      <c r="K475" s="4"/>
      <c r="L475" s="4"/>
      <c r="M475" s="4"/>
      <c r="N475" s="4"/>
      <c r="O475" s="4"/>
      <c r="P475" s="4"/>
      <c r="Q475" s="4"/>
      <c r="R475" s="4"/>
      <c r="S475" s="4"/>
      <c r="T475" s="4"/>
      <c r="U475" s="4"/>
      <c r="V475" s="4"/>
      <c r="W475" s="4"/>
      <c r="X475" s="4"/>
      <c r="Y475" s="4"/>
      <c r="Z475" s="4"/>
      <c r="AA475" s="4"/>
      <c r="AB475" s="4"/>
      <c r="AC475" s="4"/>
      <c r="AD475" s="4"/>
      <c r="AE475" s="4"/>
      <c r="AF475" s="4"/>
      <c r="AG475" s="4"/>
      <c r="AH475" s="4"/>
      <c r="AI475" s="4"/>
      <c r="AJ475" s="4"/>
      <c r="AK475" s="4"/>
    </row>
    <row r="476" spans="1:37" ht="70" customHeight="1" x14ac:dyDescent="0.2">
      <c r="A476" s="107"/>
      <c r="B476" s="4"/>
      <c r="C476" s="163"/>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row>
    <row r="477" spans="1:37" ht="70" customHeight="1" x14ac:dyDescent="0.2">
      <c r="A477" s="107"/>
      <c r="B477" s="4"/>
      <c r="C477" s="163"/>
      <c r="D477" s="4"/>
      <c r="E477" s="4"/>
      <c r="F477" s="4"/>
      <c r="G477" s="4"/>
      <c r="H477" s="4"/>
      <c r="I477" s="4"/>
      <c r="J477" s="4"/>
      <c r="K477" s="4"/>
      <c r="L477" s="4"/>
      <c r="M477" s="4"/>
      <c r="N477" s="4"/>
      <c r="O477" s="4"/>
      <c r="P477" s="4"/>
      <c r="Q477" s="4"/>
      <c r="R477" s="4"/>
      <c r="S477" s="4"/>
      <c r="T477" s="4"/>
      <c r="U477" s="4"/>
      <c r="V477" s="4"/>
      <c r="W477" s="4"/>
      <c r="X477" s="4"/>
      <c r="Y477" s="4"/>
      <c r="Z477" s="4"/>
      <c r="AA477" s="4"/>
      <c r="AB477" s="4"/>
      <c r="AC477" s="4"/>
      <c r="AD477" s="4"/>
      <c r="AE477" s="4"/>
      <c r="AF477" s="4"/>
      <c r="AG477" s="4"/>
      <c r="AH477" s="4"/>
      <c r="AI477" s="4"/>
      <c r="AJ477" s="4"/>
      <c r="AK477" s="4"/>
    </row>
    <row r="478" spans="1:37" ht="70" customHeight="1" x14ac:dyDescent="0.2">
      <c r="A478" s="107"/>
      <c r="B478" s="4"/>
      <c r="C478" s="163"/>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row>
    <row r="479" spans="1:37" ht="70" customHeight="1" x14ac:dyDescent="0.2">
      <c r="A479" s="107"/>
      <c r="B479" s="4"/>
      <c r="C479" s="163"/>
      <c r="D479" s="4"/>
      <c r="E479" s="4"/>
      <c r="F479" s="4"/>
      <c r="G479" s="4"/>
      <c r="H479" s="4"/>
      <c r="I479" s="4"/>
      <c r="J479" s="4"/>
      <c r="K479" s="4"/>
      <c r="L479" s="4"/>
      <c r="M479" s="4"/>
      <c r="N479" s="4"/>
      <c r="O479" s="4"/>
      <c r="P479" s="4"/>
      <c r="Q479" s="4"/>
      <c r="R479" s="4"/>
      <c r="S479" s="4"/>
      <c r="T479" s="4"/>
      <c r="U479" s="4"/>
      <c r="V479" s="4"/>
      <c r="W479" s="4"/>
      <c r="X479" s="4"/>
      <c r="Y479" s="4"/>
      <c r="Z479" s="4"/>
      <c r="AA479" s="4"/>
      <c r="AB479" s="4"/>
      <c r="AC479" s="4"/>
      <c r="AD479" s="4"/>
      <c r="AE479" s="4"/>
      <c r="AF479" s="4"/>
      <c r="AG479" s="4"/>
      <c r="AH479" s="4"/>
      <c r="AI479" s="4"/>
      <c r="AJ479" s="4"/>
      <c r="AK479" s="4"/>
    </row>
    <row r="480" spans="1:37" ht="70" customHeight="1" x14ac:dyDescent="0.2">
      <c r="A480" s="107"/>
      <c r="B480" s="4"/>
      <c r="C480" s="163"/>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row>
    <row r="481" spans="1:37" ht="70" customHeight="1" x14ac:dyDescent="0.2">
      <c r="A481" s="107"/>
      <c r="B481" s="4"/>
      <c r="C481" s="163"/>
      <c r="D481" s="4"/>
      <c r="E481" s="4"/>
      <c r="F481" s="4"/>
      <c r="G481" s="4"/>
      <c r="H481" s="4"/>
      <c r="I481" s="4"/>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c r="AI481" s="4"/>
      <c r="AJ481" s="4"/>
      <c r="AK481" s="4"/>
    </row>
    <row r="482" spans="1:37" ht="70" customHeight="1" x14ac:dyDescent="0.2">
      <c r="A482" s="107"/>
      <c r="B482" s="4"/>
      <c r="C482" s="163"/>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row>
    <row r="483" spans="1:37" ht="70" customHeight="1" x14ac:dyDescent="0.2">
      <c r="A483" s="107"/>
      <c r="B483" s="4"/>
      <c r="C483" s="163"/>
      <c r="D483" s="4"/>
      <c r="E483" s="4"/>
      <c r="F483" s="4"/>
      <c r="G483" s="4"/>
      <c r="H483" s="4"/>
      <c r="I483" s="4"/>
      <c r="J483" s="4"/>
      <c r="K483" s="4"/>
      <c r="L483" s="4"/>
      <c r="M483" s="4"/>
      <c r="N483" s="4"/>
      <c r="O483" s="4"/>
      <c r="P483" s="4"/>
      <c r="Q483" s="4"/>
      <c r="R483" s="4"/>
      <c r="S483" s="4"/>
      <c r="T483" s="4"/>
      <c r="U483" s="4"/>
      <c r="V483" s="4"/>
      <c r="W483" s="4"/>
      <c r="X483" s="4"/>
      <c r="Y483" s="4"/>
      <c r="Z483" s="4"/>
      <c r="AA483" s="4"/>
      <c r="AB483" s="4"/>
      <c r="AC483" s="4"/>
      <c r="AD483" s="4"/>
      <c r="AE483" s="4"/>
      <c r="AF483" s="4"/>
      <c r="AG483" s="4"/>
      <c r="AH483" s="4"/>
      <c r="AI483" s="4"/>
      <c r="AJ483" s="4"/>
      <c r="AK483" s="4"/>
    </row>
    <row r="484" spans="1:37" ht="70" customHeight="1" x14ac:dyDescent="0.2">
      <c r="A484" s="107"/>
      <c r="B484" s="4"/>
      <c r="C484" s="163"/>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row>
    <row r="485" spans="1:37" ht="70" customHeight="1" x14ac:dyDescent="0.2">
      <c r="A485" s="107"/>
      <c r="B485" s="4"/>
      <c r="C485" s="163"/>
      <c r="D485" s="4"/>
      <c r="E485" s="4"/>
      <c r="F485" s="4"/>
      <c r="G485" s="4"/>
      <c r="H485" s="4"/>
      <c r="I485" s="4"/>
      <c r="J485" s="4"/>
      <c r="K485" s="4"/>
      <c r="L485" s="4"/>
      <c r="M485" s="4"/>
      <c r="N485" s="4"/>
      <c r="O485" s="4"/>
      <c r="P485" s="4"/>
      <c r="Q485" s="4"/>
      <c r="R485" s="4"/>
      <c r="S485" s="4"/>
      <c r="T485" s="4"/>
      <c r="U485" s="4"/>
      <c r="V485" s="4"/>
      <c r="W485" s="4"/>
      <c r="X485" s="4"/>
      <c r="Y485" s="4"/>
      <c r="Z485" s="4"/>
      <c r="AA485" s="4"/>
      <c r="AB485" s="4"/>
      <c r="AC485" s="4"/>
      <c r="AD485" s="4"/>
      <c r="AE485" s="4"/>
      <c r="AF485" s="4"/>
      <c r="AG485" s="4"/>
      <c r="AH485" s="4"/>
      <c r="AI485" s="4"/>
      <c r="AJ485" s="4"/>
      <c r="AK485" s="4"/>
    </row>
    <row r="486" spans="1:37" ht="70" customHeight="1" x14ac:dyDescent="0.2">
      <c r="A486" s="107"/>
      <c r="B486" s="4"/>
      <c r="C486" s="163"/>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row>
    <row r="487" spans="1:37" ht="70" customHeight="1" x14ac:dyDescent="0.2">
      <c r="A487" s="107"/>
      <c r="B487" s="4"/>
      <c r="C487" s="163"/>
      <c r="D487" s="4"/>
      <c r="E487" s="4"/>
      <c r="F487" s="4"/>
      <c r="G487" s="4"/>
      <c r="H487" s="4"/>
      <c r="I487" s="4"/>
      <c r="J487" s="4"/>
      <c r="K487" s="4"/>
      <c r="L487" s="4"/>
      <c r="M487" s="4"/>
      <c r="N487" s="4"/>
      <c r="O487" s="4"/>
      <c r="P487" s="4"/>
      <c r="Q487" s="4"/>
      <c r="R487" s="4"/>
      <c r="S487" s="4"/>
      <c r="T487" s="4"/>
      <c r="U487" s="4"/>
      <c r="V487" s="4"/>
      <c r="W487" s="4"/>
      <c r="X487" s="4"/>
      <c r="Y487" s="4"/>
      <c r="Z487" s="4"/>
      <c r="AA487" s="4"/>
      <c r="AB487" s="4"/>
      <c r="AC487" s="4"/>
      <c r="AD487" s="4"/>
      <c r="AE487" s="4"/>
      <c r="AF487" s="4"/>
      <c r="AG487" s="4"/>
      <c r="AH487" s="4"/>
      <c r="AI487" s="4"/>
      <c r="AJ487" s="4"/>
      <c r="AK487" s="4"/>
    </row>
    <row r="488" spans="1:37" ht="70" customHeight="1" x14ac:dyDescent="0.2">
      <c r="A488" s="107"/>
      <c r="B488" s="4"/>
      <c r="C488" s="163"/>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row>
    <row r="489" spans="1:37" ht="70" customHeight="1" x14ac:dyDescent="0.2">
      <c r="A489" s="107"/>
      <c r="B489" s="4"/>
      <c r="C489" s="163"/>
      <c r="D489" s="4"/>
      <c r="E489" s="4"/>
      <c r="F489" s="4"/>
      <c r="G489" s="4"/>
      <c r="H489" s="4"/>
      <c r="I489" s="4"/>
      <c r="J489" s="4"/>
      <c r="K489" s="4"/>
      <c r="L489" s="4"/>
      <c r="M489" s="4"/>
      <c r="N489" s="4"/>
      <c r="O489" s="4"/>
      <c r="P489" s="4"/>
      <c r="Q489" s="4"/>
      <c r="R489" s="4"/>
      <c r="S489" s="4"/>
      <c r="T489" s="4"/>
      <c r="U489" s="4"/>
      <c r="V489" s="4"/>
      <c r="W489" s="4"/>
      <c r="X489" s="4"/>
      <c r="Y489" s="4"/>
      <c r="Z489" s="4"/>
      <c r="AA489" s="4"/>
      <c r="AB489" s="4"/>
      <c r="AC489" s="4"/>
      <c r="AD489" s="4"/>
      <c r="AE489" s="4"/>
      <c r="AF489" s="4"/>
      <c r="AG489" s="4"/>
      <c r="AH489" s="4"/>
      <c r="AI489" s="4"/>
      <c r="AJ489" s="4"/>
      <c r="AK489" s="4"/>
    </row>
    <row r="490" spans="1:37" ht="70" customHeight="1" x14ac:dyDescent="0.2">
      <c r="A490" s="107"/>
      <c r="B490" s="4"/>
      <c r="C490" s="163"/>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row>
    <row r="491" spans="1:37" ht="70" customHeight="1" x14ac:dyDescent="0.2">
      <c r="A491" s="107"/>
      <c r="B491" s="4"/>
      <c r="C491" s="163"/>
      <c r="D491" s="4"/>
      <c r="E491" s="4"/>
      <c r="F491" s="4"/>
      <c r="G491" s="4"/>
      <c r="H491" s="4"/>
      <c r="I491" s="4"/>
      <c r="J491" s="4"/>
      <c r="K491" s="4"/>
      <c r="L491" s="4"/>
      <c r="M491" s="4"/>
      <c r="N491" s="4"/>
      <c r="O491" s="4"/>
      <c r="P491" s="4"/>
      <c r="Q491" s="4"/>
      <c r="R491" s="4"/>
      <c r="S491" s="4"/>
      <c r="T491" s="4"/>
      <c r="U491" s="4"/>
      <c r="V491" s="4"/>
      <c r="W491" s="4"/>
      <c r="X491" s="4"/>
      <c r="Y491" s="4"/>
      <c r="Z491" s="4"/>
      <c r="AA491" s="4"/>
      <c r="AB491" s="4"/>
      <c r="AC491" s="4"/>
      <c r="AD491" s="4"/>
      <c r="AE491" s="4"/>
      <c r="AF491" s="4"/>
      <c r="AG491" s="4"/>
      <c r="AH491" s="4"/>
      <c r="AI491" s="4"/>
      <c r="AJ491" s="4"/>
      <c r="AK491" s="4"/>
    </row>
    <row r="492" spans="1:37" ht="70" customHeight="1" x14ac:dyDescent="0.2">
      <c r="A492" s="107"/>
      <c r="B492" s="4"/>
      <c r="C492" s="163"/>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row>
    <row r="493" spans="1:37" ht="70" customHeight="1" x14ac:dyDescent="0.2">
      <c r="A493" s="107"/>
      <c r="B493" s="4"/>
      <c r="C493" s="163"/>
      <c r="D493" s="4"/>
      <c r="E493" s="4"/>
      <c r="F493" s="4"/>
      <c r="G493" s="4"/>
      <c r="H493" s="4"/>
      <c r="I493" s="4"/>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c r="AI493" s="4"/>
      <c r="AJ493" s="4"/>
      <c r="AK493" s="4"/>
    </row>
    <row r="494" spans="1:37" ht="70" customHeight="1" x14ac:dyDescent="0.2">
      <c r="A494" s="107"/>
      <c r="B494" s="4"/>
      <c r="C494" s="163"/>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row>
    <row r="495" spans="1:37" ht="70" customHeight="1" x14ac:dyDescent="0.2">
      <c r="A495" s="107"/>
      <c r="B495" s="4"/>
      <c r="C495" s="163"/>
      <c r="D495" s="4"/>
      <c r="E495" s="4"/>
      <c r="F495" s="4"/>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row>
    <row r="496" spans="1:37" ht="70" customHeight="1" x14ac:dyDescent="0.2">
      <c r="A496" s="107"/>
      <c r="B496" s="4"/>
      <c r="C496" s="163"/>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row>
    <row r="497" spans="1:37" ht="70" customHeight="1" x14ac:dyDescent="0.2">
      <c r="A497" s="107"/>
      <c r="B497" s="4"/>
      <c r="C497" s="163"/>
      <c r="D497" s="4"/>
      <c r="E497" s="4"/>
      <c r="F497" s="4"/>
      <c r="G497" s="4"/>
      <c r="H497" s="4"/>
      <c r="I497" s="4"/>
      <c r="J497" s="4"/>
      <c r="K497" s="4"/>
      <c r="L497" s="4"/>
      <c r="M497" s="4"/>
      <c r="N497" s="4"/>
      <c r="O497" s="4"/>
      <c r="P497" s="4"/>
      <c r="Q497" s="4"/>
      <c r="R497" s="4"/>
      <c r="S497" s="4"/>
      <c r="T497" s="4"/>
      <c r="U497" s="4"/>
      <c r="V497" s="4"/>
      <c r="W497" s="4"/>
      <c r="X497" s="4"/>
      <c r="Y497" s="4"/>
      <c r="Z497" s="4"/>
      <c r="AA497" s="4"/>
      <c r="AB497" s="4"/>
      <c r="AC497" s="4"/>
      <c r="AD497" s="4"/>
      <c r="AE497" s="4"/>
      <c r="AF497" s="4"/>
      <c r="AG497" s="4"/>
      <c r="AH497" s="4"/>
      <c r="AI497" s="4"/>
      <c r="AJ497" s="4"/>
      <c r="AK497" s="4"/>
    </row>
    <row r="498" spans="1:37" ht="70" customHeight="1" x14ac:dyDescent="0.2">
      <c r="A498" s="107"/>
      <c r="B498" s="4"/>
      <c r="C498" s="163"/>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row>
    <row r="499" spans="1:37" ht="70" customHeight="1" x14ac:dyDescent="0.2">
      <c r="A499" s="107"/>
      <c r="B499" s="4"/>
      <c r="C499" s="163"/>
      <c r="D499" s="4"/>
      <c r="E499" s="4"/>
      <c r="F499" s="4"/>
      <c r="G499" s="4"/>
      <c r="H499" s="4"/>
      <c r="I499" s="4"/>
      <c r="J499" s="4"/>
      <c r="K499" s="4"/>
      <c r="L499" s="4"/>
      <c r="M499" s="4"/>
      <c r="N499" s="4"/>
      <c r="O499" s="4"/>
      <c r="P499" s="4"/>
      <c r="Q499" s="4"/>
      <c r="R499" s="4"/>
      <c r="S499" s="4"/>
      <c r="T499" s="4"/>
      <c r="U499" s="4"/>
      <c r="V499" s="4"/>
      <c r="W499" s="4"/>
      <c r="X499" s="4"/>
      <c r="Y499" s="4"/>
      <c r="Z499" s="4"/>
      <c r="AA499" s="4"/>
      <c r="AB499" s="4"/>
      <c r="AC499" s="4"/>
      <c r="AD499" s="4"/>
      <c r="AE499" s="4"/>
      <c r="AF499" s="4"/>
      <c r="AG499" s="4"/>
      <c r="AH499" s="4"/>
      <c r="AI499" s="4"/>
      <c r="AJ499" s="4"/>
      <c r="AK499" s="4"/>
    </row>
    <row r="500" spans="1:37" ht="70" customHeight="1" x14ac:dyDescent="0.2">
      <c r="A500" s="107"/>
      <c r="B500" s="4"/>
      <c r="C500" s="163"/>
      <c r="D500" s="4"/>
      <c r="E500" s="4"/>
      <c r="F500" s="4"/>
      <c r="G500" s="4"/>
      <c r="H500" s="4"/>
      <c r="I500" s="4"/>
      <c r="J500" s="4"/>
      <c r="K500" s="4"/>
      <c r="L500" s="4"/>
      <c r="M500" s="4"/>
      <c r="N500" s="4"/>
      <c r="O500" s="4"/>
      <c r="P500" s="4"/>
      <c r="Q500" s="4"/>
      <c r="R500" s="4"/>
      <c r="S500" s="4"/>
      <c r="T500" s="4"/>
      <c r="U500" s="4"/>
      <c r="V500" s="4"/>
      <c r="W500" s="4"/>
      <c r="X500" s="4"/>
      <c r="Y500" s="4"/>
      <c r="Z500" s="4"/>
      <c r="AA500" s="4"/>
      <c r="AB500" s="4"/>
      <c r="AC500" s="4"/>
      <c r="AD500" s="4"/>
      <c r="AE500" s="4"/>
      <c r="AF500" s="4"/>
      <c r="AG500" s="4"/>
      <c r="AH500" s="4"/>
      <c r="AI500" s="4"/>
      <c r="AJ500" s="4"/>
      <c r="AK500" s="4"/>
    </row>
    <row r="501" spans="1:37" ht="70" customHeight="1" x14ac:dyDescent="0.2">
      <c r="A501" s="107"/>
      <c r="B501" s="4"/>
      <c r="C501" s="163"/>
      <c r="D501" s="4"/>
      <c r="E501" s="4"/>
      <c r="F501" s="4"/>
      <c r="G501" s="4"/>
      <c r="H501" s="4"/>
      <c r="I501" s="4"/>
      <c r="J501" s="4"/>
      <c r="K501" s="4"/>
      <c r="L501" s="4"/>
      <c r="M501" s="4"/>
      <c r="N501" s="4"/>
      <c r="O501" s="4"/>
      <c r="P501" s="4"/>
      <c r="Q501" s="4"/>
      <c r="R501" s="4"/>
      <c r="S501" s="4"/>
      <c r="T501" s="4"/>
      <c r="U501" s="4"/>
      <c r="V501" s="4"/>
      <c r="W501" s="4"/>
      <c r="X501" s="4"/>
      <c r="Y501" s="4"/>
      <c r="Z501" s="4"/>
      <c r="AA501" s="4"/>
      <c r="AB501" s="4"/>
      <c r="AC501" s="4"/>
      <c r="AD501" s="4"/>
      <c r="AE501" s="4"/>
      <c r="AF501" s="4"/>
      <c r="AG501" s="4"/>
      <c r="AH501" s="4"/>
      <c r="AI501" s="4"/>
      <c r="AJ501" s="4"/>
      <c r="AK501" s="4"/>
    </row>
    <row r="502" spans="1:37" ht="70" customHeight="1" x14ac:dyDescent="0.2">
      <c r="A502" s="107"/>
      <c r="B502" s="4"/>
      <c r="C502" s="163"/>
      <c r="D502" s="4"/>
      <c r="E502" s="4"/>
      <c r="F502" s="4"/>
      <c r="G502" s="4"/>
      <c r="H502" s="4"/>
      <c r="I502" s="4"/>
      <c r="J502" s="4"/>
      <c r="K502" s="4"/>
      <c r="L502" s="4"/>
      <c r="M502" s="4"/>
      <c r="N502" s="4"/>
      <c r="O502" s="4"/>
      <c r="P502" s="4"/>
      <c r="Q502" s="4"/>
      <c r="R502" s="4"/>
      <c r="S502" s="4"/>
      <c r="T502" s="4"/>
      <c r="U502" s="4"/>
      <c r="V502" s="4"/>
      <c r="W502" s="4"/>
      <c r="X502" s="4"/>
      <c r="Y502" s="4"/>
      <c r="Z502" s="4"/>
      <c r="AA502" s="4"/>
      <c r="AB502" s="4"/>
      <c r="AC502" s="4"/>
      <c r="AD502" s="4"/>
      <c r="AE502" s="4"/>
      <c r="AF502" s="4"/>
      <c r="AG502" s="4"/>
      <c r="AH502" s="4"/>
      <c r="AI502" s="4"/>
      <c r="AJ502" s="4"/>
      <c r="AK502" s="4"/>
    </row>
    <row r="503" spans="1:37" ht="70" customHeight="1" x14ac:dyDescent="0.2">
      <c r="A503" s="107"/>
      <c r="B503" s="4"/>
      <c r="C503" s="163"/>
      <c r="D503" s="4"/>
      <c r="E503" s="4"/>
      <c r="F503" s="4"/>
      <c r="G503" s="4"/>
      <c r="H503" s="4"/>
      <c r="I503" s="4"/>
      <c r="J503" s="4"/>
      <c r="K503" s="4"/>
      <c r="L503" s="4"/>
      <c r="M503" s="4"/>
      <c r="N503" s="4"/>
      <c r="O503" s="4"/>
      <c r="P503" s="4"/>
      <c r="Q503" s="4"/>
      <c r="R503" s="4"/>
      <c r="S503" s="4"/>
      <c r="T503" s="4"/>
      <c r="U503" s="4"/>
      <c r="V503" s="4"/>
      <c r="W503" s="4"/>
      <c r="X503" s="4"/>
      <c r="Y503" s="4"/>
      <c r="Z503" s="4"/>
      <c r="AA503" s="4"/>
      <c r="AB503" s="4"/>
      <c r="AC503" s="4"/>
      <c r="AD503" s="4"/>
      <c r="AE503" s="4"/>
      <c r="AF503" s="4"/>
      <c r="AG503" s="4"/>
      <c r="AH503" s="4"/>
      <c r="AI503" s="4"/>
      <c r="AJ503" s="4"/>
      <c r="AK503" s="4"/>
    </row>
    <row r="504" spans="1:37" ht="70" customHeight="1" x14ac:dyDescent="0.2">
      <c r="A504" s="107"/>
      <c r="B504" s="4"/>
      <c r="C504" s="163"/>
      <c r="D504" s="4"/>
      <c r="E504" s="4"/>
      <c r="F504" s="4"/>
      <c r="G504" s="4"/>
      <c r="H504" s="4"/>
      <c r="I504" s="4"/>
      <c r="J504" s="4"/>
      <c r="K504" s="4"/>
      <c r="L504" s="4"/>
      <c r="M504" s="4"/>
      <c r="N504" s="4"/>
      <c r="O504" s="4"/>
      <c r="P504" s="4"/>
      <c r="Q504" s="4"/>
      <c r="R504" s="4"/>
      <c r="S504" s="4"/>
      <c r="T504" s="4"/>
      <c r="U504" s="4"/>
      <c r="V504" s="4"/>
      <c r="W504" s="4"/>
      <c r="X504" s="4"/>
      <c r="Y504" s="4"/>
      <c r="Z504" s="4"/>
      <c r="AA504" s="4"/>
      <c r="AB504" s="4"/>
      <c r="AC504" s="4"/>
      <c r="AD504" s="4"/>
      <c r="AE504" s="4"/>
      <c r="AF504" s="4"/>
      <c r="AG504" s="4"/>
      <c r="AH504" s="4"/>
      <c r="AI504" s="4"/>
      <c r="AJ504" s="4"/>
      <c r="AK504" s="4"/>
    </row>
    <row r="505" spans="1:37" ht="70" customHeight="1" x14ac:dyDescent="0.2">
      <c r="A505" s="107"/>
      <c r="B505" s="4"/>
      <c r="C505" s="163"/>
      <c r="D505" s="4"/>
      <c r="E505" s="4"/>
      <c r="F505" s="4"/>
      <c r="G505" s="4"/>
      <c r="H505" s="4"/>
      <c r="I505" s="4"/>
      <c r="J505" s="4"/>
      <c r="K505" s="4"/>
      <c r="L505" s="4"/>
      <c r="M505" s="4"/>
      <c r="N505" s="4"/>
      <c r="O505" s="4"/>
      <c r="P505" s="4"/>
      <c r="Q505" s="4"/>
      <c r="R505" s="4"/>
      <c r="S505" s="4"/>
      <c r="T505" s="4"/>
      <c r="U505" s="4"/>
      <c r="V505" s="4"/>
      <c r="W505" s="4"/>
      <c r="X505" s="4"/>
      <c r="Y505" s="4"/>
      <c r="Z505" s="4"/>
      <c r="AA505" s="4"/>
      <c r="AB505" s="4"/>
      <c r="AC505" s="4"/>
      <c r="AD505" s="4"/>
      <c r="AE505" s="4"/>
      <c r="AF505" s="4"/>
      <c r="AG505" s="4"/>
      <c r="AH505" s="4"/>
      <c r="AI505" s="4"/>
      <c r="AJ505" s="4"/>
      <c r="AK505" s="4"/>
    </row>
    <row r="506" spans="1:37" ht="70" customHeight="1" x14ac:dyDescent="0.2">
      <c r="A506" s="107"/>
      <c r="B506" s="4"/>
      <c r="C506" s="163"/>
      <c r="D506" s="4"/>
      <c r="E506" s="4"/>
      <c r="F506" s="4"/>
      <c r="G506" s="4"/>
      <c r="H506" s="4"/>
      <c r="I506" s="4"/>
      <c r="J506" s="4"/>
      <c r="K506" s="4"/>
      <c r="L506" s="4"/>
      <c r="M506" s="4"/>
      <c r="N506" s="4"/>
      <c r="O506" s="4"/>
      <c r="P506" s="4"/>
      <c r="Q506" s="4"/>
      <c r="R506" s="4"/>
      <c r="S506" s="4"/>
      <c r="T506" s="4"/>
      <c r="U506" s="4"/>
      <c r="V506" s="4"/>
      <c r="W506" s="4"/>
      <c r="X506" s="4"/>
      <c r="Y506" s="4"/>
      <c r="Z506" s="4"/>
      <c r="AA506" s="4"/>
      <c r="AB506" s="4"/>
      <c r="AC506" s="4"/>
      <c r="AD506" s="4"/>
      <c r="AE506" s="4"/>
      <c r="AF506" s="4"/>
      <c r="AG506" s="4"/>
      <c r="AH506" s="4"/>
      <c r="AI506" s="4"/>
      <c r="AJ506" s="4"/>
      <c r="AK506" s="4"/>
    </row>
    <row r="507" spans="1:37" ht="70" customHeight="1" x14ac:dyDescent="0.2">
      <c r="A507" s="107"/>
      <c r="B507" s="4"/>
      <c r="C507" s="163"/>
      <c r="D507" s="4"/>
      <c r="E507" s="4"/>
      <c r="F507" s="4"/>
      <c r="G507" s="4"/>
      <c r="H507" s="4"/>
      <c r="I507" s="4"/>
      <c r="J507" s="4"/>
      <c r="K507" s="4"/>
      <c r="L507" s="4"/>
      <c r="M507" s="4"/>
      <c r="N507" s="4"/>
      <c r="O507" s="4"/>
      <c r="P507" s="4"/>
      <c r="Q507" s="4"/>
      <c r="R507" s="4"/>
      <c r="S507" s="4"/>
      <c r="T507" s="4"/>
      <c r="U507" s="4"/>
      <c r="V507" s="4"/>
      <c r="W507" s="4"/>
      <c r="X507" s="4"/>
      <c r="Y507" s="4"/>
      <c r="Z507" s="4"/>
      <c r="AA507" s="4"/>
      <c r="AB507" s="4"/>
      <c r="AC507" s="4"/>
      <c r="AD507" s="4"/>
      <c r="AE507" s="4"/>
      <c r="AF507" s="4"/>
      <c r="AG507" s="4"/>
      <c r="AH507" s="4"/>
      <c r="AI507" s="4"/>
      <c r="AJ507" s="4"/>
      <c r="AK507" s="4"/>
    </row>
    <row r="508" spans="1:37" ht="70" customHeight="1" x14ac:dyDescent="0.2">
      <c r="A508" s="107"/>
      <c r="B508" s="4"/>
      <c r="C508" s="163"/>
      <c r="D508" s="4"/>
      <c r="E508" s="4"/>
      <c r="F508" s="4"/>
      <c r="G508" s="4"/>
      <c r="H508" s="4"/>
      <c r="I508" s="4"/>
      <c r="J508" s="4"/>
      <c r="K508" s="4"/>
      <c r="L508" s="4"/>
      <c r="M508" s="4"/>
      <c r="N508" s="4"/>
      <c r="O508" s="4"/>
      <c r="P508" s="4"/>
      <c r="Q508" s="4"/>
      <c r="R508" s="4"/>
      <c r="S508" s="4"/>
      <c r="T508" s="4"/>
      <c r="U508" s="4"/>
      <c r="V508" s="4"/>
      <c r="W508" s="4"/>
      <c r="X508" s="4"/>
      <c r="Y508" s="4"/>
      <c r="Z508" s="4"/>
      <c r="AA508" s="4"/>
      <c r="AB508" s="4"/>
      <c r="AC508" s="4"/>
      <c r="AD508" s="4"/>
      <c r="AE508" s="4"/>
      <c r="AF508" s="4"/>
      <c r="AG508" s="4"/>
      <c r="AH508" s="4"/>
      <c r="AI508" s="4"/>
      <c r="AJ508" s="4"/>
      <c r="AK508" s="4"/>
    </row>
    <row r="509" spans="1:37" ht="70" customHeight="1" x14ac:dyDescent="0.2">
      <c r="A509" s="107"/>
      <c r="B509" s="4"/>
      <c r="C509" s="163"/>
      <c r="D509" s="4"/>
      <c r="E509" s="4"/>
      <c r="F509" s="4"/>
      <c r="G509" s="4"/>
      <c r="H509" s="4"/>
      <c r="I509" s="4"/>
      <c r="J509" s="4"/>
      <c r="K509" s="4"/>
      <c r="L509" s="4"/>
      <c r="M509" s="4"/>
      <c r="N509" s="4"/>
      <c r="O509" s="4"/>
      <c r="P509" s="4"/>
      <c r="Q509" s="4"/>
      <c r="R509" s="4"/>
      <c r="S509" s="4"/>
      <c r="T509" s="4"/>
      <c r="U509" s="4"/>
      <c r="V509" s="4"/>
      <c r="W509" s="4"/>
      <c r="X509" s="4"/>
      <c r="Y509" s="4"/>
      <c r="Z509" s="4"/>
      <c r="AA509" s="4"/>
      <c r="AB509" s="4"/>
      <c r="AC509" s="4"/>
      <c r="AD509" s="4"/>
      <c r="AE509" s="4"/>
      <c r="AF509" s="4"/>
      <c r="AG509" s="4"/>
      <c r="AH509" s="4"/>
      <c r="AI509" s="4"/>
      <c r="AJ509" s="4"/>
      <c r="AK509" s="4"/>
    </row>
    <row r="510" spans="1:37" ht="70" customHeight="1" x14ac:dyDescent="0.2">
      <c r="A510" s="107"/>
      <c r="B510" s="4"/>
      <c r="C510" s="163"/>
      <c r="D510" s="4"/>
      <c r="E510" s="4"/>
      <c r="F510" s="4"/>
      <c r="G510" s="4"/>
      <c r="H510" s="4"/>
      <c r="I510" s="4"/>
      <c r="J510" s="4"/>
      <c r="K510" s="4"/>
      <c r="L510" s="4"/>
      <c r="M510" s="4"/>
      <c r="N510" s="4"/>
      <c r="O510" s="4"/>
      <c r="P510" s="4"/>
      <c r="Q510" s="4"/>
      <c r="R510" s="4"/>
      <c r="S510" s="4"/>
      <c r="T510" s="4"/>
      <c r="U510" s="4"/>
      <c r="V510" s="4"/>
      <c r="W510" s="4"/>
      <c r="X510" s="4"/>
      <c r="Y510" s="4"/>
      <c r="Z510" s="4"/>
      <c r="AA510" s="4"/>
      <c r="AB510" s="4"/>
      <c r="AC510" s="4"/>
      <c r="AD510" s="4"/>
      <c r="AE510" s="4"/>
      <c r="AF510" s="4"/>
      <c r="AG510" s="4"/>
      <c r="AH510" s="4"/>
      <c r="AI510" s="4"/>
      <c r="AJ510" s="4"/>
      <c r="AK510" s="4"/>
    </row>
    <row r="511" spans="1:37" ht="70" customHeight="1" x14ac:dyDescent="0.2">
      <c r="A511" s="107"/>
      <c r="B511" s="4"/>
      <c r="C511" s="163"/>
      <c r="D511" s="4"/>
      <c r="E511" s="4"/>
      <c r="F511" s="4"/>
      <c r="G511" s="4"/>
      <c r="H511" s="4"/>
      <c r="I511" s="4"/>
      <c r="J511" s="4"/>
      <c r="K511" s="4"/>
      <c r="L511" s="4"/>
      <c r="M511" s="4"/>
      <c r="N511" s="4"/>
      <c r="O511" s="4"/>
      <c r="P511" s="4"/>
      <c r="Q511" s="4"/>
      <c r="R511" s="4"/>
      <c r="S511" s="4"/>
      <c r="T511" s="4"/>
      <c r="U511" s="4"/>
      <c r="V511" s="4"/>
      <c r="W511" s="4"/>
      <c r="X511" s="4"/>
      <c r="Y511" s="4"/>
      <c r="Z511" s="4"/>
      <c r="AA511" s="4"/>
      <c r="AB511" s="4"/>
      <c r="AC511" s="4"/>
      <c r="AD511" s="4"/>
      <c r="AE511" s="4"/>
      <c r="AF511" s="4"/>
      <c r="AG511" s="4"/>
      <c r="AH511" s="4"/>
      <c r="AI511" s="4"/>
      <c r="AJ511" s="4"/>
      <c r="AK511" s="4"/>
    </row>
    <row r="512" spans="1:37" ht="70" customHeight="1" x14ac:dyDescent="0.2">
      <c r="A512" s="107"/>
      <c r="B512" s="4"/>
      <c r="C512" s="163"/>
      <c r="D512" s="4"/>
      <c r="E512" s="4"/>
      <c r="F512" s="4"/>
      <c r="G512" s="4"/>
      <c r="H512" s="4"/>
      <c r="I512" s="4"/>
      <c r="J512" s="4"/>
      <c r="K512" s="4"/>
      <c r="L512" s="4"/>
      <c r="M512" s="4"/>
      <c r="N512" s="4"/>
      <c r="O512" s="4"/>
      <c r="P512" s="4"/>
      <c r="Q512" s="4"/>
      <c r="R512" s="4"/>
      <c r="S512" s="4"/>
      <c r="T512" s="4"/>
      <c r="U512" s="4"/>
      <c r="V512" s="4"/>
      <c r="W512" s="4"/>
      <c r="X512" s="4"/>
      <c r="Y512" s="4"/>
      <c r="Z512" s="4"/>
      <c r="AA512" s="4"/>
      <c r="AB512" s="4"/>
      <c r="AC512" s="4"/>
      <c r="AD512" s="4"/>
      <c r="AE512" s="4"/>
      <c r="AF512" s="4"/>
      <c r="AG512" s="4"/>
      <c r="AH512" s="4"/>
      <c r="AI512" s="4"/>
      <c r="AJ512" s="4"/>
      <c r="AK512" s="4"/>
    </row>
    <row r="513" spans="1:37" ht="70" customHeight="1" x14ac:dyDescent="0.2">
      <c r="A513" s="107"/>
      <c r="B513" s="4"/>
      <c r="C513" s="163"/>
      <c r="D513" s="4"/>
      <c r="E513" s="4"/>
      <c r="F513" s="4"/>
      <c r="G513" s="4"/>
      <c r="H513" s="4"/>
      <c r="I513" s="4"/>
      <c r="J513" s="4"/>
      <c r="K513" s="4"/>
      <c r="L513" s="4"/>
      <c r="M513" s="4"/>
      <c r="N513" s="4"/>
      <c r="O513" s="4"/>
      <c r="P513" s="4"/>
      <c r="Q513" s="4"/>
      <c r="R513" s="4"/>
      <c r="S513" s="4"/>
      <c r="T513" s="4"/>
      <c r="U513" s="4"/>
      <c r="V513" s="4"/>
      <c r="W513" s="4"/>
      <c r="X513" s="4"/>
      <c r="Y513" s="4"/>
      <c r="Z513" s="4"/>
      <c r="AA513" s="4"/>
      <c r="AB513" s="4"/>
      <c r="AC513" s="4"/>
      <c r="AD513" s="4"/>
      <c r="AE513" s="4"/>
      <c r="AF513" s="4"/>
      <c r="AG513" s="4"/>
      <c r="AH513" s="4"/>
      <c r="AI513" s="4"/>
      <c r="AJ513" s="4"/>
      <c r="AK513" s="4"/>
    </row>
    <row r="514" spans="1:37" ht="70" customHeight="1" x14ac:dyDescent="0.2">
      <c r="A514" s="107"/>
      <c r="B514" s="4"/>
      <c r="C514" s="163"/>
      <c r="D514" s="4"/>
      <c r="E514" s="4"/>
      <c r="F514" s="4"/>
      <c r="G514" s="4"/>
      <c r="H514" s="4"/>
      <c r="I514" s="4"/>
      <c r="J514" s="4"/>
      <c r="K514" s="4"/>
      <c r="L514" s="4"/>
      <c r="M514" s="4"/>
      <c r="N514" s="4"/>
      <c r="O514" s="4"/>
      <c r="P514" s="4"/>
      <c r="Q514" s="4"/>
      <c r="R514" s="4"/>
      <c r="S514" s="4"/>
      <c r="T514" s="4"/>
      <c r="U514" s="4"/>
      <c r="V514" s="4"/>
      <c r="W514" s="4"/>
      <c r="X514" s="4"/>
      <c r="Y514" s="4"/>
      <c r="Z514" s="4"/>
      <c r="AA514" s="4"/>
      <c r="AB514" s="4"/>
      <c r="AC514" s="4"/>
      <c r="AD514" s="4"/>
      <c r="AE514" s="4"/>
      <c r="AF514" s="4"/>
      <c r="AG514" s="4"/>
      <c r="AH514" s="4"/>
      <c r="AI514" s="4"/>
      <c r="AJ514" s="4"/>
      <c r="AK514" s="4"/>
    </row>
    <row r="515" spans="1:37" ht="70" customHeight="1" x14ac:dyDescent="0.2">
      <c r="A515" s="107"/>
      <c r="B515" s="4"/>
      <c r="C515" s="163"/>
      <c r="D515" s="4"/>
      <c r="E515" s="4"/>
      <c r="F515" s="4"/>
      <c r="G515" s="4"/>
      <c r="H515" s="4"/>
      <c r="I515" s="4"/>
      <c r="J515" s="4"/>
      <c r="K515" s="4"/>
      <c r="L515" s="4"/>
      <c r="M515" s="4"/>
      <c r="N515" s="4"/>
      <c r="O515" s="4"/>
      <c r="P515" s="4"/>
      <c r="Q515" s="4"/>
      <c r="R515" s="4"/>
      <c r="S515" s="4"/>
      <c r="T515" s="4"/>
      <c r="U515" s="4"/>
      <c r="V515" s="4"/>
      <c r="W515" s="4"/>
      <c r="X515" s="4"/>
      <c r="Y515" s="4"/>
      <c r="Z515" s="4"/>
      <c r="AA515" s="4"/>
      <c r="AB515" s="4"/>
      <c r="AC515" s="4"/>
      <c r="AD515" s="4"/>
      <c r="AE515" s="4"/>
      <c r="AF515" s="4"/>
      <c r="AG515" s="4"/>
      <c r="AH515" s="4"/>
      <c r="AI515" s="4"/>
      <c r="AJ515" s="4"/>
      <c r="AK515" s="4"/>
    </row>
    <row r="516" spans="1:37" ht="70" customHeight="1" x14ac:dyDescent="0.2">
      <c r="A516" s="107"/>
      <c r="B516" s="4"/>
      <c r="C516" s="163"/>
      <c r="D516" s="4"/>
      <c r="E516" s="4"/>
      <c r="F516" s="4"/>
      <c r="G516" s="4"/>
      <c r="H516" s="4"/>
      <c r="I516" s="4"/>
      <c r="J516" s="4"/>
      <c r="K516" s="4"/>
      <c r="L516" s="4"/>
      <c r="M516" s="4"/>
      <c r="N516" s="4"/>
      <c r="O516" s="4"/>
      <c r="P516" s="4"/>
      <c r="Q516" s="4"/>
      <c r="R516" s="4"/>
      <c r="S516" s="4"/>
      <c r="T516" s="4"/>
      <c r="U516" s="4"/>
      <c r="V516" s="4"/>
      <c r="W516" s="4"/>
      <c r="X516" s="4"/>
      <c r="Y516" s="4"/>
      <c r="Z516" s="4"/>
      <c r="AA516" s="4"/>
      <c r="AB516" s="4"/>
      <c r="AC516" s="4"/>
      <c r="AD516" s="4"/>
      <c r="AE516" s="4"/>
      <c r="AF516" s="4"/>
      <c r="AG516" s="4"/>
      <c r="AH516" s="4"/>
      <c r="AI516" s="4"/>
      <c r="AJ516" s="4"/>
      <c r="AK516" s="4"/>
    </row>
    <row r="517" spans="1:37" ht="70" customHeight="1" x14ac:dyDescent="0.2">
      <c r="A517" s="107"/>
      <c r="B517" s="4"/>
      <c r="C517" s="163"/>
      <c r="D517" s="4"/>
      <c r="E517" s="4"/>
      <c r="F517" s="4"/>
      <c r="G517" s="4"/>
      <c r="H517" s="4"/>
      <c r="I517" s="4"/>
      <c r="J517" s="4"/>
      <c r="K517" s="4"/>
      <c r="L517" s="4"/>
      <c r="M517" s="4"/>
      <c r="N517" s="4"/>
      <c r="O517" s="4"/>
      <c r="P517" s="4"/>
      <c r="Q517" s="4"/>
      <c r="R517" s="4"/>
      <c r="S517" s="4"/>
      <c r="T517" s="4"/>
      <c r="U517" s="4"/>
      <c r="V517" s="4"/>
      <c r="W517" s="4"/>
      <c r="X517" s="4"/>
      <c r="Y517" s="4"/>
      <c r="Z517" s="4"/>
      <c r="AA517" s="4"/>
      <c r="AB517" s="4"/>
      <c r="AC517" s="4"/>
      <c r="AD517" s="4"/>
      <c r="AE517" s="4"/>
      <c r="AF517" s="4"/>
      <c r="AG517" s="4"/>
      <c r="AH517" s="4"/>
      <c r="AI517" s="4"/>
      <c r="AJ517" s="4"/>
      <c r="AK517" s="4"/>
    </row>
    <row r="518" spans="1:37" ht="70" customHeight="1" x14ac:dyDescent="0.2">
      <c r="A518" s="107"/>
      <c r="B518" s="4"/>
      <c r="C518" s="163"/>
      <c r="D518" s="4"/>
      <c r="E518" s="4"/>
      <c r="F518" s="4"/>
      <c r="G518" s="4"/>
      <c r="H518" s="4"/>
      <c r="I518" s="4"/>
      <c r="J518" s="4"/>
      <c r="K518" s="4"/>
      <c r="L518" s="4"/>
      <c r="M518" s="4"/>
      <c r="N518" s="4"/>
      <c r="O518" s="4"/>
      <c r="P518" s="4"/>
      <c r="Q518" s="4"/>
      <c r="R518" s="4"/>
      <c r="S518" s="4"/>
      <c r="T518" s="4"/>
      <c r="U518" s="4"/>
      <c r="V518" s="4"/>
      <c r="W518" s="4"/>
      <c r="X518" s="4"/>
      <c r="Y518" s="4"/>
      <c r="Z518" s="4"/>
      <c r="AA518" s="4"/>
      <c r="AB518" s="4"/>
      <c r="AC518" s="4"/>
      <c r="AD518" s="4"/>
      <c r="AE518" s="4"/>
      <c r="AF518" s="4"/>
      <c r="AG518" s="4"/>
      <c r="AH518" s="4"/>
      <c r="AI518" s="4"/>
      <c r="AJ518" s="4"/>
      <c r="AK518" s="4"/>
    </row>
    <row r="519" spans="1:37" ht="70" customHeight="1" x14ac:dyDescent="0.2">
      <c r="A519" s="107"/>
      <c r="B519" s="4"/>
      <c r="C519" s="163"/>
      <c r="D519" s="4"/>
      <c r="E519" s="4"/>
      <c r="F519" s="4"/>
      <c r="G519" s="4"/>
      <c r="H519" s="4"/>
      <c r="I519" s="4"/>
      <c r="J519" s="4"/>
      <c r="K519" s="4"/>
      <c r="L519" s="4"/>
      <c r="M519" s="4"/>
      <c r="N519" s="4"/>
      <c r="O519" s="4"/>
      <c r="P519" s="4"/>
      <c r="Q519" s="4"/>
      <c r="R519" s="4"/>
      <c r="S519" s="4"/>
      <c r="T519" s="4"/>
      <c r="U519" s="4"/>
      <c r="V519" s="4"/>
      <c r="W519" s="4"/>
      <c r="X519" s="4"/>
      <c r="Y519" s="4"/>
      <c r="Z519" s="4"/>
      <c r="AA519" s="4"/>
      <c r="AB519" s="4"/>
      <c r="AC519" s="4"/>
      <c r="AD519" s="4"/>
      <c r="AE519" s="4"/>
      <c r="AF519" s="4"/>
      <c r="AG519" s="4"/>
      <c r="AH519" s="4"/>
      <c r="AI519" s="4"/>
      <c r="AJ519" s="4"/>
      <c r="AK519" s="4"/>
    </row>
    <row r="520" spans="1:37" ht="70" customHeight="1" x14ac:dyDescent="0.2">
      <c r="A520" s="107"/>
      <c r="B520" s="4"/>
      <c r="C520" s="163"/>
      <c r="D520" s="4"/>
      <c r="E520" s="4"/>
      <c r="F520" s="4"/>
      <c r="G520" s="4"/>
      <c r="H520" s="4"/>
      <c r="I520" s="4"/>
      <c r="J520" s="4"/>
      <c r="K520" s="4"/>
      <c r="L520" s="4"/>
      <c r="M520" s="4"/>
      <c r="N520" s="4"/>
      <c r="O520" s="4"/>
      <c r="P520" s="4"/>
      <c r="Q520" s="4"/>
      <c r="R520" s="4"/>
      <c r="S520" s="4"/>
      <c r="T520" s="4"/>
      <c r="U520" s="4"/>
      <c r="V520" s="4"/>
      <c r="W520" s="4"/>
      <c r="X520" s="4"/>
      <c r="Y520" s="4"/>
      <c r="Z520" s="4"/>
      <c r="AA520" s="4"/>
      <c r="AB520" s="4"/>
      <c r="AC520" s="4"/>
      <c r="AD520" s="4"/>
      <c r="AE520" s="4"/>
      <c r="AF520" s="4"/>
      <c r="AG520" s="4"/>
      <c r="AH520" s="4"/>
      <c r="AI520" s="4"/>
      <c r="AJ520" s="4"/>
      <c r="AK520" s="4"/>
    </row>
    <row r="521" spans="1:37" ht="70" customHeight="1" x14ac:dyDescent="0.2">
      <c r="A521" s="107"/>
      <c r="B521" s="4"/>
      <c r="C521" s="163"/>
      <c r="D521" s="4"/>
      <c r="E521" s="4"/>
      <c r="F521" s="4"/>
      <c r="G521" s="4"/>
      <c r="H521" s="4"/>
      <c r="I521" s="4"/>
      <c r="J521" s="4"/>
      <c r="K521" s="4"/>
      <c r="L521" s="4"/>
      <c r="M521" s="4"/>
      <c r="N521" s="4"/>
      <c r="O521" s="4"/>
      <c r="P521" s="4"/>
      <c r="Q521" s="4"/>
      <c r="R521" s="4"/>
      <c r="S521" s="4"/>
      <c r="T521" s="4"/>
      <c r="U521" s="4"/>
      <c r="V521" s="4"/>
      <c r="W521" s="4"/>
      <c r="X521" s="4"/>
      <c r="Y521" s="4"/>
      <c r="Z521" s="4"/>
      <c r="AA521" s="4"/>
      <c r="AB521" s="4"/>
      <c r="AC521" s="4"/>
      <c r="AD521" s="4"/>
      <c r="AE521" s="4"/>
      <c r="AF521" s="4"/>
      <c r="AG521" s="4"/>
      <c r="AH521" s="4"/>
      <c r="AI521" s="4"/>
      <c r="AJ521" s="4"/>
      <c r="AK521" s="4"/>
    </row>
    <row r="522" spans="1:37" ht="70" customHeight="1" x14ac:dyDescent="0.2">
      <c r="A522" s="107"/>
      <c r="B522" s="4"/>
      <c r="C522" s="163"/>
      <c r="D522" s="4"/>
      <c r="E522" s="4"/>
      <c r="F522" s="4"/>
      <c r="G522" s="4"/>
      <c r="H522" s="4"/>
      <c r="I522" s="4"/>
      <c r="J522" s="4"/>
      <c r="K522" s="4"/>
      <c r="L522" s="4"/>
      <c r="M522" s="4"/>
      <c r="N522" s="4"/>
      <c r="O522" s="4"/>
      <c r="P522" s="4"/>
      <c r="Q522" s="4"/>
      <c r="R522" s="4"/>
      <c r="S522" s="4"/>
      <c r="T522" s="4"/>
      <c r="U522" s="4"/>
      <c r="V522" s="4"/>
      <c r="W522" s="4"/>
      <c r="X522" s="4"/>
      <c r="Y522" s="4"/>
      <c r="Z522" s="4"/>
      <c r="AA522" s="4"/>
      <c r="AB522" s="4"/>
      <c r="AC522" s="4"/>
      <c r="AD522" s="4"/>
      <c r="AE522" s="4"/>
      <c r="AF522" s="4"/>
      <c r="AG522" s="4"/>
      <c r="AH522" s="4"/>
      <c r="AI522" s="4"/>
      <c r="AJ522" s="4"/>
      <c r="AK522" s="4"/>
    </row>
    <row r="523" spans="1:37" ht="70" customHeight="1" x14ac:dyDescent="0.2">
      <c r="A523" s="107"/>
      <c r="B523" s="4"/>
      <c r="C523" s="163"/>
      <c r="D523" s="4"/>
      <c r="E523" s="4"/>
      <c r="F523" s="4"/>
      <c r="G523" s="4"/>
      <c r="H523" s="4"/>
      <c r="I523" s="4"/>
      <c r="J523" s="4"/>
      <c r="K523" s="4"/>
      <c r="L523" s="4"/>
      <c r="M523" s="4"/>
      <c r="N523" s="4"/>
      <c r="O523" s="4"/>
      <c r="P523" s="4"/>
      <c r="Q523" s="4"/>
      <c r="R523" s="4"/>
      <c r="S523" s="4"/>
      <c r="T523" s="4"/>
      <c r="U523" s="4"/>
      <c r="V523" s="4"/>
      <c r="W523" s="4"/>
      <c r="X523" s="4"/>
      <c r="Y523" s="4"/>
      <c r="Z523" s="4"/>
      <c r="AA523" s="4"/>
      <c r="AB523" s="4"/>
      <c r="AC523" s="4"/>
      <c r="AD523" s="4"/>
      <c r="AE523" s="4"/>
      <c r="AF523" s="4"/>
      <c r="AG523" s="4"/>
      <c r="AH523" s="4"/>
      <c r="AI523" s="4"/>
      <c r="AJ523" s="4"/>
      <c r="AK523" s="4"/>
    </row>
    <row r="524" spans="1:37" ht="70" customHeight="1" x14ac:dyDescent="0.2">
      <c r="A524" s="107"/>
      <c r="B524" s="4"/>
      <c r="C524" s="163"/>
      <c r="D524" s="4"/>
      <c r="E524" s="4"/>
      <c r="F524" s="4"/>
      <c r="G524" s="4"/>
      <c r="H524" s="4"/>
      <c r="I524" s="4"/>
      <c r="J524" s="4"/>
      <c r="K524" s="4"/>
      <c r="L524" s="4"/>
      <c r="M524" s="4"/>
      <c r="N524" s="4"/>
      <c r="O524" s="4"/>
      <c r="P524" s="4"/>
      <c r="Q524" s="4"/>
      <c r="R524" s="4"/>
      <c r="S524" s="4"/>
      <c r="T524" s="4"/>
      <c r="U524" s="4"/>
      <c r="V524" s="4"/>
      <c r="W524" s="4"/>
      <c r="X524" s="4"/>
      <c r="Y524" s="4"/>
      <c r="Z524" s="4"/>
      <c r="AA524" s="4"/>
      <c r="AB524" s="4"/>
      <c r="AC524" s="4"/>
      <c r="AD524" s="4"/>
      <c r="AE524" s="4"/>
      <c r="AF524" s="4"/>
      <c r="AG524" s="4"/>
      <c r="AH524" s="4"/>
      <c r="AI524" s="4"/>
      <c r="AJ524" s="4"/>
      <c r="AK524" s="4"/>
    </row>
    <row r="525" spans="1:37" ht="70" customHeight="1" x14ac:dyDescent="0.2">
      <c r="A525" s="107"/>
      <c r="B525" s="4"/>
      <c r="C525" s="163"/>
      <c r="D525" s="4"/>
      <c r="E525" s="4"/>
      <c r="F525" s="4"/>
      <c r="G525" s="4"/>
      <c r="H525" s="4"/>
      <c r="I525" s="4"/>
      <c r="J525" s="4"/>
      <c r="K525" s="4"/>
      <c r="L525" s="4"/>
      <c r="M525" s="4"/>
      <c r="N525" s="4"/>
      <c r="O525" s="4"/>
      <c r="P525" s="4"/>
      <c r="Q525" s="4"/>
      <c r="R525" s="4"/>
      <c r="S525" s="4"/>
      <c r="T525" s="4"/>
      <c r="U525" s="4"/>
      <c r="V525" s="4"/>
      <c r="W525" s="4"/>
      <c r="X525" s="4"/>
      <c r="Y525" s="4"/>
      <c r="Z525" s="4"/>
      <c r="AA525" s="4"/>
      <c r="AB525" s="4"/>
      <c r="AC525" s="4"/>
      <c r="AD525" s="4"/>
      <c r="AE525" s="4"/>
      <c r="AF525" s="4"/>
      <c r="AG525" s="4"/>
      <c r="AH525" s="4"/>
      <c r="AI525" s="4"/>
      <c r="AJ525" s="4"/>
      <c r="AK525" s="4"/>
    </row>
    <row r="526" spans="1:37" ht="70" customHeight="1" x14ac:dyDescent="0.2">
      <c r="A526" s="107"/>
      <c r="B526" s="4"/>
      <c r="C526" s="163"/>
      <c r="D526" s="4"/>
      <c r="E526" s="4"/>
      <c r="F526" s="4"/>
      <c r="G526" s="4"/>
      <c r="H526" s="4"/>
      <c r="I526" s="4"/>
      <c r="J526" s="4"/>
      <c r="K526" s="4"/>
      <c r="L526" s="4"/>
      <c r="M526" s="4"/>
      <c r="N526" s="4"/>
      <c r="O526" s="4"/>
      <c r="P526" s="4"/>
      <c r="Q526" s="4"/>
      <c r="R526" s="4"/>
      <c r="S526" s="4"/>
      <c r="T526" s="4"/>
      <c r="U526" s="4"/>
      <c r="V526" s="4"/>
      <c r="W526" s="4"/>
      <c r="X526" s="4"/>
      <c r="Y526" s="4"/>
      <c r="Z526" s="4"/>
      <c r="AA526" s="4"/>
      <c r="AB526" s="4"/>
      <c r="AC526" s="4"/>
      <c r="AD526" s="4"/>
      <c r="AE526" s="4"/>
      <c r="AF526" s="4"/>
      <c r="AG526" s="4"/>
      <c r="AH526" s="4"/>
      <c r="AI526" s="4"/>
      <c r="AJ526" s="4"/>
      <c r="AK526" s="4"/>
    </row>
    <row r="527" spans="1:37" ht="70" customHeight="1" x14ac:dyDescent="0.2">
      <c r="A527" s="107"/>
      <c r="B527" s="4"/>
      <c r="C527" s="163"/>
      <c r="D527" s="4"/>
      <c r="E527" s="4"/>
      <c r="F527" s="4"/>
      <c r="G527" s="4"/>
      <c r="H527" s="4"/>
      <c r="I527" s="4"/>
      <c r="J527" s="4"/>
      <c r="K527" s="4"/>
      <c r="L527" s="4"/>
      <c r="M527" s="4"/>
      <c r="N527" s="4"/>
      <c r="O527" s="4"/>
      <c r="P527" s="4"/>
      <c r="Q527" s="4"/>
      <c r="R527" s="4"/>
      <c r="S527" s="4"/>
      <c r="T527" s="4"/>
      <c r="U527" s="4"/>
      <c r="V527" s="4"/>
      <c r="W527" s="4"/>
      <c r="X527" s="4"/>
      <c r="Y527" s="4"/>
      <c r="Z527" s="4"/>
      <c r="AA527" s="4"/>
      <c r="AB527" s="4"/>
      <c r="AC527" s="4"/>
      <c r="AD527" s="4"/>
      <c r="AE527" s="4"/>
      <c r="AF527" s="4"/>
      <c r="AG527" s="4"/>
      <c r="AH527" s="4"/>
      <c r="AI527" s="4"/>
      <c r="AJ527" s="4"/>
      <c r="AK527" s="4"/>
    </row>
    <row r="528" spans="1:37" ht="70" customHeight="1" x14ac:dyDescent="0.2">
      <c r="A528" s="107"/>
      <c r="B528" s="4"/>
      <c r="C528" s="163"/>
      <c r="D528" s="4"/>
      <c r="E528" s="4"/>
      <c r="F528" s="4"/>
      <c r="G528" s="4"/>
      <c r="H528" s="4"/>
      <c r="I528" s="4"/>
      <c r="J528" s="4"/>
      <c r="K528" s="4"/>
      <c r="L528" s="4"/>
      <c r="M528" s="4"/>
      <c r="N528" s="4"/>
      <c r="O528" s="4"/>
      <c r="P528" s="4"/>
      <c r="Q528" s="4"/>
      <c r="R528" s="4"/>
      <c r="S528" s="4"/>
      <c r="T528" s="4"/>
      <c r="U528" s="4"/>
      <c r="V528" s="4"/>
      <c r="W528" s="4"/>
      <c r="X528" s="4"/>
      <c r="Y528" s="4"/>
      <c r="Z528" s="4"/>
      <c r="AA528" s="4"/>
      <c r="AB528" s="4"/>
      <c r="AC528" s="4"/>
      <c r="AD528" s="4"/>
      <c r="AE528" s="4"/>
      <c r="AF528" s="4"/>
      <c r="AG528" s="4"/>
      <c r="AH528" s="4"/>
      <c r="AI528" s="4"/>
      <c r="AJ528" s="4"/>
      <c r="AK528" s="4"/>
    </row>
    <row r="529" spans="1:37" ht="70" customHeight="1" x14ac:dyDescent="0.2">
      <c r="A529" s="107"/>
      <c r="B529" s="4"/>
      <c r="C529" s="163"/>
      <c r="D529" s="4"/>
      <c r="E529" s="4"/>
      <c r="F529" s="4"/>
      <c r="G529" s="4"/>
      <c r="H529" s="4"/>
      <c r="I529" s="4"/>
      <c r="J529" s="4"/>
      <c r="K529" s="4"/>
      <c r="L529" s="4"/>
      <c r="M529" s="4"/>
      <c r="N529" s="4"/>
      <c r="O529" s="4"/>
      <c r="P529" s="4"/>
      <c r="Q529" s="4"/>
      <c r="R529" s="4"/>
      <c r="S529" s="4"/>
      <c r="T529" s="4"/>
      <c r="U529" s="4"/>
      <c r="V529" s="4"/>
      <c r="W529" s="4"/>
      <c r="X529" s="4"/>
      <c r="Y529" s="4"/>
      <c r="Z529" s="4"/>
      <c r="AA529" s="4"/>
      <c r="AB529" s="4"/>
      <c r="AC529" s="4"/>
      <c r="AD529" s="4"/>
      <c r="AE529" s="4"/>
      <c r="AF529" s="4"/>
      <c r="AG529" s="4"/>
      <c r="AH529" s="4"/>
      <c r="AI529" s="4"/>
      <c r="AJ529" s="4"/>
      <c r="AK529" s="4"/>
    </row>
    <row r="530" spans="1:37" ht="70" customHeight="1" x14ac:dyDescent="0.2">
      <c r="A530" s="107"/>
      <c r="B530" s="4"/>
      <c r="C530" s="163"/>
      <c r="D530" s="4"/>
      <c r="E530" s="4"/>
      <c r="F530" s="4"/>
      <c r="G530" s="4"/>
      <c r="H530" s="4"/>
      <c r="I530" s="4"/>
      <c r="J530" s="4"/>
      <c r="K530" s="4"/>
      <c r="L530" s="4"/>
      <c r="M530" s="4"/>
      <c r="N530" s="4"/>
      <c r="O530" s="4"/>
      <c r="P530" s="4"/>
      <c r="Q530" s="4"/>
      <c r="R530" s="4"/>
      <c r="S530" s="4"/>
      <c r="T530" s="4"/>
      <c r="U530" s="4"/>
      <c r="V530" s="4"/>
      <c r="W530" s="4"/>
      <c r="X530" s="4"/>
      <c r="Y530" s="4"/>
      <c r="Z530" s="4"/>
      <c r="AA530" s="4"/>
      <c r="AB530" s="4"/>
      <c r="AC530" s="4"/>
      <c r="AD530" s="4"/>
      <c r="AE530" s="4"/>
      <c r="AF530" s="4"/>
      <c r="AG530" s="4"/>
      <c r="AH530" s="4"/>
      <c r="AI530" s="4"/>
      <c r="AJ530" s="4"/>
      <c r="AK530" s="4"/>
    </row>
    <row r="531" spans="1:37" ht="70" customHeight="1" x14ac:dyDescent="0.2">
      <c r="A531" s="107"/>
      <c r="B531" s="4"/>
      <c r="C531" s="163"/>
      <c r="D531" s="4"/>
      <c r="E531" s="4"/>
      <c r="F531" s="4"/>
      <c r="G531" s="4"/>
      <c r="H531" s="4"/>
      <c r="I531" s="4"/>
      <c r="J531" s="4"/>
      <c r="K531" s="4"/>
      <c r="L531" s="4"/>
      <c r="M531" s="4"/>
      <c r="N531" s="4"/>
      <c r="O531" s="4"/>
      <c r="P531" s="4"/>
      <c r="Q531" s="4"/>
      <c r="R531" s="4"/>
      <c r="S531" s="4"/>
      <c r="T531" s="4"/>
      <c r="U531" s="4"/>
      <c r="V531" s="4"/>
      <c r="W531" s="4"/>
      <c r="X531" s="4"/>
      <c r="Y531" s="4"/>
      <c r="Z531" s="4"/>
      <c r="AA531" s="4"/>
      <c r="AB531" s="4"/>
      <c r="AC531" s="4"/>
      <c r="AD531" s="4"/>
      <c r="AE531" s="4"/>
      <c r="AF531" s="4"/>
      <c r="AG531" s="4"/>
      <c r="AH531" s="4"/>
      <c r="AI531" s="4"/>
      <c r="AJ531" s="4"/>
      <c r="AK531" s="4"/>
    </row>
    <row r="532" spans="1:37" ht="70" customHeight="1" x14ac:dyDescent="0.2">
      <c r="A532" s="107"/>
      <c r="B532" s="4"/>
      <c r="C532" s="163"/>
      <c r="D532" s="4"/>
      <c r="E532" s="4"/>
      <c r="F532" s="4"/>
      <c r="G532" s="4"/>
      <c r="H532" s="4"/>
      <c r="I532" s="4"/>
      <c r="J532" s="4"/>
      <c r="K532" s="4"/>
      <c r="L532" s="4"/>
      <c r="M532" s="4"/>
      <c r="N532" s="4"/>
      <c r="O532" s="4"/>
      <c r="P532" s="4"/>
      <c r="Q532" s="4"/>
      <c r="R532" s="4"/>
      <c r="S532" s="4"/>
      <c r="T532" s="4"/>
      <c r="U532" s="4"/>
      <c r="V532" s="4"/>
      <c r="W532" s="4"/>
      <c r="X532" s="4"/>
      <c r="Y532" s="4"/>
      <c r="Z532" s="4"/>
      <c r="AA532" s="4"/>
      <c r="AB532" s="4"/>
      <c r="AC532" s="4"/>
      <c r="AD532" s="4"/>
      <c r="AE532" s="4"/>
      <c r="AF532" s="4"/>
      <c r="AG532" s="4"/>
      <c r="AH532" s="4"/>
      <c r="AI532" s="4"/>
      <c r="AJ532" s="4"/>
      <c r="AK532" s="4"/>
    </row>
    <row r="533" spans="1:37" ht="70" customHeight="1" x14ac:dyDescent="0.2">
      <c r="A533" s="107"/>
      <c r="B533" s="4"/>
      <c r="C533" s="163"/>
      <c r="D533" s="4"/>
      <c r="E533" s="4"/>
      <c r="F533" s="4"/>
      <c r="G533" s="4"/>
      <c r="H533" s="4"/>
      <c r="I533" s="4"/>
      <c r="J533" s="4"/>
      <c r="K533" s="4"/>
      <c r="L533" s="4"/>
      <c r="M533" s="4"/>
      <c r="N533" s="4"/>
      <c r="O533" s="4"/>
      <c r="P533" s="4"/>
      <c r="Q533" s="4"/>
      <c r="R533" s="4"/>
      <c r="S533" s="4"/>
      <c r="T533" s="4"/>
      <c r="U533" s="4"/>
      <c r="V533" s="4"/>
      <c r="W533" s="4"/>
      <c r="X533" s="4"/>
      <c r="Y533" s="4"/>
      <c r="Z533" s="4"/>
      <c r="AA533" s="4"/>
      <c r="AB533" s="4"/>
      <c r="AC533" s="4"/>
      <c r="AD533" s="4"/>
      <c r="AE533" s="4"/>
      <c r="AF533" s="4"/>
      <c r="AG533" s="4"/>
      <c r="AH533" s="4"/>
      <c r="AI533" s="4"/>
      <c r="AJ533" s="4"/>
      <c r="AK533" s="4"/>
    </row>
    <row r="534" spans="1:37" ht="70" customHeight="1" x14ac:dyDescent="0.2">
      <c r="A534" s="107"/>
      <c r="B534" s="4"/>
      <c r="C534" s="163"/>
      <c r="D534" s="4"/>
      <c r="E534" s="4"/>
      <c r="F534" s="4"/>
      <c r="G534" s="4"/>
      <c r="H534" s="4"/>
      <c r="I534" s="4"/>
      <c r="J534" s="4"/>
      <c r="K534" s="4"/>
      <c r="L534" s="4"/>
      <c r="M534" s="4"/>
      <c r="N534" s="4"/>
      <c r="O534" s="4"/>
      <c r="P534" s="4"/>
      <c r="Q534" s="4"/>
      <c r="R534" s="4"/>
      <c r="S534" s="4"/>
      <c r="T534" s="4"/>
      <c r="U534" s="4"/>
      <c r="V534" s="4"/>
      <c r="W534" s="4"/>
      <c r="X534" s="4"/>
      <c r="Y534" s="4"/>
      <c r="Z534" s="4"/>
      <c r="AA534" s="4"/>
      <c r="AB534" s="4"/>
      <c r="AC534" s="4"/>
      <c r="AD534" s="4"/>
      <c r="AE534" s="4"/>
      <c r="AF534" s="4"/>
      <c r="AG534" s="4"/>
      <c r="AH534" s="4"/>
      <c r="AI534" s="4"/>
      <c r="AJ534" s="4"/>
      <c r="AK534" s="4"/>
    </row>
    <row r="535" spans="1:37" ht="70" customHeight="1" x14ac:dyDescent="0.2">
      <c r="A535" s="107"/>
      <c r="B535" s="4"/>
      <c r="C535" s="163"/>
      <c r="D535" s="4"/>
      <c r="E535" s="4"/>
      <c r="F535" s="4"/>
      <c r="G535" s="4"/>
      <c r="H535" s="4"/>
      <c r="I535" s="4"/>
      <c r="J535" s="4"/>
      <c r="K535" s="4"/>
      <c r="L535" s="4"/>
      <c r="M535" s="4"/>
      <c r="N535" s="4"/>
      <c r="O535" s="4"/>
      <c r="P535" s="4"/>
      <c r="Q535" s="4"/>
      <c r="R535" s="4"/>
      <c r="S535" s="4"/>
      <c r="T535" s="4"/>
      <c r="U535" s="4"/>
      <c r="V535" s="4"/>
      <c r="W535" s="4"/>
      <c r="X535" s="4"/>
      <c r="Y535" s="4"/>
      <c r="Z535" s="4"/>
      <c r="AA535" s="4"/>
      <c r="AB535" s="4"/>
      <c r="AC535" s="4"/>
      <c r="AD535" s="4"/>
      <c r="AE535" s="4"/>
      <c r="AF535" s="4"/>
      <c r="AG535" s="4"/>
      <c r="AH535" s="4"/>
      <c r="AI535" s="4"/>
      <c r="AJ535" s="4"/>
      <c r="AK535" s="4"/>
    </row>
    <row r="536" spans="1:37" ht="70" customHeight="1" x14ac:dyDescent="0.2">
      <c r="A536" s="107"/>
      <c r="B536" s="4"/>
      <c r="C536" s="163"/>
      <c r="D536" s="4"/>
      <c r="E536" s="4"/>
      <c r="F536" s="4"/>
      <c r="G536" s="4"/>
      <c r="H536" s="4"/>
      <c r="I536" s="4"/>
      <c r="J536" s="4"/>
      <c r="K536" s="4"/>
      <c r="L536" s="4"/>
      <c r="M536" s="4"/>
      <c r="N536" s="4"/>
      <c r="O536" s="4"/>
      <c r="P536" s="4"/>
      <c r="Q536" s="4"/>
      <c r="R536" s="4"/>
      <c r="S536" s="4"/>
      <c r="T536" s="4"/>
      <c r="U536" s="4"/>
      <c r="V536" s="4"/>
      <c r="W536" s="4"/>
      <c r="X536" s="4"/>
      <c r="Y536" s="4"/>
      <c r="Z536" s="4"/>
      <c r="AA536" s="4"/>
      <c r="AB536" s="4"/>
      <c r="AC536" s="4"/>
      <c r="AD536" s="4"/>
      <c r="AE536" s="4"/>
      <c r="AF536" s="4"/>
      <c r="AG536" s="4"/>
      <c r="AH536" s="4"/>
      <c r="AI536" s="4"/>
      <c r="AJ536" s="4"/>
      <c r="AK536" s="4"/>
    </row>
    <row r="537" spans="1:37" ht="70" customHeight="1" x14ac:dyDescent="0.2">
      <c r="A537" s="107"/>
      <c r="B537" s="4"/>
      <c r="C537" s="163"/>
      <c r="D537" s="4"/>
      <c r="E537" s="4"/>
      <c r="F537" s="4"/>
      <c r="G537" s="4"/>
      <c r="H537" s="4"/>
      <c r="I537" s="4"/>
      <c r="J537" s="4"/>
      <c r="K537" s="4"/>
      <c r="L537" s="4"/>
      <c r="M537" s="4"/>
      <c r="N537" s="4"/>
      <c r="O537" s="4"/>
      <c r="P537" s="4"/>
      <c r="Q537" s="4"/>
      <c r="R537" s="4"/>
      <c r="S537" s="4"/>
      <c r="T537" s="4"/>
      <c r="U537" s="4"/>
      <c r="V537" s="4"/>
      <c r="W537" s="4"/>
      <c r="X537" s="4"/>
      <c r="Y537" s="4"/>
      <c r="Z537" s="4"/>
      <c r="AA537" s="4"/>
      <c r="AB537" s="4"/>
      <c r="AC537" s="4"/>
      <c r="AD537" s="4"/>
      <c r="AE537" s="4"/>
      <c r="AF537" s="4"/>
      <c r="AG537" s="4"/>
      <c r="AH537" s="4"/>
      <c r="AI537" s="4"/>
      <c r="AJ537" s="4"/>
      <c r="AK537" s="4"/>
    </row>
    <row r="538" spans="1:37" ht="70" customHeight="1" x14ac:dyDescent="0.2">
      <c r="A538" s="107"/>
      <c r="B538" s="4"/>
      <c r="C538" s="163"/>
      <c r="D538" s="4"/>
      <c r="E538" s="4"/>
      <c r="F538" s="4"/>
      <c r="G538" s="4"/>
      <c r="H538" s="4"/>
      <c r="I538" s="4"/>
      <c r="J538" s="4"/>
      <c r="K538" s="4"/>
      <c r="L538" s="4"/>
      <c r="M538" s="4"/>
      <c r="N538" s="4"/>
      <c r="O538" s="4"/>
      <c r="P538" s="4"/>
      <c r="Q538" s="4"/>
      <c r="R538" s="4"/>
      <c r="S538" s="4"/>
      <c r="T538" s="4"/>
      <c r="U538" s="4"/>
      <c r="V538" s="4"/>
      <c r="W538" s="4"/>
      <c r="X538" s="4"/>
      <c r="Y538" s="4"/>
      <c r="Z538" s="4"/>
      <c r="AA538" s="4"/>
      <c r="AB538" s="4"/>
      <c r="AC538" s="4"/>
      <c r="AD538" s="4"/>
      <c r="AE538" s="4"/>
      <c r="AF538" s="4"/>
      <c r="AG538" s="4"/>
      <c r="AH538" s="4"/>
      <c r="AI538" s="4"/>
      <c r="AJ538" s="4"/>
      <c r="AK538" s="4"/>
    </row>
    <row r="539" spans="1:37" ht="70" customHeight="1" x14ac:dyDescent="0.2">
      <c r="A539" s="107"/>
      <c r="B539" s="4"/>
      <c r="C539" s="163"/>
      <c r="D539" s="4"/>
      <c r="E539" s="4"/>
      <c r="F539" s="4"/>
      <c r="G539" s="4"/>
      <c r="H539" s="4"/>
      <c r="I539" s="4"/>
      <c r="J539" s="4"/>
      <c r="K539" s="4"/>
      <c r="L539" s="4"/>
      <c r="M539" s="4"/>
      <c r="N539" s="4"/>
      <c r="O539" s="4"/>
      <c r="P539" s="4"/>
      <c r="Q539" s="4"/>
      <c r="R539" s="4"/>
      <c r="S539" s="4"/>
      <c r="T539" s="4"/>
      <c r="U539" s="4"/>
      <c r="V539" s="4"/>
      <c r="W539" s="4"/>
      <c r="X539" s="4"/>
      <c r="Y539" s="4"/>
      <c r="Z539" s="4"/>
      <c r="AA539" s="4"/>
      <c r="AB539" s="4"/>
      <c r="AC539" s="4"/>
      <c r="AD539" s="4"/>
      <c r="AE539" s="4"/>
      <c r="AF539" s="4"/>
      <c r="AG539" s="4"/>
      <c r="AH539" s="4"/>
      <c r="AI539" s="4"/>
      <c r="AJ539" s="4"/>
      <c r="AK539" s="4"/>
    </row>
    <row r="540" spans="1:37" ht="70" customHeight="1" x14ac:dyDescent="0.2">
      <c r="A540" s="107"/>
      <c r="B540" s="4"/>
      <c r="C540" s="163"/>
      <c r="D540" s="4"/>
      <c r="E540" s="4"/>
      <c r="F540" s="4"/>
      <c r="G540" s="4"/>
      <c r="H540" s="4"/>
      <c r="I540" s="4"/>
      <c r="J540" s="4"/>
      <c r="K540" s="4"/>
      <c r="L540" s="4"/>
      <c r="M540" s="4"/>
      <c r="N540" s="4"/>
      <c r="O540" s="4"/>
      <c r="P540" s="4"/>
      <c r="Q540" s="4"/>
      <c r="R540" s="4"/>
      <c r="S540" s="4"/>
      <c r="T540" s="4"/>
      <c r="U540" s="4"/>
      <c r="V540" s="4"/>
      <c r="W540" s="4"/>
      <c r="X540" s="4"/>
      <c r="Y540" s="4"/>
      <c r="Z540" s="4"/>
      <c r="AA540" s="4"/>
      <c r="AB540" s="4"/>
      <c r="AC540" s="4"/>
      <c r="AD540" s="4"/>
      <c r="AE540" s="4"/>
      <c r="AF540" s="4"/>
      <c r="AG540" s="4"/>
      <c r="AH540" s="4"/>
      <c r="AI540" s="4"/>
      <c r="AJ540" s="4"/>
      <c r="AK540" s="4"/>
    </row>
    <row r="541" spans="1:37" ht="70" customHeight="1" x14ac:dyDescent="0.2">
      <c r="A541" s="107"/>
      <c r="B541" s="4"/>
      <c r="C541" s="163"/>
      <c r="D541" s="4"/>
      <c r="E541" s="4"/>
      <c r="F541" s="4"/>
      <c r="G541" s="4"/>
      <c r="H541" s="4"/>
      <c r="I541" s="4"/>
      <c r="J541" s="4"/>
      <c r="K541" s="4"/>
      <c r="L541" s="4"/>
      <c r="M541" s="4"/>
      <c r="N541" s="4"/>
      <c r="O541" s="4"/>
      <c r="P541" s="4"/>
      <c r="Q541" s="4"/>
      <c r="R541" s="4"/>
      <c r="S541" s="4"/>
      <c r="T541" s="4"/>
      <c r="U541" s="4"/>
      <c r="V541" s="4"/>
      <c r="W541" s="4"/>
      <c r="X541" s="4"/>
      <c r="Y541" s="4"/>
      <c r="Z541" s="4"/>
      <c r="AA541" s="4"/>
      <c r="AB541" s="4"/>
      <c r="AC541" s="4"/>
      <c r="AD541" s="4"/>
      <c r="AE541" s="4"/>
      <c r="AF541" s="4"/>
      <c r="AG541" s="4"/>
      <c r="AH541" s="4"/>
      <c r="AI541" s="4"/>
      <c r="AJ541" s="4"/>
      <c r="AK541" s="4"/>
    </row>
    <row r="542" spans="1:37" ht="70" customHeight="1" x14ac:dyDescent="0.2">
      <c r="A542" s="107"/>
      <c r="B542" s="4"/>
      <c r="C542" s="163"/>
      <c r="D542" s="4"/>
      <c r="E542" s="4"/>
      <c r="F542" s="4"/>
      <c r="G542" s="4"/>
      <c r="H542" s="4"/>
      <c r="I542" s="4"/>
      <c r="J542" s="4"/>
      <c r="K542" s="4"/>
      <c r="L542" s="4"/>
      <c r="M542" s="4"/>
      <c r="N542" s="4"/>
      <c r="O542" s="4"/>
      <c r="P542" s="4"/>
      <c r="Q542" s="4"/>
      <c r="R542" s="4"/>
      <c r="S542" s="4"/>
      <c r="T542" s="4"/>
      <c r="U542" s="4"/>
      <c r="V542" s="4"/>
      <c r="W542" s="4"/>
      <c r="X542" s="4"/>
      <c r="Y542" s="4"/>
      <c r="Z542" s="4"/>
      <c r="AA542" s="4"/>
      <c r="AB542" s="4"/>
      <c r="AC542" s="4"/>
      <c r="AD542" s="4"/>
      <c r="AE542" s="4"/>
      <c r="AF542" s="4"/>
      <c r="AG542" s="4"/>
      <c r="AH542" s="4"/>
      <c r="AI542" s="4"/>
      <c r="AJ542" s="4"/>
      <c r="AK542" s="4"/>
    </row>
    <row r="543" spans="1:37" ht="70" customHeight="1" x14ac:dyDescent="0.2">
      <c r="A543" s="107"/>
      <c r="B543" s="4"/>
      <c r="C543" s="163"/>
      <c r="D543" s="4"/>
      <c r="E543" s="4"/>
      <c r="F543" s="4"/>
      <c r="G543" s="4"/>
      <c r="H543" s="4"/>
      <c r="I543" s="4"/>
      <c r="J543" s="4"/>
      <c r="K543" s="4"/>
      <c r="L543" s="4"/>
      <c r="M543" s="4"/>
      <c r="N543" s="4"/>
      <c r="O543" s="4"/>
      <c r="P543" s="4"/>
      <c r="Q543" s="4"/>
      <c r="R543" s="4"/>
      <c r="S543" s="4"/>
      <c r="T543" s="4"/>
      <c r="U543" s="4"/>
      <c r="V543" s="4"/>
      <c r="W543" s="4"/>
      <c r="X543" s="4"/>
      <c r="Y543" s="4"/>
      <c r="Z543" s="4"/>
      <c r="AA543" s="4"/>
      <c r="AB543" s="4"/>
      <c r="AC543" s="4"/>
      <c r="AD543" s="4"/>
      <c r="AE543" s="4"/>
      <c r="AF543" s="4"/>
      <c r="AG543" s="4"/>
      <c r="AH543" s="4"/>
      <c r="AI543" s="4"/>
      <c r="AJ543" s="4"/>
      <c r="AK543" s="4"/>
    </row>
    <row r="544" spans="1:37" ht="70" customHeight="1" x14ac:dyDescent="0.2">
      <c r="A544" s="107"/>
      <c r="B544" s="4"/>
      <c r="C544" s="163"/>
      <c r="D544" s="4"/>
      <c r="E544" s="4"/>
      <c r="F544" s="4"/>
      <c r="G544" s="4"/>
      <c r="H544" s="4"/>
      <c r="I544" s="4"/>
      <c r="J544" s="4"/>
      <c r="K544" s="4"/>
      <c r="L544" s="4"/>
      <c r="M544" s="4"/>
      <c r="N544" s="4"/>
      <c r="O544" s="4"/>
      <c r="P544" s="4"/>
      <c r="Q544" s="4"/>
      <c r="R544" s="4"/>
      <c r="S544" s="4"/>
      <c r="T544" s="4"/>
      <c r="U544" s="4"/>
      <c r="V544" s="4"/>
      <c r="W544" s="4"/>
      <c r="X544" s="4"/>
      <c r="Y544" s="4"/>
      <c r="Z544" s="4"/>
      <c r="AA544" s="4"/>
      <c r="AB544" s="4"/>
      <c r="AC544" s="4"/>
      <c r="AD544" s="4"/>
      <c r="AE544" s="4"/>
      <c r="AF544" s="4"/>
      <c r="AG544" s="4"/>
      <c r="AH544" s="4"/>
      <c r="AI544" s="4"/>
      <c r="AJ544" s="4"/>
      <c r="AK544" s="4"/>
    </row>
    <row r="545" spans="1:37" ht="70" customHeight="1" x14ac:dyDescent="0.2">
      <c r="A545" s="107"/>
      <c r="B545" s="4"/>
      <c r="C545" s="163"/>
      <c r="D545" s="4"/>
      <c r="E545" s="4"/>
      <c r="F545" s="4"/>
      <c r="G545" s="4"/>
      <c r="H545" s="4"/>
      <c r="I545" s="4"/>
      <c r="J545" s="4"/>
      <c r="K545" s="4"/>
      <c r="L545" s="4"/>
      <c r="M545" s="4"/>
      <c r="N545" s="4"/>
      <c r="O545" s="4"/>
      <c r="P545" s="4"/>
      <c r="Q545" s="4"/>
      <c r="R545" s="4"/>
      <c r="S545" s="4"/>
      <c r="T545" s="4"/>
      <c r="U545" s="4"/>
      <c r="V545" s="4"/>
      <c r="W545" s="4"/>
      <c r="X545" s="4"/>
      <c r="Y545" s="4"/>
      <c r="Z545" s="4"/>
      <c r="AA545" s="4"/>
      <c r="AB545" s="4"/>
      <c r="AC545" s="4"/>
      <c r="AD545" s="4"/>
      <c r="AE545" s="4"/>
      <c r="AF545" s="4"/>
      <c r="AG545" s="4"/>
      <c r="AH545" s="4"/>
      <c r="AI545" s="4"/>
      <c r="AJ545" s="4"/>
      <c r="AK545" s="4"/>
    </row>
    <row r="546" spans="1:37" ht="70" customHeight="1" x14ac:dyDescent="0.2">
      <c r="A546" s="107"/>
      <c r="B546" s="4"/>
      <c r="C546" s="163"/>
      <c r="D546" s="4"/>
      <c r="E546" s="4"/>
      <c r="F546" s="4"/>
      <c r="G546" s="4"/>
      <c r="H546" s="4"/>
      <c r="I546" s="4"/>
      <c r="J546" s="4"/>
      <c r="K546" s="4"/>
      <c r="L546" s="4"/>
      <c r="M546" s="4"/>
      <c r="N546" s="4"/>
      <c r="O546" s="4"/>
      <c r="P546" s="4"/>
      <c r="Q546" s="4"/>
      <c r="R546" s="4"/>
      <c r="S546" s="4"/>
      <c r="T546" s="4"/>
      <c r="U546" s="4"/>
      <c r="V546" s="4"/>
      <c r="W546" s="4"/>
      <c r="X546" s="4"/>
      <c r="Y546" s="4"/>
      <c r="Z546" s="4"/>
      <c r="AA546" s="4"/>
      <c r="AB546" s="4"/>
      <c r="AC546" s="4"/>
      <c r="AD546" s="4"/>
      <c r="AE546" s="4"/>
      <c r="AF546" s="4"/>
      <c r="AG546" s="4"/>
      <c r="AH546" s="4"/>
      <c r="AI546" s="4"/>
      <c r="AJ546" s="4"/>
      <c r="AK546" s="4"/>
    </row>
    <row r="547" spans="1:37" ht="70" customHeight="1" x14ac:dyDescent="0.2">
      <c r="A547" s="107"/>
      <c r="B547" s="4"/>
      <c r="C547" s="163"/>
      <c r="D547" s="4"/>
      <c r="E547" s="4"/>
      <c r="F547" s="4"/>
      <c r="G547" s="4"/>
      <c r="H547" s="4"/>
      <c r="I547" s="4"/>
      <c r="J547" s="4"/>
      <c r="K547" s="4"/>
      <c r="L547" s="4"/>
      <c r="M547" s="4"/>
      <c r="N547" s="4"/>
      <c r="O547" s="4"/>
      <c r="P547" s="4"/>
      <c r="Q547" s="4"/>
      <c r="R547" s="4"/>
      <c r="S547" s="4"/>
      <c r="T547" s="4"/>
      <c r="U547" s="4"/>
      <c r="V547" s="4"/>
      <c r="W547" s="4"/>
      <c r="X547" s="4"/>
      <c r="Y547" s="4"/>
      <c r="Z547" s="4"/>
      <c r="AA547" s="4"/>
      <c r="AB547" s="4"/>
      <c r="AC547" s="4"/>
      <c r="AD547" s="4"/>
      <c r="AE547" s="4"/>
      <c r="AF547" s="4"/>
      <c r="AG547" s="4"/>
      <c r="AH547" s="4"/>
      <c r="AI547" s="4"/>
      <c r="AJ547" s="4"/>
      <c r="AK547" s="4"/>
    </row>
    <row r="548" spans="1:37" ht="70" customHeight="1" x14ac:dyDescent="0.2">
      <c r="A548" s="107"/>
      <c r="B548" s="4"/>
      <c r="C548" s="163"/>
      <c r="D548" s="4"/>
      <c r="E548" s="4"/>
      <c r="F548" s="4"/>
      <c r="G548" s="4"/>
      <c r="H548" s="4"/>
      <c r="I548" s="4"/>
      <c r="J548" s="4"/>
      <c r="K548" s="4"/>
      <c r="L548" s="4"/>
      <c r="M548" s="4"/>
      <c r="N548" s="4"/>
      <c r="O548" s="4"/>
      <c r="P548" s="4"/>
      <c r="Q548" s="4"/>
      <c r="R548" s="4"/>
      <c r="S548" s="4"/>
      <c r="T548" s="4"/>
      <c r="U548" s="4"/>
      <c r="V548" s="4"/>
      <c r="W548" s="4"/>
      <c r="X548" s="4"/>
      <c r="Y548" s="4"/>
      <c r="Z548" s="4"/>
      <c r="AA548" s="4"/>
      <c r="AB548" s="4"/>
      <c r="AC548" s="4"/>
      <c r="AD548" s="4"/>
      <c r="AE548" s="4"/>
      <c r="AF548" s="4"/>
      <c r="AG548" s="4"/>
      <c r="AH548" s="4"/>
      <c r="AI548" s="4"/>
      <c r="AJ548" s="4"/>
      <c r="AK548" s="4"/>
    </row>
    <row r="549" spans="1:37" ht="70" customHeight="1" x14ac:dyDescent="0.2">
      <c r="A549" s="107"/>
      <c r="B549" s="4"/>
      <c r="C549" s="163"/>
      <c r="D549" s="4"/>
      <c r="E549" s="4"/>
      <c r="F549" s="4"/>
      <c r="G549" s="4"/>
      <c r="H549" s="4"/>
      <c r="I549" s="4"/>
      <c r="J549" s="4"/>
      <c r="K549" s="4"/>
      <c r="L549" s="4"/>
      <c r="M549" s="4"/>
      <c r="N549" s="4"/>
      <c r="O549" s="4"/>
      <c r="P549" s="4"/>
      <c r="Q549" s="4"/>
      <c r="R549" s="4"/>
      <c r="S549" s="4"/>
      <c r="T549" s="4"/>
      <c r="U549" s="4"/>
      <c r="V549" s="4"/>
      <c r="W549" s="4"/>
      <c r="X549" s="4"/>
      <c r="Y549" s="4"/>
      <c r="Z549" s="4"/>
      <c r="AA549" s="4"/>
      <c r="AB549" s="4"/>
      <c r="AC549" s="4"/>
      <c r="AD549" s="4"/>
      <c r="AE549" s="4"/>
      <c r="AF549" s="4"/>
      <c r="AG549" s="4"/>
      <c r="AH549" s="4"/>
      <c r="AI549" s="4"/>
      <c r="AJ549" s="4"/>
      <c r="AK549" s="4"/>
    </row>
    <row r="550" spans="1:37" ht="70" customHeight="1" x14ac:dyDescent="0.2">
      <c r="A550" s="107"/>
      <c r="B550" s="4"/>
      <c r="C550" s="163"/>
      <c r="D550" s="4"/>
      <c r="E550" s="4"/>
      <c r="F550" s="4"/>
      <c r="G550" s="4"/>
      <c r="H550" s="4"/>
      <c r="I550" s="4"/>
      <c r="J550" s="4"/>
      <c r="K550" s="4"/>
      <c r="L550" s="4"/>
      <c r="M550" s="4"/>
      <c r="N550" s="4"/>
      <c r="O550" s="4"/>
      <c r="P550" s="4"/>
      <c r="Q550" s="4"/>
      <c r="R550" s="4"/>
      <c r="S550" s="4"/>
      <c r="T550" s="4"/>
      <c r="U550" s="4"/>
      <c r="V550" s="4"/>
      <c r="W550" s="4"/>
      <c r="X550" s="4"/>
      <c r="Y550" s="4"/>
      <c r="Z550" s="4"/>
      <c r="AA550" s="4"/>
      <c r="AB550" s="4"/>
      <c r="AC550" s="4"/>
      <c r="AD550" s="4"/>
      <c r="AE550" s="4"/>
      <c r="AF550" s="4"/>
      <c r="AG550" s="4"/>
      <c r="AH550" s="4"/>
      <c r="AI550" s="4"/>
      <c r="AJ550" s="4"/>
      <c r="AK550" s="4"/>
    </row>
    <row r="551" spans="1:37" ht="70" customHeight="1" x14ac:dyDescent="0.2">
      <c r="A551" s="107"/>
      <c r="B551" s="4"/>
      <c r="C551" s="163"/>
      <c r="D551" s="4"/>
      <c r="E551" s="4"/>
      <c r="F551" s="4"/>
      <c r="G551" s="4"/>
      <c r="H551" s="4"/>
      <c r="I551" s="4"/>
      <c r="J551" s="4"/>
      <c r="K551" s="4"/>
      <c r="L551" s="4"/>
      <c r="M551" s="4"/>
      <c r="N551" s="4"/>
      <c r="O551" s="4"/>
      <c r="P551" s="4"/>
      <c r="Q551" s="4"/>
      <c r="R551" s="4"/>
      <c r="S551" s="4"/>
      <c r="T551" s="4"/>
      <c r="U551" s="4"/>
      <c r="V551" s="4"/>
      <c r="W551" s="4"/>
      <c r="X551" s="4"/>
      <c r="Y551" s="4"/>
      <c r="Z551" s="4"/>
      <c r="AA551" s="4"/>
      <c r="AB551" s="4"/>
      <c r="AC551" s="4"/>
      <c r="AD551" s="4"/>
      <c r="AE551" s="4"/>
      <c r="AF551" s="4"/>
      <c r="AG551" s="4"/>
      <c r="AH551" s="4"/>
      <c r="AI551" s="4"/>
      <c r="AJ551" s="4"/>
      <c r="AK551" s="4"/>
    </row>
    <row r="552" spans="1:37" ht="70" customHeight="1" x14ac:dyDescent="0.2">
      <c r="A552" s="107"/>
      <c r="B552" s="4"/>
      <c r="C552" s="163"/>
      <c r="D552" s="4"/>
      <c r="E552" s="4"/>
      <c r="F552" s="4"/>
      <c r="G552" s="4"/>
      <c r="H552" s="4"/>
      <c r="I552" s="4"/>
      <c r="J552" s="4"/>
      <c r="K552" s="4"/>
      <c r="L552" s="4"/>
      <c r="M552" s="4"/>
      <c r="N552" s="4"/>
      <c r="O552" s="4"/>
      <c r="P552" s="4"/>
      <c r="Q552" s="4"/>
      <c r="R552" s="4"/>
      <c r="S552" s="4"/>
      <c r="T552" s="4"/>
      <c r="U552" s="4"/>
      <c r="V552" s="4"/>
      <c r="W552" s="4"/>
      <c r="X552" s="4"/>
      <c r="Y552" s="4"/>
      <c r="Z552" s="4"/>
      <c r="AA552" s="4"/>
      <c r="AB552" s="4"/>
      <c r="AC552" s="4"/>
      <c r="AD552" s="4"/>
      <c r="AE552" s="4"/>
      <c r="AF552" s="4"/>
      <c r="AG552" s="4"/>
      <c r="AH552" s="4"/>
      <c r="AI552" s="4"/>
      <c r="AJ552" s="4"/>
      <c r="AK552" s="4"/>
    </row>
    <row r="553" spans="1:37" ht="70" customHeight="1" x14ac:dyDescent="0.2">
      <c r="A553" s="107"/>
      <c r="B553" s="4"/>
      <c r="C553" s="163"/>
      <c r="D553" s="4"/>
      <c r="E553" s="4"/>
      <c r="F553" s="4"/>
      <c r="G553" s="4"/>
      <c r="H553" s="4"/>
      <c r="I553" s="4"/>
      <c r="J553" s="4"/>
      <c r="K553" s="4"/>
      <c r="L553" s="4"/>
      <c r="M553" s="4"/>
      <c r="N553" s="4"/>
      <c r="O553" s="4"/>
      <c r="P553" s="4"/>
      <c r="Q553" s="4"/>
      <c r="R553" s="4"/>
      <c r="S553" s="4"/>
      <c r="T553" s="4"/>
      <c r="U553" s="4"/>
      <c r="V553" s="4"/>
      <c r="W553" s="4"/>
      <c r="X553" s="4"/>
      <c r="Y553" s="4"/>
      <c r="Z553" s="4"/>
      <c r="AA553" s="4"/>
      <c r="AB553" s="4"/>
      <c r="AC553" s="4"/>
      <c r="AD553" s="4"/>
      <c r="AE553" s="4"/>
      <c r="AF553" s="4"/>
      <c r="AG553" s="4"/>
      <c r="AH553" s="4"/>
      <c r="AI553" s="4"/>
      <c r="AJ553" s="4"/>
      <c r="AK553" s="4"/>
    </row>
    <row r="554" spans="1:37" ht="70" customHeight="1" x14ac:dyDescent="0.2">
      <c r="A554" s="107"/>
      <c r="B554" s="4"/>
      <c r="C554" s="163"/>
      <c r="D554" s="4"/>
      <c r="E554" s="4"/>
      <c r="F554" s="4"/>
      <c r="G554" s="4"/>
      <c r="H554" s="4"/>
      <c r="I554" s="4"/>
      <c r="J554" s="4"/>
      <c r="K554" s="4"/>
      <c r="L554" s="4"/>
      <c r="M554" s="4"/>
      <c r="N554" s="4"/>
      <c r="O554" s="4"/>
      <c r="P554" s="4"/>
      <c r="Q554" s="4"/>
      <c r="R554" s="4"/>
      <c r="S554" s="4"/>
      <c r="T554" s="4"/>
      <c r="U554" s="4"/>
      <c r="V554" s="4"/>
      <c r="W554" s="4"/>
      <c r="X554" s="4"/>
      <c r="Y554" s="4"/>
      <c r="Z554" s="4"/>
      <c r="AA554" s="4"/>
      <c r="AB554" s="4"/>
      <c r="AC554" s="4"/>
      <c r="AD554" s="4"/>
      <c r="AE554" s="4"/>
      <c r="AF554" s="4"/>
      <c r="AG554" s="4"/>
      <c r="AH554" s="4"/>
      <c r="AI554" s="4"/>
      <c r="AJ554" s="4"/>
      <c r="AK554" s="4"/>
    </row>
    <row r="555" spans="1:37" ht="70" customHeight="1" x14ac:dyDescent="0.2">
      <c r="A555" s="107"/>
      <c r="B555" s="4"/>
      <c r="C555" s="163"/>
      <c r="D555" s="4"/>
      <c r="E555" s="4"/>
      <c r="F555" s="4"/>
      <c r="G555" s="4"/>
      <c r="H555" s="4"/>
      <c r="I555" s="4"/>
      <c r="J555" s="4"/>
      <c r="K555" s="4"/>
      <c r="L555" s="4"/>
      <c r="M555" s="4"/>
      <c r="N555" s="4"/>
      <c r="O555" s="4"/>
      <c r="P555" s="4"/>
      <c r="Q555" s="4"/>
      <c r="R555" s="4"/>
      <c r="S555" s="4"/>
      <c r="T555" s="4"/>
      <c r="U555" s="4"/>
      <c r="V555" s="4"/>
      <c r="W555" s="4"/>
      <c r="X555" s="4"/>
      <c r="Y555" s="4"/>
      <c r="Z555" s="4"/>
      <c r="AA555" s="4"/>
      <c r="AB555" s="4"/>
      <c r="AC555" s="4"/>
      <c r="AD555" s="4"/>
      <c r="AE555" s="4"/>
      <c r="AF555" s="4"/>
      <c r="AG555" s="4"/>
      <c r="AH555" s="4"/>
      <c r="AI555" s="4"/>
      <c r="AJ555" s="4"/>
      <c r="AK555" s="4"/>
    </row>
    <row r="556" spans="1:37" ht="70" customHeight="1" x14ac:dyDescent="0.2">
      <c r="A556" s="107"/>
      <c r="B556" s="4"/>
      <c r="C556" s="163"/>
      <c r="D556" s="4"/>
      <c r="E556" s="4"/>
      <c r="F556" s="4"/>
      <c r="G556" s="4"/>
      <c r="H556" s="4"/>
      <c r="I556" s="4"/>
      <c r="J556" s="4"/>
      <c r="K556" s="4"/>
      <c r="L556" s="4"/>
      <c r="M556" s="4"/>
      <c r="N556" s="4"/>
      <c r="O556" s="4"/>
      <c r="P556" s="4"/>
      <c r="Q556" s="4"/>
      <c r="R556" s="4"/>
      <c r="S556" s="4"/>
      <c r="T556" s="4"/>
      <c r="U556" s="4"/>
      <c r="V556" s="4"/>
      <c r="W556" s="4"/>
      <c r="X556" s="4"/>
      <c r="Y556" s="4"/>
      <c r="Z556" s="4"/>
      <c r="AA556" s="4"/>
      <c r="AB556" s="4"/>
      <c r="AC556" s="4"/>
      <c r="AD556" s="4"/>
      <c r="AE556" s="4"/>
      <c r="AF556" s="4"/>
      <c r="AG556" s="4"/>
      <c r="AH556" s="4"/>
      <c r="AI556" s="4"/>
      <c r="AJ556" s="4"/>
      <c r="AK556" s="4"/>
    </row>
    <row r="557" spans="1:37" ht="70" customHeight="1" x14ac:dyDescent="0.2">
      <c r="A557" s="107"/>
      <c r="B557" s="4"/>
      <c r="C557" s="163"/>
      <c r="D557" s="4"/>
      <c r="E557" s="4"/>
      <c r="F557" s="4"/>
      <c r="G557" s="4"/>
      <c r="H557" s="4"/>
      <c r="I557" s="4"/>
      <c r="J557" s="4"/>
      <c r="K557" s="4"/>
      <c r="L557" s="4"/>
      <c r="M557" s="4"/>
      <c r="N557" s="4"/>
      <c r="O557" s="4"/>
      <c r="P557" s="4"/>
      <c r="Q557" s="4"/>
      <c r="R557" s="4"/>
      <c r="S557" s="4"/>
      <c r="T557" s="4"/>
      <c r="U557" s="4"/>
      <c r="V557" s="4"/>
      <c r="W557" s="4"/>
      <c r="X557" s="4"/>
      <c r="Y557" s="4"/>
      <c r="Z557" s="4"/>
      <c r="AA557" s="4"/>
      <c r="AB557" s="4"/>
      <c r="AC557" s="4"/>
      <c r="AD557" s="4"/>
      <c r="AE557" s="4"/>
      <c r="AF557" s="4"/>
      <c r="AG557" s="4"/>
      <c r="AH557" s="4"/>
      <c r="AI557" s="4"/>
      <c r="AJ557" s="4"/>
      <c r="AK557" s="4"/>
    </row>
    <row r="558" spans="1:37" ht="70" customHeight="1" x14ac:dyDescent="0.2">
      <c r="A558" s="107"/>
      <c r="B558" s="4"/>
      <c r="C558" s="163"/>
      <c r="D558" s="4"/>
      <c r="E558" s="4"/>
      <c r="F558" s="4"/>
      <c r="G558" s="4"/>
      <c r="H558" s="4"/>
      <c r="I558" s="4"/>
      <c r="J558" s="4"/>
      <c r="K558" s="4"/>
      <c r="L558" s="4"/>
      <c r="M558" s="4"/>
      <c r="N558" s="4"/>
      <c r="O558" s="4"/>
      <c r="P558" s="4"/>
      <c r="Q558" s="4"/>
      <c r="R558" s="4"/>
      <c r="S558" s="4"/>
      <c r="T558" s="4"/>
      <c r="U558" s="4"/>
      <c r="V558" s="4"/>
      <c r="W558" s="4"/>
      <c r="X558" s="4"/>
      <c r="Y558" s="4"/>
      <c r="Z558" s="4"/>
      <c r="AA558" s="4"/>
      <c r="AB558" s="4"/>
      <c r="AC558" s="4"/>
      <c r="AD558" s="4"/>
      <c r="AE558" s="4"/>
      <c r="AF558" s="4"/>
      <c r="AG558" s="4"/>
      <c r="AH558" s="4"/>
      <c r="AI558" s="4"/>
      <c r="AJ558" s="4"/>
      <c r="AK558" s="4"/>
    </row>
    <row r="559" spans="1:37" ht="70" customHeight="1" x14ac:dyDescent="0.2">
      <c r="A559" s="107"/>
      <c r="B559" s="4"/>
      <c r="C559" s="163"/>
      <c r="D559" s="4"/>
      <c r="E559" s="4"/>
      <c r="F559" s="4"/>
      <c r="G559" s="4"/>
      <c r="H559" s="4"/>
      <c r="I559" s="4"/>
      <c r="J559" s="4"/>
      <c r="K559" s="4"/>
      <c r="L559" s="4"/>
      <c r="M559" s="4"/>
      <c r="N559" s="4"/>
      <c r="O559" s="4"/>
      <c r="P559" s="4"/>
      <c r="Q559" s="4"/>
      <c r="R559" s="4"/>
      <c r="S559" s="4"/>
      <c r="T559" s="4"/>
      <c r="U559" s="4"/>
      <c r="V559" s="4"/>
      <c r="W559" s="4"/>
      <c r="X559" s="4"/>
      <c r="Y559" s="4"/>
      <c r="Z559" s="4"/>
      <c r="AA559" s="4"/>
      <c r="AB559" s="4"/>
      <c r="AC559" s="4"/>
      <c r="AD559" s="4"/>
      <c r="AE559" s="4"/>
      <c r="AF559" s="4"/>
      <c r="AG559" s="4"/>
      <c r="AH559" s="4"/>
      <c r="AI559" s="4"/>
      <c r="AJ559" s="4"/>
      <c r="AK559" s="4"/>
    </row>
    <row r="560" spans="1:37" ht="70" customHeight="1" x14ac:dyDescent="0.2">
      <c r="A560" s="107"/>
      <c r="B560" s="4"/>
      <c r="C560" s="163"/>
      <c r="D560" s="4"/>
      <c r="E560" s="4"/>
      <c r="F560" s="4"/>
      <c r="G560" s="4"/>
      <c r="H560" s="4"/>
      <c r="I560" s="4"/>
      <c r="J560" s="4"/>
      <c r="K560" s="4"/>
      <c r="L560" s="4"/>
      <c r="M560" s="4"/>
      <c r="N560" s="4"/>
      <c r="O560" s="4"/>
      <c r="P560" s="4"/>
      <c r="Q560" s="4"/>
      <c r="R560" s="4"/>
      <c r="S560" s="4"/>
      <c r="T560" s="4"/>
      <c r="U560" s="4"/>
      <c r="V560" s="4"/>
      <c r="W560" s="4"/>
      <c r="X560" s="4"/>
      <c r="Y560" s="4"/>
      <c r="Z560" s="4"/>
      <c r="AA560" s="4"/>
      <c r="AB560" s="4"/>
      <c r="AC560" s="4"/>
      <c r="AD560" s="4"/>
      <c r="AE560" s="4"/>
      <c r="AF560" s="4"/>
      <c r="AG560" s="4"/>
      <c r="AH560" s="4"/>
      <c r="AI560" s="4"/>
      <c r="AJ560" s="4"/>
      <c r="AK560" s="4"/>
    </row>
    <row r="561" spans="1:37" ht="70" customHeight="1" x14ac:dyDescent="0.2">
      <c r="A561" s="107"/>
      <c r="B561" s="4"/>
      <c r="C561" s="163"/>
      <c r="D561" s="4"/>
      <c r="E561" s="4"/>
      <c r="F561" s="4"/>
      <c r="G561" s="4"/>
      <c r="H561" s="4"/>
      <c r="I561" s="4"/>
      <c r="J561" s="4"/>
      <c r="K561" s="4"/>
      <c r="L561" s="4"/>
      <c r="M561" s="4"/>
      <c r="N561" s="4"/>
      <c r="O561" s="4"/>
      <c r="P561" s="4"/>
      <c r="Q561" s="4"/>
      <c r="R561" s="4"/>
      <c r="S561" s="4"/>
      <c r="T561" s="4"/>
      <c r="U561" s="4"/>
      <c r="V561" s="4"/>
      <c r="W561" s="4"/>
      <c r="X561" s="4"/>
      <c r="Y561" s="4"/>
      <c r="Z561" s="4"/>
      <c r="AA561" s="4"/>
      <c r="AB561" s="4"/>
      <c r="AC561" s="4"/>
      <c r="AD561" s="4"/>
      <c r="AE561" s="4"/>
      <c r="AF561" s="4"/>
      <c r="AG561" s="4"/>
      <c r="AH561" s="4"/>
      <c r="AI561" s="4"/>
      <c r="AJ561" s="4"/>
      <c r="AK561" s="4"/>
    </row>
    <row r="562" spans="1:37" ht="70" customHeight="1" x14ac:dyDescent="0.2">
      <c r="A562" s="107"/>
      <c r="B562" s="4"/>
      <c r="C562" s="163"/>
      <c r="D562" s="4"/>
      <c r="E562" s="4"/>
      <c r="F562" s="4"/>
      <c r="G562" s="4"/>
      <c r="H562" s="4"/>
      <c r="I562" s="4"/>
      <c r="J562" s="4"/>
      <c r="K562" s="4"/>
      <c r="L562" s="4"/>
      <c r="M562" s="4"/>
      <c r="N562" s="4"/>
      <c r="O562" s="4"/>
      <c r="P562" s="4"/>
      <c r="Q562" s="4"/>
      <c r="R562" s="4"/>
      <c r="S562" s="4"/>
      <c r="T562" s="4"/>
      <c r="U562" s="4"/>
      <c r="V562" s="4"/>
      <c r="W562" s="4"/>
      <c r="X562" s="4"/>
      <c r="Y562" s="4"/>
      <c r="Z562" s="4"/>
      <c r="AA562" s="4"/>
      <c r="AB562" s="4"/>
      <c r="AC562" s="4"/>
      <c r="AD562" s="4"/>
      <c r="AE562" s="4"/>
      <c r="AF562" s="4"/>
      <c r="AG562" s="4"/>
      <c r="AH562" s="4"/>
      <c r="AI562" s="4"/>
      <c r="AJ562" s="4"/>
      <c r="AK562" s="4"/>
    </row>
    <row r="563" spans="1:37" ht="70" customHeight="1" x14ac:dyDescent="0.2">
      <c r="A563" s="107"/>
      <c r="B563" s="4"/>
      <c r="C563" s="163"/>
      <c r="D563" s="4"/>
      <c r="E563" s="4"/>
      <c r="F563" s="4"/>
      <c r="G563" s="4"/>
      <c r="H563" s="4"/>
      <c r="I563" s="4"/>
      <c r="J563" s="4"/>
      <c r="K563" s="4"/>
      <c r="L563" s="4"/>
      <c r="M563" s="4"/>
      <c r="N563" s="4"/>
      <c r="O563" s="4"/>
      <c r="P563" s="4"/>
      <c r="Q563" s="4"/>
      <c r="R563" s="4"/>
      <c r="S563" s="4"/>
      <c r="T563" s="4"/>
      <c r="U563" s="4"/>
      <c r="V563" s="4"/>
      <c r="W563" s="4"/>
      <c r="X563" s="4"/>
      <c r="Y563" s="4"/>
      <c r="Z563" s="4"/>
      <c r="AA563" s="4"/>
      <c r="AB563" s="4"/>
      <c r="AC563" s="4"/>
      <c r="AD563" s="4"/>
      <c r="AE563" s="4"/>
      <c r="AF563" s="4"/>
      <c r="AG563" s="4"/>
      <c r="AH563" s="4"/>
      <c r="AI563" s="4"/>
      <c r="AJ563" s="4"/>
      <c r="AK563" s="4"/>
    </row>
    <row r="564" spans="1:37" ht="70" customHeight="1" x14ac:dyDescent="0.2">
      <c r="A564" s="107"/>
      <c r="B564" s="4"/>
      <c r="C564" s="163"/>
      <c r="D564" s="4"/>
      <c r="E564" s="4"/>
      <c r="F564" s="4"/>
      <c r="G564" s="4"/>
      <c r="H564" s="4"/>
      <c r="I564" s="4"/>
      <c r="J564" s="4"/>
      <c r="K564" s="4"/>
      <c r="L564" s="4"/>
      <c r="M564" s="4"/>
      <c r="N564" s="4"/>
      <c r="O564" s="4"/>
      <c r="P564" s="4"/>
      <c r="Q564" s="4"/>
      <c r="R564" s="4"/>
      <c r="S564" s="4"/>
      <c r="T564" s="4"/>
      <c r="U564" s="4"/>
      <c r="V564" s="4"/>
      <c r="W564" s="4"/>
      <c r="X564" s="4"/>
      <c r="Y564" s="4"/>
      <c r="Z564" s="4"/>
      <c r="AA564" s="4"/>
      <c r="AB564" s="4"/>
      <c r="AC564" s="4"/>
      <c r="AD564" s="4"/>
      <c r="AE564" s="4"/>
      <c r="AF564" s="4"/>
      <c r="AG564" s="4"/>
      <c r="AH564" s="4"/>
      <c r="AI564" s="4"/>
      <c r="AJ564" s="4"/>
      <c r="AK564" s="4"/>
    </row>
    <row r="565" spans="1:37" ht="70" customHeight="1" x14ac:dyDescent="0.2">
      <c r="A565" s="107"/>
      <c r="B565" s="4"/>
      <c r="C565" s="163"/>
      <c r="D565" s="4"/>
      <c r="E565" s="4"/>
      <c r="F565" s="4"/>
      <c r="G565" s="4"/>
      <c r="H565" s="4"/>
      <c r="I565" s="4"/>
      <c r="J565" s="4"/>
      <c r="K565" s="4"/>
      <c r="L565" s="4"/>
      <c r="M565" s="4"/>
      <c r="N565" s="4"/>
      <c r="O565" s="4"/>
      <c r="P565" s="4"/>
      <c r="Q565" s="4"/>
      <c r="R565" s="4"/>
      <c r="S565" s="4"/>
      <c r="T565" s="4"/>
      <c r="U565" s="4"/>
      <c r="V565" s="4"/>
      <c r="W565" s="4"/>
      <c r="X565" s="4"/>
      <c r="Y565" s="4"/>
      <c r="Z565" s="4"/>
      <c r="AA565" s="4"/>
      <c r="AB565" s="4"/>
      <c r="AC565" s="4"/>
      <c r="AD565" s="4"/>
      <c r="AE565" s="4"/>
      <c r="AF565" s="4"/>
      <c r="AG565" s="4"/>
      <c r="AH565" s="4"/>
      <c r="AI565" s="4"/>
      <c r="AJ565" s="4"/>
      <c r="AK565" s="4"/>
    </row>
    <row r="566" spans="1:37" ht="70" customHeight="1" x14ac:dyDescent="0.2">
      <c r="A566" s="107"/>
      <c r="B566" s="4"/>
      <c r="C566" s="163"/>
      <c r="D566" s="4"/>
      <c r="E566" s="4"/>
      <c r="F566" s="4"/>
      <c r="G566" s="4"/>
      <c r="H566" s="4"/>
      <c r="I566" s="4"/>
      <c r="J566" s="4"/>
      <c r="K566" s="4"/>
      <c r="L566" s="4"/>
      <c r="M566" s="4"/>
      <c r="N566" s="4"/>
      <c r="O566" s="4"/>
      <c r="P566" s="4"/>
      <c r="Q566" s="4"/>
      <c r="R566" s="4"/>
      <c r="S566" s="4"/>
      <c r="T566" s="4"/>
      <c r="U566" s="4"/>
      <c r="V566" s="4"/>
      <c r="W566" s="4"/>
      <c r="X566" s="4"/>
      <c r="Y566" s="4"/>
      <c r="Z566" s="4"/>
      <c r="AA566" s="4"/>
      <c r="AB566" s="4"/>
      <c r="AC566" s="4"/>
      <c r="AD566" s="4"/>
      <c r="AE566" s="4"/>
      <c r="AF566" s="4"/>
      <c r="AG566" s="4"/>
      <c r="AH566" s="4"/>
      <c r="AI566" s="4"/>
      <c r="AJ566" s="4"/>
      <c r="AK566" s="4"/>
    </row>
    <row r="567" spans="1:37" ht="70" customHeight="1" x14ac:dyDescent="0.2">
      <c r="A567" s="107"/>
      <c r="B567" s="4"/>
      <c r="C567" s="163"/>
      <c r="D567" s="4"/>
      <c r="E567" s="4"/>
      <c r="F567" s="4"/>
      <c r="G567" s="4"/>
      <c r="H567" s="4"/>
      <c r="I567" s="4"/>
      <c r="J567" s="4"/>
      <c r="K567" s="4"/>
      <c r="L567" s="4"/>
      <c r="M567" s="4"/>
      <c r="N567" s="4"/>
      <c r="O567" s="4"/>
      <c r="P567" s="4"/>
      <c r="Q567" s="4"/>
      <c r="R567" s="4"/>
      <c r="S567" s="4"/>
      <c r="T567" s="4"/>
      <c r="U567" s="4"/>
      <c r="V567" s="4"/>
      <c r="W567" s="4"/>
      <c r="X567" s="4"/>
      <c r="Y567" s="4"/>
      <c r="Z567" s="4"/>
      <c r="AA567" s="4"/>
      <c r="AB567" s="4"/>
      <c r="AC567" s="4"/>
      <c r="AD567" s="4"/>
      <c r="AE567" s="4"/>
      <c r="AF567" s="4"/>
      <c r="AG567" s="4"/>
      <c r="AH567" s="4"/>
      <c r="AI567" s="4"/>
      <c r="AJ567" s="4"/>
      <c r="AK567" s="4"/>
    </row>
    <row r="568" spans="1:37" ht="70" customHeight="1" x14ac:dyDescent="0.2">
      <c r="A568" s="107"/>
      <c r="B568" s="4"/>
      <c r="C568" s="163"/>
      <c r="D568" s="4"/>
      <c r="E568" s="4"/>
      <c r="F568" s="4"/>
      <c r="G568" s="4"/>
      <c r="H568" s="4"/>
      <c r="I568" s="4"/>
      <c r="J568" s="4"/>
      <c r="K568" s="4"/>
      <c r="L568" s="4"/>
      <c r="M568" s="4"/>
      <c r="N568" s="4"/>
      <c r="O568" s="4"/>
      <c r="P568" s="4"/>
      <c r="Q568" s="4"/>
      <c r="R568" s="4"/>
      <c r="S568" s="4"/>
      <c r="T568" s="4"/>
      <c r="U568" s="4"/>
      <c r="V568" s="4"/>
      <c r="W568" s="4"/>
      <c r="X568" s="4"/>
      <c r="Y568" s="4"/>
      <c r="Z568" s="4"/>
      <c r="AA568" s="4"/>
      <c r="AB568" s="4"/>
      <c r="AC568" s="4"/>
      <c r="AD568" s="4"/>
      <c r="AE568" s="4"/>
      <c r="AF568" s="4"/>
      <c r="AG568" s="4"/>
      <c r="AH568" s="4"/>
      <c r="AI568" s="4"/>
      <c r="AJ568" s="4"/>
      <c r="AK568" s="4"/>
    </row>
    <row r="569" spans="1:37" ht="70" customHeight="1" x14ac:dyDescent="0.2">
      <c r="A569" s="107"/>
      <c r="B569" s="4"/>
      <c r="C569" s="163"/>
      <c r="D569" s="4"/>
      <c r="E569" s="4"/>
      <c r="F569" s="4"/>
      <c r="G569" s="4"/>
      <c r="H569" s="4"/>
      <c r="I569" s="4"/>
      <c r="J569" s="4"/>
      <c r="K569" s="4"/>
      <c r="L569" s="4"/>
      <c r="M569" s="4"/>
      <c r="N569" s="4"/>
      <c r="O569" s="4"/>
      <c r="P569" s="4"/>
      <c r="Q569" s="4"/>
      <c r="R569" s="4"/>
      <c r="S569" s="4"/>
      <c r="T569" s="4"/>
      <c r="U569" s="4"/>
      <c r="V569" s="4"/>
      <c r="W569" s="4"/>
      <c r="X569" s="4"/>
      <c r="Y569" s="4"/>
      <c r="Z569" s="4"/>
      <c r="AA569" s="4"/>
      <c r="AB569" s="4"/>
      <c r="AC569" s="4"/>
      <c r="AD569" s="4"/>
      <c r="AE569" s="4"/>
      <c r="AF569" s="4"/>
      <c r="AG569" s="4"/>
      <c r="AH569" s="4"/>
      <c r="AI569" s="4"/>
      <c r="AJ569" s="4"/>
      <c r="AK569" s="4"/>
    </row>
    <row r="570" spans="1:37" ht="70" customHeight="1" x14ac:dyDescent="0.2">
      <c r="A570" s="107"/>
      <c r="B570" s="4"/>
      <c r="C570" s="163"/>
      <c r="D570" s="4"/>
      <c r="E570" s="4"/>
      <c r="F570" s="4"/>
      <c r="G570" s="4"/>
      <c r="H570" s="4"/>
      <c r="I570" s="4"/>
      <c r="J570" s="4"/>
      <c r="K570" s="4"/>
      <c r="L570" s="4"/>
      <c r="M570" s="4"/>
      <c r="N570" s="4"/>
      <c r="O570" s="4"/>
      <c r="P570" s="4"/>
      <c r="Q570" s="4"/>
      <c r="R570" s="4"/>
      <c r="S570" s="4"/>
      <c r="T570" s="4"/>
      <c r="U570" s="4"/>
      <c r="V570" s="4"/>
      <c r="W570" s="4"/>
      <c r="X570" s="4"/>
      <c r="Y570" s="4"/>
      <c r="Z570" s="4"/>
      <c r="AA570" s="4"/>
      <c r="AB570" s="4"/>
      <c r="AC570" s="4"/>
      <c r="AD570" s="4"/>
      <c r="AE570" s="4"/>
      <c r="AF570" s="4"/>
      <c r="AG570" s="4"/>
      <c r="AH570" s="4"/>
      <c r="AI570" s="4"/>
      <c r="AJ570" s="4"/>
      <c r="AK570" s="4"/>
    </row>
    <row r="571" spans="1:37" ht="70" customHeight="1" x14ac:dyDescent="0.2">
      <c r="A571" s="107"/>
      <c r="B571" s="4"/>
      <c r="C571" s="163"/>
      <c r="D571" s="4"/>
      <c r="E571" s="4"/>
      <c r="F571" s="4"/>
      <c r="G571" s="4"/>
      <c r="H571" s="4"/>
      <c r="I571" s="4"/>
      <c r="J571" s="4"/>
      <c r="K571" s="4"/>
      <c r="L571" s="4"/>
      <c r="M571" s="4"/>
      <c r="N571" s="4"/>
      <c r="O571" s="4"/>
      <c r="P571" s="4"/>
      <c r="Q571" s="4"/>
      <c r="R571" s="4"/>
      <c r="S571" s="4"/>
      <c r="T571" s="4"/>
      <c r="U571" s="4"/>
      <c r="V571" s="4"/>
      <c r="W571" s="4"/>
      <c r="X571" s="4"/>
      <c r="Y571" s="4"/>
      <c r="Z571" s="4"/>
      <c r="AA571" s="4"/>
      <c r="AB571" s="4"/>
      <c r="AC571" s="4"/>
      <c r="AD571" s="4"/>
      <c r="AE571" s="4"/>
      <c r="AF571" s="4"/>
      <c r="AG571" s="4"/>
      <c r="AH571" s="4"/>
      <c r="AI571" s="4"/>
      <c r="AJ571" s="4"/>
      <c r="AK571" s="4"/>
    </row>
    <row r="572" spans="1:37" ht="70" customHeight="1" x14ac:dyDescent="0.2">
      <c r="A572" s="107"/>
      <c r="B572" s="4"/>
      <c r="C572" s="163"/>
      <c r="D572" s="4"/>
      <c r="E572" s="4"/>
      <c r="F572" s="4"/>
      <c r="G572" s="4"/>
      <c r="H572" s="4"/>
      <c r="I572" s="4"/>
      <c r="J572" s="4"/>
      <c r="K572" s="4"/>
      <c r="L572" s="4"/>
      <c r="M572" s="4"/>
      <c r="N572" s="4"/>
      <c r="O572" s="4"/>
      <c r="P572" s="4"/>
      <c r="Q572" s="4"/>
      <c r="R572" s="4"/>
      <c r="S572" s="4"/>
      <c r="T572" s="4"/>
      <c r="U572" s="4"/>
      <c r="V572" s="4"/>
      <c r="W572" s="4"/>
      <c r="X572" s="4"/>
      <c r="Y572" s="4"/>
      <c r="Z572" s="4"/>
      <c r="AA572" s="4"/>
      <c r="AB572" s="4"/>
      <c r="AC572" s="4"/>
      <c r="AD572" s="4"/>
      <c r="AE572" s="4"/>
      <c r="AF572" s="4"/>
      <c r="AG572" s="4"/>
      <c r="AH572" s="4"/>
      <c r="AI572" s="4"/>
      <c r="AJ572" s="4"/>
      <c r="AK572" s="4"/>
    </row>
    <row r="573" spans="1:37" ht="70" customHeight="1" x14ac:dyDescent="0.2">
      <c r="A573" s="107"/>
      <c r="B573" s="4"/>
      <c r="C573" s="163"/>
      <c r="D573" s="4"/>
      <c r="E573" s="4"/>
      <c r="F573" s="4"/>
      <c r="G573" s="4"/>
      <c r="H573" s="4"/>
      <c r="I573" s="4"/>
      <c r="J573" s="4"/>
      <c r="K573" s="4"/>
      <c r="L573" s="4"/>
      <c r="M573" s="4"/>
      <c r="N573" s="4"/>
      <c r="O573" s="4"/>
      <c r="P573" s="4"/>
      <c r="Q573" s="4"/>
      <c r="R573" s="4"/>
      <c r="S573" s="4"/>
      <c r="T573" s="4"/>
      <c r="U573" s="4"/>
      <c r="V573" s="4"/>
      <c r="W573" s="4"/>
      <c r="X573" s="4"/>
      <c r="Y573" s="4"/>
      <c r="Z573" s="4"/>
      <c r="AA573" s="4"/>
      <c r="AB573" s="4"/>
      <c r="AC573" s="4"/>
      <c r="AD573" s="4"/>
      <c r="AE573" s="4"/>
      <c r="AF573" s="4"/>
      <c r="AG573" s="4"/>
      <c r="AH573" s="4"/>
      <c r="AI573" s="4"/>
      <c r="AJ573" s="4"/>
      <c r="AK573" s="4"/>
    </row>
    <row r="574" spans="1:37" ht="70" customHeight="1" x14ac:dyDescent="0.2">
      <c r="A574" s="107"/>
      <c r="B574" s="4"/>
      <c r="C574" s="163"/>
      <c r="D574" s="4"/>
      <c r="E574" s="4"/>
      <c r="F574" s="4"/>
      <c r="G574" s="4"/>
      <c r="H574" s="4"/>
      <c r="I574" s="4"/>
      <c r="J574" s="4"/>
      <c r="K574" s="4"/>
      <c r="L574" s="4"/>
      <c r="M574" s="4"/>
      <c r="N574" s="4"/>
      <c r="O574" s="4"/>
      <c r="P574" s="4"/>
      <c r="Q574" s="4"/>
      <c r="R574" s="4"/>
      <c r="S574" s="4"/>
      <c r="T574" s="4"/>
      <c r="U574" s="4"/>
      <c r="V574" s="4"/>
      <c r="W574" s="4"/>
      <c r="X574" s="4"/>
      <c r="Y574" s="4"/>
      <c r="Z574" s="4"/>
      <c r="AA574" s="4"/>
      <c r="AB574" s="4"/>
      <c r="AC574" s="4"/>
      <c r="AD574" s="4"/>
      <c r="AE574" s="4"/>
      <c r="AF574" s="4"/>
      <c r="AG574" s="4"/>
      <c r="AH574" s="4"/>
      <c r="AI574" s="4"/>
      <c r="AJ574" s="4"/>
      <c r="AK574" s="4"/>
    </row>
    <row r="575" spans="1:37" ht="70" customHeight="1" x14ac:dyDescent="0.2">
      <c r="A575" s="107"/>
      <c r="B575" s="4"/>
      <c r="C575" s="163"/>
      <c r="D575" s="4"/>
      <c r="E575" s="4"/>
      <c r="F575" s="4"/>
      <c r="G575" s="4"/>
      <c r="H575" s="4"/>
      <c r="I575" s="4"/>
      <c r="J575" s="4"/>
      <c r="K575" s="4"/>
      <c r="L575" s="4"/>
      <c r="M575" s="4"/>
      <c r="N575" s="4"/>
      <c r="O575" s="4"/>
      <c r="P575" s="4"/>
      <c r="Q575" s="4"/>
      <c r="R575" s="4"/>
      <c r="S575" s="4"/>
      <c r="T575" s="4"/>
      <c r="U575" s="4"/>
      <c r="V575" s="4"/>
      <c r="W575" s="4"/>
      <c r="X575" s="4"/>
      <c r="Y575" s="4"/>
      <c r="Z575" s="4"/>
      <c r="AA575" s="4"/>
      <c r="AB575" s="4"/>
      <c r="AC575" s="4"/>
      <c r="AD575" s="4"/>
      <c r="AE575" s="4"/>
      <c r="AF575" s="4"/>
      <c r="AG575" s="4"/>
      <c r="AH575" s="4"/>
      <c r="AI575" s="4"/>
      <c r="AJ575" s="4"/>
      <c r="AK575" s="4"/>
    </row>
    <row r="576" spans="1:37" ht="70" customHeight="1" x14ac:dyDescent="0.2">
      <c r="A576" s="107"/>
      <c r="B576" s="4"/>
      <c r="C576" s="163"/>
      <c r="D576" s="4"/>
      <c r="E576" s="4"/>
      <c r="F576" s="4"/>
      <c r="G576" s="4"/>
      <c r="H576" s="4"/>
      <c r="I576" s="4"/>
      <c r="J576" s="4"/>
      <c r="K576" s="4"/>
      <c r="L576" s="4"/>
      <c r="M576" s="4"/>
      <c r="N576" s="4"/>
      <c r="O576" s="4"/>
      <c r="P576" s="4"/>
      <c r="Q576" s="4"/>
      <c r="R576" s="4"/>
      <c r="S576" s="4"/>
      <c r="T576" s="4"/>
      <c r="U576" s="4"/>
      <c r="V576" s="4"/>
      <c r="W576" s="4"/>
      <c r="X576" s="4"/>
      <c r="Y576" s="4"/>
      <c r="Z576" s="4"/>
      <c r="AA576" s="4"/>
      <c r="AB576" s="4"/>
      <c r="AC576" s="4"/>
      <c r="AD576" s="4"/>
      <c r="AE576" s="4"/>
      <c r="AF576" s="4"/>
      <c r="AG576" s="4"/>
      <c r="AH576" s="4"/>
      <c r="AI576" s="4"/>
      <c r="AJ576" s="4"/>
      <c r="AK576" s="4"/>
    </row>
    <row r="577" spans="1:37" ht="70" customHeight="1" x14ac:dyDescent="0.2">
      <c r="A577" s="107"/>
      <c r="B577" s="4"/>
      <c r="C577" s="163"/>
      <c r="D577" s="4"/>
      <c r="E577" s="4"/>
      <c r="F577" s="4"/>
      <c r="G577" s="4"/>
      <c r="H577" s="4"/>
      <c r="I577" s="4"/>
      <c r="J577" s="4"/>
      <c r="K577" s="4"/>
      <c r="L577" s="4"/>
      <c r="M577" s="4"/>
      <c r="N577" s="4"/>
      <c r="O577" s="4"/>
      <c r="P577" s="4"/>
      <c r="Q577" s="4"/>
      <c r="R577" s="4"/>
      <c r="S577" s="4"/>
      <c r="T577" s="4"/>
      <c r="U577" s="4"/>
      <c r="V577" s="4"/>
      <c r="W577" s="4"/>
      <c r="X577" s="4"/>
      <c r="Y577" s="4"/>
      <c r="Z577" s="4"/>
      <c r="AA577" s="4"/>
      <c r="AB577" s="4"/>
      <c r="AC577" s="4"/>
      <c r="AD577" s="4"/>
      <c r="AE577" s="4"/>
      <c r="AF577" s="4"/>
      <c r="AG577" s="4"/>
      <c r="AH577" s="4"/>
      <c r="AI577" s="4"/>
      <c r="AJ577" s="4"/>
      <c r="AK577" s="4"/>
    </row>
    <row r="578" spans="1:37" ht="70" customHeight="1" x14ac:dyDescent="0.2">
      <c r="A578" s="107"/>
      <c r="B578" s="4"/>
      <c r="C578" s="163"/>
      <c r="D578" s="4"/>
      <c r="E578" s="4"/>
      <c r="F578" s="4"/>
      <c r="G578" s="4"/>
      <c r="H578" s="4"/>
      <c r="I578" s="4"/>
      <c r="J578" s="4"/>
      <c r="K578" s="4"/>
      <c r="L578" s="4"/>
      <c r="M578" s="4"/>
      <c r="N578" s="4"/>
      <c r="O578" s="4"/>
      <c r="P578" s="4"/>
      <c r="Q578" s="4"/>
      <c r="R578" s="4"/>
      <c r="S578" s="4"/>
      <c r="T578" s="4"/>
      <c r="U578" s="4"/>
      <c r="V578" s="4"/>
      <c r="W578" s="4"/>
      <c r="X578" s="4"/>
      <c r="Y578" s="4"/>
      <c r="Z578" s="4"/>
      <c r="AA578" s="4"/>
      <c r="AB578" s="4"/>
      <c r="AC578" s="4"/>
      <c r="AD578" s="4"/>
      <c r="AE578" s="4"/>
      <c r="AF578" s="4"/>
      <c r="AG578" s="4"/>
      <c r="AH578" s="4"/>
      <c r="AI578" s="4"/>
      <c r="AJ578" s="4"/>
      <c r="AK578" s="4"/>
    </row>
    <row r="579" spans="1:37" ht="70" customHeight="1" x14ac:dyDescent="0.2">
      <c r="A579" s="107"/>
      <c r="B579" s="4"/>
      <c r="C579" s="163"/>
      <c r="D579" s="4"/>
      <c r="E579" s="4"/>
      <c r="F579" s="4"/>
      <c r="G579" s="4"/>
      <c r="H579" s="4"/>
      <c r="I579" s="4"/>
      <c r="J579" s="4"/>
      <c r="K579" s="4"/>
      <c r="L579" s="4"/>
      <c r="M579" s="4"/>
      <c r="N579" s="4"/>
      <c r="O579" s="4"/>
      <c r="P579" s="4"/>
      <c r="Q579" s="4"/>
      <c r="R579" s="4"/>
      <c r="S579" s="4"/>
      <c r="T579" s="4"/>
      <c r="U579" s="4"/>
      <c r="V579" s="4"/>
      <c r="W579" s="4"/>
      <c r="X579" s="4"/>
      <c r="Y579" s="4"/>
      <c r="Z579" s="4"/>
      <c r="AA579" s="4"/>
      <c r="AB579" s="4"/>
      <c r="AC579" s="4"/>
      <c r="AD579" s="4"/>
      <c r="AE579" s="4"/>
      <c r="AF579" s="4"/>
      <c r="AG579" s="4"/>
      <c r="AH579" s="4"/>
      <c r="AI579" s="4"/>
      <c r="AJ579" s="4"/>
      <c r="AK579" s="4"/>
    </row>
    <row r="580" spans="1:37" ht="70" customHeight="1" x14ac:dyDescent="0.2">
      <c r="A580" s="107"/>
      <c r="B580" s="4"/>
      <c r="C580" s="163"/>
      <c r="D580" s="4"/>
      <c r="E580" s="4"/>
      <c r="F580" s="4"/>
      <c r="G580" s="4"/>
      <c r="H580" s="4"/>
      <c r="I580" s="4"/>
      <c r="J580" s="4"/>
      <c r="K580" s="4"/>
      <c r="L580" s="4"/>
      <c r="M580" s="4"/>
      <c r="N580" s="4"/>
      <c r="O580" s="4"/>
      <c r="P580" s="4"/>
      <c r="Q580" s="4"/>
      <c r="R580" s="4"/>
      <c r="S580" s="4"/>
      <c r="T580" s="4"/>
      <c r="U580" s="4"/>
      <c r="V580" s="4"/>
      <c r="W580" s="4"/>
      <c r="X580" s="4"/>
      <c r="Y580" s="4"/>
      <c r="Z580" s="4"/>
      <c r="AA580" s="4"/>
      <c r="AB580" s="4"/>
      <c r="AC580" s="4"/>
      <c r="AD580" s="4"/>
      <c r="AE580" s="4"/>
      <c r="AF580" s="4"/>
      <c r="AG580" s="4"/>
      <c r="AH580" s="4"/>
      <c r="AI580" s="4"/>
      <c r="AJ580" s="4"/>
      <c r="AK580" s="4"/>
    </row>
    <row r="581" spans="1:37" ht="70" customHeight="1" x14ac:dyDescent="0.2">
      <c r="A581" s="107"/>
      <c r="B581" s="4"/>
      <c r="C581" s="163"/>
      <c r="D581" s="4"/>
      <c r="E581" s="4"/>
      <c r="F581" s="4"/>
      <c r="G581" s="4"/>
      <c r="H581" s="4"/>
      <c r="I581" s="4"/>
      <c r="J581" s="4"/>
      <c r="K581" s="4"/>
      <c r="L581" s="4"/>
      <c r="M581" s="4"/>
      <c r="N581" s="4"/>
      <c r="O581" s="4"/>
      <c r="P581" s="4"/>
      <c r="Q581" s="4"/>
      <c r="R581" s="4"/>
      <c r="S581" s="4"/>
      <c r="T581" s="4"/>
      <c r="U581" s="4"/>
      <c r="V581" s="4"/>
      <c r="W581" s="4"/>
      <c r="X581" s="4"/>
      <c r="Y581" s="4"/>
      <c r="Z581" s="4"/>
      <c r="AA581" s="4"/>
      <c r="AB581" s="4"/>
      <c r="AC581" s="4"/>
      <c r="AD581" s="4"/>
      <c r="AE581" s="4"/>
      <c r="AF581" s="4"/>
      <c r="AG581" s="4"/>
      <c r="AH581" s="4"/>
      <c r="AI581" s="4"/>
      <c r="AJ581" s="4"/>
      <c r="AK581" s="4"/>
    </row>
    <row r="582" spans="1:37" ht="70" customHeight="1" x14ac:dyDescent="0.2">
      <c r="A582" s="107"/>
      <c r="B582" s="4"/>
      <c r="C582" s="163"/>
      <c r="D582" s="4"/>
      <c r="E582" s="4"/>
      <c r="F582" s="4"/>
      <c r="G582" s="4"/>
      <c r="H582" s="4"/>
      <c r="I582" s="4"/>
      <c r="J582" s="4"/>
      <c r="K582" s="4"/>
      <c r="L582" s="4"/>
      <c r="M582" s="4"/>
      <c r="N582" s="4"/>
      <c r="O582" s="4"/>
      <c r="P582" s="4"/>
      <c r="Q582" s="4"/>
      <c r="R582" s="4"/>
      <c r="S582" s="4"/>
      <c r="T582" s="4"/>
      <c r="U582" s="4"/>
      <c r="V582" s="4"/>
      <c r="W582" s="4"/>
      <c r="X582" s="4"/>
      <c r="Y582" s="4"/>
      <c r="Z582" s="4"/>
      <c r="AA582" s="4"/>
      <c r="AB582" s="4"/>
      <c r="AC582" s="4"/>
      <c r="AD582" s="4"/>
      <c r="AE582" s="4"/>
      <c r="AF582" s="4"/>
      <c r="AG582" s="4"/>
      <c r="AH582" s="4"/>
      <c r="AI582" s="4"/>
      <c r="AJ582" s="4"/>
      <c r="AK582" s="4"/>
    </row>
    <row r="583" spans="1:37" ht="70" customHeight="1" x14ac:dyDescent="0.2">
      <c r="A583" s="107"/>
      <c r="B583" s="4"/>
      <c r="C583" s="163"/>
      <c r="D583" s="4"/>
      <c r="E583" s="4"/>
      <c r="F583" s="4"/>
      <c r="G583" s="4"/>
      <c r="H583" s="4"/>
      <c r="I583" s="4"/>
      <c r="J583" s="4"/>
      <c r="K583" s="4"/>
      <c r="L583" s="4"/>
      <c r="M583" s="4"/>
      <c r="N583" s="4"/>
      <c r="O583" s="4"/>
      <c r="P583" s="4"/>
      <c r="Q583" s="4"/>
      <c r="R583" s="4"/>
      <c r="S583" s="4"/>
      <c r="T583" s="4"/>
      <c r="U583" s="4"/>
      <c r="V583" s="4"/>
      <c r="W583" s="4"/>
      <c r="X583" s="4"/>
      <c r="Y583" s="4"/>
      <c r="Z583" s="4"/>
      <c r="AA583" s="4"/>
      <c r="AB583" s="4"/>
      <c r="AC583" s="4"/>
      <c r="AD583" s="4"/>
      <c r="AE583" s="4"/>
      <c r="AF583" s="4"/>
      <c r="AG583" s="4"/>
      <c r="AH583" s="4"/>
      <c r="AI583" s="4"/>
      <c r="AJ583" s="4"/>
      <c r="AK583" s="4"/>
    </row>
    <row r="584" spans="1:37" ht="70" customHeight="1" x14ac:dyDescent="0.2">
      <c r="A584" s="107"/>
      <c r="B584" s="4"/>
      <c r="C584" s="163"/>
      <c r="D584" s="4"/>
      <c r="E584" s="4"/>
      <c r="F584" s="4"/>
      <c r="G584" s="4"/>
      <c r="H584" s="4"/>
      <c r="I584" s="4"/>
      <c r="J584" s="4"/>
      <c r="K584" s="4"/>
      <c r="L584" s="4"/>
      <c r="M584" s="4"/>
      <c r="N584" s="4"/>
      <c r="O584" s="4"/>
      <c r="P584" s="4"/>
      <c r="Q584" s="4"/>
      <c r="R584" s="4"/>
      <c r="S584" s="4"/>
      <c r="T584" s="4"/>
      <c r="U584" s="4"/>
      <c r="V584" s="4"/>
      <c r="W584" s="4"/>
      <c r="X584" s="4"/>
      <c r="Y584" s="4"/>
      <c r="Z584" s="4"/>
      <c r="AA584" s="4"/>
      <c r="AB584" s="4"/>
      <c r="AC584" s="4"/>
      <c r="AD584" s="4"/>
      <c r="AE584" s="4"/>
      <c r="AF584" s="4"/>
      <c r="AG584" s="4"/>
      <c r="AH584" s="4"/>
      <c r="AI584" s="4"/>
      <c r="AJ584" s="4"/>
      <c r="AK584" s="4"/>
    </row>
    <row r="585" spans="1:37" ht="70" customHeight="1" x14ac:dyDescent="0.2">
      <c r="A585" s="107"/>
      <c r="B585" s="4"/>
      <c r="C585" s="163"/>
      <c r="D585" s="4"/>
      <c r="E585" s="4"/>
      <c r="F585" s="4"/>
      <c r="G585" s="4"/>
      <c r="H585" s="4"/>
      <c r="I585" s="4"/>
      <c r="J585" s="4"/>
      <c r="K585" s="4"/>
      <c r="L585" s="4"/>
      <c r="M585" s="4"/>
      <c r="N585" s="4"/>
      <c r="O585" s="4"/>
      <c r="P585" s="4"/>
      <c r="Q585" s="4"/>
      <c r="R585" s="4"/>
      <c r="S585" s="4"/>
      <c r="T585" s="4"/>
      <c r="U585" s="4"/>
      <c r="V585" s="4"/>
      <c r="W585" s="4"/>
      <c r="X585" s="4"/>
      <c r="Y585" s="4"/>
      <c r="Z585" s="4"/>
      <c r="AA585" s="4"/>
      <c r="AB585" s="4"/>
      <c r="AC585" s="4"/>
      <c r="AD585" s="4"/>
      <c r="AE585" s="4"/>
      <c r="AF585" s="4"/>
      <c r="AG585" s="4"/>
      <c r="AH585" s="4"/>
      <c r="AI585" s="4"/>
      <c r="AJ585" s="4"/>
      <c r="AK585" s="4"/>
    </row>
    <row r="586" spans="1:37" ht="70" customHeight="1" x14ac:dyDescent="0.2">
      <c r="A586" s="107"/>
      <c r="B586" s="4"/>
      <c r="C586" s="163"/>
      <c r="D586" s="4"/>
      <c r="E586" s="4"/>
      <c r="F586" s="4"/>
      <c r="G586" s="4"/>
      <c r="H586" s="4"/>
      <c r="I586" s="4"/>
      <c r="J586" s="4"/>
      <c r="K586" s="4"/>
      <c r="L586" s="4"/>
      <c r="M586" s="4"/>
      <c r="N586" s="4"/>
      <c r="O586" s="4"/>
      <c r="P586" s="4"/>
      <c r="Q586" s="4"/>
      <c r="R586" s="4"/>
      <c r="S586" s="4"/>
      <c r="T586" s="4"/>
      <c r="U586" s="4"/>
      <c r="V586" s="4"/>
      <c r="W586" s="4"/>
      <c r="X586" s="4"/>
      <c r="Y586" s="4"/>
      <c r="Z586" s="4"/>
      <c r="AA586" s="4"/>
      <c r="AB586" s="4"/>
      <c r="AC586" s="4"/>
      <c r="AD586" s="4"/>
      <c r="AE586" s="4"/>
      <c r="AF586" s="4"/>
      <c r="AG586" s="4"/>
      <c r="AH586" s="4"/>
      <c r="AI586" s="4"/>
      <c r="AJ586" s="4"/>
      <c r="AK586" s="4"/>
    </row>
    <row r="587" spans="1:37" ht="70" customHeight="1" x14ac:dyDescent="0.2">
      <c r="A587" s="107"/>
      <c r="B587" s="4"/>
      <c r="C587" s="163"/>
      <c r="D587" s="4"/>
      <c r="E587" s="4"/>
      <c r="F587" s="4"/>
      <c r="G587" s="4"/>
      <c r="H587" s="4"/>
      <c r="I587" s="4"/>
      <c r="J587" s="4"/>
      <c r="K587" s="4"/>
      <c r="L587" s="4"/>
      <c r="M587" s="4"/>
      <c r="N587" s="4"/>
      <c r="O587" s="4"/>
      <c r="P587" s="4"/>
      <c r="Q587" s="4"/>
      <c r="R587" s="4"/>
      <c r="S587" s="4"/>
      <c r="T587" s="4"/>
      <c r="U587" s="4"/>
      <c r="V587" s="4"/>
      <c r="W587" s="4"/>
      <c r="X587" s="4"/>
      <c r="Y587" s="4"/>
      <c r="Z587" s="4"/>
      <c r="AA587" s="4"/>
      <c r="AB587" s="4"/>
      <c r="AC587" s="4"/>
      <c r="AD587" s="4"/>
      <c r="AE587" s="4"/>
      <c r="AF587" s="4"/>
      <c r="AG587" s="4"/>
      <c r="AH587" s="4"/>
      <c r="AI587" s="4"/>
      <c r="AJ587" s="4"/>
      <c r="AK587" s="4"/>
    </row>
    <row r="588" spans="1:37" ht="70" customHeight="1" x14ac:dyDescent="0.2">
      <c r="A588" s="107"/>
      <c r="B588" s="4"/>
      <c r="C588" s="163"/>
      <c r="D588" s="4"/>
      <c r="E588" s="4"/>
      <c r="F588" s="4"/>
      <c r="G588" s="4"/>
      <c r="H588" s="4"/>
      <c r="I588" s="4"/>
      <c r="J588" s="4"/>
      <c r="K588" s="4"/>
      <c r="L588" s="4"/>
      <c r="M588" s="4"/>
      <c r="N588" s="4"/>
      <c r="O588" s="4"/>
      <c r="P588" s="4"/>
      <c r="Q588" s="4"/>
      <c r="R588" s="4"/>
      <c r="S588" s="4"/>
      <c r="T588" s="4"/>
      <c r="U588" s="4"/>
      <c r="V588" s="4"/>
      <c r="W588" s="4"/>
      <c r="X588" s="4"/>
      <c r="Y588" s="4"/>
      <c r="Z588" s="4"/>
      <c r="AA588" s="4"/>
      <c r="AB588" s="4"/>
      <c r="AC588" s="4"/>
      <c r="AD588" s="4"/>
      <c r="AE588" s="4"/>
      <c r="AF588" s="4"/>
      <c r="AG588" s="4"/>
      <c r="AH588" s="4"/>
      <c r="AI588" s="4"/>
      <c r="AJ588" s="4"/>
      <c r="AK588" s="4"/>
    </row>
    <row r="589" spans="1:37" ht="70" customHeight="1" x14ac:dyDescent="0.2">
      <c r="A589" s="107"/>
      <c r="B589" s="4"/>
      <c r="C589" s="163"/>
      <c r="D589" s="4"/>
      <c r="E589" s="4"/>
      <c r="F589" s="4"/>
      <c r="G589" s="4"/>
      <c r="H589" s="4"/>
      <c r="I589" s="4"/>
      <c r="J589" s="4"/>
      <c r="K589" s="4"/>
      <c r="L589" s="4"/>
      <c r="M589" s="4"/>
      <c r="N589" s="4"/>
      <c r="O589" s="4"/>
      <c r="P589" s="4"/>
      <c r="Q589" s="4"/>
      <c r="R589" s="4"/>
      <c r="S589" s="4"/>
      <c r="T589" s="4"/>
      <c r="U589" s="4"/>
      <c r="V589" s="4"/>
      <c r="W589" s="4"/>
      <c r="X589" s="4"/>
      <c r="Y589" s="4"/>
      <c r="Z589" s="4"/>
      <c r="AA589" s="4"/>
      <c r="AB589" s="4"/>
      <c r="AC589" s="4"/>
      <c r="AD589" s="4"/>
      <c r="AE589" s="4"/>
      <c r="AF589" s="4"/>
      <c r="AG589" s="4"/>
      <c r="AH589" s="4"/>
      <c r="AI589" s="4"/>
      <c r="AJ589" s="4"/>
      <c r="AK589" s="4"/>
    </row>
    <row r="590" spans="1:37" ht="70" customHeight="1" x14ac:dyDescent="0.2">
      <c r="A590" s="107"/>
      <c r="B590" s="4"/>
      <c r="C590" s="163"/>
      <c r="D590" s="4"/>
      <c r="E590" s="4"/>
      <c r="F590" s="4"/>
      <c r="G590" s="4"/>
      <c r="H590" s="4"/>
      <c r="I590" s="4"/>
      <c r="J590" s="4"/>
      <c r="K590" s="4"/>
      <c r="L590" s="4"/>
      <c r="M590" s="4"/>
      <c r="N590" s="4"/>
      <c r="O590" s="4"/>
      <c r="P590" s="4"/>
      <c r="Q590" s="4"/>
      <c r="R590" s="4"/>
      <c r="S590" s="4"/>
      <c r="T590" s="4"/>
      <c r="U590" s="4"/>
      <c r="V590" s="4"/>
      <c r="W590" s="4"/>
      <c r="X590" s="4"/>
      <c r="Y590" s="4"/>
      <c r="Z590" s="4"/>
      <c r="AA590" s="4"/>
      <c r="AB590" s="4"/>
      <c r="AC590" s="4"/>
      <c r="AD590" s="4"/>
      <c r="AE590" s="4"/>
      <c r="AF590" s="4"/>
      <c r="AG590" s="4"/>
      <c r="AH590" s="4"/>
      <c r="AI590" s="4"/>
      <c r="AJ590" s="4"/>
      <c r="AK590" s="4"/>
    </row>
    <row r="591" spans="1:37" ht="70" customHeight="1" x14ac:dyDescent="0.2">
      <c r="A591" s="107"/>
      <c r="B591" s="4"/>
      <c r="C591" s="163"/>
      <c r="D591" s="4"/>
      <c r="E591" s="4"/>
      <c r="F591" s="4"/>
      <c r="G591" s="4"/>
      <c r="H591" s="4"/>
      <c r="I591" s="4"/>
      <c r="J591" s="4"/>
      <c r="K591" s="4"/>
      <c r="L591" s="4"/>
      <c r="M591" s="4"/>
      <c r="N591" s="4"/>
      <c r="O591" s="4"/>
      <c r="P591" s="4"/>
      <c r="Q591" s="4"/>
      <c r="R591" s="4"/>
      <c r="S591" s="4"/>
      <c r="T591" s="4"/>
      <c r="U591" s="4"/>
      <c r="V591" s="4"/>
      <c r="W591" s="4"/>
      <c r="X591" s="4"/>
      <c r="Y591" s="4"/>
      <c r="Z591" s="4"/>
      <c r="AA591" s="4"/>
      <c r="AB591" s="4"/>
      <c r="AC591" s="4"/>
      <c r="AD591" s="4"/>
      <c r="AE591" s="4"/>
      <c r="AF591" s="4"/>
      <c r="AG591" s="4"/>
      <c r="AH591" s="4"/>
      <c r="AI591" s="4"/>
      <c r="AJ591" s="4"/>
      <c r="AK591" s="4"/>
    </row>
    <row r="592" spans="1:37" ht="70" customHeight="1" x14ac:dyDescent="0.2">
      <c r="A592" s="107"/>
      <c r="B592" s="4"/>
      <c r="C592" s="163"/>
      <c r="D592" s="4"/>
      <c r="E592" s="4"/>
      <c r="F592" s="4"/>
      <c r="G592" s="4"/>
      <c r="H592" s="4"/>
      <c r="I592" s="4"/>
      <c r="J592" s="4"/>
      <c r="K592" s="4"/>
      <c r="L592" s="4"/>
      <c r="M592" s="4"/>
      <c r="N592" s="4"/>
      <c r="O592" s="4"/>
      <c r="P592" s="4"/>
      <c r="Q592" s="4"/>
      <c r="R592" s="4"/>
      <c r="S592" s="4"/>
      <c r="T592" s="4"/>
      <c r="U592" s="4"/>
      <c r="V592" s="4"/>
      <c r="W592" s="4"/>
      <c r="X592" s="4"/>
      <c r="Y592" s="4"/>
      <c r="Z592" s="4"/>
      <c r="AA592" s="4"/>
      <c r="AB592" s="4"/>
      <c r="AC592" s="4"/>
      <c r="AD592" s="4"/>
      <c r="AE592" s="4"/>
      <c r="AF592" s="4"/>
      <c r="AG592" s="4"/>
      <c r="AH592" s="4"/>
      <c r="AI592" s="4"/>
      <c r="AJ592" s="4"/>
      <c r="AK592" s="4"/>
    </row>
    <row r="593" spans="1:37" ht="70" customHeight="1" x14ac:dyDescent="0.2">
      <c r="A593" s="107"/>
      <c r="B593" s="4"/>
      <c r="C593" s="163"/>
      <c r="D593" s="4"/>
      <c r="E593" s="4"/>
      <c r="F593" s="4"/>
      <c r="G593" s="4"/>
      <c r="H593" s="4"/>
      <c r="I593" s="4"/>
      <c r="J593" s="4"/>
      <c r="K593" s="4"/>
      <c r="L593" s="4"/>
      <c r="M593" s="4"/>
      <c r="N593" s="4"/>
      <c r="O593" s="4"/>
      <c r="P593" s="4"/>
      <c r="Q593" s="4"/>
      <c r="R593" s="4"/>
      <c r="S593" s="4"/>
      <c r="T593" s="4"/>
      <c r="U593" s="4"/>
      <c r="V593" s="4"/>
      <c r="W593" s="4"/>
      <c r="X593" s="4"/>
      <c r="Y593" s="4"/>
      <c r="Z593" s="4"/>
      <c r="AA593" s="4"/>
      <c r="AB593" s="4"/>
      <c r="AC593" s="4"/>
      <c r="AD593" s="4"/>
      <c r="AE593" s="4"/>
      <c r="AF593" s="4"/>
      <c r="AG593" s="4"/>
      <c r="AH593" s="4"/>
      <c r="AI593" s="4"/>
      <c r="AJ593" s="4"/>
      <c r="AK593" s="4"/>
    </row>
    <row r="594" spans="1:37" ht="70" customHeight="1" x14ac:dyDescent="0.2">
      <c r="A594" s="107"/>
      <c r="B594" s="4"/>
      <c r="C594" s="163"/>
      <c r="D594" s="4"/>
      <c r="E594" s="4"/>
      <c r="F594" s="4"/>
      <c r="G594" s="4"/>
      <c r="H594" s="4"/>
      <c r="I594" s="4"/>
      <c r="J594" s="4"/>
      <c r="K594" s="4"/>
      <c r="L594" s="4"/>
      <c r="M594" s="4"/>
      <c r="N594" s="4"/>
      <c r="O594" s="4"/>
      <c r="P594" s="4"/>
      <c r="Q594" s="4"/>
      <c r="R594" s="4"/>
      <c r="S594" s="4"/>
      <c r="T594" s="4"/>
      <c r="U594" s="4"/>
      <c r="V594" s="4"/>
      <c r="W594" s="4"/>
      <c r="X594" s="4"/>
      <c r="Y594" s="4"/>
      <c r="Z594" s="4"/>
      <c r="AA594" s="4"/>
      <c r="AB594" s="4"/>
      <c r="AC594" s="4"/>
      <c r="AD594" s="4"/>
      <c r="AE594" s="4"/>
      <c r="AF594" s="4"/>
      <c r="AG594" s="4"/>
      <c r="AH594" s="4"/>
      <c r="AI594" s="4"/>
      <c r="AJ594" s="4"/>
      <c r="AK594" s="4"/>
    </row>
    <row r="595" spans="1:37" ht="70" customHeight="1" x14ac:dyDescent="0.2">
      <c r="A595" s="107"/>
      <c r="B595" s="4"/>
      <c r="C595" s="163"/>
      <c r="D595" s="4"/>
      <c r="E595" s="4"/>
      <c r="F595" s="4"/>
      <c r="G595" s="4"/>
      <c r="H595" s="4"/>
      <c r="I595" s="4"/>
      <c r="J595" s="4"/>
      <c r="K595" s="4"/>
      <c r="L595" s="4"/>
      <c r="M595" s="4"/>
      <c r="N595" s="4"/>
      <c r="O595" s="4"/>
      <c r="P595" s="4"/>
      <c r="Q595" s="4"/>
      <c r="R595" s="4"/>
      <c r="S595" s="4"/>
      <c r="T595" s="4"/>
      <c r="U595" s="4"/>
      <c r="V595" s="4"/>
      <c r="W595" s="4"/>
      <c r="X595" s="4"/>
      <c r="Y595" s="4"/>
      <c r="Z595" s="4"/>
      <c r="AA595" s="4"/>
      <c r="AB595" s="4"/>
      <c r="AC595" s="4"/>
      <c r="AD595" s="4"/>
      <c r="AE595" s="4"/>
      <c r="AF595" s="4"/>
      <c r="AG595" s="4"/>
      <c r="AH595" s="4"/>
      <c r="AI595" s="4"/>
      <c r="AJ595" s="4"/>
      <c r="AK595" s="4"/>
    </row>
    <row r="596" spans="1:37" ht="70" customHeight="1" x14ac:dyDescent="0.2">
      <c r="A596" s="107"/>
      <c r="B596" s="4"/>
      <c r="C596" s="163"/>
      <c r="D596" s="4"/>
      <c r="E596" s="4"/>
      <c r="F596" s="4"/>
      <c r="G596" s="4"/>
      <c r="H596" s="4"/>
      <c r="I596" s="4"/>
      <c r="J596" s="4"/>
      <c r="K596" s="4"/>
      <c r="L596" s="4"/>
      <c r="M596" s="4"/>
      <c r="N596" s="4"/>
      <c r="O596" s="4"/>
      <c r="P596" s="4"/>
      <c r="Q596" s="4"/>
      <c r="R596" s="4"/>
      <c r="S596" s="4"/>
      <c r="T596" s="4"/>
      <c r="U596" s="4"/>
      <c r="V596" s="4"/>
      <c r="W596" s="4"/>
      <c r="X596" s="4"/>
      <c r="Y596" s="4"/>
      <c r="Z596" s="4"/>
      <c r="AA596" s="4"/>
      <c r="AB596" s="4"/>
      <c r="AC596" s="4"/>
      <c r="AD596" s="4"/>
      <c r="AE596" s="4"/>
      <c r="AF596" s="4"/>
      <c r="AG596" s="4"/>
      <c r="AH596" s="4"/>
      <c r="AI596" s="4"/>
      <c r="AJ596" s="4"/>
      <c r="AK596" s="4"/>
    </row>
    <row r="597" spans="1:37" ht="70" customHeight="1" x14ac:dyDescent="0.2">
      <c r="A597" s="107"/>
      <c r="B597" s="4"/>
      <c r="C597" s="163"/>
      <c r="D597" s="4"/>
      <c r="E597" s="4"/>
      <c r="F597" s="4"/>
      <c r="G597" s="4"/>
      <c r="H597" s="4"/>
      <c r="I597" s="4"/>
      <c r="J597" s="4"/>
      <c r="K597" s="4"/>
      <c r="L597" s="4"/>
      <c r="M597" s="4"/>
      <c r="N597" s="4"/>
      <c r="O597" s="4"/>
      <c r="P597" s="4"/>
      <c r="Q597" s="4"/>
      <c r="R597" s="4"/>
      <c r="S597" s="4"/>
      <c r="T597" s="4"/>
      <c r="U597" s="4"/>
      <c r="V597" s="4"/>
      <c r="W597" s="4"/>
      <c r="X597" s="4"/>
      <c r="Y597" s="4"/>
      <c r="Z597" s="4"/>
      <c r="AA597" s="4"/>
      <c r="AB597" s="4"/>
      <c r="AC597" s="4"/>
      <c r="AD597" s="4"/>
      <c r="AE597" s="4"/>
      <c r="AF597" s="4"/>
      <c r="AG597" s="4"/>
      <c r="AH597" s="4"/>
      <c r="AI597" s="4"/>
      <c r="AJ597" s="4"/>
      <c r="AK597" s="4"/>
    </row>
    <row r="598" spans="1:37" ht="70" customHeight="1" x14ac:dyDescent="0.2">
      <c r="A598" s="107"/>
      <c r="B598" s="4"/>
      <c r="C598" s="163"/>
      <c r="D598" s="4"/>
      <c r="E598" s="4"/>
      <c r="F598" s="4"/>
      <c r="G598" s="4"/>
      <c r="H598" s="4"/>
      <c r="I598" s="4"/>
      <c r="J598" s="4"/>
      <c r="K598" s="4"/>
      <c r="L598" s="4"/>
      <c r="M598" s="4"/>
      <c r="N598" s="4"/>
      <c r="O598" s="4"/>
      <c r="P598" s="4"/>
      <c r="Q598" s="4"/>
      <c r="R598" s="4"/>
      <c r="S598" s="4"/>
      <c r="T598" s="4"/>
      <c r="U598" s="4"/>
      <c r="V598" s="4"/>
      <c r="W598" s="4"/>
      <c r="X598" s="4"/>
      <c r="Y598" s="4"/>
      <c r="Z598" s="4"/>
      <c r="AA598" s="4"/>
      <c r="AB598" s="4"/>
      <c r="AC598" s="4"/>
      <c r="AD598" s="4"/>
      <c r="AE598" s="4"/>
      <c r="AF598" s="4"/>
      <c r="AG598" s="4"/>
      <c r="AH598" s="4"/>
      <c r="AI598" s="4"/>
      <c r="AJ598" s="4"/>
      <c r="AK598" s="4"/>
    </row>
    <row r="599" spans="1:37" ht="70" customHeight="1" x14ac:dyDescent="0.2">
      <c r="A599" s="107"/>
      <c r="B599" s="4"/>
      <c r="C599" s="163"/>
      <c r="D599" s="4"/>
      <c r="E599" s="4"/>
      <c r="F599" s="4"/>
      <c r="G599" s="4"/>
      <c r="H599" s="4"/>
      <c r="I599" s="4"/>
      <c r="J599" s="4"/>
      <c r="K599" s="4"/>
      <c r="L599" s="4"/>
      <c r="M599" s="4"/>
      <c r="N599" s="4"/>
      <c r="O599" s="4"/>
      <c r="P599" s="4"/>
      <c r="Q599" s="4"/>
      <c r="R599" s="4"/>
      <c r="S599" s="4"/>
      <c r="T599" s="4"/>
      <c r="U599" s="4"/>
      <c r="V599" s="4"/>
      <c r="W599" s="4"/>
      <c r="X599" s="4"/>
      <c r="Y599" s="4"/>
      <c r="Z599" s="4"/>
      <c r="AA599" s="4"/>
      <c r="AB599" s="4"/>
      <c r="AC599" s="4"/>
      <c r="AD599" s="4"/>
      <c r="AE599" s="4"/>
      <c r="AF599" s="4"/>
      <c r="AG599" s="4"/>
      <c r="AH599" s="4"/>
      <c r="AI599" s="4"/>
      <c r="AJ599" s="4"/>
      <c r="AK599" s="4"/>
    </row>
    <row r="600" spans="1:37" ht="70" customHeight="1" x14ac:dyDescent="0.2">
      <c r="A600" s="107"/>
      <c r="B600" s="4"/>
      <c r="C600" s="163"/>
      <c r="D600" s="4"/>
      <c r="E600" s="4"/>
      <c r="F600" s="4"/>
      <c r="G600" s="4"/>
      <c r="H600" s="4"/>
      <c r="I600" s="4"/>
      <c r="J600" s="4"/>
      <c r="K600" s="4"/>
      <c r="L600" s="4"/>
      <c r="M600" s="4"/>
      <c r="N600" s="4"/>
      <c r="O600" s="4"/>
      <c r="P600" s="4"/>
      <c r="Q600" s="4"/>
      <c r="R600" s="4"/>
      <c r="S600" s="4"/>
      <c r="T600" s="4"/>
      <c r="U600" s="4"/>
      <c r="V600" s="4"/>
      <c r="W600" s="4"/>
      <c r="X600" s="4"/>
      <c r="Y600" s="4"/>
      <c r="Z600" s="4"/>
      <c r="AA600" s="4"/>
      <c r="AB600" s="4"/>
      <c r="AC600" s="4"/>
      <c r="AD600" s="4"/>
      <c r="AE600" s="4"/>
      <c r="AF600" s="4"/>
      <c r="AG600" s="4"/>
      <c r="AH600" s="4"/>
      <c r="AI600" s="4"/>
      <c r="AJ600" s="4"/>
      <c r="AK600" s="4"/>
    </row>
    <row r="601" spans="1:37" ht="70" customHeight="1" x14ac:dyDescent="0.2">
      <c r="A601" s="107"/>
      <c r="B601" s="4"/>
      <c r="C601" s="163"/>
      <c r="D601" s="4"/>
      <c r="E601" s="4"/>
      <c r="F601" s="4"/>
      <c r="G601" s="4"/>
      <c r="H601" s="4"/>
      <c r="I601" s="4"/>
      <c r="J601" s="4"/>
      <c r="K601" s="4"/>
      <c r="L601" s="4"/>
      <c r="M601" s="4"/>
      <c r="N601" s="4"/>
      <c r="O601" s="4"/>
      <c r="P601" s="4"/>
      <c r="Q601" s="4"/>
      <c r="R601" s="4"/>
      <c r="S601" s="4"/>
      <c r="T601" s="4"/>
      <c r="U601" s="4"/>
      <c r="V601" s="4"/>
      <c r="W601" s="4"/>
      <c r="X601" s="4"/>
      <c r="Y601" s="4"/>
      <c r="Z601" s="4"/>
      <c r="AA601" s="4"/>
      <c r="AB601" s="4"/>
      <c r="AC601" s="4"/>
      <c r="AD601" s="4"/>
      <c r="AE601" s="4"/>
      <c r="AF601" s="4"/>
      <c r="AG601" s="4"/>
      <c r="AH601" s="4"/>
      <c r="AI601" s="4"/>
      <c r="AJ601" s="4"/>
      <c r="AK601" s="4"/>
    </row>
    <row r="602" spans="1:37" ht="70" customHeight="1" x14ac:dyDescent="0.2">
      <c r="A602" s="107"/>
      <c r="B602" s="4"/>
      <c r="C602" s="163"/>
      <c r="D602" s="4"/>
      <c r="E602" s="4"/>
      <c r="F602" s="4"/>
      <c r="G602" s="4"/>
      <c r="H602" s="4"/>
      <c r="I602" s="4"/>
      <c r="J602" s="4"/>
      <c r="K602" s="4"/>
      <c r="L602" s="4"/>
      <c r="M602" s="4"/>
      <c r="N602" s="4"/>
      <c r="O602" s="4"/>
      <c r="P602" s="4"/>
      <c r="Q602" s="4"/>
      <c r="R602" s="4"/>
      <c r="S602" s="4"/>
      <c r="T602" s="4"/>
      <c r="U602" s="4"/>
      <c r="V602" s="4"/>
      <c r="W602" s="4"/>
      <c r="X602" s="4"/>
      <c r="Y602" s="4"/>
      <c r="Z602" s="4"/>
      <c r="AA602" s="4"/>
      <c r="AB602" s="4"/>
      <c r="AC602" s="4"/>
      <c r="AD602" s="4"/>
      <c r="AE602" s="4"/>
      <c r="AF602" s="4"/>
      <c r="AG602" s="4"/>
      <c r="AH602" s="4"/>
      <c r="AI602" s="4"/>
      <c r="AJ602" s="4"/>
      <c r="AK602" s="4"/>
    </row>
    <row r="603" spans="1:37" ht="70" customHeight="1" x14ac:dyDescent="0.2">
      <c r="A603" s="107"/>
      <c r="B603" s="4"/>
      <c r="C603" s="163"/>
      <c r="D603" s="4"/>
      <c r="E603" s="4"/>
      <c r="F603" s="4"/>
      <c r="G603" s="4"/>
      <c r="H603" s="4"/>
      <c r="I603" s="4"/>
      <c r="J603" s="4"/>
      <c r="K603" s="4"/>
      <c r="L603" s="4"/>
      <c r="M603" s="4"/>
      <c r="N603" s="4"/>
      <c r="O603" s="4"/>
      <c r="P603" s="4"/>
      <c r="Q603" s="4"/>
      <c r="R603" s="4"/>
      <c r="S603" s="4"/>
      <c r="T603" s="4"/>
      <c r="U603" s="4"/>
      <c r="V603" s="4"/>
      <c r="W603" s="4"/>
      <c r="X603" s="4"/>
      <c r="Y603" s="4"/>
      <c r="Z603" s="4"/>
      <c r="AA603" s="4"/>
      <c r="AB603" s="4"/>
      <c r="AC603" s="4"/>
      <c r="AD603" s="4"/>
      <c r="AE603" s="4"/>
      <c r="AF603" s="4"/>
      <c r="AG603" s="4"/>
      <c r="AH603" s="4"/>
      <c r="AI603" s="4"/>
      <c r="AJ603" s="4"/>
      <c r="AK603" s="4"/>
    </row>
    <row r="604" spans="1:37" ht="70" customHeight="1" x14ac:dyDescent="0.2">
      <c r="A604" s="107"/>
      <c r="B604" s="4"/>
      <c r="C604" s="163"/>
      <c r="D604" s="4"/>
      <c r="E604" s="4"/>
      <c r="F604" s="4"/>
      <c r="G604" s="4"/>
      <c r="H604" s="4"/>
      <c r="I604" s="4"/>
      <c r="J604" s="4"/>
      <c r="K604" s="4"/>
      <c r="L604" s="4"/>
      <c r="M604" s="4"/>
      <c r="N604" s="4"/>
      <c r="O604" s="4"/>
      <c r="P604" s="4"/>
      <c r="Q604" s="4"/>
      <c r="R604" s="4"/>
      <c r="S604" s="4"/>
      <c r="T604" s="4"/>
      <c r="U604" s="4"/>
      <c r="V604" s="4"/>
      <c r="W604" s="4"/>
      <c r="X604" s="4"/>
      <c r="Y604" s="4"/>
      <c r="Z604" s="4"/>
      <c r="AA604" s="4"/>
      <c r="AB604" s="4"/>
      <c r="AC604" s="4"/>
      <c r="AD604" s="4"/>
      <c r="AE604" s="4"/>
      <c r="AF604" s="4"/>
      <c r="AG604" s="4"/>
      <c r="AH604" s="4"/>
      <c r="AI604" s="4"/>
      <c r="AJ604" s="4"/>
      <c r="AK604" s="4"/>
    </row>
    <row r="605" spans="1:37" ht="70" customHeight="1" x14ac:dyDescent="0.2">
      <c r="A605" s="107"/>
      <c r="B605" s="4"/>
      <c r="C605" s="163"/>
      <c r="D605" s="4"/>
      <c r="E605" s="4"/>
      <c r="F605" s="4"/>
      <c r="G605" s="4"/>
      <c r="H605" s="4"/>
      <c r="I605" s="4"/>
      <c r="J605" s="4"/>
      <c r="K605" s="4"/>
      <c r="L605" s="4"/>
      <c r="M605" s="4"/>
      <c r="N605" s="4"/>
      <c r="O605" s="4"/>
      <c r="P605" s="4"/>
      <c r="Q605" s="4"/>
      <c r="R605" s="4"/>
      <c r="S605" s="4"/>
      <c r="T605" s="4"/>
      <c r="U605" s="4"/>
      <c r="V605" s="4"/>
      <c r="W605" s="4"/>
      <c r="X605" s="4"/>
      <c r="Y605" s="4"/>
      <c r="Z605" s="4"/>
      <c r="AA605" s="4"/>
      <c r="AB605" s="4"/>
      <c r="AC605" s="4"/>
      <c r="AD605" s="4"/>
      <c r="AE605" s="4"/>
      <c r="AF605" s="4"/>
      <c r="AG605" s="4"/>
      <c r="AH605" s="4"/>
      <c r="AI605" s="4"/>
      <c r="AJ605" s="4"/>
      <c r="AK605" s="4"/>
    </row>
    <row r="606" spans="1:37" ht="70" customHeight="1" x14ac:dyDescent="0.2">
      <c r="A606" s="107"/>
      <c r="B606" s="4"/>
      <c r="C606" s="163"/>
      <c r="D606" s="4"/>
      <c r="E606" s="4"/>
      <c r="F606" s="4"/>
      <c r="G606" s="4"/>
      <c r="H606" s="4"/>
      <c r="I606" s="4"/>
      <c r="J606" s="4"/>
      <c r="K606" s="4"/>
      <c r="L606" s="4"/>
      <c r="M606" s="4"/>
      <c r="N606" s="4"/>
      <c r="O606" s="4"/>
      <c r="P606" s="4"/>
      <c r="Q606" s="4"/>
      <c r="R606" s="4"/>
      <c r="S606" s="4"/>
      <c r="T606" s="4"/>
      <c r="U606" s="4"/>
      <c r="V606" s="4"/>
      <c r="W606" s="4"/>
      <c r="X606" s="4"/>
      <c r="Y606" s="4"/>
      <c r="Z606" s="4"/>
      <c r="AA606" s="4"/>
      <c r="AB606" s="4"/>
      <c r="AC606" s="4"/>
      <c r="AD606" s="4"/>
      <c r="AE606" s="4"/>
      <c r="AF606" s="4"/>
      <c r="AG606" s="4"/>
      <c r="AH606" s="4"/>
      <c r="AI606" s="4"/>
      <c r="AJ606" s="4"/>
      <c r="AK606" s="4"/>
    </row>
    <row r="607" spans="1:37" ht="70" customHeight="1" x14ac:dyDescent="0.2">
      <c r="A607" s="107"/>
      <c r="B607" s="4"/>
      <c r="C607" s="163"/>
      <c r="D607" s="4"/>
      <c r="E607" s="4"/>
      <c r="F607" s="4"/>
      <c r="G607" s="4"/>
      <c r="H607" s="4"/>
      <c r="I607" s="4"/>
      <c r="J607" s="4"/>
      <c r="K607" s="4"/>
      <c r="L607" s="4"/>
      <c r="M607" s="4"/>
      <c r="N607" s="4"/>
      <c r="O607" s="4"/>
      <c r="P607" s="4"/>
      <c r="Q607" s="4"/>
      <c r="R607" s="4"/>
      <c r="S607" s="4"/>
      <c r="T607" s="4"/>
      <c r="U607" s="4"/>
      <c r="V607" s="4"/>
      <c r="W607" s="4"/>
      <c r="X607" s="4"/>
      <c r="Y607" s="4"/>
      <c r="Z607" s="4"/>
      <c r="AA607" s="4"/>
      <c r="AB607" s="4"/>
      <c r="AC607" s="4"/>
      <c r="AD607" s="4"/>
      <c r="AE607" s="4"/>
      <c r="AF607" s="4"/>
      <c r="AG607" s="4"/>
      <c r="AH607" s="4"/>
      <c r="AI607" s="4"/>
      <c r="AJ607" s="4"/>
      <c r="AK607" s="4"/>
    </row>
    <row r="608" spans="1:37" ht="70" customHeight="1" x14ac:dyDescent="0.2">
      <c r="A608" s="107"/>
      <c r="B608" s="4"/>
      <c r="C608" s="163"/>
      <c r="D608" s="4"/>
      <c r="E608" s="4"/>
      <c r="F608" s="4"/>
      <c r="G608" s="4"/>
      <c r="H608" s="4"/>
      <c r="I608" s="4"/>
      <c r="J608" s="4"/>
      <c r="K608" s="4"/>
      <c r="L608" s="4"/>
      <c r="M608" s="4"/>
      <c r="N608" s="4"/>
      <c r="O608" s="4"/>
      <c r="P608" s="4"/>
      <c r="Q608" s="4"/>
      <c r="R608" s="4"/>
      <c r="S608" s="4"/>
      <c r="T608" s="4"/>
      <c r="U608" s="4"/>
      <c r="V608" s="4"/>
      <c r="W608" s="4"/>
      <c r="X608" s="4"/>
      <c r="Y608" s="4"/>
      <c r="Z608" s="4"/>
      <c r="AA608" s="4"/>
      <c r="AB608" s="4"/>
      <c r="AC608" s="4"/>
      <c r="AD608" s="4"/>
      <c r="AE608" s="4"/>
      <c r="AF608" s="4"/>
      <c r="AG608" s="4"/>
      <c r="AH608" s="4"/>
      <c r="AI608" s="4"/>
      <c r="AJ608" s="4"/>
      <c r="AK608" s="4"/>
    </row>
    <row r="609" spans="1:37" ht="70" customHeight="1" x14ac:dyDescent="0.2">
      <c r="A609" s="107"/>
      <c r="B609" s="4"/>
      <c r="C609" s="163"/>
      <c r="D609" s="4"/>
      <c r="E609" s="4"/>
      <c r="F609" s="4"/>
      <c r="G609" s="4"/>
      <c r="H609" s="4"/>
      <c r="I609" s="4"/>
      <c r="J609" s="4"/>
      <c r="K609" s="4"/>
      <c r="L609" s="4"/>
      <c r="M609" s="4"/>
      <c r="N609" s="4"/>
      <c r="O609" s="4"/>
      <c r="P609" s="4"/>
      <c r="Q609" s="4"/>
      <c r="R609" s="4"/>
      <c r="S609" s="4"/>
      <c r="T609" s="4"/>
      <c r="U609" s="4"/>
      <c r="V609" s="4"/>
      <c r="W609" s="4"/>
      <c r="X609" s="4"/>
      <c r="Y609" s="4"/>
      <c r="Z609" s="4"/>
      <c r="AA609" s="4"/>
      <c r="AB609" s="4"/>
      <c r="AC609" s="4"/>
      <c r="AD609" s="4"/>
      <c r="AE609" s="4"/>
      <c r="AF609" s="4"/>
      <c r="AG609" s="4"/>
      <c r="AH609" s="4"/>
      <c r="AI609" s="4"/>
      <c r="AJ609" s="4"/>
      <c r="AK609" s="4"/>
    </row>
    <row r="610" spans="1:37" ht="70" customHeight="1" x14ac:dyDescent="0.2">
      <c r="A610" s="107"/>
      <c r="B610" s="4"/>
      <c r="C610" s="163"/>
      <c r="D610" s="4"/>
      <c r="E610" s="4"/>
      <c r="F610" s="4"/>
      <c r="G610" s="4"/>
      <c r="H610" s="4"/>
      <c r="I610" s="4"/>
      <c r="J610" s="4"/>
      <c r="K610" s="4"/>
      <c r="L610" s="4"/>
      <c r="M610" s="4"/>
      <c r="N610" s="4"/>
      <c r="O610" s="4"/>
      <c r="P610" s="4"/>
      <c r="Q610" s="4"/>
      <c r="R610" s="4"/>
      <c r="S610" s="4"/>
      <c r="T610" s="4"/>
      <c r="U610" s="4"/>
      <c r="V610" s="4"/>
      <c r="W610" s="4"/>
      <c r="X610" s="4"/>
      <c r="Y610" s="4"/>
      <c r="Z610" s="4"/>
      <c r="AA610" s="4"/>
      <c r="AB610" s="4"/>
      <c r="AC610" s="4"/>
      <c r="AD610" s="4"/>
      <c r="AE610" s="4"/>
      <c r="AF610" s="4"/>
      <c r="AG610" s="4"/>
      <c r="AH610" s="4"/>
      <c r="AI610" s="4"/>
      <c r="AJ610" s="4"/>
      <c r="AK610" s="4"/>
    </row>
    <row r="611" spans="1:37" ht="70" customHeight="1" x14ac:dyDescent="0.2">
      <c r="A611" s="107"/>
      <c r="B611" s="4"/>
      <c r="C611" s="163"/>
      <c r="D611" s="4"/>
      <c r="E611" s="4"/>
      <c r="F611" s="4"/>
      <c r="G611" s="4"/>
      <c r="H611" s="4"/>
      <c r="I611" s="4"/>
      <c r="J611" s="4"/>
      <c r="K611" s="4"/>
      <c r="L611" s="4"/>
      <c r="M611" s="4"/>
      <c r="N611" s="4"/>
      <c r="O611" s="4"/>
      <c r="P611" s="4"/>
      <c r="Q611" s="4"/>
      <c r="R611" s="4"/>
      <c r="S611" s="4"/>
      <c r="T611" s="4"/>
      <c r="U611" s="4"/>
      <c r="V611" s="4"/>
      <c r="W611" s="4"/>
      <c r="X611" s="4"/>
      <c r="Y611" s="4"/>
      <c r="Z611" s="4"/>
      <c r="AA611" s="4"/>
      <c r="AB611" s="4"/>
      <c r="AC611" s="4"/>
      <c r="AD611" s="4"/>
      <c r="AE611" s="4"/>
      <c r="AF611" s="4"/>
      <c r="AG611" s="4"/>
      <c r="AH611" s="4"/>
      <c r="AI611" s="4"/>
      <c r="AJ611" s="4"/>
      <c r="AK611" s="4"/>
    </row>
    <row r="612" spans="1:37" ht="70" customHeight="1" x14ac:dyDescent="0.2">
      <c r="A612" s="107"/>
      <c r="B612" s="4"/>
      <c r="C612" s="163"/>
      <c r="D612" s="4"/>
      <c r="E612" s="4"/>
      <c r="F612" s="4"/>
      <c r="G612" s="4"/>
      <c r="H612" s="4"/>
      <c r="I612" s="4"/>
      <c r="J612" s="4"/>
      <c r="K612" s="4"/>
      <c r="L612" s="4"/>
      <c r="M612" s="4"/>
      <c r="N612" s="4"/>
      <c r="O612" s="4"/>
      <c r="P612" s="4"/>
      <c r="Q612" s="4"/>
      <c r="R612" s="4"/>
      <c r="S612" s="4"/>
      <c r="T612" s="4"/>
      <c r="U612" s="4"/>
      <c r="V612" s="4"/>
      <c r="W612" s="4"/>
      <c r="X612" s="4"/>
      <c r="Y612" s="4"/>
      <c r="Z612" s="4"/>
      <c r="AA612" s="4"/>
      <c r="AB612" s="4"/>
      <c r="AC612" s="4"/>
      <c r="AD612" s="4"/>
      <c r="AE612" s="4"/>
      <c r="AF612" s="4"/>
      <c r="AG612" s="4"/>
      <c r="AH612" s="4"/>
      <c r="AI612" s="4"/>
      <c r="AJ612" s="4"/>
      <c r="AK612" s="4"/>
    </row>
    <row r="613" spans="1:37" ht="70" customHeight="1" x14ac:dyDescent="0.2">
      <c r="A613" s="107"/>
      <c r="B613" s="4"/>
      <c r="C613" s="163"/>
      <c r="D613" s="4"/>
      <c r="E613" s="4"/>
      <c r="F613" s="4"/>
      <c r="G613" s="4"/>
      <c r="H613" s="4"/>
      <c r="I613" s="4"/>
      <c r="J613" s="4"/>
      <c r="K613" s="4"/>
      <c r="L613" s="4"/>
      <c r="M613" s="4"/>
      <c r="N613" s="4"/>
      <c r="O613" s="4"/>
      <c r="P613" s="4"/>
      <c r="Q613" s="4"/>
      <c r="R613" s="4"/>
      <c r="S613" s="4"/>
      <c r="T613" s="4"/>
      <c r="U613" s="4"/>
      <c r="V613" s="4"/>
      <c r="W613" s="4"/>
      <c r="X613" s="4"/>
      <c r="Y613" s="4"/>
      <c r="Z613" s="4"/>
      <c r="AA613" s="4"/>
      <c r="AB613" s="4"/>
      <c r="AC613" s="4"/>
      <c r="AD613" s="4"/>
      <c r="AE613" s="4"/>
      <c r="AF613" s="4"/>
      <c r="AG613" s="4"/>
      <c r="AH613" s="4"/>
      <c r="AI613" s="4"/>
      <c r="AJ613" s="4"/>
      <c r="AK613" s="4"/>
    </row>
    <row r="614" spans="1:37" ht="70" customHeight="1" x14ac:dyDescent="0.2">
      <c r="A614" s="107"/>
      <c r="B614" s="4"/>
      <c r="C614" s="163"/>
      <c r="D614" s="4"/>
      <c r="E614" s="4"/>
      <c r="F614" s="4"/>
      <c r="G614" s="4"/>
      <c r="H614" s="4"/>
      <c r="I614" s="4"/>
      <c r="J614" s="4"/>
      <c r="K614" s="4"/>
      <c r="L614" s="4"/>
      <c r="M614" s="4"/>
      <c r="N614" s="4"/>
      <c r="O614" s="4"/>
      <c r="P614" s="4"/>
      <c r="Q614" s="4"/>
      <c r="R614" s="4"/>
      <c r="S614" s="4"/>
      <c r="T614" s="4"/>
      <c r="U614" s="4"/>
      <c r="V614" s="4"/>
      <c r="W614" s="4"/>
      <c r="X614" s="4"/>
      <c r="Y614" s="4"/>
      <c r="Z614" s="4"/>
      <c r="AA614" s="4"/>
      <c r="AB614" s="4"/>
      <c r="AC614" s="4"/>
      <c r="AD614" s="4"/>
      <c r="AE614" s="4"/>
      <c r="AF614" s="4"/>
      <c r="AG614" s="4"/>
      <c r="AH614" s="4"/>
      <c r="AI614" s="4"/>
      <c r="AJ614" s="4"/>
      <c r="AK614" s="4"/>
    </row>
    <row r="615" spans="1:37" ht="70" customHeight="1" x14ac:dyDescent="0.2">
      <c r="A615" s="107"/>
      <c r="B615" s="4"/>
      <c r="C615" s="163"/>
      <c r="D615" s="4"/>
      <c r="E615" s="4"/>
      <c r="F615" s="4"/>
      <c r="G615" s="4"/>
      <c r="H615" s="4"/>
      <c r="I615" s="4"/>
      <c r="J615" s="4"/>
      <c r="K615" s="4"/>
      <c r="L615" s="4"/>
      <c r="M615" s="4"/>
      <c r="N615" s="4"/>
      <c r="O615" s="4"/>
      <c r="P615" s="4"/>
      <c r="Q615" s="4"/>
      <c r="R615" s="4"/>
      <c r="S615" s="4"/>
      <c r="T615" s="4"/>
      <c r="U615" s="4"/>
      <c r="V615" s="4"/>
      <c r="W615" s="4"/>
      <c r="X615" s="4"/>
      <c r="Y615" s="4"/>
      <c r="Z615" s="4"/>
      <c r="AA615" s="4"/>
      <c r="AB615" s="4"/>
      <c r="AC615" s="4"/>
      <c r="AD615" s="4"/>
      <c r="AE615" s="4"/>
      <c r="AF615" s="4"/>
      <c r="AG615" s="4"/>
      <c r="AH615" s="4"/>
      <c r="AI615" s="4"/>
      <c r="AJ615" s="4"/>
      <c r="AK615" s="4"/>
    </row>
    <row r="616" spans="1:37" ht="70" customHeight="1" x14ac:dyDescent="0.2">
      <c r="A616" s="107"/>
      <c r="B616" s="4"/>
      <c r="C616" s="163"/>
      <c r="D616" s="4"/>
      <c r="E616" s="4"/>
      <c r="F616" s="4"/>
      <c r="G616" s="4"/>
      <c r="H616" s="4"/>
      <c r="I616" s="4"/>
      <c r="J616" s="4"/>
      <c r="K616" s="4"/>
      <c r="L616" s="4"/>
      <c r="M616" s="4"/>
      <c r="N616" s="4"/>
      <c r="O616" s="4"/>
      <c r="P616" s="4"/>
      <c r="Q616" s="4"/>
      <c r="R616" s="4"/>
      <c r="S616" s="4"/>
      <c r="T616" s="4"/>
      <c r="U616" s="4"/>
      <c r="V616" s="4"/>
      <c r="W616" s="4"/>
      <c r="X616" s="4"/>
      <c r="Y616" s="4"/>
      <c r="Z616" s="4"/>
      <c r="AA616" s="4"/>
      <c r="AB616" s="4"/>
      <c r="AC616" s="4"/>
      <c r="AD616" s="4"/>
      <c r="AE616" s="4"/>
      <c r="AF616" s="4"/>
      <c r="AG616" s="4"/>
      <c r="AH616" s="4"/>
      <c r="AI616" s="4"/>
      <c r="AJ616" s="4"/>
      <c r="AK616" s="4"/>
    </row>
    <row r="617" spans="1:37" ht="70" customHeight="1" x14ac:dyDescent="0.2">
      <c r="A617" s="107"/>
      <c r="B617" s="4"/>
      <c r="C617" s="163"/>
      <c r="D617" s="4"/>
      <c r="E617" s="4"/>
      <c r="F617" s="4"/>
      <c r="G617" s="4"/>
      <c r="H617" s="4"/>
      <c r="I617" s="4"/>
      <c r="J617" s="4"/>
      <c r="K617" s="4"/>
      <c r="L617" s="4"/>
      <c r="M617" s="4"/>
      <c r="N617" s="4"/>
      <c r="O617" s="4"/>
      <c r="P617" s="4"/>
      <c r="Q617" s="4"/>
      <c r="R617" s="4"/>
      <c r="S617" s="4"/>
      <c r="T617" s="4"/>
      <c r="U617" s="4"/>
      <c r="V617" s="4"/>
      <c r="W617" s="4"/>
      <c r="X617" s="4"/>
      <c r="Y617" s="4"/>
      <c r="Z617" s="4"/>
      <c r="AA617" s="4"/>
      <c r="AB617" s="4"/>
      <c r="AC617" s="4"/>
      <c r="AD617" s="4"/>
      <c r="AE617" s="4"/>
      <c r="AF617" s="4"/>
      <c r="AG617" s="4"/>
      <c r="AH617" s="4"/>
      <c r="AI617" s="4"/>
      <c r="AJ617" s="4"/>
      <c r="AK617" s="4"/>
    </row>
    <row r="618" spans="1:37" ht="70" customHeight="1" x14ac:dyDescent="0.2">
      <c r="A618" s="107"/>
      <c r="B618" s="4"/>
      <c r="C618" s="163"/>
      <c r="D618" s="4"/>
      <c r="E618" s="4"/>
      <c r="F618" s="4"/>
      <c r="G618" s="4"/>
      <c r="H618" s="4"/>
      <c r="I618" s="4"/>
      <c r="J618" s="4"/>
      <c r="K618" s="4"/>
      <c r="L618" s="4"/>
      <c r="M618" s="4"/>
      <c r="N618" s="4"/>
      <c r="O618" s="4"/>
      <c r="P618" s="4"/>
      <c r="Q618" s="4"/>
      <c r="R618" s="4"/>
      <c r="S618" s="4"/>
      <c r="T618" s="4"/>
      <c r="U618" s="4"/>
      <c r="V618" s="4"/>
      <c r="W618" s="4"/>
      <c r="X618" s="4"/>
      <c r="Y618" s="4"/>
      <c r="Z618" s="4"/>
      <c r="AA618" s="4"/>
      <c r="AB618" s="4"/>
      <c r="AC618" s="4"/>
      <c r="AD618" s="4"/>
      <c r="AE618" s="4"/>
      <c r="AF618" s="4"/>
      <c r="AG618" s="4"/>
      <c r="AH618" s="4"/>
      <c r="AI618" s="4"/>
      <c r="AJ618" s="4"/>
      <c r="AK618" s="4"/>
    </row>
    <row r="619" spans="1:37" ht="70" customHeight="1" x14ac:dyDescent="0.2">
      <c r="A619" s="107"/>
      <c r="B619" s="4"/>
      <c r="C619" s="163"/>
      <c r="D619" s="4"/>
      <c r="E619" s="4"/>
      <c r="F619" s="4"/>
      <c r="G619" s="4"/>
      <c r="H619" s="4"/>
      <c r="I619" s="4"/>
      <c r="J619" s="4"/>
      <c r="K619" s="4"/>
      <c r="L619" s="4"/>
      <c r="M619" s="4"/>
      <c r="N619" s="4"/>
      <c r="O619" s="4"/>
      <c r="P619" s="4"/>
      <c r="Q619" s="4"/>
      <c r="R619" s="4"/>
      <c r="S619" s="4"/>
      <c r="T619" s="4"/>
      <c r="U619" s="4"/>
      <c r="V619" s="4"/>
      <c r="W619" s="4"/>
      <c r="X619" s="4"/>
      <c r="Y619" s="4"/>
      <c r="Z619" s="4"/>
      <c r="AA619" s="4"/>
      <c r="AB619" s="4"/>
      <c r="AC619" s="4"/>
      <c r="AD619" s="4"/>
      <c r="AE619" s="4"/>
      <c r="AF619" s="4"/>
      <c r="AG619" s="4"/>
      <c r="AH619" s="4"/>
      <c r="AI619" s="4"/>
      <c r="AJ619" s="4"/>
      <c r="AK619" s="4"/>
    </row>
    <row r="620" spans="1:37" ht="70" customHeight="1" x14ac:dyDescent="0.2">
      <c r="A620" s="107"/>
      <c r="B620" s="4"/>
      <c r="C620" s="163"/>
      <c r="D620" s="4"/>
      <c r="E620" s="4"/>
      <c r="F620" s="4"/>
      <c r="G620" s="4"/>
      <c r="H620" s="4"/>
      <c r="I620" s="4"/>
      <c r="J620" s="4"/>
      <c r="K620" s="4"/>
      <c r="L620" s="4"/>
      <c r="M620" s="4"/>
      <c r="N620" s="4"/>
      <c r="O620" s="4"/>
      <c r="P620" s="4"/>
      <c r="Q620" s="4"/>
      <c r="R620" s="4"/>
      <c r="S620" s="4"/>
      <c r="T620" s="4"/>
      <c r="U620" s="4"/>
      <c r="V620" s="4"/>
      <c r="W620" s="4"/>
      <c r="X620" s="4"/>
      <c r="Y620" s="4"/>
      <c r="Z620" s="4"/>
      <c r="AA620" s="4"/>
      <c r="AB620" s="4"/>
      <c r="AC620" s="4"/>
      <c r="AD620" s="4"/>
      <c r="AE620" s="4"/>
      <c r="AF620" s="4"/>
      <c r="AG620" s="4"/>
      <c r="AH620" s="4"/>
      <c r="AI620" s="4"/>
      <c r="AJ620" s="4"/>
      <c r="AK620" s="4"/>
    </row>
    <row r="621" spans="1:37" ht="70" customHeight="1" x14ac:dyDescent="0.2">
      <c r="A621" s="107"/>
      <c r="B621" s="4"/>
      <c r="C621" s="163"/>
      <c r="D621" s="4"/>
      <c r="E621" s="4"/>
      <c r="F621" s="4"/>
      <c r="G621" s="4"/>
      <c r="H621" s="4"/>
      <c r="I621" s="4"/>
      <c r="J621" s="4"/>
      <c r="K621" s="4"/>
      <c r="L621" s="4"/>
      <c r="M621" s="4"/>
      <c r="N621" s="4"/>
      <c r="O621" s="4"/>
      <c r="P621" s="4"/>
      <c r="Q621" s="4"/>
      <c r="R621" s="4"/>
      <c r="S621" s="4"/>
      <c r="T621" s="4"/>
      <c r="U621" s="4"/>
      <c r="V621" s="4"/>
      <c r="W621" s="4"/>
      <c r="X621" s="4"/>
      <c r="Y621" s="4"/>
      <c r="Z621" s="4"/>
      <c r="AA621" s="4"/>
      <c r="AB621" s="4"/>
      <c r="AC621" s="4"/>
      <c r="AD621" s="4"/>
      <c r="AE621" s="4"/>
      <c r="AF621" s="4"/>
      <c r="AG621" s="4"/>
      <c r="AH621" s="4"/>
      <c r="AI621" s="4"/>
      <c r="AJ621" s="4"/>
      <c r="AK621" s="4"/>
    </row>
    <row r="622" spans="1:37" ht="70" customHeight="1" x14ac:dyDescent="0.2">
      <c r="A622" s="107"/>
      <c r="B622" s="4"/>
      <c r="C622" s="163"/>
      <c r="D622" s="4"/>
      <c r="E622" s="4"/>
      <c r="F622" s="4"/>
      <c r="G622" s="4"/>
      <c r="H622" s="4"/>
      <c r="I622" s="4"/>
      <c r="J622" s="4"/>
      <c r="K622" s="4"/>
      <c r="L622" s="4"/>
      <c r="M622" s="4"/>
      <c r="N622" s="4"/>
      <c r="O622" s="4"/>
      <c r="P622" s="4"/>
      <c r="Q622" s="4"/>
      <c r="R622" s="4"/>
      <c r="S622" s="4"/>
      <c r="T622" s="4"/>
      <c r="U622" s="4"/>
      <c r="V622" s="4"/>
      <c r="W622" s="4"/>
      <c r="X622" s="4"/>
      <c r="Y622" s="4"/>
      <c r="Z622" s="4"/>
      <c r="AA622" s="4"/>
      <c r="AB622" s="4"/>
      <c r="AC622" s="4"/>
      <c r="AD622" s="4"/>
      <c r="AE622" s="4"/>
      <c r="AF622" s="4"/>
      <c r="AG622" s="4"/>
      <c r="AH622" s="4"/>
      <c r="AI622" s="4"/>
      <c r="AJ622" s="4"/>
      <c r="AK622" s="4"/>
    </row>
    <row r="623" spans="1:37" ht="70" customHeight="1" x14ac:dyDescent="0.2">
      <c r="A623" s="107"/>
      <c r="B623" s="4"/>
      <c r="C623" s="163"/>
      <c r="D623" s="4"/>
      <c r="E623" s="4"/>
      <c r="F623" s="4"/>
      <c r="G623" s="4"/>
      <c r="H623" s="4"/>
      <c r="I623" s="4"/>
      <c r="J623" s="4"/>
      <c r="K623" s="4"/>
      <c r="L623" s="4"/>
      <c r="M623" s="4"/>
      <c r="N623" s="4"/>
      <c r="O623" s="4"/>
      <c r="P623" s="4"/>
      <c r="Q623" s="4"/>
      <c r="R623" s="4"/>
      <c r="S623" s="4"/>
      <c r="T623" s="4"/>
      <c r="U623" s="4"/>
      <c r="V623" s="4"/>
      <c r="W623" s="4"/>
      <c r="X623" s="4"/>
      <c r="Y623" s="4"/>
      <c r="Z623" s="4"/>
      <c r="AA623" s="4"/>
      <c r="AB623" s="4"/>
      <c r="AC623" s="4"/>
      <c r="AD623" s="4"/>
      <c r="AE623" s="4"/>
      <c r="AF623" s="4"/>
      <c r="AG623" s="4"/>
      <c r="AH623" s="4"/>
      <c r="AI623" s="4"/>
      <c r="AJ623" s="4"/>
      <c r="AK623" s="4"/>
    </row>
    <row r="624" spans="1:37" ht="70" customHeight="1" x14ac:dyDescent="0.2">
      <c r="A624" s="107"/>
      <c r="B624" s="4"/>
      <c r="C624" s="163"/>
      <c r="D624" s="4"/>
      <c r="E624" s="4"/>
      <c r="F624" s="4"/>
      <c r="G624" s="4"/>
      <c r="H624" s="4"/>
      <c r="I624" s="4"/>
      <c r="J624" s="4"/>
      <c r="K624" s="4"/>
      <c r="L624" s="4"/>
      <c r="M624" s="4"/>
      <c r="N624" s="4"/>
      <c r="O624" s="4"/>
      <c r="P624" s="4"/>
      <c r="Q624" s="4"/>
      <c r="R624" s="4"/>
      <c r="S624" s="4"/>
      <c r="T624" s="4"/>
      <c r="U624" s="4"/>
      <c r="V624" s="4"/>
      <c r="W624" s="4"/>
      <c r="X624" s="4"/>
      <c r="Y624" s="4"/>
      <c r="Z624" s="4"/>
      <c r="AA624" s="4"/>
      <c r="AB624" s="4"/>
      <c r="AC624" s="4"/>
      <c r="AD624" s="4"/>
      <c r="AE624" s="4"/>
      <c r="AF624" s="4"/>
      <c r="AG624" s="4"/>
      <c r="AH624" s="4"/>
      <c r="AI624" s="4"/>
      <c r="AJ624" s="4"/>
      <c r="AK624" s="4"/>
    </row>
    <row r="625" spans="1:37" ht="70" customHeight="1" x14ac:dyDescent="0.2">
      <c r="A625" s="107"/>
      <c r="B625" s="4"/>
      <c r="C625" s="163"/>
      <c r="D625" s="4"/>
      <c r="E625" s="4"/>
      <c r="F625" s="4"/>
      <c r="G625" s="4"/>
      <c r="H625" s="4"/>
      <c r="I625" s="4"/>
      <c r="J625" s="4"/>
      <c r="K625" s="4"/>
      <c r="L625" s="4"/>
      <c r="M625" s="4"/>
      <c r="N625" s="4"/>
      <c r="O625" s="4"/>
      <c r="P625" s="4"/>
      <c r="Q625" s="4"/>
      <c r="R625" s="4"/>
      <c r="S625" s="4"/>
      <c r="T625" s="4"/>
      <c r="U625" s="4"/>
      <c r="V625" s="4"/>
      <c r="W625" s="4"/>
      <c r="X625" s="4"/>
      <c r="Y625" s="4"/>
      <c r="Z625" s="4"/>
      <c r="AA625" s="4"/>
      <c r="AB625" s="4"/>
      <c r="AC625" s="4"/>
      <c r="AD625" s="4"/>
      <c r="AE625" s="4"/>
      <c r="AF625" s="4"/>
      <c r="AG625" s="4"/>
      <c r="AH625" s="4"/>
      <c r="AI625" s="4"/>
      <c r="AJ625" s="4"/>
      <c r="AK625" s="4"/>
    </row>
    <row r="626" spans="1:37" ht="70" customHeight="1" x14ac:dyDescent="0.2">
      <c r="A626" s="107"/>
      <c r="B626" s="4"/>
      <c r="C626" s="163"/>
      <c r="D626" s="4"/>
      <c r="E626" s="4"/>
      <c r="F626" s="4"/>
      <c r="G626" s="4"/>
      <c r="H626" s="4"/>
      <c r="I626" s="4"/>
      <c r="J626" s="4"/>
      <c r="K626" s="4"/>
      <c r="L626" s="4"/>
      <c r="M626" s="4"/>
      <c r="N626" s="4"/>
      <c r="O626" s="4"/>
      <c r="P626" s="4"/>
      <c r="Q626" s="4"/>
      <c r="R626" s="4"/>
      <c r="S626" s="4"/>
      <c r="T626" s="4"/>
      <c r="U626" s="4"/>
      <c r="V626" s="4"/>
      <c r="W626" s="4"/>
      <c r="X626" s="4"/>
      <c r="Y626" s="4"/>
      <c r="Z626" s="4"/>
      <c r="AA626" s="4"/>
      <c r="AB626" s="4"/>
      <c r="AC626" s="4"/>
      <c r="AD626" s="4"/>
      <c r="AE626" s="4"/>
      <c r="AF626" s="4"/>
      <c r="AG626" s="4"/>
      <c r="AH626" s="4"/>
      <c r="AI626" s="4"/>
      <c r="AJ626" s="4"/>
      <c r="AK626" s="4"/>
    </row>
    <row r="627" spans="1:37" ht="70" customHeight="1" x14ac:dyDescent="0.2">
      <c r="A627" s="107"/>
      <c r="B627" s="4"/>
      <c r="C627" s="163"/>
      <c r="D627" s="4"/>
      <c r="E627" s="4"/>
      <c r="F627" s="4"/>
      <c r="G627" s="4"/>
      <c r="H627" s="4"/>
      <c r="I627" s="4"/>
      <c r="J627" s="4"/>
      <c r="K627" s="4"/>
      <c r="L627" s="4"/>
      <c r="M627" s="4"/>
      <c r="N627" s="4"/>
      <c r="O627" s="4"/>
      <c r="P627" s="4"/>
      <c r="Q627" s="4"/>
      <c r="R627" s="4"/>
      <c r="S627" s="4"/>
      <c r="T627" s="4"/>
      <c r="U627" s="4"/>
      <c r="V627" s="4"/>
      <c r="W627" s="4"/>
      <c r="X627" s="4"/>
      <c r="Y627" s="4"/>
      <c r="Z627" s="4"/>
      <c r="AA627" s="4"/>
      <c r="AB627" s="4"/>
      <c r="AC627" s="4"/>
      <c r="AD627" s="4"/>
      <c r="AE627" s="4"/>
      <c r="AF627" s="4"/>
      <c r="AG627" s="4"/>
      <c r="AH627" s="4"/>
      <c r="AI627" s="4"/>
      <c r="AJ627" s="4"/>
      <c r="AK627" s="4"/>
    </row>
    <row r="628" spans="1:37" ht="70" customHeight="1" x14ac:dyDescent="0.2">
      <c r="A628" s="107"/>
      <c r="B628" s="4"/>
      <c r="C628" s="163"/>
      <c r="D628" s="4"/>
      <c r="E628" s="4"/>
      <c r="F628" s="4"/>
      <c r="G628" s="4"/>
      <c r="H628" s="4"/>
      <c r="I628" s="4"/>
      <c r="J628" s="4"/>
      <c r="K628" s="4"/>
      <c r="L628" s="4"/>
      <c r="M628" s="4"/>
      <c r="N628" s="4"/>
      <c r="O628" s="4"/>
      <c r="P628" s="4"/>
      <c r="Q628" s="4"/>
      <c r="R628" s="4"/>
      <c r="S628" s="4"/>
      <c r="T628" s="4"/>
      <c r="U628" s="4"/>
      <c r="V628" s="4"/>
      <c r="W628" s="4"/>
      <c r="X628" s="4"/>
      <c r="Y628" s="4"/>
      <c r="Z628" s="4"/>
      <c r="AA628" s="4"/>
      <c r="AB628" s="4"/>
      <c r="AC628" s="4"/>
      <c r="AD628" s="4"/>
      <c r="AE628" s="4"/>
      <c r="AF628" s="4"/>
      <c r="AG628" s="4"/>
      <c r="AH628" s="4"/>
      <c r="AI628" s="4"/>
      <c r="AJ628" s="4"/>
      <c r="AK628" s="4"/>
    </row>
    <row r="629" spans="1:37" ht="70" customHeight="1" x14ac:dyDescent="0.2">
      <c r="A629" s="107"/>
      <c r="B629" s="4"/>
      <c r="C629" s="163"/>
      <c r="D629" s="4"/>
      <c r="E629" s="4"/>
      <c r="F629" s="4"/>
      <c r="G629" s="4"/>
      <c r="H629" s="4"/>
      <c r="I629" s="4"/>
      <c r="J629" s="4"/>
      <c r="K629" s="4"/>
      <c r="L629" s="4"/>
      <c r="M629" s="4"/>
      <c r="N629" s="4"/>
      <c r="O629" s="4"/>
      <c r="P629" s="4"/>
      <c r="Q629" s="4"/>
      <c r="R629" s="4"/>
      <c r="S629" s="4"/>
      <c r="T629" s="4"/>
      <c r="U629" s="4"/>
      <c r="V629" s="4"/>
      <c r="W629" s="4"/>
      <c r="X629" s="4"/>
      <c r="Y629" s="4"/>
      <c r="Z629" s="4"/>
      <c r="AA629" s="4"/>
      <c r="AB629" s="4"/>
      <c r="AC629" s="4"/>
      <c r="AD629" s="4"/>
      <c r="AE629" s="4"/>
      <c r="AF629" s="4"/>
      <c r="AG629" s="4"/>
      <c r="AH629" s="4"/>
      <c r="AI629" s="4"/>
      <c r="AJ629" s="4"/>
      <c r="AK629" s="4"/>
    </row>
    <row r="630" spans="1:37" ht="70" customHeight="1" x14ac:dyDescent="0.2">
      <c r="A630" s="107"/>
      <c r="B630" s="4"/>
      <c r="C630" s="163"/>
      <c r="D630" s="4"/>
      <c r="E630" s="4"/>
      <c r="F630" s="4"/>
      <c r="G630" s="4"/>
      <c r="H630" s="4"/>
      <c r="I630" s="4"/>
      <c r="J630" s="4"/>
      <c r="K630" s="4"/>
      <c r="L630" s="4"/>
      <c r="M630" s="4"/>
      <c r="N630" s="4"/>
      <c r="O630" s="4"/>
      <c r="P630" s="4"/>
      <c r="Q630" s="4"/>
      <c r="R630" s="4"/>
      <c r="S630" s="4"/>
      <c r="T630" s="4"/>
      <c r="U630" s="4"/>
      <c r="V630" s="4"/>
      <c r="W630" s="4"/>
      <c r="X630" s="4"/>
      <c r="Y630" s="4"/>
      <c r="Z630" s="4"/>
      <c r="AA630" s="4"/>
      <c r="AB630" s="4"/>
      <c r="AC630" s="4"/>
      <c r="AD630" s="4"/>
      <c r="AE630" s="4"/>
      <c r="AF630" s="4"/>
      <c r="AG630" s="4"/>
      <c r="AH630" s="4"/>
      <c r="AI630" s="4"/>
      <c r="AJ630" s="4"/>
      <c r="AK630" s="4"/>
    </row>
    <row r="631" spans="1:37" ht="70" customHeight="1" x14ac:dyDescent="0.2">
      <c r="A631" s="107"/>
      <c r="B631" s="4"/>
      <c r="C631" s="163"/>
      <c r="D631" s="4"/>
      <c r="E631" s="4"/>
      <c r="F631" s="4"/>
      <c r="G631" s="4"/>
      <c r="H631" s="4"/>
      <c r="I631" s="4"/>
      <c r="J631" s="4"/>
      <c r="K631" s="4"/>
      <c r="L631" s="4"/>
      <c r="M631" s="4"/>
      <c r="N631" s="4"/>
      <c r="O631" s="4"/>
      <c r="P631" s="4"/>
      <c r="Q631" s="4"/>
      <c r="R631" s="4"/>
      <c r="S631" s="4"/>
      <c r="T631" s="4"/>
      <c r="U631" s="4"/>
      <c r="V631" s="4"/>
      <c r="W631" s="4"/>
      <c r="X631" s="4"/>
      <c r="Y631" s="4"/>
      <c r="Z631" s="4"/>
      <c r="AA631" s="4"/>
      <c r="AB631" s="4"/>
      <c r="AC631" s="4"/>
      <c r="AD631" s="4"/>
      <c r="AE631" s="4"/>
      <c r="AF631" s="4"/>
      <c r="AG631" s="4"/>
      <c r="AH631" s="4"/>
      <c r="AI631" s="4"/>
      <c r="AJ631" s="4"/>
      <c r="AK631" s="4"/>
    </row>
    <row r="632" spans="1:37" ht="70" customHeight="1" x14ac:dyDescent="0.2">
      <c r="A632" s="107"/>
      <c r="B632" s="4"/>
      <c r="C632" s="163"/>
      <c r="D632" s="4"/>
      <c r="E632" s="4"/>
      <c r="F632" s="4"/>
      <c r="G632" s="4"/>
      <c r="H632" s="4"/>
      <c r="I632" s="4"/>
      <c r="J632" s="4"/>
      <c r="K632" s="4"/>
      <c r="L632" s="4"/>
      <c r="M632" s="4"/>
      <c r="N632" s="4"/>
      <c r="O632" s="4"/>
      <c r="P632" s="4"/>
      <c r="Q632" s="4"/>
      <c r="R632" s="4"/>
      <c r="S632" s="4"/>
      <c r="T632" s="4"/>
      <c r="U632" s="4"/>
      <c r="V632" s="4"/>
      <c r="W632" s="4"/>
      <c r="X632" s="4"/>
      <c r="Y632" s="4"/>
      <c r="Z632" s="4"/>
      <c r="AA632" s="4"/>
      <c r="AB632" s="4"/>
      <c r="AC632" s="4"/>
      <c r="AD632" s="4"/>
      <c r="AE632" s="4"/>
      <c r="AF632" s="4"/>
      <c r="AG632" s="4"/>
      <c r="AH632" s="4"/>
      <c r="AI632" s="4"/>
      <c r="AJ632" s="4"/>
      <c r="AK632" s="4"/>
    </row>
    <row r="633" spans="1:37" ht="70" customHeight="1" x14ac:dyDescent="0.2">
      <c r="A633" s="107"/>
      <c r="B633" s="4"/>
      <c r="C633" s="163"/>
      <c r="D633" s="4"/>
      <c r="E633" s="4"/>
      <c r="F633" s="4"/>
      <c r="G633" s="4"/>
      <c r="H633" s="4"/>
      <c r="I633" s="4"/>
      <c r="J633" s="4"/>
      <c r="K633" s="4"/>
      <c r="L633" s="4"/>
      <c r="M633" s="4"/>
      <c r="N633" s="4"/>
      <c r="O633" s="4"/>
      <c r="P633" s="4"/>
      <c r="Q633" s="4"/>
      <c r="R633" s="4"/>
      <c r="S633" s="4"/>
      <c r="T633" s="4"/>
      <c r="U633" s="4"/>
      <c r="V633" s="4"/>
      <c r="W633" s="4"/>
      <c r="X633" s="4"/>
      <c r="Y633" s="4"/>
      <c r="Z633" s="4"/>
      <c r="AA633" s="4"/>
      <c r="AB633" s="4"/>
      <c r="AC633" s="4"/>
      <c r="AD633" s="4"/>
      <c r="AE633" s="4"/>
      <c r="AF633" s="4"/>
      <c r="AG633" s="4"/>
      <c r="AH633" s="4"/>
      <c r="AI633" s="4"/>
      <c r="AJ633" s="4"/>
      <c r="AK633" s="4"/>
    </row>
    <row r="634" spans="1:37" ht="70" customHeight="1" x14ac:dyDescent="0.2">
      <c r="A634" s="107"/>
      <c r="B634" s="4"/>
      <c r="C634" s="163"/>
      <c r="D634" s="4"/>
      <c r="E634" s="4"/>
      <c r="F634" s="4"/>
      <c r="G634" s="4"/>
      <c r="H634" s="4"/>
      <c r="I634" s="4"/>
      <c r="J634" s="4"/>
      <c r="K634" s="4"/>
      <c r="L634" s="4"/>
      <c r="M634" s="4"/>
      <c r="N634" s="4"/>
      <c r="O634" s="4"/>
      <c r="P634" s="4"/>
      <c r="Q634" s="4"/>
      <c r="R634" s="4"/>
      <c r="S634" s="4"/>
      <c r="T634" s="4"/>
      <c r="U634" s="4"/>
      <c r="V634" s="4"/>
      <c r="W634" s="4"/>
      <c r="X634" s="4"/>
      <c r="Y634" s="4"/>
      <c r="Z634" s="4"/>
      <c r="AA634" s="4"/>
      <c r="AB634" s="4"/>
      <c r="AC634" s="4"/>
      <c r="AD634" s="4"/>
      <c r="AE634" s="4"/>
      <c r="AF634" s="4"/>
      <c r="AG634" s="4"/>
      <c r="AH634" s="4"/>
      <c r="AI634" s="4"/>
      <c r="AJ634" s="4"/>
      <c r="AK634" s="4"/>
    </row>
    <row r="635" spans="1:37" ht="70" customHeight="1" x14ac:dyDescent="0.2">
      <c r="A635" s="107"/>
      <c r="B635" s="4"/>
      <c r="C635" s="163"/>
      <c r="D635" s="4"/>
      <c r="E635" s="4"/>
      <c r="F635" s="4"/>
      <c r="G635" s="4"/>
      <c r="H635" s="4"/>
      <c r="I635" s="4"/>
      <c r="J635" s="4"/>
      <c r="K635" s="4"/>
      <c r="L635" s="4"/>
      <c r="M635" s="4"/>
      <c r="N635" s="4"/>
      <c r="O635" s="4"/>
      <c r="P635" s="4"/>
      <c r="Q635" s="4"/>
      <c r="R635" s="4"/>
      <c r="S635" s="4"/>
      <c r="T635" s="4"/>
      <c r="U635" s="4"/>
      <c r="V635" s="4"/>
      <c r="W635" s="4"/>
      <c r="X635" s="4"/>
      <c r="Y635" s="4"/>
      <c r="Z635" s="4"/>
      <c r="AA635" s="4"/>
      <c r="AB635" s="4"/>
      <c r="AC635" s="4"/>
      <c r="AD635" s="4"/>
      <c r="AE635" s="4"/>
      <c r="AF635" s="4"/>
      <c r="AG635" s="4"/>
      <c r="AH635" s="4"/>
      <c r="AI635" s="4"/>
      <c r="AJ635" s="4"/>
      <c r="AK635" s="4"/>
    </row>
    <row r="636" spans="1:37" ht="70" customHeight="1" x14ac:dyDescent="0.2">
      <c r="A636" s="107"/>
      <c r="B636" s="4"/>
      <c r="C636" s="163"/>
      <c r="D636" s="4"/>
      <c r="E636" s="4"/>
      <c r="F636" s="4"/>
      <c r="G636" s="4"/>
      <c r="H636" s="4"/>
      <c r="I636" s="4"/>
      <c r="J636" s="4"/>
      <c r="K636" s="4"/>
      <c r="L636" s="4"/>
      <c r="M636" s="4"/>
      <c r="N636" s="4"/>
      <c r="O636" s="4"/>
      <c r="P636" s="4"/>
      <c r="Q636" s="4"/>
      <c r="R636" s="4"/>
      <c r="S636" s="4"/>
      <c r="T636" s="4"/>
      <c r="U636" s="4"/>
      <c r="V636" s="4"/>
      <c r="W636" s="4"/>
      <c r="X636" s="4"/>
      <c r="Y636" s="4"/>
      <c r="Z636" s="4"/>
      <c r="AA636" s="4"/>
      <c r="AB636" s="4"/>
      <c r="AC636" s="4"/>
      <c r="AD636" s="4"/>
      <c r="AE636" s="4"/>
      <c r="AF636" s="4"/>
      <c r="AG636" s="4"/>
      <c r="AH636" s="4"/>
      <c r="AI636" s="4"/>
      <c r="AJ636" s="4"/>
      <c r="AK636" s="4"/>
    </row>
    <row r="637" spans="1:37" ht="70" customHeight="1" x14ac:dyDescent="0.2">
      <c r="A637" s="107"/>
      <c r="B637" s="4"/>
      <c r="C637" s="163"/>
      <c r="D637" s="4"/>
      <c r="E637" s="4"/>
      <c r="F637" s="4"/>
      <c r="G637" s="4"/>
      <c r="H637" s="4"/>
      <c r="I637" s="4"/>
      <c r="J637" s="4"/>
      <c r="K637" s="4"/>
      <c r="L637" s="4"/>
      <c r="M637" s="4"/>
      <c r="N637" s="4"/>
      <c r="O637" s="4"/>
      <c r="P637" s="4"/>
      <c r="Q637" s="4"/>
      <c r="R637" s="4"/>
      <c r="S637" s="4"/>
      <c r="T637" s="4"/>
      <c r="U637" s="4"/>
      <c r="V637" s="4"/>
      <c r="W637" s="4"/>
      <c r="X637" s="4"/>
      <c r="Y637" s="4"/>
      <c r="Z637" s="4"/>
      <c r="AA637" s="4"/>
      <c r="AB637" s="4"/>
      <c r="AC637" s="4"/>
      <c r="AD637" s="4"/>
      <c r="AE637" s="4"/>
      <c r="AF637" s="4"/>
      <c r="AG637" s="4"/>
      <c r="AH637" s="4"/>
      <c r="AI637" s="4"/>
      <c r="AJ637" s="4"/>
      <c r="AK637" s="4"/>
    </row>
    <row r="638" spans="1:37" ht="70" customHeight="1" x14ac:dyDescent="0.2">
      <c r="A638" s="107"/>
      <c r="B638" s="4"/>
      <c r="C638" s="163"/>
      <c r="D638" s="4"/>
      <c r="E638" s="4"/>
      <c r="F638" s="4"/>
      <c r="G638" s="4"/>
      <c r="H638" s="4"/>
      <c r="I638" s="4"/>
      <c r="J638" s="4"/>
      <c r="K638" s="4"/>
      <c r="L638" s="4"/>
      <c r="M638" s="4"/>
      <c r="N638" s="4"/>
      <c r="O638" s="4"/>
      <c r="P638" s="4"/>
      <c r="Q638" s="4"/>
      <c r="R638" s="4"/>
      <c r="S638" s="4"/>
      <c r="T638" s="4"/>
      <c r="U638" s="4"/>
      <c r="V638" s="4"/>
      <c r="W638" s="4"/>
      <c r="X638" s="4"/>
      <c r="Y638" s="4"/>
      <c r="Z638" s="4"/>
      <c r="AA638" s="4"/>
      <c r="AB638" s="4"/>
      <c r="AC638" s="4"/>
      <c r="AD638" s="4"/>
      <c r="AE638" s="4"/>
      <c r="AF638" s="4"/>
      <c r="AG638" s="4"/>
      <c r="AH638" s="4"/>
      <c r="AI638" s="4"/>
      <c r="AJ638" s="4"/>
      <c r="AK638" s="4"/>
    </row>
    <row r="639" spans="1:37" ht="70" customHeight="1" x14ac:dyDescent="0.2">
      <c r="A639" s="107"/>
      <c r="B639" s="4"/>
      <c r="C639" s="163"/>
      <c r="D639" s="4"/>
      <c r="E639" s="4"/>
      <c r="F639" s="4"/>
      <c r="G639" s="4"/>
      <c r="H639" s="4"/>
      <c r="I639" s="4"/>
      <c r="J639" s="4"/>
      <c r="K639" s="4"/>
      <c r="L639" s="4"/>
      <c r="M639" s="4"/>
      <c r="N639" s="4"/>
      <c r="O639" s="4"/>
      <c r="P639" s="4"/>
      <c r="Q639" s="4"/>
      <c r="R639" s="4"/>
      <c r="S639" s="4"/>
      <c r="T639" s="4"/>
      <c r="U639" s="4"/>
      <c r="V639" s="4"/>
      <c r="W639" s="4"/>
      <c r="X639" s="4"/>
      <c r="Y639" s="4"/>
      <c r="Z639" s="4"/>
      <c r="AA639" s="4"/>
      <c r="AB639" s="4"/>
      <c r="AC639" s="4"/>
      <c r="AD639" s="4"/>
      <c r="AE639" s="4"/>
      <c r="AF639" s="4"/>
      <c r="AG639" s="4"/>
      <c r="AH639" s="4"/>
      <c r="AI639" s="4"/>
      <c r="AJ639" s="4"/>
      <c r="AK639" s="4"/>
    </row>
    <row r="640" spans="1:37" ht="70" customHeight="1" x14ac:dyDescent="0.2">
      <c r="A640" s="107"/>
      <c r="B640" s="4"/>
      <c r="C640" s="163"/>
      <c r="D640" s="4"/>
      <c r="E640" s="4"/>
      <c r="F640" s="4"/>
      <c r="G640" s="4"/>
      <c r="H640" s="4"/>
      <c r="I640" s="4"/>
      <c r="J640" s="4"/>
      <c r="K640" s="4"/>
      <c r="L640" s="4"/>
      <c r="M640" s="4"/>
      <c r="N640" s="4"/>
      <c r="O640" s="4"/>
      <c r="P640" s="4"/>
      <c r="Q640" s="4"/>
      <c r="R640" s="4"/>
      <c r="S640" s="4"/>
      <c r="T640" s="4"/>
      <c r="U640" s="4"/>
      <c r="V640" s="4"/>
      <c r="W640" s="4"/>
      <c r="X640" s="4"/>
      <c r="Y640" s="4"/>
      <c r="Z640" s="4"/>
      <c r="AA640" s="4"/>
      <c r="AB640" s="4"/>
      <c r="AC640" s="4"/>
      <c r="AD640" s="4"/>
      <c r="AE640" s="4"/>
      <c r="AF640" s="4"/>
      <c r="AG640" s="4"/>
      <c r="AH640" s="4"/>
      <c r="AI640" s="4"/>
      <c r="AJ640" s="4"/>
      <c r="AK640" s="4"/>
    </row>
    <row r="641" spans="1:37" ht="70" customHeight="1" x14ac:dyDescent="0.2">
      <c r="A641" s="107"/>
      <c r="B641" s="4"/>
      <c r="C641" s="163"/>
      <c r="D641" s="4"/>
      <c r="E641" s="4"/>
      <c r="F641" s="4"/>
      <c r="G641" s="4"/>
      <c r="H641" s="4"/>
      <c r="I641" s="4"/>
      <c r="J641" s="4"/>
      <c r="K641" s="4"/>
      <c r="L641" s="4"/>
      <c r="M641" s="4"/>
      <c r="N641" s="4"/>
      <c r="O641" s="4"/>
      <c r="P641" s="4"/>
      <c r="Q641" s="4"/>
      <c r="R641" s="4"/>
      <c r="S641" s="4"/>
      <c r="T641" s="4"/>
      <c r="U641" s="4"/>
      <c r="V641" s="4"/>
      <c r="W641" s="4"/>
      <c r="X641" s="4"/>
      <c r="Y641" s="4"/>
      <c r="Z641" s="4"/>
      <c r="AA641" s="4"/>
      <c r="AB641" s="4"/>
      <c r="AC641" s="4"/>
      <c r="AD641" s="4"/>
      <c r="AE641" s="4"/>
      <c r="AF641" s="4"/>
      <c r="AG641" s="4"/>
      <c r="AH641" s="4"/>
      <c r="AI641" s="4"/>
      <c r="AJ641" s="4"/>
      <c r="AK641" s="4"/>
    </row>
    <row r="642" spans="1:37" ht="70" customHeight="1" x14ac:dyDescent="0.2">
      <c r="A642" s="107"/>
      <c r="B642" s="4"/>
      <c r="C642" s="163"/>
      <c r="D642" s="4"/>
      <c r="E642" s="4"/>
      <c r="F642" s="4"/>
      <c r="G642" s="4"/>
      <c r="H642" s="4"/>
      <c r="I642" s="4"/>
      <c r="J642" s="4"/>
      <c r="K642" s="4"/>
      <c r="L642" s="4"/>
      <c r="M642" s="4"/>
      <c r="N642" s="4"/>
      <c r="O642" s="4"/>
      <c r="P642" s="4"/>
      <c r="Q642" s="4"/>
      <c r="R642" s="4"/>
      <c r="S642" s="4"/>
      <c r="T642" s="4"/>
      <c r="U642" s="4"/>
      <c r="V642" s="4"/>
      <c r="W642" s="4"/>
      <c r="X642" s="4"/>
      <c r="Y642" s="4"/>
      <c r="Z642" s="4"/>
      <c r="AA642" s="4"/>
      <c r="AB642" s="4"/>
      <c r="AC642" s="4"/>
      <c r="AD642" s="4"/>
      <c r="AE642" s="4"/>
      <c r="AF642" s="4"/>
      <c r="AG642" s="4"/>
      <c r="AH642" s="4"/>
      <c r="AI642" s="4"/>
      <c r="AJ642" s="4"/>
      <c r="AK642" s="4"/>
    </row>
    <row r="643" spans="1:37" ht="70" customHeight="1" x14ac:dyDescent="0.2">
      <c r="A643" s="107"/>
      <c r="B643" s="4"/>
      <c r="C643" s="163"/>
      <c r="D643" s="4"/>
      <c r="E643" s="4"/>
      <c r="F643" s="4"/>
      <c r="G643" s="4"/>
      <c r="H643" s="4"/>
      <c r="I643" s="4"/>
      <c r="J643" s="4"/>
      <c r="K643" s="4"/>
      <c r="L643" s="4"/>
      <c r="M643" s="4"/>
      <c r="N643" s="4"/>
      <c r="O643" s="4"/>
      <c r="P643" s="4"/>
      <c r="Q643" s="4"/>
      <c r="R643" s="4"/>
      <c r="S643" s="4"/>
      <c r="T643" s="4"/>
      <c r="U643" s="4"/>
      <c r="V643" s="4"/>
      <c r="W643" s="4"/>
      <c r="X643" s="4"/>
      <c r="Y643" s="4"/>
      <c r="Z643" s="4"/>
      <c r="AA643" s="4"/>
      <c r="AB643" s="4"/>
      <c r="AC643" s="4"/>
      <c r="AD643" s="4"/>
      <c r="AE643" s="4"/>
      <c r="AF643" s="4"/>
      <c r="AG643" s="4"/>
      <c r="AH643" s="4"/>
      <c r="AI643" s="4"/>
      <c r="AJ643" s="4"/>
      <c r="AK643" s="4"/>
    </row>
    <row r="644" spans="1:37" ht="70" customHeight="1" x14ac:dyDescent="0.2">
      <c r="A644" s="107"/>
      <c r="B644" s="4"/>
      <c r="C644" s="163"/>
      <c r="D644" s="4"/>
      <c r="E644" s="4"/>
      <c r="F644" s="4"/>
      <c r="G644" s="4"/>
      <c r="H644" s="4"/>
      <c r="I644" s="4"/>
      <c r="J644" s="4"/>
      <c r="K644" s="4"/>
      <c r="L644" s="4"/>
      <c r="M644" s="4"/>
      <c r="N644" s="4"/>
      <c r="O644" s="4"/>
      <c r="P644" s="4"/>
      <c r="Q644" s="4"/>
      <c r="R644" s="4"/>
      <c r="S644" s="4"/>
      <c r="T644" s="4"/>
      <c r="U644" s="4"/>
      <c r="V644" s="4"/>
      <c r="W644" s="4"/>
      <c r="X644" s="4"/>
      <c r="Y644" s="4"/>
      <c r="Z644" s="4"/>
      <c r="AA644" s="4"/>
      <c r="AB644" s="4"/>
      <c r="AC644" s="4"/>
      <c r="AD644" s="4"/>
      <c r="AE644" s="4"/>
      <c r="AF644" s="4"/>
      <c r="AG644" s="4"/>
      <c r="AH644" s="4"/>
      <c r="AI644" s="4"/>
      <c r="AJ644" s="4"/>
      <c r="AK644" s="4"/>
    </row>
    <row r="645" spans="1:37" ht="70" customHeight="1" x14ac:dyDescent="0.2">
      <c r="A645" s="107"/>
      <c r="B645" s="4"/>
      <c r="C645" s="163"/>
      <c r="D645" s="4"/>
      <c r="E645" s="4"/>
      <c r="F645" s="4"/>
      <c r="G645" s="4"/>
      <c r="H645" s="4"/>
      <c r="I645" s="4"/>
      <c r="J645" s="4"/>
      <c r="K645" s="4"/>
      <c r="L645" s="4"/>
      <c r="M645" s="4"/>
      <c r="N645" s="4"/>
      <c r="O645" s="4"/>
      <c r="P645" s="4"/>
      <c r="Q645" s="4"/>
      <c r="R645" s="4"/>
      <c r="S645" s="4"/>
      <c r="T645" s="4"/>
      <c r="U645" s="4"/>
      <c r="V645" s="4"/>
      <c r="W645" s="4"/>
      <c r="X645" s="4"/>
      <c r="Y645" s="4"/>
      <c r="Z645" s="4"/>
      <c r="AA645" s="4"/>
      <c r="AB645" s="4"/>
      <c r="AC645" s="4"/>
      <c r="AD645" s="4"/>
      <c r="AE645" s="4"/>
      <c r="AF645" s="4"/>
      <c r="AG645" s="4"/>
      <c r="AH645" s="4"/>
      <c r="AI645" s="4"/>
      <c r="AJ645" s="4"/>
      <c r="AK645" s="4"/>
    </row>
    <row r="646" spans="1:37" ht="70" customHeight="1" x14ac:dyDescent="0.2">
      <c r="A646" s="107"/>
      <c r="B646" s="4"/>
      <c r="C646" s="163"/>
      <c r="D646" s="4"/>
      <c r="E646" s="4"/>
      <c r="F646" s="4"/>
      <c r="G646" s="4"/>
      <c r="H646" s="4"/>
      <c r="I646" s="4"/>
      <c r="J646" s="4"/>
      <c r="K646" s="4"/>
      <c r="L646" s="4"/>
      <c r="M646" s="4"/>
      <c r="N646" s="4"/>
      <c r="O646" s="4"/>
      <c r="P646" s="4"/>
      <c r="Q646" s="4"/>
      <c r="R646" s="4"/>
      <c r="S646" s="4"/>
      <c r="T646" s="4"/>
      <c r="U646" s="4"/>
      <c r="V646" s="4"/>
      <c r="W646" s="4"/>
      <c r="X646" s="4"/>
      <c r="Y646" s="4"/>
      <c r="Z646" s="4"/>
      <c r="AA646" s="4"/>
      <c r="AB646" s="4"/>
      <c r="AC646" s="4"/>
      <c r="AD646" s="4"/>
      <c r="AE646" s="4"/>
      <c r="AF646" s="4"/>
      <c r="AG646" s="4"/>
      <c r="AH646" s="4"/>
      <c r="AI646" s="4"/>
      <c r="AJ646" s="4"/>
      <c r="AK646" s="4"/>
    </row>
    <row r="647" spans="1:37" ht="70" customHeight="1" x14ac:dyDescent="0.2">
      <c r="A647" s="107"/>
      <c r="B647" s="4"/>
      <c r="C647" s="163"/>
      <c r="D647" s="4"/>
      <c r="E647" s="4"/>
      <c r="F647" s="4"/>
      <c r="G647" s="4"/>
      <c r="H647" s="4"/>
      <c r="I647" s="4"/>
      <c r="J647" s="4"/>
      <c r="K647" s="4"/>
      <c r="L647" s="4"/>
      <c r="M647" s="4"/>
      <c r="N647" s="4"/>
      <c r="O647" s="4"/>
      <c r="P647" s="4"/>
      <c r="Q647" s="4"/>
      <c r="R647" s="4"/>
      <c r="S647" s="4"/>
      <c r="T647" s="4"/>
      <c r="U647" s="4"/>
      <c r="V647" s="4"/>
      <c r="W647" s="4"/>
      <c r="X647" s="4"/>
      <c r="Y647" s="4"/>
      <c r="Z647" s="4"/>
      <c r="AA647" s="4"/>
      <c r="AB647" s="4"/>
      <c r="AC647" s="4"/>
      <c r="AD647" s="4"/>
      <c r="AE647" s="4"/>
      <c r="AF647" s="4"/>
      <c r="AG647" s="4"/>
      <c r="AH647" s="4"/>
      <c r="AI647" s="4"/>
      <c r="AJ647" s="4"/>
      <c r="AK647" s="4"/>
    </row>
    <row r="648" spans="1:37" ht="70" customHeight="1" x14ac:dyDescent="0.2">
      <c r="A648" s="107"/>
      <c r="B648" s="4"/>
      <c r="C648" s="163"/>
      <c r="D648" s="4"/>
      <c r="E648" s="4"/>
      <c r="F648" s="4"/>
      <c r="G648" s="4"/>
      <c r="H648" s="4"/>
      <c r="I648" s="4"/>
      <c r="J648" s="4"/>
      <c r="K648" s="4"/>
      <c r="L648" s="4"/>
      <c r="M648" s="4"/>
      <c r="N648" s="4"/>
      <c r="O648" s="4"/>
      <c r="P648" s="4"/>
      <c r="Q648" s="4"/>
      <c r="R648" s="4"/>
      <c r="S648" s="4"/>
      <c r="T648" s="4"/>
      <c r="U648" s="4"/>
      <c r="V648" s="4"/>
      <c r="W648" s="4"/>
      <c r="X648" s="4"/>
      <c r="Y648" s="4"/>
      <c r="Z648" s="4"/>
      <c r="AA648" s="4"/>
      <c r="AB648" s="4"/>
      <c r="AC648" s="4"/>
      <c r="AD648" s="4"/>
      <c r="AE648" s="4"/>
      <c r="AF648" s="4"/>
      <c r="AG648" s="4"/>
      <c r="AH648" s="4"/>
      <c r="AI648" s="4"/>
      <c r="AJ648" s="4"/>
      <c r="AK648" s="4"/>
    </row>
    <row r="649" spans="1:37" ht="70" customHeight="1" x14ac:dyDescent="0.2">
      <c r="A649" s="107"/>
      <c r="B649" s="4"/>
      <c r="C649" s="163"/>
      <c r="D649" s="4"/>
      <c r="E649" s="4"/>
      <c r="F649" s="4"/>
      <c r="G649" s="4"/>
      <c r="H649" s="4"/>
      <c r="I649" s="4"/>
      <c r="J649" s="4"/>
      <c r="K649" s="4"/>
      <c r="L649" s="4"/>
      <c r="M649" s="4"/>
      <c r="N649" s="4"/>
      <c r="O649" s="4"/>
      <c r="P649" s="4"/>
      <c r="Q649" s="4"/>
      <c r="R649" s="4"/>
      <c r="S649" s="4"/>
      <c r="T649" s="4"/>
      <c r="U649" s="4"/>
      <c r="V649" s="4"/>
      <c r="W649" s="4"/>
      <c r="X649" s="4"/>
      <c r="Y649" s="4"/>
      <c r="Z649" s="4"/>
      <c r="AA649" s="4"/>
      <c r="AB649" s="4"/>
      <c r="AC649" s="4"/>
      <c r="AD649" s="4"/>
      <c r="AE649" s="4"/>
      <c r="AF649" s="4"/>
      <c r="AG649" s="4"/>
      <c r="AH649" s="4"/>
      <c r="AI649" s="4"/>
      <c r="AJ649" s="4"/>
      <c r="AK649" s="4"/>
    </row>
    <row r="650" spans="1:37" ht="70" customHeight="1" x14ac:dyDescent="0.2">
      <c r="A650" s="107"/>
      <c r="B650" s="4"/>
      <c r="C650" s="163"/>
      <c r="D650" s="4"/>
      <c r="E650" s="4"/>
      <c r="F650" s="4"/>
      <c r="G650" s="4"/>
      <c r="H650" s="4"/>
      <c r="I650" s="4"/>
      <c r="J650" s="4"/>
      <c r="K650" s="4"/>
      <c r="L650" s="4"/>
      <c r="M650" s="4"/>
      <c r="N650" s="4"/>
      <c r="O650" s="4"/>
      <c r="P650" s="4"/>
      <c r="Q650" s="4"/>
      <c r="R650" s="4"/>
      <c r="S650" s="4"/>
      <c r="T650" s="4"/>
      <c r="U650" s="4"/>
      <c r="V650" s="4"/>
      <c r="W650" s="4"/>
      <c r="X650" s="4"/>
      <c r="Y650" s="4"/>
      <c r="Z650" s="4"/>
      <c r="AA650" s="4"/>
      <c r="AB650" s="4"/>
      <c r="AC650" s="4"/>
      <c r="AD650" s="4"/>
      <c r="AE650" s="4"/>
      <c r="AF650" s="4"/>
      <c r="AG650" s="4"/>
      <c r="AH650" s="4"/>
      <c r="AI650" s="4"/>
      <c r="AJ650" s="4"/>
      <c r="AK650" s="4"/>
    </row>
    <row r="651" spans="1:37" ht="70" customHeight="1" x14ac:dyDescent="0.2">
      <c r="A651" s="107"/>
      <c r="B651" s="4"/>
      <c r="C651" s="163"/>
      <c r="D651" s="4"/>
      <c r="E651" s="4"/>
      <c r="F651" s="4"/>
      <c r="G651" s="4"/>
      <c r="H651" s="4"/>
      <c r="I651" s="4"/>
      <c r="J651" s="4"/>
      <c r="K651" s="4"/>
      <c r="L651" s="4"/>
      <c r="M651" s="4"/>
      <c r="N651" s="4"/>
      <c r="O651" s="4"/>
      <c r="P651" s="4"/>
      <c r="Q651" s="4"/>
      <c r="R651" s="4"/>
      <c r="S651" s="4"/>
      <c r="T651" s="4"/>
      <c r="U651" s="4"/>
      <c r="V651" s="4"/>
      <c r="W651" s="4"/>
      <c r="X651" s="4"/>
      <c r="Y651" s="4"/>
      <c r="Z651" s="4"/>
      <c r="AA651" s="4"/>
      <c r="AB651" s="4"/>
      <c r="AC651" s="4"/>
      <c r="AD651" s="4"/>
      <c r="AE651" s="4"/>
      <c r="AF651" s="4"/>
      <c r="AG651" s="4"/>
      <c r="AH651" s="4"/>
      <c r="AI651" s="4"/>
      <c r="AJ651" s="4"/>
      <c r="AK651" s="4"/>
    </row>
    <row r="652" spans="1:37" ht="70" customHeight="1" x14ac:dyDescent="0.2">
      <c r="A652" s="107"/>
      <c r="B652" s="4"/>
      <c r="C652" s="163"/>
      <c r="D652" s="4"/>
      <c r="E652" s="4"/>
      <c r="F652" s="4"/>
      <c r="G652" s="4"/>
      <c r="H652" s="4"/>
      <c r="I652" s="4"/>
      <c r="J652" s="4"/>
      <c r="K652" s="4"/>
      <c r="L652" s="4"/>
      <c r="M652" s="4"/>
      <c r="N652" s="4"/>
      <c r="O652" s="4"/>
      <c r="P652" s="4"/>
      <c r="Q652" s="4"/>
      <c r="R652" s="4"/>
      <c r="S652" s="4"/>
      <c r="T652" s="4"/>
      <c r="U652" s="4"/>
      <c r="V652" s="4"/>
      <c r="W652" s="4"/>
      <c r="X652" s="4"/>
      <c r="Y652" s="4"/>
      <c r="Z652" s="4"/>
      <c r="AA652" s="4"/>
      <c r="AB652" s="4"/>
      <c r="AC652" s="4"/>
      <c r="AD652" s="4"/>
      <c r="AE652" s="4"/>
      <c r="AF652" s="4"/>
      <c r="AG652" s="4"/>
      <c r="AH652" s="4"/>
      <c r="AI652" s="4"/>
      <c r="AJ652" s="4"/>
      <c r="AK652" s="4"/>
    </row>
    <row r="653" spans="1:37" ht="70" customHeight="1" x14ac:dyDescent="0.2">
      <c r="A653" s="107"/>
      <c r="B653" s="4"/>
      <c r="C653" s="163"/>
      <c r="D653" s="4"/>
      <c r="E653" s="4"/>
      <c r="F653" s="4"/>
      <c r="G653" s="4"/>
      <c r="H653" s="4"/>
      <c r="I653" s="4"/>
      <c r="J653" s="4"/>
      <c r="K653" s="4"/>
      <c r="L653" s="4"/>
      <c r="M653" s="4"/>
      <c r="N653" s="4"/>
      <c r="O653" s="4"/>
      <c r="P653" s="4"/>
      <c r="Q653" s="4"/>
      <c r="R653" s="4"/>
      <c r="S653" s="4"/>
      <c r="T653" s="4"/>
      <c r="U653" s="4"/>
      <c r="V653" s="4"/>
      <c r="W653" s="4"/>
      <c r="X653" s="4"/>
      <c r="Y653" s="4"/>
      <c r="Z653" s="4"/>
      <c r="AA653" s="4"/>
      <c r="AB653" s="4"/>
      <c r="AC653" s="4"/>
      <c r="AD653" s="4"/>
      <c r="AE653" s="4"/>
      <c r="AF653" s="4"/>
      <c r="AG653" s="4"/>
      <c r="AH653" s="4"/>
      <c r="AI653" s="4"/>
      <c r="AJ653" s="4"/>
      <c r="AK653" s="4"/>
    </row>
    <row r="654" spans="1:37" ht="70" customHeight="1" x14ac:dyDescent="0.2">
      <c r="A654" s="107"/>
      <c r="B654" s="4"/>
      <c r="C654" s="163"/>
      <c r="D654" s="4"/>
      <c r="E654" s="4"/>
      <c r="F654" s="4"/>
      <c r="G654" s="4"/>
      <c r="H654" s="4"/>
      <c r="I654" s="4"/>
      <c r="J654" s="4"/>
      <c r="K654" s="4"/>
      <c r="L654" s="4"/>
      <c r="M654" s="4"/>
      <c r="N654" s="4"/>
      <c r="O654" s="4"/>
      <c r="P654" s="4"/>
      <c r="Q654" s="4"/>
      <c r="R654" s="4"/>
      <c r="S654" s="4"/>
      <c r="T654" s="4"/>
      <c r="U654" s="4"/>
      <c r="V654" s="4"/>
      <c r="W654" s="4"/>
      <c r="X654" s="4"/>
      <c r="Y654" s="4"/>
      <c r="Z654" s="4"/>
      <c r="AA654" s="4"/>
      <c r="AB654" s="4"/>
      <c r="AC654" s="4"/>
      <c r="AD654" s="4"/>
      <c r="AE654" s="4"/>
      <c r="AF654" s="4"/>
      <c r="AG654" s="4"/>
      <c r="AH654" s="4"/>
      <c r="AI654" s="4"/>
      <c r="AJ654" s="4"/>
      <c r="AK654" s="4"/>
    </row>
    <row r="655" spans="1:37" ht="70" customHeight="1" x14ac:dyDescent="0.2">
      <c r="A655" s="107"/>
      <c r="B655" s="4"/>
      <c r="C655" s="163"/>
      <c r="D655" s="4"/>
      <c r="E655" s="4"/>
      <c r="F655" s="4"/>
      <c r="G655" s="4"/>
      <c r="H655" s="4"/>
      <c r="I655" s="4"/>
      <c r="J655" s="4"/>
      <c r="K655" s="4"/>
      <c r="L655" s="4"/>
      <c r="M655" s="4"/>
      <c r="N655" s="4"/>
      <c r="O655" s="4"/>
      <c r="P655" s="4"/>
      <c r="Q655" s="4"/>
      <c r="R655" s="4"/>
      <c r="S655" s="4"/>
      <c r="T655" s="4"/>
      <c r="U655" s="4"/>
      <c r="V655" s="4"/>
      <c r="W655" s="4"/>
      <c r="X655" s="4"/>
      <c r="Y655" s="4"/>
      <c r="Z655" s="4"/>
      <c r="AA655" s="4"/>
      <c r="AB655" s="4"/>
      <c r="AC655" s="4"/>
      <c r="AD655" s="4"/>
      <c r="AE655" s="4"/>
      <c r="AF655" s="4"/>
      <c r="AG655" s="4"/>
      <c r="AH655" s="4"/>
      <c r="AI655" s="4"/>
      <c r="AJ655" s="4"/>
      <c r="AK655" s="4"/>
    </row>
    <row r="656" spans="1:37" ht="70" customHeight="1" x14ac:dyDescent="0.2">
      <c r="A656" s="107"/>
      <c r="B656" s="4"/>
      <c r="C656" s="163"/>
      <c r="D656" s="4"/>
      <c r="E656" s="4"/>
      <c r="F656" s="4"/>
      <c r="G656" s="4"/>
      <c r="H656" s="4"/>
      <c r="I656" s="4"/>
      <c r="J656" s="4"/>
      <c r="K656" s="4"/>
      <c r="L656" s="4"/>
      <c r="M656" s="4"/>
      <c r="N656" s="4"/>
      <c r="O656" s="4"/>
      <c r="P656" s="4"/>
      <c r="Q656" s="4"/>
      <c r="R656" s="4"/>
      <c r="S656" s="4"/>
      <c r="T656" s="4"/>
      <c r="U656" s="4"/>
      <c r="V656" s="4"/>
      <c r="W656" s="4"/>
      <c r="X656" s="4"/>
      <c r="Y656" s="4"/>
      <c r="Z656" s="4"/>
      <c r="AA656" s="4"/>
      <c r="AB656" s="4"/>
      <c r="AC656" s="4"/>
      <c r="AD656" s="4"/>
      <c r="AE656" s="4"/>
      <c r="AF656" s="4"/>
      <c r="AG656" s="4"/>
      <c r="AH656" s="4"/>
      <c r="AI656" s="4"/>
      <c r="AJ656" s="4"/>
      <c r="AK656" s="4"/>
    </row>
    <row r="657" spans="1:37" ht="70" customHeight="1" x14ac:dyDescent="0.2">
      <c r="A657" s="107"/>
      <c r="B657" s="4"/>
      <c r="C657" s="163"/>
      <c r="D657" s="4"/>
      <c r="E657" s="4"/>
      <c r="F657" s="4"/>
      <c r="G657" s="4"/>
      <c r="H657" s="4"/>
      <c r="I657" s="4"/>
      <c r="J657" s="4"/>
      <c r="K657" s="4"/>
      <c r="L657" s="4"/>
      <c r="M657" s="4"/>
      <c r="N657" s="4"/>
      <c r="O657" s="4"/>
      <c r="P657" s="4"/>
      <c r="Q657" s="4"/>
      <c r="R657" s="4"/>
      <c r="S657" s="4"/>
      <c r="T657" s="4"/>
      <c r="U657" s="4"/>
      <c r="V657" s="4"/>
      <c r="W657" s="4"/>
      <c r="X657" s="4"/>
      <c r="Y657" s="4"/>
      <c r="Z657" s="4"/>
      <c r="AA657" s="4"/>
      <c r="AB657" s="4"/>
      <c r="AC657" s="4"/>
      <c r="AD657" s="4"/>
      <c r="AE657" s="4"/>
      <c r="AF657" s="4"/>
      <c r="AG657" s="4"/>
      <c r="AH657" s="4"/>
      <c r="AI657" s="4"/>
      <c r="AJ657" s="4"/>
      <c r="AK657" s="4"/>
    </row>
    <row r="658" spans="1:37" ht="70" customHeight="1" x14ac:dyDescent="0.2">
      <c r="A658" s="107"/>
      <c r="B658" s="4"/>
      <c r="C658" s="163"/>
      <c r="D658" s="4"/>
      <c r="E658" s="4"/>
      <c r="F658" s="4"/>
      <c r="G658" s="4"/>
      <c r="H658" s="4"/>
      <c r="I658" s="4"/>
      <c r="J658" s="4"/>
      <c r="K658" s="4"/>
      <c r="L658" s="4"/>
      <c r="M658" s="4"/>
      <c r="N658" s="4"/>
      <c r="O658" s="4"/>
      <c r="P658" s="4"/>
      <c r="Q658" s="4"/>
      <c r="R658" s="4"/>
      <c r="S658" s="4"/>
      <c r="T658" s="4"/>
      <c r="U658" s="4"/>
      <c r="V658" s="4"/>
      <c r="W658" s="4"/>
      <c r="X658" s="4"/>
      <c r="Y658" s="4"/>
      <c r="Z658" s="4"/>
      <c r="AA658" s="4"/>
      <c r="AB658" s="4"/>
      <c r="AC658" s="4"/>
      <c r="AD658" s="4"/>
      <c r="AE658" s="4"/>
      <c r="AF658" s="4"/>
      <c r="AG658" s="4"/>
      <c r="AH658" s="4"/>
      <c r="AI658" s="4"/>
      <c r="AJ658" s="4"/>
      <c r="AK658" s="4"/>
    </row>
    <row r="659" spans="1:37" ht="70" customHeight="1" x14ac:dyDescent="0.2">
      <c r="A659" s="107"/>
      <c r="B659" s="4"/>
      <c r="C659" s="163"/>
      <c r="D659" s="4"/>
      <c r="E659" s="4"/>
      <c r="F659" s="4"/>
      <c r="G659" s="4"/>
      <c r="H659" s="4"/>
      <c r="I659" s="4"/>
      <c r="J659" s="4"/>
      <c r="K659" s="4"/>
      <c r="L659" s="4"/>
      <c r="M659" s="4"/>
      <c r="N659" s="4"/>
      <c r="O659" s="4"/>
      <c r="P659" s="4"/>
      <c r="Q659" s="4"/>
      <c r="R659" s="4"/>
      <c r="S659" s="4"/>
      <c r="T659" s="4"/>
      <c r="U659" s="4"/>
      <c r="V659" s="4"/>
      <c r="W659" s="4"/>
      <c r="X659" s="4"/>
      <c r="Y659" s="4"/>
      <c r="Z659" s="4"/>
      <c r="AA659" s="4"/>
      <c r="AB659" s="4"/>
      <c r="AC659" s="4"/>
      <c r="AD659" s="4"/>
      <c r="AE659" s="4"/>
      <c r="AF659" s="4"/>
      <c r="AG659" s="4"/>
      <c r="AH659" s="4"/>
      <c r="AI659" s="4"/>
      <c r="AJ659" s="4"/>
      <c r="AK659" s="4"/>
    </row>
    <row r="660" spans="1:37" ht="70" customHeight="1" x14ac:dyDescent="0.2">
      <c r="A660" s="107"/>
      <c r="B660" s="4"/>
      <c r="C660" s="163"/>
      <c r="D660" s="4"/>
      <c r="E660" s="4"/>
      <c r="F660" s="4"/>
      <c r="G660" s="4"/>
      <c r="H660" s="4"/>
      <c r="I660" s="4"/>
      <c r="J660" s="4"/>
      <c r="K660" s="4"/>
      <c r="L660" s="4"/>
      <c r="M660" s="4"/>
      <c r="N660" s="4"/>
      <c r="O660" s="4"/>
      <c r="P660" s="4"/>
      <c r="Q660" s="4"/>
      <c r="R660" s="4"/>
      <c r="S660" s="4"/>
      <c r="T660" s="4"/>
      <c r="U660" s="4"/>
      <c r="V660" s="4"/>
      <c r="W660" s="4"/>
      <c r="X660" s="4"/>
      <c r="Y660" s="4"/>
      <c r="Z660" s="4"/>
      <c r="AA660" s="4"/>
      <c r="AB660" s="4"/>
      <c r="AC660" s="4"/>
      <c r="AD660" s="4"/>
      <c r="AE660" s="4"/>
      <c r="AF660" s="4"/>
      <c r="AG660" s="4"/>
      <c r="AH660" s="4"/>
      <c r="AI660" s="4"/>
      <c r="AJ660" s="4"/>
      <c r="AK660" s="4"/>
    </row>
    <row r="661" spans="1:37" ht="70" customHeight="1" x14ac:dyDescent="0.2">
      <c r="A661" s="107"/>
      <c r="B661" s="4"/>
      <c r="C661" s="163"/>
      <c r="D661" s="4"/>
      <c r="E661" s="4"/>
      <c r="F661" s="4"/>
      <c r="G661" s="4"/>
      <c r="H661" s="4"/>
      <c r="I661" s="4"/>
      <c r="J661" s="4"/>
      <c r="K661" s="4"/>
      <c r="L661" s="4"/>
      <c r="M661" s="4"/>
      <c r="N661" s="4"/>
      <c r="O661" s="4"/>
      <c r="P661" s="4"/>
      <c r="Q661" s="4"/>
      <c r="R661" s="4"/>
      <c r="S661" s="4"/>
      <c r="T661" s="4"/>
      <c r="U661" s="4"/>
      <c r="V661" s="4"/>
      <c r="W661" s="4"/>
      <c r="X661" s="4"/>
      <c r="Y661" s="4"/>
      <c r="Z661" s="4"/>
      <c r="AA661" s="4"/>
      <c r="AB661" s="4"/>
      <c r="AC661" s="4"/>
      <c r="AD661" s="4"/>
      <c r="AE661" s="4"/>
      <c r="AF661" s="4"/>
      <c r="AG661" s="4"/>
      <c r="AH661" s="4"/>
      <c r="AI661" s="4"/>
      <c r="AJ661" s="4"/>
      <c r="AK661" s="4"/>
    </row>
    <row r="662" spans="1:37" ht="70" customHeight="1" x14ac:dyDescent="0.2">
      <c r="A662" s="107"/>
      <c r="B662" s="4"/>
      <c r="C662" s="163"/>
      <c r="D662" s="4"/>
      <c r="E662" s="4"/>
      <c r="F662" s="4"/>
      <c r="G662" s="4"/>
      <c r="H662" s="4"/>
      <c r="I662" s="4"/>
      <c r="J662" s="4"/>
      <c r="K662" s="4"/>
      <c r="L662" s="4"/>
      <c r="M662" s="4"/>
      <c r="N662" s="4"/>
      <c r="O662" s="4"/>
      <c r="P662" s="4"/>
      <c r="Q662" s="4"/>
      <c r="R662" s="4"/>
      <c r="S662" s="4"/>
      <c r="T662" s="4"/>
      <c r="U662" s="4"/>
      <c r="V662" s="4"/>
      <c r="W662" s="4"/>
      <c r="X662" s="4"/>
      <c r="Y662" s="4"/>
      <c r="Z662" s="4"/>
      <c r="AA662" s="4"/>
      <c r="AB662" s="4"/>
      <c r="AC662" s="4"/>
      <c r="AD662" s="4"/>
      <c r="AE662" s="4"/>
      <c r="AF662" s="4"/>
      <c r="AG662" s="4"/>
      <c r="AH662" s="4"/>
      <c r="AI662" s="4"/>
      <c r="AJ662" s="4"/>
      <c r="AK662" s="4"/>
    </row>
    <row r="663" spans="1:37" ht="70" customHeight="1" x14ac:dyDescent="0.2">
      <c r="A663" s="107"/>
      <c r="B663" s="4"/>
      <c r="C663" s="163"/>
      <c r="D663" s="4"/>
      <c r="E663" s="4"/>
      <c r="F663" s="4"/>
      <c r="G663" s="4"/>
      <c r="H663" s="4"/>
      <c r="I663" s="4"/>
      <c r="J663" s="4"/>
      <c r="K663" s="4"/>
      <c r="L663" s="4"/>
      <c r="M663" s="4"/>
      <c r="N663" s="4"/>
      <c r="O663" s="4"/>
      <c r="P663" s="4"/>
      <c r="Q663" s="4"/>
      <c r="R663" s="4"/>
      <c r="S663" s="4"/>
      <c r="T663" s="4"/>
      <c r="U663" s="4"/>
      <c r="V663" s="4"/>
      <c r="W663" s="4"/>
      <c r="X663" s="4"/>
      <c r="Y663" s="4"/>
      <c r="Z663" s="4"/>
      <c r="AA663" s="4"/>
      <c r="AB663" s="4"/>
      <c r="AC663" s="4"/>
      <c r="AD663" s="4"/>
      <c r="AE663" s="4"/>
      <c r="AF663" s="4"/>
      <c r="AG663" s="4"/>
      <c r="AH663" s="4"/>
      <c r="AI663" s="4"/>
      <c r="AJ663" s="4"/>
      <c r="AK663" s="4"/>
    </row>
    <row r="664" spans="1:37" ht="70" customHeight="1" x14ac:dyDescent="0.2">
      <c r="A664" s="107"/>
      <c r="B664" s="4"/>
      <c r="C664" s="163"/>
      <c r="D664" s="4"/>
      <c r="E664" s="4"/>
      <c r="F664" s="4"/>
      <c r="G664" s="4"/>
      <c r="H664" s="4"/>
      <c r="I664" s="4"/>
      <c r="J664" s="4"/>
      <c r="K664" s="4"/>
      <c r="L664" s="4"/>
      <c r="M664" s="4"/>
      <c r="N664" s="4"/>
      <c r="O664" s="4"/>
      <c r="P664" s="4"/>
      <c r="Q664" s="4"/>
      <c r="R664" s="4"/>
      <c r="S664" s="4"/>
      <c r="T664" s="4"/>
      <c r="U664" s="4"/>
      <c r="V664" s="4"/>
      <c r="W664" s="4"/>
      <c r="X664" s="4"/>
      <c r="Y664" s="4"/>
      <c r="Z664" s="4"/>
      <c r="AA664" s="4"/>
      <c r="AB664" s="4"/>
      <c r="AC664" s="4"/>
      <c r="AD664" s="4"/>
      <c r="AE664" s="4"/>
      <c r="AF664" s="4"/>
      <c r="AG664" s="4"/>
      <c r="AH664" s="4"/>
      <c r="AI664" s="4"/>
      <c r="AJ664" s="4"/>
      <c r="AK664" s="4"/>
    </row>
    <row r="665" spans="1:37" ht="70" customHeight="1" x14ac:dyDescent="0.2">
      <c r="A665" s="107"/>
      <c r="B665" s="4"/>
      <c r="C665" s="163"/>
      <c r="D665" s="4"/>
      <c r="E665" s="4"/>
      <c r="F665" s="4"/>
      <c r="G665" s="4"/>
      <c r="H665" s="4"/>
      <c r="I665" s="4"/>
      <c r="J665" s="4"/>
      <c r="K665" s="4"/>
      <c r="L665" s="4"/>
      <c r="M665" s="4"/>
      <c r="N665" s="4"/>
      <c r="O665" s="4"/>
      <c r="P665" s="4"/>
      <c r="Q665" s="4"/>
      <c r="R665" s="4"/>
      <c r="S665" s="4"/>
      <c r="T665" s="4"/>
      <c r="U665" s="4"/>
      <c r="V665" s="4"/>
      <c r="W665" s="4"/>
      <c r="X665" s="4"/>
      <c r="Y665" s="4"/>
      <c r="Z665" s="4"/>
      <c r="AA665" s="4"/>
      <c r="AB665" s="4"/>
      <c r="AC665" s="4"/>
      <c r="AD665" s="4"/>
      <c r="AE665" s="4"/>
      <c r="AF665" s="4"/>
      <c r="AG665" s="4"/>
      <c r="AH665" s="4"/>
      <c r="AI665" s="4"/>
      <c r="AJ665" s="4"/>
      <c r="AK665" s="4"/>
    </row>
    <row r="666" spans="1:37" ht="70" customHeight="1" x14ac:dyDescent="0.2">
      <c r="A666" s="107"/>
      <c r="B666" s="4"/>
      <c r="C666" s="163"/>
      <c r="D666" s="4"/>
      <c r="E666" s="4"/>
      <c r="F666" s="4"/>
      <c r="G666" s="4"/>
      <c r="H666" s="4"/>
      <c r="I666" s="4"/>
      <c r="J666" s="4"/>
      <c r="K666" s="4"/>
      <c r="L666" s="4"/>
      <c r="M666" s="4"/>
      <c r="N666" s="4"/>
      <c r="O666" s="4"/>
      <c r="P666" s="4"/>
      <c r="Q666" s="4"/>
      <c r="R666" s="4"/>
      <c r="S666" s="4"/>
      <c r="T666" s="4"/>
      <c r="U666" s="4"/>
      <c r="V666" s="4"/>
      <c r="W666" s="4"/>
      <c r="X666" s="4"/>
      <c r="Y666" s="4"/>
      <c r="Z666" s="4"/>
      <c r="AA666" s="4"/>
      <c r="AB666" s="4"/>
      <c r="AC666" s="4"/>
      <c r="AD666" s="4"/>
      <c r="AE666" s="4"/>
      <c r="AF666" s="4"/>
      <c r="AG666" s="4"/>
      <c r="AH666" s="4"/>
      <c r="AI666" s="4"/>
      <c r="AJ666" s="4"/>
      <c r="AK666" s="4"/>
    </row>
    <row r="667" spans="1:37" ht="70" customHeight="1" x14ac:dyDescent="0.2">
      <c r="A667" s="107"/>
      <c r="B667" s="4"/>
      <c r="C667" s="163"/>
      <c r="D667" s="4"/>
      <c r="E667" s="4"/>
      <c r="F667" s="4"/>
      <c r="G667" s="4"/>
      <c r="H667" s="4"/>
      <c r="I667" s="4"/>
      <c r="J667" s="4"/>
      <c r="K667" s="4"/>
      <c r="L667" s="4"/>
      <c r="M667" s="4"/>
      <c r="N667" s="4"/>
      <c r="O667" s="4"/>
      <c r="P667" s="4"/>
      <c r="Q667" s="4"/>
      <c r="R667" s="4"/>
      <c r="S667" s="4"/>
      <c r="T667" s="4"/>
      <c r="U667" s="4"/>
      <c r="V667" s="4"/>
      <c r="W667" s="4"/>
      <c r="X667" s="4"/>
      <c r="Y667" s="4"/>
      <c r="Z667" s="4"/>
      <c r="AA667" s="4"/>
      <c r="AB667" s="4"/>
      <c r="AC667" s="4"/>
      <c r="AD667" s="4"/>
      <c r="AE667" s="4"/>
      <c r="AF667" s="4"/>
      <c r="AG667" s="4"/>
      <c r="AH667" s="4"/>
      <c r="AI667" s="4"/>
      <c r="AJ667" s="4"/>
      <c r="AK667" s="4"/>
    </row>
    <row r="668" spans="1:37" ht="70" customHeight="1" x14ac:dyDescent="0.2">
      <c r="A668" s="107"/>
      <c r="B668" s="4"/>
      <c r="C668" s="163"/>
      <c r="D668" s="4"/>
      <c r="E668" s="4"/>
      <c r="F668" s="4"/>
      <c r="G668" s="4"/>
      <c r="H668" s="4"/>
      <c r="I668" s="4"/>
      <c r="J668" s="4"/>
      <c r="K668" s="4"/>
      <c r="L668" s="4"/>
      <c r="M668" s="4"/>
      <c r="N668" s="4"/>
      <c r="O668" s="4"/>
      <c r="P668" s="4"/>
      <c r="Q668" s="4"/>
      <c r="R668" s="4"/>
      <c r="S668" s="4"/>
      <c r="T668" s="4"/>
      <c r="U668" s="4"/>
      <c r="V668" s="4"/>
      <c r="W668" s="4"/>
      <c r="X668" s="4"/>
      <c r="Y668" s="4"/>
      <c r="Z668" s="4"/>
      <c r="AA668" s="4"/>
      <c r="AB668" s="4"/>
      <c r="AC668" s="4"/>
      <c r="AD668" s="4"/>
      <c r="AE668" s="4"/>
      <c r="AF668" s="4"/>
      <c r="AG668" s="4"/>
      <c r="AH668" s="4"/>
      <c r="AI668" s="4"/>
      <c r="AJ668" s="4"/>
      <c r="AK668" s="4"/>
    </row>
    <row r="669" spans="1:37" ht="70" customHeight="1" x14ac:dyDescent="0.2">
      <c r="A669" s="107"/>
      <c r="B669" s="4"/>
      <c r="C669" s="163"/>
      <c r="D669" s="4"/>
      <c r="E669" s="4"/>
      <c r="F669" s="4"/>
      <c r="G669" s="4"/>
      <c r="H669" s="4"/>
      <c r="I669" s="4"/>
      <c r="J669" s="4"/>
      <c r="K669" s="4"/>
      <c r="L669" s="4"/>
      <c r="M669" s="4"/>
      <c r="N669" s="4"/>
      <c r="O669" s="4"/>
      <c r="P669" s="4"/>
      <c r="Q669" s="4"/>
      <c r="R669" s="4"/>
      <c r="S669" s="4"/>
      <c r="T669" s="4"/>
      <c r="U669" s="4"/>
      <c r="V669" s="4"/>
      <c r="W669" s="4"/>
      <c r="X669" s="4"/>
      <c r="Y669" s="4"/>
      <c r="Z669" s="4"/>
      <c r="AA669" s="4"/>
      <c r="AB669" s="4"/>
      <c r="AC669" s="4"/>
      <c r="AD669" s="4"/>
      <c r="AE669" s="4"/>
      <c r="AF669" s="4"/>
      <c r="AG669" s="4"/>
      <c r="AH669" s="4"/>
      <c r="AI669" s="4"/>
      <c r="AJ669" s="4"/>
      <c r="AK669" s="4"/>
    </row>
    <row r="670" spans="1:37" ht="70" customHeight="1" x14ac:dyDescent="0.2">
      <c r="A670" s="107"/>
      <c r="B670" s="4"/>
      <c r="C670" s="163"/>
      <c r="D670" s="4"/>
      <c r="E670" s="4"/>
      <c r="F670" s="4"/>
      <c r="G670" s="4"/>
      <c r="H670" s="4"/>
      <c r="I670" s="4"/>
      <c r="J670" s="4"/>
      <c r="K670" s="4"/>
      <c r="L670" s="4"/>
      <c r="M670" s="4"/>
      <c r="N670" s="4"/>
      <c r="O670" s="4"/>
      <c r="P670" s="4"/>
      <c r="Q670" s="4"/>
      <c r="R670" s="4"/>
      <c r="S670" s="4"/>
      <c r="T670" s="4"/>
      <c r="U670" s="4"/>
      <c r="V670" s="4"/>
      <c r="W670" s="4"/>
      <c r="X670" s="4"/>
      <c r="Y670" s="4"/>
      <c r="Z670" s="4"/>
      <c r="AA670" s="4"/>
      <c r="AB670" s="4"/>
      <c r="AC670" s="4"/>
      <c r="AD670" s="4"/>
      <c r="AE670" s="4"/>
      <c r="AF670" s="4"/>
      <c r="AG670" s="4"/>
      <c r="AH670" s="4"/>
      <c r="AI670" s="4"/>
      <c r="AJ670" s="4"/>
      <c r="AK670" s="4"/>
    </row>
    <row r="671" spans="1:37" ht="70" customHeight="1" x14ac:dyDescent="0.2">
      <c r="A671" s="107"/>
      <c r="B671" s="4"/>
      <c r="C671" s="163"/>
      <c r="D671" s="4"/>
      <c r="E671" s="4"/>
      <c r="F671" s="4"/>
      <c r="G671" s="4"/>
      <c r="H671" s="4"/>
      <c r="I671" s="4"/>
      <c r="J671" s="4"/>
      <c r="K671" s="4"/>
      <c r="L671" s="4"/>
      <c r="M671" s="4"/>
      <c r="N671" s="4"/>
      <c r="O671" s="4"/>
      <c r="P671" s="4"/>
      <c r="Q671" s="4"/>
      <c r="R671" s="4"/>
      <c r="S671" s="4"/>
      <c r="T671" s="4"/>
      <c r="U671" s="4"/>
      <c r="V671" s="4"/>
      <c r="W671" s="4"/>
      <c r="X671" s="4"/>
      <c r="Y671" s="4"/>
      <c r="Z671" s="4"/>
      <c r="AA671" s="4"/>
      <c r="AB671" s="4"/>
      <c r="AC671" s="4"/>
      <c r="AD671" s="4"/>
      <c r="AE671" s="4"/>
      <c r="AF671" s="4"/>
      <c r="AG671" s="4"/>
      <c r="AH671" s="4"/>
      <c r="AI671" s="4"/>
      <c r="AJ671" s="4"/>
      <c r="AK671" s="4"/>
    </row>
    <row r="672" spans="1:37" ht="70" customHeight="1" x14ac:dyDescent="0.2">
      <c r="A672" s="107"/>
      <c r="B672" s="4"/>
      <c r="C672" s="163"/>
      <c r="D672" s="4"/>
      <c r="E672" s="4"/>
      <c r="F672" s="4"/>
      <c r="G672" s="4"/>
      <c r="H672" s="4"/>
      <c r="I672" s="4"/>
      <c r="J672" s="4"/>
      <c r="K672" s="4"/>
      <c r="L672" s="4"/>
      <c r="M672" s="4"/>
      <c r="N672" s="4"/>
      <c r="O672" s="4"/>
      <c r="P672" s="4"/>
      <c r="Q672" s="4"/>
      <c r="R672" s="4"/>
      <c r="S672" s="4"/>
      <c r="T672" s="4"/>
      <c r="U672" s="4"/>
      <c r="V672" s="4"/>
      <c r="W672" s="4"/>
      <c r="X672" s="4"/>
      <c r="Y672" s="4"/>
      <c r="Z672" s="4"/>
      <c r="AA672" s="4"/>
      <c r="AB672" s="4"/>
      <c r="AC672" s="4"/>
      <c r="AD672" s="4"/>
      <c r="AE672" s="4"/>
      <c r="AF672" s="4"/>
      <c r="AG672" s="4"/>
      <c r="AH672" s="4"/>
      <c r="AI672" s="4"/>
      <c r="AJ672" s="4"/>
      <c r="AK672" s="4"/>
    </row>
    <row r="673" spans="1:37" ht="70" customHeight="1" x14ac:dyDescent="0.2">
      <c r="A673" s="107"/>
      <c r="B673" s="4"/>
      <c r="C673" s="163"/>
      <c r="D673" s="4"/>
      <c r="E673" s="4"/>
      <c r="F673" s="4"/>
      <c r="G673" s="4"/>
      <c r="H673" s="4"/>
      <c r="I673" s="4"/>
      <c r="J673" s="4"/>
      <c r="K673" s="4"/>
      <c r="L673" s="4"/>
      <c r="M673" s="4"/>
      <c r="N673" s="4"/>
      <c r="O673" s="4"/>
      <c r="P673" s="4"/>
      <c r="Q673" s="4"/>
      <c r="R673" s="4"/>
      <c r="S673" s="4"/>
      <c r="T673" s="4"/>
      <c r="U673" s="4"/>
      <c r="V673" s="4"/>
      <c r="W673" s="4"/>
      <c r="X673" s="4"/>
      <c r="Y673" s="4"/>
      <c r="Z673" s="4"/>
      <c r="AA673" s="4"/>
      <c r="AB673" s="4"/>
      <c r="AC673" s="4"/>
      <c r="AD673" s="4"/>
      <c r="AE673" s="4"/>
      <c r="AF673" s="4"/>
      <c r="AG673" s="4"/>
      <c r="AH673" s="4"/>
      <c r="AI673" s="4"/>
      <c r="AJ673" s="4"/>
      <c r="AK673" s="4"/>
    </row>
    <row r="674" spans="1:37" ht="70" customHeight="1" x14ac:dyDescent="0.2">
      <c r="A674" s="107"/>
      <c r="B674" s="4"/>
      <c r="C674" s="163"/>
      <c r="D674" s="4"/>
      <c r="E674" s="4"/>
      <c r="F674" s="4"/>
      <c r="G674" s="4"/>
      <c r="H674" s="4"/>
      <c r="I674" s="4"/>
      <c r="J674" s="4"/>
      <c r="K674" s="4"/>
      <c r="L674" s="4"/>
      <c r="M674" s="4"/>
      <c r="N674" s="4"/>
      <c r="O674" s="4"/>
      <c r="P674" s="4"/>
      <c r="Q674" s="4"/>
      <c r="R674" s="4"/>
      <c r="S674" s="4"/>
      <c r="T674" s="4"/>
      <c r="U674" s="4"/>
      <c r="V674" s="4"/>
      <c r="W674" s="4"/>
      <c r="X674" s="4"/>
      <c r="Y674" s="4"/>
      <c r="Z674" s="4"/>
      <c r="AA674" s="4"/>
      <c r="AB674" s="4"/>
      <c r="AC674" s="4"/>
      <c r="AD674" s="4"/>
      <c r="AE674" s="4"/>
      <c r="AF674" s="4"/>
      <c r="AG674" s="4"/>
      <c r="AH674" s="4"/>
      <c r="AI674" s="4"/>
      <c r="AJ674" s="4"/>
      <c r="AK674" s="4"/>
    </row>
    <row r="675" spans="1:37" ht="70" customHeight="1" x14ac:dyDescent="0.2">
      <c r="A675" s="107"/>
      <c r="B675" s="4"/>
      <c r="C675" s="163"/>
      <c r="D675" s="4"/>
      <c r="E675" s="4"/>
      <c r="F675" s="4"/>
      <c r="G675" s="4"/>
      <c r="H675" s="4"/>
      <c r="I675" s="4"/>
      <c r="J675" s="4"/>
      <c r="K675" s="4"/>
      <c r="L675" s="4"/>
      <c r="M675" s="4"/>
      <c r="N675" s="4"/>
      <c r="O675" s="4"/>
      <c r="P675" s="4"/>
      <c r="Q675" s="4"/>
      <c r="R675" s="4"/>
      <c r="S675" s="4"/>
      <c r="T675" s="4"/>
      <c r="U675" s="4"/>
      <c r="V675" s="4"/>
      <c r="W675" s="4"/>
      <c r="X675" s="4"/>
      <c r="Y675" s="4"/>
      <c r="Z675" s="4"/>
      <c r="AA675" s="4"/>
      <c r="AB675" s="4"/>
      <c r="AC675" s="4"/>
      <c r="AD675" s="4"/>
      <c r="AE675" s="4"/>
      <c r="AF675" s="4"/>
      <c r="AG675" s="4"/>
      <c r="AH675" s="4"/>
      <c r="AI675" s="4"/>
      <c r="AJ675" s="4"/>
      <c r="AK675" s="4"/>
    </row>
    <row r="676" spans="1:37" ht="70" customHeight="1" x14ac:dyDescent="0.2">
      <c r="A676" s="107"/>
      <c r="B676" s="4"/>
      <c r="C676" s="163"/>
      <c r="D676" s="4"/>
      <c r="E676" s="4"/>
      <c r="F676" s="4"/>
      <c r="G676" s="4"/>
      <c r="H676" s="4"/>
      <c r="I676" s="4"/>
      <c r="J676" s="4"/>
      <c r="K676" s="4"/>
      <c r="L676" s="4"/>
      <c r="M676" s="4"/>
      <c r="N676" s="4"/>
      <c r="O676" s="4"/>
      <c r="P676" s="4"/>
      <c r="Q676" s="4"/>
      <c r="R676" s="4"/>
      <c r="S676" s="4"/>
      <c r="T676" s="4"/>
      <c r="U676" s="4"/>
      <c r="V676" s="4"/>
      <c r="W676" s="4"/>
      <c r="X676" s="4"/>
      <c r="Y676" s="4"/>
      <c r="Z676" s="4"/>
      <c r="AA676" s="4"/>
      <c r="AB676" s="4"/>
      <c r="AC676" s="4"/>
      <c r="AD676" s="4"/>
      <c r="AE676" s="4"/>
      <c r="AF676" s="4"/>
      <c r="AG676" s="4"/>
      <c r="AH676" s="4"/>
      <c r="AI676" s="4"/>
      <c r="AJ676" s="4"/>
      <c r="AK676" s="4"/>
    </row>
    <row r="677" spans="1:37" ht="70" customHeight="1" x14ac:dyDescent="0.2">
      <c r="A677" s="107"/>
      <c r="B677" s="4"/>
      <c r="C677" s="163"/>
      <c r="D677" s="4"/>
      <c r="E677" s="4"/>
      <c r="F677" s="4"/>
      <c r="G677" s="4"/>
      <c r="H677" s="4"/>
      <c r="I677" s="4"/>
      <c r="J677" s="4"/>
      <c r="K677" s="4"/>
      <c r="L677" s="4"/>
      <c r="M677" s="4"/>
      <c r="N677" s="4"/>
      <c r="O677" s="4"/>
      <c r="P677" s="4"/>
      <c r="Q677" s="4"/>
      <c r="R677" s="4"/>
      <c r="S677" s="4"/>
      <c r="T677" s="4"/>
      <c r="U677" s="4"/>
      <c r="V677" s="4"/>
      <c r="W677" s="4"/>
      <c r="X677" s="4"/>
      <c r="Y677" s="4"/>
      <c r="Z677" s="4"/>
      <c r="AA677" s="4"/>
      <c r="AB677" s="4"/>
      <c r="AC677" s="4"/>
      <c r="AD677" s="4"/>
      <c r="AE677" s="4"/>
      <c r="AF677" s="4"/>
      <c r="AG677" s="4"/>
      <c r="AH677" s="4"/>
      <c r="AI677" s="4"/>
      <c r="AJ677" s="4"/>
      <c r="AK677" s="4"/>
    </row>
    <row r="678" spans="1:37" ht="70" customHeight="1" x14ac:dyDescent="0.2">
      <c r="A678" s="107"/>
      <c r="B678" s="4"/>
      <c r="C678" s="163"/>
      <c r="D678" s="4"/>
      <c r="E678" s="4"/>
      <c r="F678" s="4"/>
      <c r="G678" s="4"/>
      <c r="H678" s="4"/>
      <c r="I678" s="4"/>
      <c r="J678" s="4"/>
      <c r="K678" s="4"/>
      <c r="L678" s="4"/>
      <c r="M678" s="4"/>
      <c r="N678" s="4"/>
      <c r="O678" s="4"/>
      <c r="P678" s="4"/>
      <c r="Q678" s="4"/>
      <c r="R678" s="4"/>
      <c r="S678" s="4"/>
      <c r="T678" s="4"/>
      <c r="U678" s="4"/>
      <c r="V678" s="4"/>
      <c r="W678" s="4"/>
      <c r="X678" s="4"/>
      <c r="Y678" s="4"/>
      <c r="Z678" s="4"/>
      <c r="AA678" s="4"/>
      <c r="AB678" s="4"/>
      <c r="AC678" s="4"/>
      <c r="AD678" s="4"/>
      <c r="AE678" s="4"/>
      <c r="AF678" s="4"/>
      <c r="AG678" s="4"/>
      <c r="AH678" s="4"/>
      <c r="AI678" s="4"/>
      <c r="AJ678" s="4"/>
      <c r="AK678" s="4"/>
    </row>
    <row r="679" spans="1:37" ht="70" customHeight="1" x14ac:dyDescent="0.2">
      <c r="A679" s="107"/>
      <c r="B679" s="4"/>
      <c r="C679" s="163"/>
      <c r="D679" s="4"/>
      <c r="E679" s="4"/>
      <c r="F679" s="4"/>
      <c r="G679" s="4"/>
      <c r="H679" s="4"/>
      <c r="I679" s="4"/>
      <c r="J679" s="4"/>
      <c r="K679" s="4"/>
      <c r="L679" s="4"/>
      <c r="M679" s="4"/>
      <c r="N679" s="4"/>
      <c r="O679" s="4"/>
      <c r="P679" s="4"/>
      <c r="Q679" s="4"/>
      <c r="R679" s="4"/>
      <c r="S679" s="4"/>
      <c r="T679" s="4"/>
      <c r="U679" s="4"/>
      <c r="V679" s="4"/>
      <c r="W679" s="4"/>
      <c r="X679" s="4"/>
      <c r="Y679" s="4"/>
      <c r="Z679" s="4"/>
      <c r="AA679" s="4"/>
      <c r="AB679" s="4"/>
      <c r="AC679" s="4"/>
      <c r="AD679" s="4"/>
      <c r="AE679" s="4"/>
      <c r="AF679" s="4"/>
      <c r="AG679" s="4"/>
      <c r="AH679" s="4"/>
      <c r="AI679" s="4"/>
      <c r="AJ679" s="4"/>
      <c r="AK679" s="4"/>
    </row>
    <row r="680" spans="1:37" ht="70" customHeight="1" x14ac:dyDescent="0.2">
      <c r="A680" s="107"/>
      <c r="B680" s="4"/>
      <c r="C680" s="163"/>
      <c r="D680" s="4"/>
      <c r="E680" s="4"/>
      <c r="F680" s="4"/>
      <c r="G680" s="4"/>
      <c r="H680" s="4"/>
      <c r="I680" s="4"/>
      <c r="J680" s="4"/>
      <c r="K680" s="4"/>
      <c r="L680" s="4"/>
      <c r="M680" s="4"/>
      <c r="N680" s="4"/>
      <c r="O680" s="4"/>
      <c r="P680" s="4"/>
      <c r="Q680" s="4"/>
      <c r="R680" s="4"/>
      <c r="S680" s="4"/>
      <c r="T680" s="4"/>
      <c r="U680" s="4"/>
      <c r="V680" s="4"/>
      <c r="W680" s="4"/>
      <c r="X680" s="4"/>
      <c r="Y680" s="4"/>
      <c r="Z680" s="4"/>
      <c r="AA680" s="4"/>
      <c r="AB680" s="4"/>
      <c r="AC680" s="4"/>
      <c r="AD680" s="4"/>
      <c r="AE680" s="4"/>
      <c r="AF680" s="4"/>
      <c r="AG680" s="4"/>
      <c r="AH680" s="4"/>
      <c r="AI680" s="4"/>
      <c r="AJ680" s="4"/>
      <c r="AK680" s="4"/>
    </row>
    <row r="681" spans="1:37" ht="70" customHeight="1" x14ac:dyDescent="0.2">
      <c r="A681" s="107"/>
      <c r="B681" s="4"/>
      <c r="C681" s="163"/>
      <c r="D681" s="4"/>
      <c r="E681" s="4"/>
      <c r="F681" s="4"/>
      <c r="G681" s="4"/>
      <c r="H681" s="4"/>
      <c r="I681" s="4"/>
      <c r="J681" s="4"/>
      <c r="K681" s="4"/>
      <c r="L681" s="4"/>
      <c r="M681" s="4"/>
      <c r="N681" s="4"/>
      <c r="O681" s="4"/>
      <c r="P681" s="4"/>
      <c r="Q681" s="4"/>
      <c r="R681" s="4"/>
      <c r="S681" s="4"/>
      <c r="T681" s="4"/>
      <c r="U681" s="4"/>
      <c r="V681" s="4"/>
      <c r="W681" s="4"/>
      <c r="X681" s="4"/>
      <c r="Y681" s="4"/>
      <c r="Z681" s="4"/>
      <c r="AA681" s="4"/>
      <c r="AB681" s="4"/>
      <c r="AC681" s="4"/>
      <c r="AD681" s="4"/>
      <c r="AE681" s="4"/>
      <c r="AF681" s="4"/>
      <c r="AG681" s="4"/>
      <c r="AH681" s="4"/>
      <c r="AI681" s="4"/>
      <c r="AJ681" s="4"/>
      <c r="AK681" s="4"/>
    </row>
    <row r="682" spans="1:37" ht="70" customHeight="1" x14ac:dyDescent="0.2">
      <c r="A682" s="107"/>
      <c r="B682" s="4"/>
      <c r="C682" s="163"/>
      <c r="D682" s="4"/>
      <c r="E682" s="4"/>
      <c r="F682" s="4"/>
      <c r="G682" s="4"/>
      <c r="H682" s="4"/>
      <c r="I682" s="4"/>
      <c r="J682" s="4"/>
      <c r="K682" s="4"/>
      <c r="L682" s="4"/>
      <c r="M682" s="4"/>
      <c r="N682" s="4"/>
      <c r="O682" s="4"/>
      <c r="P682" s="4"/>
      <c r="Q682" s="4"/>
      <c r="R682" s="4"/>
      <c r="S682" s="4"/>
      <c r="T682" s="4"/>
      <c r="U682" s="4"/>
      <c r="V682" s="4"/>
      <c r="W682" s="4"/>
      <c r="X682" s="4"/>
      <c r="Y682" s="4"/>
      <c r="Z682" s="4"/>
      <c r="AA682" s="4"/>
      <c r="AB682" s="4"/>
      <c r="AC682" s="4"/>
      <c r="AD682" s="4"/>
      <c r="AE682" s="4"/>
      <c r="AF682" s="4"/>
      <c r="AG682" s="4"/>
      <c r="AH682" s="4"/>
      <c r="AI682" s="4"/>
      <c r="AJ682" s="4"/>
      <c r="AK682" s="4"/>
    </row>
    <row r="683" spans="1:37" ht="70" customHeight="1" x14ac:dyDescent="0.2">
      <c r="A683" s="107"/>
      <c r="B683" s="4"/>
      <c r="C683" s="163"/>
      <c r="D683" s="4"/>
      <c r="E683" s="4"/>
      <c r="F683" s="4"/>
      <c r="G683" s="4"/>
      <c r="H683" s="4"/>
      <c r="I683" s="4"/>
      <c r="J683" s="4"/>
      <c r="K683" s="4"/>
      <c r="L683" s="4"/>
      <c r="M683" s="4"/>
      <c r="N683" s="4"/>
      <c r="O683" s="4"/>
      <c r="P683" s="4"/>
      <c r="Q683" s="4"/>
      <c r="R683" s="4"/>
      <c r="S683" s="4"/>
      <c r="T683" s="4"/>
      <c r="U683" s="4"/>
      <c r="V683" s="4"/>
      <c r="W683" s="4"/>
      <c r="X683" s="4"/>
      <c r="Y683" s="4"/>
      <c r="Z683" s="4"/>
      <c r="AA683" s="4"/>
      <c r="AB683" s="4"/>
      <c r="AC683" s="4"/>
      <c r="AD683" s="4"/>
      <c r="AE683" s="4"/>
      <c r="AF683" s="4"/>
      <c r="AG683" s="4"/>
      <c r="AH683" s="4"/>
      <c r="AI683" s="4"/>
      <c r="AJ683" s="4"/>
      <c r="AK683" s="4"/>
    </row>
    <row r="684" spans="1:37" ht="70" customHeight="1" x14ac:dyDescent="0.2">
      <c r="A684" s="107"/>
      <c r="B684" s="4"/>
      <c r="C684" s="163"/>
      <c r="D684" s="4"/>
      <c r="E684" s="4"/>
      <c r="F684" s="4"/>
      <c r="G684" s="4"/>
      <c r="H684" s="4"/>
      <c r="I684" s="4"/>
      <c r="J684" s="4"/>
      <c r="K684" s="4"/>
      <c r="L684" s="4"/>
      <c r="M684" s="4"/>
      <c r="N684" s="4"/>
      <c r="O684" s="4"/>
      <c r="P684" s="4"/>
      <c r="Q684" s="4"/>
      <c r="R684" s="4"/>
      <c r="S684" s="4"/>
      <c r="T684" s="4"/>
      <c r="U684" s="4"/>
      <c r="V684" s="4"/>
      <c r="W684" s="4"/>
      <c r="X684" s="4"/>
      <c r="Y684" s="4"/>
      <c r="Z684" s="4"/>
      <c r="AA684" s="4"/>
      <c r="AB684" s="4"/>
      <c r="AC684" s="4"/>
      <c r="AD684" s="4"/>
      <c r="AE684" s="4"/>
      <c r="AF684" s="4"/>
      <c r="AG684" s="4"/>
      <c r="AH684" s="4"/>
      <c r="AI684" s="4"/>
      <c r="AJ684" s="4"/>
      <c r="AK684" s="4"/>
    </row>
    <row r="685" spans="1:37" ht="70" customHeight="1" x14ac:dyDescent="0.2">
      <c r="A685" s="107"/>
      <c r="B685" s="4"/>
      <c r="C685" s="163"/>
      <c r="D685" s="4"/>
      <c r="E685" s="4"/>
      <c r="F685" s="4"/>
      <c r="G685" s="4"/>
      <c r="H685" s="4"/>
      <c r="I685" s="4"/>
      <c r="J685" s="4"/>
      <c r="K685" s="4"/>
      <c r="L685" s="4"/>
      <c r="M685" s="4"/>
      <c r="N685" s="4"/>
      <c r="O685" s="4"/>
      <c r="P685" s="4"/>
      <c r="Q685" s="4"/>
      <c r="R685" s="4"/>
      <c r="S685" s="4"/>
      <c r="T685" s="4"/>
      <c r="U685" s="4"/>
      <c r="V685" s="4"/>
      <c r="W685" s="4"/>
      <c r="X685" s="4"/>
      <c r="Y685" s="4"/>
      <c r="Z685" s="4"/>
      <c r="AA685" s="4"/>
      <c r="AB685" s="4"/>
      <c r="AC685" s="4"/>
      <c r="AD685" s="4"/>
      <c r="AE685" s="4"/>
      <c r="AF685" s="4"/>
      <c r="AG685" s="4"/>
      <c r="AH685" s="4"/>
      <c r="AI685" s="4"/>
      <c r="AJ685" s="4"/>
      <c r="AK685" s="4"/>
    </row>
    <row r="686" spans="1:37" ht="70" customHeight="1" x14ac:dyDescent="0.2">
      <c r="A686" s="107"/>
      <c r="B686" s="4"/>
      <c r="C686" s="163"/>
      <c r="D686" s="4"/>
      <c r="E686" s="4"/>
      <c r="F686" s="4"/>
      <c r="G686" s="4"/>
      <c r="H686" s="4"/>
      <c r="I686" s="4"/>
      <c r="J686" s="4"/>
      <c r="K686" s="4"/>
      <c r="L686" s="4"/>
      <c r="M686" s="4"/>
      <c r="N686" s="4"/>
      <c r="O686" s="4"/>
      <c r="P686" s="4"/>
      <c r="Q686" s="4"/>
      <c r="R686" s="4"/>
      <c r="S686" s="4"/>
      <c r="T686" s="4"/>
      <c r="U686" s="4"/>
      <c r="V686" s="4"/>
      <c r="W686" s="4"/>
      <c r="X686" s="4"/>
      <c r="Y686" s="4"/>
      <c r="Z686" s="4"/>
      <c r="AA686" s="4"/>
      <c r="AB686" s="4"/>
      <c r="AC686" s="4"/>
      <c r="AD686" s="4"/>
      <c r="AE686" s="4"/>
      <c r="AF686" s="4"/>
      <c r="AG686" s="4"/>
      <c r="AH686" s="4"/>
      <c r="AI686" s="4"/>
      <c r="AJ686" s="4"/>
      <c r="AK686" s="4"/>
    </row>
    <row r="687" spans="1:37" ht="70" customHeight="1" x14ac:dyDescent="0.2">
      <c r="A687" s="107"/>
      <c r="B687" s="4"/>
      <c r="C687" s="163"/>
      <c r="D687" s="4"/>
      <c r="E687" s="4"/>
      <c r="F687" s="4"/>
      <c r="G687" s="4"/>
      <c r="H687" s="4"/>
      <c r="I687" s="4"/>
      <c r="J687" s="4"/>
      <c r="K687" s="4"/>
      <c r="L687" s="4"/>
      <c r="M687" s="4"/>
      <c r="N687" s="4"/>
      <c r="O687" s="4"/>
      <c r="P687" s="4"/>
      <c r="Q687" s="4"/>
      <c r="R687" s="4"/>
      <c r="S687" s="4"/>
      <c r="T687" s="4"/>
      <c r="U687" s="4"/>
      <c r="V687" s="4"/>
      <c r="W687" s="4"/>
      <c r="X687" s="4"/>
      <c r="Y687" s="4"/>
      <c r="Z687" s="4"/>
      <c r="AA687" s="4"/>
      <c r="AB687" s="4"/>
      <c r="AC687" s="4"/>
      <c r="AD687" s="4"/>
      <c r="AE687" s="4"/>
      <c r="AF687" s="4"/>
      <c r="AG687" s="4"/>
      <c r="AH687" s="4"/>
      <c r="AI687" s="4"/>
      <c r="AJ687" s="4"/>
      <c r="AK687" s="4"/>
    </row>
    <row r="688" spans="1:37" ht="70" customHeight="1" x14ac:dyDescent="0.2">
      <c r="A688" s="107"/>
      <c r="B688" s="4"/>
      <c r="C688" s="163"/>
      <c r="D688" s="4"/>
      <c r="E688" s="4"/>
      <c r="F688" s="4"/>
      <c r="G688" s="4"/>
      <c r="H688" s="4"/>
      <c r="I688" s="4"/>
      <c r="J688" s="4"/>
      <c r="K688" s="4"/>
      <c r="L688" s="4"/>
      <c r="M688" s="4"/>
      <c r="N688" s="4"/>
      <c r="O688" s="4"/>
      <c r="P688" s="4"/>
      <c r="Q688" s="4"/>
      <c r="R688" s="4"/>
      <c r="S688" s="4"/>
      <c r="T688" s="4"/>
      <c r="U688" s="4"/>
      <c r="V688" s="4"/>
      <c r="W688" s="4"/>
      <c r="X688" s="4"/>
      <c r="Y688" s="4"/>
      <c r="Z688" s="4"/>
      <c r="AA688" s="4"/>
      <c r="AB688" s="4"/>
      <c r="AC688" s="4"/>
      <c r="AD688" s="4"/>
      <c r="AE688" s="4"/>
      <c r="AF688" s="4"/>
      <c r="AG688" s="4"/>
      <c r="AH688" s="4"/>
      <c r="AI688" s="4"/>
      <c r="AJ688" s="4"/>
      <c r="AK688" s="4"/>
    </row>
    <row r="689" spans="1:37" ht="70" customHeight="1" x14ac:dyDescent="0.2">
      <c r="A689" s="107"/>
      <c r="B689" s="4"/>
      <c r="C689" s="163"/>
      <c r="D689" s="4"/>
      <c r="E689" s="4"/>
      <c r="F689" s="4"/>
      <c r="G689" s="4"/>
      <c r="H689" s="4"/>
      <c r="I689" s="4"/>
      <c r="J689" s="4"/>
      <c r="K689" s="4"/>
      <c r="L689" s="4"/>
      <c r="M689" s="4"/>
      <c r="N689" s="4"/>
      <c r="O689" s="4"/>
      <c r="P689" s="4"/>
      <c r="Q689" s="4"/>
      <c r="R689" s="4"/>
      <c r="S689" s="4"/>
      <c r="T689" s="4"/>
      <c r="U689" s="4"/>
      <c r="V689" s="4"/>
      <c r="W689" s="4"/>
      <c r="X689" s="4"/>
      <c r="Y689" s="4"/>
      <c r="Z689" s="4"/>
      <c r="AA689" s="4"/>
      <c r="AB689" s="4"/>
      <c r="AC689" s="4"/>
      <c r="AD689" s="4"/>
      <c r="AE689" s="4"/>
      <c r="AF689" s="4"/>
      <c r="AG689" s="4"/>
      <c r="AH689" s="4"/>
      <c r="AI689" s="4"/>
      <c r="AJ689" s="4"/>
      <c r="AK689" s="4"/>
    </row>
    <row r="690" spans="1:37" ht="70" customHeight="1" x14ac:dyDescent="0.2">
      <c r="A690" s="107"/>
      <c r="B690" s="4"/>
      <c r="C690" s="163"/>
      <c r="D690" s="4"/>
      <c r="E690" s="4"/>
      <c r="F690" s="4"/>
      <c r="G690" s="4"/>
      <c r="H690" s="4"/>
      <c r="I690" s="4"/>
      <c r="J690" s="4"/>
      <c r="K690" s="4"/>
      <c r="L690" s="4"/>
      <c r="M690" s="4"/>
      <c r="N690" s="4"/>
      <c r="O690" s="4"/>
      <c r="P690" s="4"/>
      <c r="Q690" s="4"/>
      <c r="R690" s="4"/>
      <c r="S690" s="4"/>
      <c r="T690" s="4"/>
      <c r="U690" s="4"/>
      <c r="V690" s="4"/>
      <c r="W690" s="4"/>
      <c r="X690" s="4"/>
      <c r="Y690" s="4"/>
      <c r="Z690" s="4"/>
      <c r="AA690" s="4"/>
      <c r="AB690" s="4"/>
      <c r="AC690" s="4"/>
      <c r="AD690" s="4"/>
      <c r="AE690" s="4"/>
      <c r="AF690" s="4"/>
      <c r="AG690" s="4"/>
      <c r="AH690" s="4"/>
      <c r="AI690" s="4"/>
      <c r="AJ690" s="4"/>
      <c r="AK690" s="4"/>
    </row>
    <row r="691" spans="1:37" ht="70" customHeight="1" x14ac:dyDescent="0.2">
      <c r="A691" s="107"/>
      <c r="B691" s="4"/>
      <c r="C691" s="163"/>
      <c r="D691" s="4"/>
      <c r="E691" s="4"/>
      <c r="F691" s="4"/>
      <c r="G691" s="4"/>
      <c r="H691" s="4"/>
      <c r="I691" s="4"/>
      <c r="J691" s="4"/>
      <c r="K691" s="4"/>
      <c r="L691" s="4"/>
      <c r="M691" s="4"/>
      <c r="N691" s="4"/>
      <c r="O691" s="4"/>
      <c r="P691" s="4"/>
      <c r="Q691" s="4"/>
      <c r="R691" s="4"/>
      <c r="S691" s="4"/>
      <c r="T691" s="4"/>
      <c r="U691" s="4"/>
      <c r="V691" s="4"/>
      <c r="W691" s="4"/>
      <c r="X691" s="4"/>
      <c r="Y691" s="4"/>
      <c r="Z691" s="4"/>
      <c r="AA691" s="4"/>
      <c r="AB691" s="4"/>
      <c r="AC691" s="4"/>
      <c r="AD691" s="4"/>
      <c r="AE691" s="4"/>
      <c r="AF691" s="4"/>
      <c r="AG691" s="4"/>
      <c r="AH691" s="4"/>
      <c r="AI691" s="4"/>
      <c r="AJ691" s="4"/>
      <c r="AK691" s="4"/>
    </row>
    <row r="692" spans="1:37" ht="70" customHeight="1" x14ac:dyDescent="0.2">
      <c r="A692" s="107"/>
      <c r="B692" s="4"/>
      <c r="C692" s="163"/>
      <c r="D692" s="4"/>
      <c r="E692" s="4"/>
      <c r="F692" s="4"/>
      <c r="G692" s="4"/>
      <c r="H692" s="4"/>
      <c r="I692" s="4"/>
      <c r="J692" s="4"/>
      <c r="K692" s="4"/>
      <c r="L692" s="4"/>
      <c r="M692" s="4"/>
      <c r="N692" s="4"/>
      <c r="O692" s="4"/>
      <c r="P692" s="4"/>
      <c r="Q692" s="4"/>
      <c r="R692" s="4"/>
      <c r="S692" s="4"/>
      <c r="T692" s="4"/>
      <c r="U692" s="4"/>
      <c r="V692" s="4"/>
      <c r="W692" s="4"/>
      <c r="X692" s="4"/>
      <c r="Y692" s="4"/>
      <c r="Z692" s="4"/>
      <c r="AA692" s="4"/>
      <c r="AB692" s="4"/>
      <c r="AC692" s="4"/>
      <c r="AD692" s="4"/>
      <c r="AE692" s="4"/>
      <c r="AF692" s="4"/>
      <c r="AG692" s="4"/>
      <c r="AH692" s="4"/>
      <c r="AI692" s="4"/>
      <c r="AJ692" s="4"/>
      <c r="AK692" s="4"/>
    </row>
    <row r="693" spans="1:37" ht="70" customHeight="1" x14ac:dyDescent="0.2">
      <c r="A693" s="107"/>
      <c r="B693" s="4"/>
      <c r="C693" s="163"/>
      <c r="D693" s="4"/>
      <c r="E693" s="4"/>
      <c r="F693" s="4"/>
      <c r="G693" s="4"/>
      <c r="H693" s="4"/>
      <c r="I693" s="4"/>
      <c r="J693" s="4"/>
      <c r="K693" s="4"/>
      <c r="L693" s="4"/>
      <c r="M693" s="4"/>
      <c r="N693" s="4"/>
      <c r="O693" s="4"/>
      <c r="P693" s="4"/>
      <c r="Q693" s="4"/>
      <c r="R693" s="4"/>
      <c r="S693" s="4"/>
      <c r="T693" s="4"/>
      <c r="U693" s="4"/>
      <c r="V693" s="4"/>
      <c r="W693" s="4"/>
      <c r="X693" s="4"/>
      <c r="Y693" s="4"/>
      <c r="Z693" s="4"/>
      <c r="AA693" s="4"/>
      <c r="AB693" s="4"/>
      <c r="AC693" s="4"/>
      <c r="AD693" s="4"/>
      <c r="AE693" s="4"/>
      <c r="AF693" s="4"/>
      <c r="AG693" s="4"/>
      <c r="AH693" s="4"/>
      <c r="AI693" s="4"/>
      <c r="AJ693" s="4"/>
      <c r="AK693" s="4"/>
    </row>
    <row r="694" spans="1:37" ht="70" customHeight="1" x14ac:dyDescent="0.2">
      <c r="A694" s="107"/>
      <c r="B694" s="4"/>
      <c r="C694" s="163"/>
      <c r="D694" s="4"/>
      <c r="E694" s="4"/>
      <c r="F694" s="4"/>
      <c r="G694" s="4"/>
      <c r="H694" s="4"/>
      <c r="I694" s="4"/>
      <c r="J694" s="4"/>
      <c r="K694" s="4"/>
      <c r="L694" s="4"/>
      <c r="M694" s="4"/>
      <c r="N694" s="4"/>
      <c r="O694" s="4"/>
      <c r="P694" s="4"/>
      <c r="Q694" s="4"/>
      <c r="R694" s="4"/>
      <c r="S694" s="4"/>
      <c r="T694" s="4"/>
      <c r="U694" s="4"/>
      <c r="V694" s="4"/>
      <c r="W694" s="4"/>
      <c r="X694" s="4"/>
      <c r="Y694" s="4"/>
      <c r="Z694" s="4"/>
      <c r="AA694" s="4"/>
      <c r="AB694" s="4"/>
      <c r="AC694" s="4"/>
      <c r="AD694" s="4"/>
      <c r="AE694" s="4"/>
      <c r="AF694" s="4"/>
      <c r="AG694" s="4"/>
      <c r="AH694" s="4"/>
      <c r="AI694" s="4"/>
      <c r="AJ694" s="4"/>
      <c r="AK694" s="4"/>
    </row>
    <row r="695" spans="1:37" ht="70" customHeight="1" x14ac:dyDescent="0.2">
      <c r="A695" s="107"/>
      <c r="B695" s="4"/>
      <c r="C695" s="163"/>
      <c r="D695" s="4"/>
      <c r="E695" s="4"/>
      <c r="F695" s="4"/>
      <c r="G695" s="4"/>
      <c r="H695" s="4"/>
      <c r="I695" s="4"/>
      <c r="J695" s="4"/>
      <c r="K695" s="4"/>
      <c r="L695" s="4"/>
      <c r="M695" s="4"/>
      <c r="N695" s="4"/>
      <c r="O695" s="4"/>
      <c r="P695" s="4"/>
      <c r="Q695" s="4"/>
      <c r="R695" s="4"/>
      <c r="S695" s="4"/>
      <c r="T695" s="4"/>
      <c r="U695" s="4"/>
      <c r="V695" s="4"/>
      <c r="W695" s="4"/>
      <c r="X695" s="4"/>
      <c r="Y695" s="4"/>
      <c r="Z695" s="4"/>
      <c r="AA695" s="4"/>
      <c r="AB695" s="4"/>
      <c r="AC695" s="4"/>
      <c r="AD695" s="4"/>
      <c r="AE695" s="4"/>
      <c r="AF695" s="4"/>
      <c r="AG695" s="4"/>
      <c r="AH695" s="4"/>
      <c r="AI695" s="4"/>
      <c r="AJ695" s="4"/>
      <c r="AK695" s="4"/>
    </row>
    <row r="696" spans="1:37" ht="70" customHeight="1" x14ac:dyDescent="0.2">
      <c r="A696" s="107"/>
      <c r="B696" s="4"/>
      <c r="C696" s="163"/>
      <c r="D696" s="4"/>
      <c r="E696" s="4"/>
      <c r="F696" s="4"/>
      <c r="G696" s="4"/>
      <c r="H696" s="4"/>
      <c r="I696" s="4"/>
      <c r="J696" s="4"/>
      <c r="K696" s="4"/>
      <c r="L696" s="4"/>
      <c r="M696" s="4"/>
      <c r="N696" s="4"/>
      <c r="O696" s="4"/>
      <c r="P696" s="4"/>
      <c r="Q696" s="4"/>
      <c r="R696" s="4"/>
      <c r="S696" s="4"/>
      <c r="T696" s="4"/>
      <c r="U696" s="4"/>
      <c r="V696" s="4"/>
      <c r="W696" s="4"/>
      <c r="X696" s="4"/>
      <c r="Y696" s="4"/>
      <c r="Z696" s="4"/>
      <c r="AA696" s="4"/>
      <c r="AB696" s="4"/>
      <c r="AC696" s="4"/>
      <c r="AD696" s="4"/>
      <c r="AE696" s="4"/>
      <c r="AF696" s="4"/>
      <c r="AG696" s="4"/>
      <c r="AH696" s="4"/>
      <c r="AI696" s="4"/>
      <c r="AJ696" s="4"/>
      <c r="AK696" s="4"/>
    </row>
    <row r="697" spans="1:37" ht="70" customHeight="1" x14ac:dyDescent="0.2">
      <c r="A697" s="107"/>
      <c r="B697" s="4"/>
      <c r="C697" s="163"/>
      <c r="D697" s="4"/>
      <c r="E697" s="4"/>
      <c r="F697" s="4"/>
      <c r="G697" s="4"/>
      <c r="H697" s="4"/>
      <c r="I697" s="4"/>
      <c r="J697" s="4"/>
      <c r="K697" s="4"/>
      <c r="L697" s="4"/>
      <c r="M697" s="4"/>
      <c r="N697" s="4"/>
      <c r="O697" s="4"/>
      <c r="P697" s="4"/>
      <c r="Q697" s="4"/>
      <c r="R697" s="4"/>
      <c r="S697" s="4"/>
      <c r="T697" s="4"/>
      <c r="U697" s="4"/>
      <c r="V697" s="4"/>
      <c r="W697" s="4"/>
      <c r="X697" s="4"/>
      <c r="Y697" s="4"/>
      <c r="Z697" s="4"/>
      <c r="AA697" s="4"/>
      <c r="AB697" s="4"/>
      <c r="AC697" s="4"/>
      <c r="AD697" s="4"/>
      <c r="AE697" s="4"/>
      <c r="AF697" s="4"/>
      <c r="AG697" s="4"/>
      <c r="AH697" s="4"/>
      <c r="AI697" s="4"/>
      <c r="AJ697" s="4"/>
      <c r="AK697" s="4"/>
    </row>
    <row r="698" spans="1:37" ht="70" customHeight="1" x14ac:dyDescent="0.2">
      <c r="A698" s="107"/>
      <c r="B698" s="4"/>
      <c r="C698" s="163"/>
      <c r="D698" s="4"/>
      <c r="E698" s="4"/>
      <c r="F698" s="4"/>
      <c r="G698" s="4"/>
      <c r="H698" s="4"/>
      <c r="I698" s="4"/>
      <c r="J698" s="4"/>
      <c r="K698" s="4"/>
      <c r="L698" s="4"/>
      <c r="M698" s="4"/>
      <c r="N698" s="4"/>
      <c r="O698" s="4"/>
      <c r="P698" s="4"/>
      <c r="Q698" s="4"/>
      <c r="R698" s="4"/>
      <c r="S698" s="4"/>
      <c r="T698" s="4"/>
      <c r="U698" s="4"/>
      <c r="V698" s="4"/>
      <c r="W698" s="4"/>
      <c r="X698" s="4"/>
      <c r="Y698" s="4"/>
      <c r="Z698" s="4"/>
      <c r="AA698" s="4"/>
      <c r="AB698" s="4"/>
      <c r="AC698" s="4"/>
      <c r="AD698" s="4"/>
      <c r="AE698" s="4"/>
      <c r="AF698" s="4"/>
      <c r="AG698" s="4"/>
      <c r="AH698" s="4"/>
      <c r="AI698" s="4"/>
      <c r="AJ698" s="4"/>
      <c r="AK698" s="4"/>
    </row>
    <row r="699" spans="1:37" ht="70" customHeight="1" x14ac:dyDescent="0.2">
      <c r="A699" s="107"/>
      <c r="B699" s="4"/>
      <c r="C699" s="163"/>
      <c r="D699" s="4"/>
      <c r="E699" s="4"/>
      <c r="F699" s="4"/>
      <c r="G699" s="4"/>
      <c r="H699" s="4"/>
      <c r="I699" s="4"/>
      <c r="J699" s="4"/>
      <c r="K699" s="4"/>
      <c r="L699" s="4"/>
      <c r="M699" s="4"/>
      <c r="N699" s="4"/>
      <c r="O699" s="4"/>
      <c r="P699" s="4"/>
      <c r="Q699" s="4"/>
      <c r="R699" s="4"/>
      <c r="S699" s="4"/>
      <c r="T699" s="4"/>
      <c r="U699" s="4"/>
      <c r="V699" s="4"/>
      <c r="W699" s="4"/>
      <c r="X699" s="4"/>
      <c r="Y699" s="4"/>
      <c r="Z699" s="4"/>
      <c r="AA699" s="4"/>
      <c r="AB699" s="4"/>
      <c r="AC699" s="4"/>
      <c r="AD699" s="4"/>
      <c r="AE699" s="4"/>
      <c r="AF699" s="4"/>
      <c r="AG699" s="4"/>
      <c r="AH699" s="4"/>
      <c r="AI699" s="4"/>
      <c r="AJ699" s="4"/>
      <c r="AK699" s="4"/>
    </row>
    <row r="700" spans="1:37" ht="70" customHeight="1" x14ac:dyDescent="0.2">
      <c r="A700" s="107"/>
      <c r="B700" s="4"/>
      <c r="C700" s="163"/>
      <c r="D700" s="4"/>
      <c r="E700" s="4"/>
      <c r="F700" s="4"/>
      <c r="G700" s="4"/>
      <c r="H700" s="4"/>
      <c r="I700" s="4"/>
      <c r="J700" s="4"/>
      <c r="K700" s="4"/>
      <c r="L700" s="4"/>
      <c r="M700" s="4"/>
      <c r="N700" s="4"/>
      <c r="O700" s="4"/>
      <c r="P700" s="4"/>
      <c r="Q700" s="4"/>
      <c r="R700" s="4"/>
      <c r="S700" s="4"/>
      <c r="T700" s="4"/>
      <c r="U700" s="4"/>
      <c r="V700" s="4"/>
      <c r="W700" s="4"/>
      <c r="X700" s="4"/>
      <c r="Y700" s="4"/>
      <c r="Z700" s="4"/>
      <c r="AA700" s="4"/>
      <c r="AB700" s="4"/>
      <c r="AC700" s="4"/>
      <c r="AD700" s="4"/>
      <c r="AE700" s="4"/>
      <c r="AF700" s="4"/>
      <c r="AG700" s="4"/>
      <c r="AH700" s="4"/>
      <c r="AI700" s="4"/>
      <c r="AJ700" s="4"/>
      <c r="AK700" s="4"/>
    </row>
    <row r="701" spans="1:37" ht="70" customHeight="1" x14ac:dyDescent="0.2">
      <c r="A701" s="107"/>
      <c r="B701" s="4"/>
      <c r="C701" s="163"/>
      <c r="D701" s="4"/>
      <c r="E701" s="4"/>
      <c r="F701" s="4"/>
      <c r="G701" s="4"/>
      <c r="H701" s="4"/>
      <c r="I701" s="4"/>
      <c r="J701" s="4"/>
      <c r="K701" s="4"/>
      <c r="L701" s="4"/>
      <c r="M701" s="4"/>
      <c r="N701" s="4"/>
      <c r="O701" s="4"/>
      <c r="P701" s="4"/>
      <c r="Q701" s="4"/>
      <c r="R701" s="4"/>
      <c r="S701" s="4"/>
      <c r="T701" s="4"/>
      <c r="U701" s="4"/>
      <c r="V701" s="4"/>
      <c r="W701" s="4"/>
      <c r="X701" s="4"/>
      <c r="Y701" s="4"/>
      <c r="Z701" s="4"/>
      <c r="AA701" s="4"/>
      <c r="AB701" s="4"/>
      <c r="AC701" s="4"/>
      <c r="AD701" s="4"/>
      <c r="AE701" s="4"/>
      <c r="AF701" s="4"/>
      <c r="AG701" s="4"/>
      <c r="AH701" s="4"/>
      <c r="AI701" s="4"/>
      <c r="AJ701" s="4"/>
      <c r="AK701" s="4"/>
    </row>
    <row r="702" spans="1:37" ht="70" customHeight="1" x14ac:dyDescent="0.2">
      <c r="A702" s="107"/>
      <c r="B702" s="4"/>
      <c r="C702" s="163"/>
      <c r="D702" s="4"/>
      <c r="E702" s="4"/>
      <c r="F702" s="4"/>
      <c r="G702" s="4"/>
      <c r="H702" s="4"/>
      <c r="I702" s="4"/>
      <c r="J702" s="4"/>
      <c r="K702" s="4"/>
      <c r="L702" s="4"/>
      <c r="M702" s="4"/>
      <c r="N702" s="4"/>
      <c r="O702" s="4"/>
      <c r="P702" s="4"/>
      <c r="Q702" s="4"/>
      <c r="R702" s="4"/>
      <c r="S702" s="4"/>
      <c r="T702" s="4"/>
      <c r="U702" s="4"/>
      <c r="V702" s="4"/>
      <c r="W702" s="4"/>
      <c r="X702" s="4"/>
      <c r="Y702" s="4"/>
      <c r="Z702" s="4"/>
      <c r="AA702" s="4"/>
      <c r="AB702" s="4"/>
      <c r="AC702" s="4"/>
      <c r="AD702" s="4"/>
      <c r="AE702" s="4"/>
      <c r="AF702" s="4"/>
      <c r="AG702" s="4"/>
      <c r="AH702" s="4"/>
      <c r="AI702" s="4"/>
      <c r="AJ702" s="4"/>
      <c r="AK702" s="4"/>
    </row>
    <row r="703" spans="1:37" ht="70" customHeight="1" x14ac:dyDescent="0.2">
      <c r="A703" s="107"/>
      <c r="B703" s="4"/>
      <c r="C703" s="163"/>
      <c r="D703" s="4"/>
      <c r="E703" s="4"/>
      <c r="F703" s="4"/>
      <c r="G703" s="4"/>
      <c r="H703" s="4"/>
      <c r="I703" s="4"/>
      <c r="J703" s="4"/>
      <c r="K703" s="4"/>
      <c r="L703" s="4"/>
      <c r="M703" s="4"/>
      <c r="N703" s="4"/>
      <c r="O703" s="4"/>
      <c r="P703" s="4"/>
      <c r="Q703" s="4"/>
      <c r="R703" s="4"/>
      <c r="S703" s="4"/>
      <c r="T703" s="4"/>
      <c r="U703" s="4"/>
      <c r="V703" s="4"/>
      <c r="W703" s="4"/>
      <c r="X703" s="4"/>
      <c r="Y703" s="4"/>
      <c r="Z703" s="4"/>
      <c r="AA703" s="4"/>
      <c r="AB703" s="4"/>
      <c r="AC703" s="4"/>
      <c r="AD703" s="4"/>
      <c r="AE703" s="4"/>
      <c r="AF703" s="4"/>
      <c r="AG703" s="4"/>
      <c r="AH703" s="4"/>
      <c r="AI703" s="4"/>
      <c r="AJ703" s="4"/>
      <c r="AK703" s="4"/>
    </row>
    <row r="704" spans="1:37" ht="70" customHeight="1" x14ac:dyDescent="0.2">
      <c r="A704" s="107"/>
      <c r="B704" s="4"/>
      <c r="C704" s="163"/>
      <c r="D704" s="4"/>
      <c r="E704" s="4"/>
      <c r="F704" s="4"/>
      <c r="G704" s="4"/>
      <c r="H704" s="4"/>
      <c r="I704" s="4"/>
      <c r="J704" s="4"/>
      <c r="K704" s="4"/>
      <c r="L704" s="4"/>
      <c r="M704" s="4"/>
      <c r="N704" s="4"/>
      <c r="O704" s="4"/>
      <c r="P704" s="4"/>
      <c r="Q704" s="4"/>
      <c r="R704" s="4"/>
      <c r="S704" s="4"/>
      <c r="T704" s="4"/>
      <c r="U704" s="4"/>
      <c r="V704" s="4"/>
      <c r="W704" s="4"/>
      <c r="X704" s="4"/>
      <c r="Y704" s="4"/>
      <c r="Z704" s="4"/>
      <c r="AA704" s="4"/>
      <c r="AB704" s="4"/>
      <c r="AC704" s="4"/>
      <c r="AD704" s="4"/>
      <c r="AE704" s="4"/>
      <c r="AF704" s="4"/>
      <c r="AG704" s="4"/>
      <c r="AH704" s="4"/>
      <c r="AI704" s="4"/>
      <c r="AJ704" s="4"/>
      <c r="AK704" s="4"/>
    </row>
    <row r="705" spans="1:37" ht="70" customHeight="1" x14ac:dyDescent="0.2">
      <c r="A705" s="107"/>
      <c r="B705" s="4"/>
      <c r="C705" s="163"/>
      <c r="D705" s="4"/>
      <c r="E705" s="4"/>
      <c r="F705" s="4"/>
      <c r="G705" s="4"/>
      <c r="H705" s="4"/>
      <c r="I705" s="4"/>
      <c r="J705" s="4"/>
      <c r="K705" s="4"/>
      <c r="L705" s="4"/>
      <c r="M705" s="4"/>
      <c r="N705" s="4"/>
      <c r="O705" s="4"/>
      <c r="P705" s="4"/>
      <c r="Q705" s="4"/>
      <c r="R705" s="4"/>
      <c r="S705" s="4"/>
      <c r="T705" s="4"/>
      <c r="U705" s="4"/>
      <c r="V705" s="4"/>
      <c r="W705" s="4"/>
      <c r="X705" s="4"/>
      <c r="Y705" s="4"/>
      <c r="Z705" s="4"/>
      <c r="AA705" s="4"/>
      <c r="AB705" s="4"/>
      <c r="AC705" s="4"/>
      <c r="AD705" s="4"/>
      <c r="AE705" s="4"/>
      <c r="AF705" s="4"/>
      <c r="AG705" s="4"/>
      <c r="AH705" s="4"/>
      <c r="AI705" s="4"/>
      <c r="AJ705" s="4"/>
      <c r="AK705" s="4"/>
    </row>
    <row r="706" spans="1:37" ht="70" customHeight="1" x14ac:dyDescent="0.2">
      <c r="A706" s="107"/>
      <c r="B706" s="4"/>
      <c r="C706" s="163"/>
      <c r="D706" s="4"/>
      <c r="E706" s="4"/>
      <c r="F706" s="4"/>
      <c r="G706" s="4"/>
      <c r="H706" s="4"/>
      <c r="I706" s="4"/>
      <c r="J706" s="4"/>
      <c r="K706" s="4"/>
      <c r="L706" s="4"/>
      <c r="M706" s="4"/>
      <c r="N706" s="4"/>
      <c r="O706" s="4"/>
      <c r="P706" s="4"/>
      <c r="Q706" s="4"/>
      <c r="R706" s="4"/>
      <c r="S706" s="4"/>
      <c r="T706" s="4"/>
      <c r="U706" s="4"/>
      <c r="V706" s="4"/>
      <c r="W706" s="4"/>
      <c r="X706" s="4"/>
      <c r="Y706" s="4"/>
      <c r="Z706" s="4"/>
      <c r="AA706" s="4"/>
      <c r="AB706" s="4"/>
      <c r="AC706" s="4"/>
      <c r="AD706" s="4"/>
      <c r="AE706" s="4"/>
      <c r="AF706" s="4"/>
      <c r="AG706" s="4"/>
      <c r="AH706" s="4"/>
      <c r="AI706" s="4"/>
      <c r="AJ706" s="4"/>
      <c r="AK706" s="4"/>
    </row>
    <row r="707" spans="1:37" ht="70" customHeight="1" x14ac:dyDescent="0.2">
      <c r="A707" s="107"/>
      <c r="B707" s="4"/>
      <c r="C707" s="163"/>
      <c r="D707" s="4"/>
      <c r="E707" s="4"/>
      <c r="F707" s="4"/>
      <c r="G707" s="4"/>
      <c r="H707" s="4"/>
      <c r="I707" s="4"/>
      <c r="J707" s="4"/>
      <c r="K707" s="4"/>
      <c r="L707" s="4"/>
      <c r="M707" s="4"/>
      <c r="N707" s="4"/>
      <c r="O707" s="4"/>
      <c r="P707" s="4"/>
      <c r="Q707" s="4"/>
      <c r="R707" s="4"/>
      <c r="S707" s="4"/>
      <c r="T707" s="4"/>
      <c r="U707" s="4"/>
      <c r="V707" s="4"/>
      <c r="W707" s="4"/>
      <c r="X707" s="4"/>
      <c r="Y707" s="4"/>
      <c r="Z707" s="4"/>
      <c r="AA707" s="4"/>
      <c r="AB707" s="4"/>
      <c r="AC707" s="4"/>
      <c r="AD707" s="4"/>
      <c r="AE707" s="4"/>
      <c r="AF707" s="4"/>
      <c r="AG707" s="4"/>
      <c r="AH707" s="4"/>
      <c r="AI707" s="4"/>
      <c r="AJ707" s="4"/>
      <c r="AK707" s="4"/>
    </row>
    <row r="708" spans="1:37" ht="70" customHeight="1" x14ac:dyDescent="0.2">
      <c r="A708" s="107"/>
      <c r="B708" s="4"/>
      <c r="C708" s="163"/>
      <c r="D708" s="4"/>
      <c r="E708" s="4"/>
      <c r="F708" s="4"/>
      <c r="G708" s="4"/>
      <c r="H708" s="4"/>
      <c r="I708" s="4"/>
      <c r="J708" s="4"/>
      <c r="K708" s="4"/>
      <c r="L708" s="4"/>
      <c r="M708" s="4"/>
      <c r="N708" s="4"/>
      <c r="O708" s="4"/>
      <c r="P708" s="4"/>
      <c r="Q708" s="4"/>
      <c r="R708" s="4"/>
      <c r="S708" s="4"/>
      <c r="T708" s="4"/>
      <c r="U708" s="4"/>
      <c r="V708" s="4"/>
      <c r="W708" s="4"/>
      <c r="X708" s="4"/>
      <c r="Y708" s="4"/>
      <c r="Z708" s="4"/>
      <c r="AA708" s="4"/>
      <c r="AB708" s="4"/>
      <c r="AC708" s="4"/>
      <c r="AD708" s="4"/>
      <c r="AE708" s="4"/>
      <c r="AF708" s="4"/>
      <c r="AG708" s="4"/>
      <c r="AH708" s="4"/>
      <c r="AI708" s="4"/>
      <c r="AJ708" s="4"/>
      <c r="AK708" s="4"/>
    </row>
    <row r="709" spans="1:37" ht="70" customHeight="1" x14ac:dyDescent="0.2">
      <c r="A709" s="107"/>
      <c r="B709" s="4"/>
      <c r="C709" s="163"/>
      <c r="D709" s="4"/>
      <c r="E709" s="4"/>
      <c r="F709" s="4"/>
      <c r="G709" s="4"/>
      <c r="H709" s="4"/>
      <c r="I709" s="4"/>
      <c r="J709" s="4"/>
      <c r="K709" s="4"/>
      <c r="L709" s="4"/>
      <c r="M709" s="4"/>
      <c r="N709" s="4"/>
      <c r="O709" s="4"/>
      <c r="P709" s="4"/>
      <c r="Q709" s="4"/>
      <c r="R709" s="4"/>
      <c r="S709" s="4"/>
      <c r="T709" s="4"/>
      <c r="U709" s="4"/>
      <c r="V709" s="4"/>
      <c r="W709" s="4"/>
      <c r="X709" s="4"/>
      <c r="Y709" s="4"/>
      <c r="Z709" s="4"/>
      <c r="AA709" s="4"/>
      <c r="AB709" s="4"/>
      <c r="AC709" s="4"/>
      <c r="AD709" s="4"/>
      <c r="AE709" s="4"/>
      <c r="AF709" s="4"/>
      <c r="AG709" s="4"/>
      <c r="AH709" s="4"/>
      <c r="AI709" s="4"/>
      <c r="AJ709" s="4"/>
      <c r="AK709" s="4"/>
    </row>
    <row r="710" spans="1:37" ht="70" customHeight="1" x14ac:dyDescent="0.2">
      <c r="A710" s="107"/>
      <c r="B710" s="4"/>
      <c r="C710" s="163"/>
      <c r="D710" s="4"/>
      <c r="E710" s="4"/>
      <c r="F710" s="4"/>
      <c r="G710" s="4"/>
      <c r="H710" s="4"/>
      <c r="I710" s="4"/>
      <c r="J710" s="4"/>
      <c r="K710" s="4"/>
      <c r="L710" s="4"/>
      <c r="M710" s="4"/>
      <c r="N710" s="4"/>
      <c r="O710" s="4"/>
      <c r="P710" s="4"/>
      <c r="Q710" s="4"/>
      <c r="R710" s="4"/>
      <c r="S710" s="4"/>
      <c r="T710" s="4"/>
      <c r="U710" s="4"/>
      <c r="V710" s="4"/>
      <c r="W710" s="4"/>
      <c r="X710" s="4"/>
      <c r="Y710" s="4"/>
      <c r="Z710" s="4"/>
      <c r="AA710" s="4"/>
      <c r="AB710" s="4"/>
      <c r="AC710" s="4"/>
      <c r="AD710" s="4"/>
      <c r="AE710" s="4"/>
      <c r="AF710" s="4"/>
      <c r="AG710" s="4"/>
      <c r="AH710" s="4"/>
      <c r="AI710" s="4"/>
      <c r="AJ710" s="4"/>
      <c r="AK710" s="4"/>
    </row>
    <row r="711" spans="1:37" ht="70" customHeight="1" x14ac:dyDescent="0.2">
      <c r="A711" s="107"/>
      <c r="B711" s="4"/>
      <c r="C711" s="163"/>
      <c r="D711" s="4"/>
      <c r="E711" s="4"/>
      <c r="F711" s="4"/>
      <c r="G711" s="4"/>
      <c r="H711" s="4"/>
      <c r="I711" s="4"/>
      <c r="J711" s="4"/>
      <c r="K711" s="4"/>
      <c r="L711" s="4"/>
      <c r="M711" s="4"/>
      <c r="N711" s="4"/>
      <c r="O711" s="4"/>
      <c r="P711" s="4"/>
      <c r="Q711" s="4"/>
      <c r="R711" s="4"/>
      <c r="S711" s="4"/>
      <c r="T711" s="4"/>
      <c r="U711" s="4"/>
      <c r="V711" s="4"/>
      <c r="W711" s="4"/>
      <c r="X711" s="4"/>
      <c r="Y711" s="4"/>
      <c r="Z711" s="4"/>
      <c r="AA711" s="4"/>
      <c r="AB711" s="4"/>
      <c r="AC711" s="4"/>
      <c r="AD711" s="4"/>
      <c r="AE711" s="4"/>
      <c r="AF711" s="4"/>
      <c r="AG711" s="4"/>
      <c r="AH711" s="4"/>
      <c r="AI711" s="4"/>
      <c r="AJ711" s="4"/>
      <c r="AK711" s="4"/>
    </row>
    <row r="712" spans="1:37" ht="70" customHeight="1" x14ac:dyDescent="0.2">
      <c r="A712" s="107"/>
      <c r="B712" s="4"/>
      <c r="C712" s="163"/>
      <c r="D712" s="4"/>
      <c r="E712" s="4"/>
      <c r="F712" s="4"/>
      <c r="G712" s="4"/>
      <c r="H712" s="4"/>
      <c r="I712" s="4"/>
      <c r="J712" s="4"/>
      <c r="K712" s="4"/>
      <c r="L712" s="4"/>
      <c r="M712" s="4"/>
      <c r="N712" s="4"/>
      <c r="O712" s="4"/>
      <c r="P712" s="4"/>
      <c r="Q712" s="4"/>
      <c r="R712" s="4"/>
      <c r="S712" s="4"/>
      <c r="T712" s="4"/>
      <c r="U712" s="4"/>
      <c r="V712" s="4"/>
      <c r="W712" s="4"/>
      <c r="X712" s="4"/>
      <c r="Y712" s="4"/>
      <c r="Z712" s="4"/>
      <c r="AA712" s="4"/>
      <c r="AB712" s="4"/>
      <c r="AC712" s="4"/>
      <c r="AD712" s="4"/>
      <c r="AE712" s="4"/>
      <c r="AF712" s="4"/>
      <c r="AG712" s="4"/>
      <c r="AH712" s="4"/>
      <c r="AI712" s="4"/>
      <c r="AJ712" s="4"/>
      <c r="AK712" s="4"/>
    </row>
    <row r="713" spans="1:37" ht="70" customHeight="1" x14ac:dyDescent="0.2">
      <c r="A713" s="107"/>
      <c r="B713" s="4"/>
      <c r="C713" s="163"/>
      <c r="D713" s="4"/>
      <c r="E713" s="4"/>
      <c r="F713" s="4"/>
      <c r="G713" s="4"/>
      <c r="H713" s="4"/>
      <c r="I713" s="4"/>
      <c r="J713" s="4"/>
      <c r="K713" s="4"/>
      <c r="L713" s="4"/>
      <c r="M713" s="4"/>
      <c r="N713" s="4"/>
      <c r="O713" s="4"/>
      <c r="P713" s="4"/>
      <c r="Q713" s="4"/>
      <c r="R713" s="4"/>
      <c r="S713" s="4"/>
      <c r="T713" s="4"/>
      <c r="U713" s="4"/>
      <c r="V713" s="4"/>
      <c r="W713" s="4"/>
      <c r="X713" s="4"/>
      <c r="Y713" s="4"/>
      <c r="Z713" s="4"/>
      <c r="AA713" s="4"/>
      <c r="AB713" s="4"/>
      <c r="AC713" s="4"/>
      <c r="AD713" s="4"/>
      <c r="AE713" s="4"/>
      <c r="AF713" s="4"/>
      <c r="AG713" s="4"/>
      <c r="AH713" s="4"/>
      <c r="AI713" s="4"/>
      <c r="AJ713" s="4"/>
      <c r="AK713" s="4"/>
    </row>
    <row r="714" spans="1:37" ht="70" customHeight="1" x14ac:dyDescent="0.2">
      <c r="A714" s="107"/>
      <c r="B714" s="4"/>
      <c r="C714" s="163"/>
      <c r="D714" s="4"/>
      <c r="E714" s="4"/>
      <c r="F714" s="4"/>
      <c r="G714" s="4"/>
      <c r="H714" s="4"/>
      <c r="I714" s="4"/>
      <c r="J714" s="4"/>
      <c r="K714" s="4"/>
      <c r="L714" s="4"/>
      <c r="M714" s="4"/>
      <c r="N714" s="4"/>
      <c r="O714" s="4"/>
      <c r="P714" s="4"/>
      <c r="Q714" s="4"/>
      <c r="R714" s="4"/>
      <c r="S714" s="4"/>
      <c r="T714" s="4"/>
      <c r="U714" s="4"/>
      <c r="V714" s="4"/>
      <c r="W714" s="4"/>
      <c r="X714" s="4"/>
      <c r="Y714" s="4"/>
      <c r="Z714" s="4"/>
      <c r="AA714" s="4"/>
      <c r="AB714" s="4"/>
      <c r="AC714" s="4"/>
      <c r="AD714" s="4"/>
      <c r="AE714" s="4"/>
      <c r="AF714" s="4"/>
      <c r="AG714" s="4"/>
      <c r="AH714" s="4"/>
      <c r="AI714" s="4"/>
      <c r="AJ714" s="4"/>
      <c r="AK714" s="4"/>
    </row>
    <row r="715" spans="1:37" ht="70" customHeight="1" x14ac:dyDescent="0.2">
      <c r="A715" s="107"/>
      <c r="B715" s="4"/>
      <c r="C715" s="163"/>
      <c r="D715" s="4"/>
      <c r="E715" s="4"/>
      <c r="F715" s="4"/>
      <c r="G715" s="4"/>
      <c r="H715" s="4"/>
      <c r="I715" s="4"/>
      <c r="J715" s="4"/>
      <c r="K715" s="4"/>
      <c r="L715" s="4"/>
      <c r="M715" s="4"/>
      <c r="N715" s="4"/>
      <c r="O715" s="4"/>
      <c r="P715" s="4"/>
      <c r="Q715" s="4"/>
      <c r="R715" s="4"/>
      <c r="S715" s="4"/>
      <c r="T715" s="4"/>
      <c r="U715" s="4"/>
      <c r="V715" s="4"/>
      <c r="W715" s="4"/>
      <c r="X715" s="4"/>
      <c r="Y715" s="4"/>
      <c r="Z715" s="4"/>
      <c r="AA715" s="4"/>
      <c r="AB715" s="4"/>
      <c r="AC715" s="4"/>
      <c r="AD715" s="4"/>
      <c r="AE715" s="4"/>
      <c r="AF715" s="4"/>
      <c r="AG715" s="4"/>
      <c r="AH715" s="4"/>
      <c r="AI715" s="4"/>
      <c r="AJ715" s="4"/>
      <c r="AK715" s="4"/>
    </row>
    <row r="716" spans="1:37" ht="70" customHeight="1" x14ac:dyDescent="0.2">
      <c r="A716" s="107"/>
      <c r="B716" s="4"/>
      <c r="C716" s="163"/>
      <c r="D716" s="4"/>
      <c r="E716" s="4"/>
      <c r="F716" s="4"/>
      <c r="G716" s="4"/>
      <c r="H716" s="4"/>
      <c r="I716" s="4"/>
      <c r="J716" s="4"/>
      <c r="K716" s="4"/>
      <c r="L716" s="4"/>
      <c r="M716" s="4"/>
      <c r="N716" s="4"/>
      <c r="O716" s="4"/>
      <c r="P716" s="4"/>
      <c r="Q716" s="4"/>
      <c r="R716" s="4"/>
      <c r="S716" s="4"/>
      <c r="T716" s="4"/>
      <c r="U716" s="4"/>
      <c r="V716" s="4"/>
      <c r="W716" s="4"/>
      <c r="X716" s="4"/>
      <c r="Y716" s="4"/>
      <c r="Z716" s="4"/>
      <c r="AA716" s="4"/>
      <c r="AB716" s="4"/>
      <c r="AC716" s="4"/>
      <c r="AD716" s="4"/>
      <c r="AE716" s="4"/>
      <c r="AF716" s="4"/>
      <c r="AG716" s="4"/>
      <c r="AH716" s="4"/>
      <c r="AI716" s="4"/>
      <c r="AJ716" s="4"/>
      <c r="AK716" s="4"/>
    </row>
    <row r="717" spans="1:37" ht="70" customHeight="1" x14ac:dyDescent="0.2">
      <c r="A717" s="107"/>
      <c r="B717" s="4"/>
      <c r="C717" s="163"/>
      <c r="D717" s="4"/>
      <c r="E717" s="4"/>
      <c r="F717" s="4"/>
      <c r="G717" s="4"/>
      <c r="H717" s="4"/>
      <c r="I717" s="4"/>
      <c r="J717" s="4"/>
      <c r="K717" s="4"/>
      <c r="L717" s="4"/>
      <c r="M717" s="4"/>
      <c r="N717" s="4"/>
      <c r="O717" s="4"/>
      <c r="P717" s="4"/>
      <c r="Q717" s="4"/>
      <c r="R717" s="4"/>
      <c r="S717" s="4"/>
      <c r="T717" s="4"/>
      <c r="U717" s="4"/>
      <c r="V717" s="4"/>
      <c r="W717" s="4"/>
      <c r="X717" s="4"/>
      <c r="Y717" s="4"/>
      <c r="Z717" s="4"/>
      <c r="AA717" s="4"/>
      <c r="AB717" s="4"/>
      <c r="AC717" s="4"/>
      <c r="AD717" s="4"/>
      <c r="AE717" s="4"/>
      <c r="AF717" s="4"/>
      <c r="AG717" s="4"/>
      <c r="AH717" s="4"/>
      <c r="AI717" s="4"/>
      <c r="AJ717" s="4"/>
      <c r="AK717" s="4"/>
    </row>
    <row r="718" spans="1:37" ht="70" customHeight="1" x14ac:dyDescent="0.2">
      <c r="A718" s="107"/>
      <c r="B718" s="4"/>
      <c r="C718" s="163"/>
      <c r="D718" s="4"/>
      <c r="E718" s="4"/>
      <c r="F718" s="4"/>
      <c r="G718" s="4"/>
      <c r="H718" s="4"/>
      <c r="I718" s="4"/>
      <c r="J718" s="4"/>
      <c r="K718" s="4"/>
      <c r="L718" s="4"/>
      <c r="M718" s="4"/>
      <c r="N718" s="4"/>
      <c r="O718" s="4"/>
      <c r="P718" s="4"/>
      <c r="Q718" s="4"/>
      <c r="R718" s="4"/>
      <c r="S718" s="4"/>
      <c r="T718" s="4"/>
      <c r="U718" s="4"/>
      <c r="V718" s="4"/>
      <c r="W718" s="4"/>
      <c r="X718" s="4"/>
      <c r="Y718" s="4"/>
      <c r="Z718" s="4"/>
      <c r="AA718" s="4"/>
      <c r="AB718" s="4"/>
      <c r="AC718" s="4"/>
      <c r="AD718" s="4"/>
      <c r="AE718" s="4"/>
      <c r="AF718" s="4"/>
      <c r="AG718" s="4"/>
      <c r="AH718" s="4"/>
      <c r="AI718" s="4"/>
      <c r="AJ718" s="4"/>
      <c r="AK718" s="4"/>
    </row>
    <row r="719" spans="1:37" ht="70" customHeight="1" x14ac:dyDescent="0.2">
      <c r="A719" s="107"/>
      <c r="B719" s="4"/>
      <c r="C719" s="163"/>
      <c r="D719" s="4"/>
      <c r="E719" s="4"/>
      <c r="F719" s="4"/>
      <c r="G719" s="4"/>
      <c r="H719" s="4"/>
      <c r="I719" s="4"/>
      <c r="J719" s="4"/>
      <c r="K719" s="4"/>
      <c r="L719" s="4"/>
      <c r="M719" s="4"/>
      <c r="N719" s="4"/>
      <c r="O719" s="4"/>
      <c r="P719" s="4"/>
      <c r="Q719" s="4"/>
      <c r="R719" s="4"/>
      <c r="S719" s="4"/>
      <c r="T719" s="4"/>
      <c r="U719" s="4"/>
      <c r="V719" s="4"/>
      <c r="W719" s="4"/>
      <c r="X719" s="4"/>
      <c r="Y719" s="4"/>
      <c r="Z719" s="4"/>
      <c r="AA719" s="4"/>
      <c r="AB719" s="4"/>
      <c r="AC719" s="4"/>
      <c r="AD719" s="4"/>
      <c r="AE719" s="4"/>
      <c r="AF719" s="4"/>
      <c r="AG719" s="4"/>
      <c r="AH719" s="4"/>
      <c r="AI719" s="4"/>
      <c r="AJ719" s="4"/>
      <c r="AK719" s="4"/>
    </row>
    <row r="720" spans="1:37" ht="70" customHeight="1" x14ac:dyDescent="0.2">
      <c r="A720" s="107"/>
      <c r="B720" s="4"/>
      <c r="C720" s="163"/>
      <c r="D720" s="4"/>
      <c r="E720" s="4"/>
      <c r="F720" s="4"/>
      <c r="G720" s="4"/>
      <c r="H720" s="4"/>
      <c r="I720" s="4"/>
      <c r="J720" s="4"/>
      <c r="K720" s="4"/>
      <c r="L720" s="4"/>
      <c r="M720" s="4"/>
      <c r="N720" s="4"/>
      <c r="O720" s="4"/>
      <c r="P720" s="4"/>
      <c r="Q720" s="4"/>
      <c r="R720" s="4"/>
      <c r="S720" s="4"/>
      <c r="T720" s="4"/>
      <c r="U720" s="4"/>
      <c r="V720" s="4"/>
      <c r="W720" s="4"/>
      <c r="X720" s="4"/>
      <c r="Y720" s="4"/>
      <c r="Z720" s="4"/>
      <c r="AA720" s="4"/>
      <c r="AB720" s="4"/>
      <c r="AC720" s="4"/>
      <c r="AD720" s="4"/>
      <c r="AE720" s="4"/>
      <c r="AF720" s="4"/>
      <c r="AG720" s="4"/>
      <c r="AH720" s="4"/>
      <c r="AI720" s="4"/>
      <c r="AJ720" s="4"/>
      <c r="AK720" s="4"/>
    </row>
    <row r="721" spans="1:37" ht="70" customHeight="1" x14ac:dyDescent="0.2">
      <c r="A721" s="107"/>
      <c r="B721" s="4"/>
      <c r="C721" s="163"/>
      <c r="D721" s="4"/>
      <c r="E721" s="4"/>
      <c r="F721" s="4"/>
      <c r="G721" s="4"/>
      <c r="H721" s="4"/>
      <c r="I721" s="4"/>
      <c r="J721" s="4"/>
      <c r="K721" s="4"/>
      <c r="L721" s="4"/>
      <c r="M721" s="4"/>
      <c r="N721" s="4"/>
      <c r="O721" s="4"/>
      <c r="P721" s="4"/>
      <c r="Q721" s="4"/>
      <c r="R721" s="4"/>
      <c r="S721" s="4"/>
      <c r="T721" s="4"/>
      <c r="U721" s="4"/>
      <c r="V721" s="4"/>
      <c r="W721" s="4"/>
      <c r="X721" s="4"/>
      <c r="Y721" s="4"/>
      <c r="Z721" s="4"/>
      <c r="AA721" s="4"/>
      <c r="AB721" s="4"/>
      <c r="AC721" s="4"/>
      <c r="AD721" s="4"/>
      <c r="AE721" s="4"/>
      <c r="AF721" s="4"/>
      <c r="AG721" s="4"/>
      <c r="AH721" s="4"/>
      <c r="AI721" s="4"/>
      <c r="AJ721" s="4"/>
      <c r="AK721" s="4"/>
    </row>
    <row r="722" spans="1:37" ht="70" customHeight="1" x14ac:dyDescent="0.2">
      <c r="A722" s="107"/>
      <c r="B722" s="4"/>
      <c r="C722" s="163"/>
      <c r="D722" s="4"/>
      <c r="E722" s="4"/>
      <c r="F722" s="4"/>
      <c r="G722" s="4"/>
      <c r="H722" s="4"/>
      <c r="I722" s="4"/>
      <c r="J722" s="4"/>
      <c r="K722" s="4"/>
      <c r="L722" s="4"/>
      <c r="M722" s="4"/>
      <c r="N722" s="4"/>
      <c r="O722" s="4"/>
      <c r="P722" s="4"/>
      <c r="Q722" s="4"/>
      <c r="R722" s="4"/>
      <c r="S722" s="4"/>
      <c r="T722" s="4"/>
      <c r="U722" s="4"/>
      <c r="V722" s="4"/>
      <c r="W722" s="4"/>
      <c r="X722" s="4"/>
      <c r="Y722" s="4"/>
      <c r="Z722" s="4"/>
      <c r="AA722" s="4"/>
      <c r="AB722" s="4"/>
      <c r="AC722" s="4"/>
      <c r="AD722" s="4"/>
      <c r="AE722" s="4"/>
      <c r="AF722" s="4"/>
      <c r="AG722" s="4"/>
      <c r="AH722" s="4"/>
      <c r="AI722" s="4"/>
      <c r="AJ722" s="4"/>
      <c r="AK722" s="4"/>
    </row>
    <row r="723" spans="1:37" ht="70" customHeight="1" x14ac:dyDescent="0.2">
      <c r="A723" s="107"/>
      <c r="B723" s="4"/>
      <c r="C723" s="163"/>
      <c r="D723" s="4"/>
      <c r="E723" s="4"/>
      <c r="F723" s="4"/>
      <c r="G723" s="4"/>
      <c r="H723" s="4"/>
      <c r="I723" s="4"/>
      <c r="J723" s="4"/>
      <c r="K723" s="4"/>
      <c r="L723" s="4"/>
      <c r="M723" s="4"/>
      <c r="N723" s="4"/>
      <c r="O723" s="4"/>
      <c r="P723" s="4"/>
      <c r="Q723" s="4"/>
      <c r="R723" s="4"/>
      <c r="S723" s="4"/>
      <c r="T723" s="4"/>
      <c r="U723" s="4"/>
      <c r="V723" s="4"/>
      <c r="W723" s="4"/>
      <c r="X723" s="4"/>
      <c r="Y723" s="4"/>
      <c r="Z723" s="4"/>
      <c r="AA723" s="4"/>
      <c r="AB723" s="4"/>
      <c r="AC723" s="4"/>
      <c r="AD723" s="4"/>
      <c r="AE723" s="4"/>
      <c r="AF723" s="4"/>
      <c r="AG723" s="4"/>
      <c r="AH723" s="4"/>
      <c r="AI723" s="4"/>
      <c r="AJ723" s="4"/>
      <c r="AK723" s="4"/>
    </row>
    <row r="724" spans="1:37" ht="70" customHeight="1" x14ac:dyDescent="0.2">
      <c r="A724" s="107"/>
      <c r="B724" s="4"/>
      <c r="C724" s="163"/>
      <c r="D724" s="4"/>
      <c r="E724" s="4"/>
      <c r="F724" s="4"/>
      <c r="G724" s="4"/>
      <c r="H724" s="4"/>
      <c r="I724" s="4"/>
      <c r="J724" s="4"/>
      <c r="K724" s="4"/>
      <c r="L724" s="4"/>
      <c r="M724" s="4"/>
      <c r="N724" s="4"/>
      <c r="O724" s="4"/>
      <c r="P724" s="4"/>
      <c r="Q724" s="4"/>
      <c r="R724" s="4"/>
      <c r="S724" s="4"/>
      <c r="T724" s="4"/>
      <c r="U724" s="4"/>
      <c r="V724" s="4"/>
      <c r="W724" s="4"/>
      <c r="X724" s="4"/>
      <c r="Y724" s="4"/>
      <c r="Z724" s="4"/>
      <c r="AA724" s="4"/>
      <c r="AB724" s="4"/>
      <c r="AC724" s="4"/>
      <c r="AD724" s="4"/>
      <c r="AE724" s="4"/>
      <c r="AF724" s="4"/>
      <c r="AG724" s="4"/>
      <c r="AH724" s="4"/>
      <c r="AI724" s="4"/>
      <c r="AJ724" s="4"/>
      <c r="AK724" s="4"/>
    </row>
    <row r="725" spans="1:37" ht="70" customHeight="1" x14ac:dyDescent="0.2">
      <c r="A725" s="107"/>
      <c r="B725" s="4"/>
      <c r="C725" s="163"/>
      <c r="D725" s="4"/>
      <c r="E725" s="4"/>
      <c r="F725" s="4"/>
      <c r="G725" s="4"/>
      <c r="H725" s="4"/>
      <c r="I725" s="4"/>
      <c r="J725" s="4"/>
      <c r="K725" s="4"/>
      <c r="L725" s="4"/>
      <c r="M725" s="4"/>
      <c r="N725" s="4"/>
      <c r="O725" s="4"/>
      <c r="P725" s="4"/>
      <c r="Q725" s="4"/>
      <c r="R725" s="4"/>
      <c r="S725" s="4"/>
      <c r="T725" s="4"/>
      <c r="U725" s="4"/>
      <c r="V725" s="4"/>
      <c r="W725" s="4"/>
      <c r="X725" s="4"/>
      <c r="Y725" s="4"/>
      <c r="Z725" s="4"/>
      <c r="AA725" s="4"/>
      <c r="AB725" s="4"/>
      <c r="AC725" s="4"/>
      <c r="AD725" s="4"/>
      <c r="AE725" s="4"/>
      <c r="AF725" s="4"/>
      <c r="AG725" s="4"/>
      <c r="AH725" s="4"/>
      <c r="AI725" s="4"/>
      <c r="AJ725" s="4"/>
      <c r="AK725" s="4"/>
    </row>
    <row r="726" spans="1:37" ht="70" customHeight="1" x14ac:dyDescent="0.2">
      <c r="A726" s="107"/>
      <c r="B726" s="4"/>
      <c r="C726" s="163"/>
      <c r="D726" s="4"/>
      <c r="E726" s="4"/>
      <c r="F726" s="4"/>
      <c r="G726" s="4"/>
      <c r="H726" s="4"/>
      <c r="I726" s="4"/>
      <c r="J726" s="4"/>
      <c r="K726" s="4"/>
      <c r="L726" s="4"/>
      <c r="M726" s="4"/>
      <c r="N726" s="4"/>
      <c r="O726" s="4"/>
      <c r="P726" s="4"/>
      <c r="Q726" s="4"/>
      <c r="R726" s="4"/>
      <c r="S726" s="4"/>
      <c r="T726" s="4"/>
      <c r="U726" s="4"/>
      <c r="V726" s="4"/>
      <c r="W726" s="4"/>
      <c r="X726" s="4"/>
      <c r="Y726" s="4"/>
      <c r="Z726" s="4"/>
      <c r="AA726" s="4"/>
      <c r="AB726" s="4"/>
      <c r="AC726" s="4"/>
      <c r="AD726" s="4"/>
      <c r="AE726" s="4"/>
      <c r="AF726" s="4"/>
      <c r="AG726" s="4"/>
      <c r="AH726" s="4"/>
      <c r="AI726" s="4"/>
      <c r="AJ726" s="4"/>
      <c r="AK726" s="4"/>
    </row>
    <row r="727" spans="1:37" ht="70" customHeight="1" x14ac:dyDescent="0.2">
      <c r="A727" s="107"/>
      <c r="B727" s="4"/>
      <c r="C727" s="163"/>
      <c r="D727" s="4"/>
      <c r="E727" s="4"/>
      <c r="F727" s="4"/>
      <c r="G727" s="4"/>
      <c r="H727" s="4"/>
      <c r="I727" s="4"/>
      <c r="J727" s="4"/>
      <c r="K727" s="4"/>
      <c r="L727" s="4"/>
      <c r="M727" s="4"/>
      <c r="N727" s="4"/>
      <c r="O727" s="4"/>
      <c r="P727" s="4"/>
      <c r="Q727" s="4"/>
      <c r="R727" s="4"/>
      <c r="S727" s="4"/>
      <c r="T727" s="4"/>
      <c r="U727" s="4"/>
      <c r="V727" s="4"/>
      <c r="W727" s="4"/>
      <c r="X727" s="4"/>
      <c r="Y727" s="4"/>
      <c r="Z727" s="4"/>
      <c r="AA727" s="4"/>
      <c r="AB727" s="4"/>
      <c r="AC727" s="4"/>
      <c r="AD727" s="4"/>
      <c r="AE727" s="4"/>
      <c r="AF727" s="4"/>
      <c r="AG727" s="4"/>
      <c r="AH727" s="4"/>
      <c r="AI727" s="4"/>
      <c r="AJ727" s="4"/>
      <c r="AK727" s="4"/>
    </row>
    <row r="728" spans="1:37" ht="70" customHeight="1" x14ac:dyDescent="0.2">
      <c r="A728" s="107"/>
      <c r="B728" s="4"/>
      <c r="C728" s="163"/>
      <c r="D728" s="4"/>
      <c r="E728" s="4"/>
      <c r="F728" s="4"/>
      <c r="G728" s="4"/>
      <c r="H728" s="4"/>
      <c r="I728" s="4"/>
      <c r="J728" s="4"/>
      <c r="K728" s="4"/>
      <c r="L728" s="4"/>
      <c r="M728" s="4"/>
      <c r="N728" s="4"/>
      <c r="O728" s="4"/>
      <c r="P728" s="4"/>
      <c r="Q728" s="4"/>
      <c r="R728" s="4"/>
      <c r="S728" s="4"/>
      <c r="T728" s="4"/>
      <c r="U728" s="4"/>
      <c r="V728" s="4"/>
      <c r="W728" s="4"/>
      <c r="X728" s="4"/>
      <c r="Y728" s="4"/>
      <c r="Z728" s="4"/>
      <c r="AA728" s="4"/>
      <c r="AB728" s="4"/>
      <c r="AC728" s="4"/>
      <c r="AD728" s="4"/>
      <c r="AE728" s="4"/>
      <c r="AF728" s="4"/>
      <c r="AG728" s="4"/>
      <c r="AH728" s="4"/>
      <c r="AI728" s="4"/>
      <c r="AJ728" s="4"/>
      <c r="AK728" s="4"/>
    </row>
    <row r="729" spans="1:37" ht="70" customHeight="1" x14ac:dyDescent="0.2">
      <c r="A729" s="107"/>
      <c r="B729" s="4"/>
      <c r="C729" s="163"/>
      <c r="D729" s="4"/>
      <c r="E729" s="4"/>
      <c r="F729" s="4"/>
      <c r="G729" s="4"/>
      <c r="H729" s="4"/>
      <c r="I729" s="4"/>
      <c r="J729" s="4"/>
      <c r="K729" s="4"/>
      <c r="L729" s="4"/>
      <c r="M729" s="4"/>
      <c r="N729" s="4"/>
      <c r="O729" s="4"/>
      <c r="P729" s="4"/>
      <c r="Q729" s="4"/>
      <c r="R729" s="4"/>
      <c r="S729" s="4"/>
      <c r="T729" s="4"/>
      <c r="U729" s="4"/>
      <c r="V729" s="4"/>
      <c r="W729" s="4"/>
      <c r="X729" s="4"/>
      <c r="Y729" s="4"/>
      <c r="Z729" s="4"/>
      <c r="AA729" s="4"/>
      <c r="AB729" s="4"/>
      <c r="AC729" s="4"/>
      <c r="AD729" s="4"/>
      <c r="AE729" s="4"/>
      <c r="AF729" s="4"/>
      <c r="AG729" s="4"/>
      <c r="AH729" s="4"/>
      <c r="AI729" s="4"/>
      <c r="AJ729" s="4"/>
      <c r="AK729" s="4"/>
    </row>
    <row r="730" spans="1:37" ht="70" customHeight="1" x14ac:dyDescent="0.2">
      <c r="A730" s="107"/>
      <c r="B730" s="4"/>
      <c r="C730" s="163"/>
      <c r="D730" s="4"/>
      <c r="E730" s="4"/>
      <c r="F730" s="4"/>
      <c r="G730" s="4"/>
      <c r="H730" s="4"/>
      <c r="I730" s="4"/>
      <c r="J730" s="4"/>
      <c r="K730" s="4"/>
      <c r="L730" s="4"/>
      <c r="M730" s="4"/>
      <c r="N730" s="4"/>
      <c r="O730" s="4"/>
      <c r="P730" s="4"/>
      <c r="Q730" s="4"/>
      <c r="R730" s="4"/>
      <c r="S730" s="4"/>
      <c r="T730" s="4"/>
      <c r="U730" s="4"/>
      <c r="V730" s="4"/>
      <c r="W730" s="4"/>
      <c r="X730" s="4"/>
      <c r="Y730" s="4"/>
      <c r="Z730" s="4"/>
      <c r="AA730" s="4"/>
      <c r="AB730" s="4"/>
      <c r="AC730" s="4"/>
      <c r="AD730" s="4"/>
      <c r="AE730" s="4"/>
      <c r="AF730" s="4"/>
      <c r="AG730" s="4"/>
      <c r="AH730" s="4"/>
      <c r="AI730" s="4"/>
      <c r="AJ730" s="4"/>
      <c r="AK730" s="4"/>
    </row>
    <row r="731" spans="1:37" ht="70" customHeight="1" x14ac:dyDescent="0.2">
      <c r="A731" s="107"/>
      <c r="B731" s="4"/>
      <c r="C731" s="163"/>
      <c r="D731" s="4"/>
      <c r="E731" s="4"/>
      <c r="F731" s="4"/>
      <c r="G731" s="4"/>
      <c r="H731" s="4"/>
      <c r="I731" s="4"/>
      <c r="J731" s="4"/>
      <c r="K731" s="4"/>
      <c r="L731" s="4"/>
      <c r="M731" s="4"/>
      <c r="N731" s="4"/>
      <c r="O731" s="4"/>
      <c r="P731" s="4"/>
      <c r="Q731" s="4"/>
      <c r="R731" s="4"/>
      <c r="S731" s="4"/>
      <c r="T731" s="4"/>
      <c r="U731" s="4"/>
      <c r="V731" s="4"/>
      <c r="W731" s="4"/>
      <c r="X731" s="4"/>
      <c r="Y731" s="4"/>
      <c r="Z731" s="4"/>
      <c r="AA731" s="4"/>
      <c r="AB731" s="4"/>
      <c r="AC731" s="4"/>
      <c r="AD731" s="4"/>
      <c r="AE731" s="4"/>
      <c r="AF731" s="4"/>
      <c r="AG731" s="4"/>
      <c r="AH731" s="4"/>
      <c r="AI731" s="4"/>
      <c r="AJ731" s="4"/>
      <c r="AK731" s="4"/>
    </row>
    <row r="732" spans="1:37" ht="70" customHeight="1" x14ac:dyDescent="0.2">
      <c r="A732" s="107"/>
      <c r="B732" s="4"/>
      <c r="C732" s="163"/>
      <c r="D732" s="4"/>
      <c r="E732" s="4"/>
      <c r="F732" s="4"/>
      <c r="G732" s="4"/>
      <c r="H732" s="4"/>
      <c r="I732" s="4"/>
      <c r="J732" s="4"/>
      <c r="K732" s="4"/>
      <c r="L732" s="4"/>
      <c r="M732" s="4"/>
      <c r="N732" s="4"/>
      <c r="O732" s="4"/>
      <c r="P732" s="4"/>
      <c r="Q732" s="4"/>
      <c r="R732" s="4"/>
      <c r="S732" s="4"/>
      <c r="T732" s="4"/>
      <c r="U732" s="4"/>
      <c r="V732" s="4"/>
      <c r="W732" s="4"/>
      <c r="X732" s="4"/>
      <c r="Y732" s="4"/>
      <c r="Z732" s="4"/>
      <c r="AA732" s="4"/>
      <c r="AB732" s="4"/>
      <c r="AC732" s="4"/>
      <c r="AD732" s="4"/>
      <c r="AE732" s="4"/>
      <c r="AF732" s="4"/>
      <c r="AG732" s="4"/>
      <c r="AH732" s="4"/>
      <c r="AI732" s="4"/>
      <c r="AJ732" s="4"/>
      <c r="AK732" s="4"/>
    </row>
    <row r="733" spans="1:37" ht="70" customHeight="1" x14ac:dyDescent="0.2">
      <c r="A733" s="107"/>
      <c r="B733" s="4"/>
      <c r="C733" s="163"/>
      <c r="D733" s="4"/>
      <c r="E733" s="4"/>
      <c r="F733" s="4"/>
      <c r="G733" s="4"/>
      <c r="H733" s="4"/>
      <c r="I733" s="4"/>
      <c r="J733" s="4"/>
      <c r="K733" s="4"/>
      <c r="L733" s="4"/>
      <c r="M733" s="4"/>
      <c r="N733" s="4"/>
      <c r="O733" s="4"/>
      <c r="P733" s="4"/>
      <c r="Q733" s="4"/>
      <c r="R733" s="4"/>
      <c r="S733" s="4"/>
      <c r="T733" s="4"/>
      <c r="U733" s="4"/>
      <c r="V733" s="4"/>
      <c r="W733" s="4"/>
      <c r="X733" s="4"/>
      <c r="Y733" s="4"/>
      <c r="Z733" s="4"/>
      <c r="AA733" s="4"/>
      <c r="AB733" s="4"/>
      <c r="AC733" s="4"/>
      <c r="AD733" s="4"/>
      <c r="AE733" s="4"/>
      <c r="AF733" s="4"/>
      <c r="AG733" s="4"/>
      <c r="AH733" s="4"/>
      <c r="AI733" s="4"/>
      <c r="AJ733" s="4"/>
      <c r="AK733" s="4"/>
    </row>
    <row r="734" spans="1:37" ht="70" customHeight="1" x14ac:dyDescent="0.2">
      <c r="A734" s="107"/>
      <c r="B734" s="4"/>
      <c r="C734" s="163"/>
      <c r="D734" s="4"/>
      <c r="E734" s="4"/>
      <c r="F734" s="4"/>
      <c r="G734" s="4"/>
      <c r="H734" s="4"/>
      <c r="I734" s="4"/>
      <c r="J734" s="4"/>
      <c r="K734" s="4"/>
      <c r="L734" s="4"/>
      <c r="M734" s="4"/>
      <c r="N734" s="4"/>
      <c r="O734" s="4"/>
      <c r="P734" s="4"/>
      <c r="Q734" s="4"/>
      <c r="R734" s="4"/>
      <c r="S734" s="4"/>
      <c r="T734" s="4"/>
      <c r="U734" s="4"/>
      <c r="V734" s="4"/>
      <c r="W734" s="4"/>
      <c r="X734" s="4"/>
      <c r="Y734" s="4"/>
      <c r="Z734" s="4"/>
      <c r="AA734" s="4"/>
      <c r="AB734" s="4"/>
      <c r="AC734" s="4"/>
      <c r="AD734" s="4"/>
      <c r="AE734" s="4"/>
      <c r="AF734" s="4"/>
      <c r="AG734" s="4"/>
      <c r="AH734" s="4"/>
      <c r="AI734" s="4"/>
      <c r="AJ734" s="4"/>
      <c r="AK734" s="4"/>
    </row>
    <row r="735" spans="1:37" ht="70" customHeight="1" x14ac:dyDescent="0.2">
      <c r="A735" s="107"/>
      <c r="B735" s="4"/>
      <c r="C735" s="163"/>
      <c r="D735" s="4"/>
      <c r="E735" s="4"/>
      <c r="F735" s="4"/>
      <c r="G735" s="4"/>
      <c r="H735" s="4"/>
      <c r="I735" s="4"/>
      <c r="J735" s="4"/>
      <c r="K735" s="4"/>
      <c r="L735" s="4"/>
      <c r="M735" s="4"/>
      <c r="N735" s="4"/>
      <c r="O735" s="4"/>
      <c r="P735" s="4"/>
      <c r="Q735" s="4"/>
      <c r="R735" s="4"/>
      <c r="S735" s="4"/>
      <c r="T735" s="4"/>
      <c r="U735" s="4"/>
      <c r="V735" s="4"/>
      <c r="W735" s="4"/>
      <c r="X735" s="4"/>
      <c r="Y735" s="4"/>
      <c r="Z735" s="4"/>
      <c r="AA735" s="4"/>
      <c r="AB735" s="4"/>
      <c r="AC735" s="4"/>
      <c r="AD735" s="4"/>
      <c r="AE735" s="4"/>
      <c r="AF735" s="4"/>
      <c r="AG735" s="4"/>
      <c r="AH735" s="4"/>
      <c r="AI735" s="4"/>
      <c r="AJ735" s="4"/>
      <c r="AK735" s="4"/>
    </row>
    <row r="736" spans="1:37" ht="70" customHeight="1" x14ac:dyDescent="0.2">
      <c r="A736" s="107"/>
      <c r="B736" s="4"/>
      <c r="C736" s="163"/>
      <c r="D736" s="4"/>
      <c r="E736" s="4"/>
      <c r="F736" s="4"/>
      <c r="G736" s="4"/>
      <c r="H736" s="4"/>
      <c r="I736" s="4"/>
      <c r="J736" s="4"/>
      <c r="K736" s="4"/>
      <c r="L736" s="4"/>
      <c r="M736" s="4"/>
      <c r="N736" s="4"/>
      <c r="O736" s="4"/>
      <c r="P736" s="4"/>
      <c r="Q736" s="4"/>
      <c r="R736" s="4"/>
      <c r="S736" s="4"/>
      <c r="T736" s="4"/>
      <c r="U736" s="4"/>
      <c r="V736" s="4"/>
      <c r="W736" s="4"/>
      <c r="X736" s="4"/>
      <c r="Y736" s="4"/>
      <c r="Z736" s="4"/>
      <c r="AA736" s="4"/>
      <c r="AB736" s="4"/>
      <c r="AC736" s="4"/>
      <c r="AD736" s="4"/>
      <c r="AE736" s="4"/>
      <c r="AF736" s="4"/>
      <c r="AG736" s="4"/>
      <c r="AH736" s="4"/>
      <c r="AI736" s="4"/>
      <c r="AJ736" s="4"/>
      <c r="AK736" s="4"/>
    </row>
    <row r="737" spans="1:37" ht="70" customHeight="1" x14ac:dyDescent="0.2">
      <c r="A737" s="107"/>
      <c r="B737" s="4"/>
      <c r="C737" s="163"/>
      <c r="D737" s="4"/>
      <c r="E737" s="4"/>
      <c r="F737" s="4"/>
      <c r="G737" s="4"/>
      <c r="H737" s="4"/>
      <c r="I737" s="4"/>
      <c r="J737" s="4"/>
      <c r="K737" s="4"/>
      <c r="L737" s="4"/>
      <c r="M737" s="4"/>
      <c r="N737" s="4"/>
      <c r="O737" s="4"/>
      <c r="P737" s="4"/>
      <c r="Q737" s="4"/>
      <c r="R737" s="4"/>
      <c r="S737" s="4"/>
      <c r="T737" s="4"/>
      <c r="U737" s="4"/>
      <c r="V737" s="4"/>
      <c r="W737" s="4"/>
      <c r="X737" s="4"/>
      <c r="Y737" s="4"/>
      <c r="Z737" s="4"/>
      <c r="AA737" s="4"/>
      <c r="AB737" s="4"/>
      <c r="AC737" s="4"/>
      <c r="AD737" s="4"/>
      <c r="AE737" s="4"/>
      <c r="AF737" s="4"/>
      <c r="AG737" s="4"/>
      <c r="AH737" s="4"/>
      <c r="AI737" s="4"/>
      <c r="AJ737" s="4"/>
      <c r="AK737" s="4"/>
    </row>
    <row r="738" spans="1:37" ht="70" customHeight="1" x14ac:dyDescent="0.2">
      <c r="A738" s="107"/>
      <c r="B738" s="4"/>
      <c r="C738" s="163"/>
      <c r="D738" s="4"/>
      <c r="E738" s="4"/>
      <c r="F738" s="4"/>
      <c r="G738" s="4"/>
      <c r="H738" s="4"/>
      <c r="I738" s="4"/>
      <c r="J738" s="4"/>
      <c r="K738" s="4"/>
      <c r="L738" s="4"/>
      <c r="M738" s="4"/>
      <c r="N738" s="4"/>
      <c r="O738" s="4"/>
      <c r="P738" s="4"/>
      <c r="Q738" s="4"/>
      <c r="R738" s="4"/>
      <c r="S738" s="4"/>
      <c r="T738" s="4"/>
      <c r="U738" s="4"/>
      <c r="V738" s="4"/>
      <c r="W738" s="4"/>
      <c r="X738" s="4"/>
      <c r="Y738" s="4"/>
      <c r="Z738" s="4"/>
      <c r="AA738" s="4"/>
      <c r="AB738" s="4"/>
      <c r="AC738" s="4"/>
      <c r="AD738" s="4"/>
      <c r="AE738" s="4"/>
      <c r="AF738" s="4"/>
      <c r="AG738" s="4"/>
      <c r="AH738" s="4"/>
      <c r="AI738" s="4"/>
      <c r="AJ738" s="4"/>
      <c r="AK738" s="4"/>
    </row>
    <row r="739" spans="1:37" ht="70" customHeight="1" x14ac:dyDescent="0.2">
      <c r="A739" s="107"/>
      <c r="B739" s="4"/>
      <c r="C739" s="163"/>
      <c r="D739" s="4"/>
      <c r="E739" s="4"/>
      <c r="F739" s="4"/>
      <c r="G739" s="4"/>
      <c r="H739" s="4"/>
      <c r="I739" s="4"/>
      <c r="J739" s="4"/>
      <c r="K739" s="4"/>
      <c r="L739" s="4"/>
      <c r="M739" s="4"/>
      <c r="N739" s="4"/>
      <c r="O739" s="4"/>
      <c r="P739" s="4"/>
      <c r="Q739" s="4"/>
      <c r="R739" s="4"/>
      <c r="S739" s="4"/>
      <c r="T739" s="4"/>
      <c r="U739" s="4"/>
      <c r="V739" s="4"/>
      <c r="W739" s="4"/>
      <c r="X739" s="4"/>
      <c r="Y739" s="4"/>
      <c r="Z739" s="4"/>
      <c r="AA739" s="4"/>
      <c r="AB739" s="4"/>
      <c r="AC739" s="4"/>
      <c r="AD739" s="4"/>
      <c r="AE739" s="4"/>
      <c r="AF739" s="4"/>
      <c r="AG739" s="4"/>
      <c r="AH739" s="4"/>
      <c r="AI739" s="4"/>
      <c r="AJ739" s="4"/>
      <c r="AK739" s="4"/>
    </row>
    <row r="740" spans="1:37" ht="70" customHeight="1" x14ac:dyDescent="0.2">
      <c r="A740" s="107"/>
      <c r="B740" s="4"/>
      <c r="C740" s="163"/>
      <c r="D740" s="4"/>
      <c r="E740" s="4"/>
      <c r="F740" s="4"/>
      <c r="G740" s="4"/>
      <c r="H740" s="4"/>
      <c r="I740" s="4"/>
      <c r="J740" s="4"/>
      <c r="K740" s="4"/>
      <c r="L740" s="4"/>
      <c r="M740" s="4"/>
      <c r="N740" s="4"/>
      <c r="O740" s="4"/>
      <c r="P740" s="4"/>
      <c r="Q740" s="4"/>
      <c r="R740" s="4"/>
      <c r="S740" s="4"/>
      <c r="T740" s="4"/>
      <c r="U740" s="4"/>
      <c r="V740" s="4"/>
      <c r="W740" s="4"/>
      <c r="X740" s="4"/>
      <c r="Y740" s="4"/>
      <c r="Z740" s="4"/>
      <c r="AA740" s="4"/>
      <c r="AB740" s="4"/>
      <c r="AC740" s="4"/>
      <c r="AD740" s="4"/>
      <c r="AE740" s="4"/>
      <c r="AF740" s="4"/>
      <c r="AG740" s="4"/>
      <c r="AH740" s="4"/>
      <c r="AI740" s="4"/>
      <c r="AJ740" s="4"/>
      <c r="AK740" s="4"/>
    </row>
    <row r="741" spans="1:37" ht="70" customHeight="1" x14ac:dyDescent="0.2">
      <c r="A741" s="107"/>
      <c r="B741" s="4"/>
      <c r="C741" s="163"/>
      <c r="D741" s="4"/>
      <c r="E741" s="4"/>
      <c r="F741" s="4"/>
      <c r="G741" s="4"/>
      <c r="H741" s="4"/>
      <c r="I741" s="4"/>
      <c r="J741" s="4"/>
      <c r="K741" s="4"/>
      <c r="L741" s="4"/>
      <c r="M741" s="4"/>
      <c r="N741" s="4"/>
      <c r="O741" s="4"/>
      <c r="P741" s="4"/>
      <c r="Q741" s="4"/>
      <c r="R741" s="4"/>
      <c r="S741" s="4"/>
      <c r="T741" s="4"/>
      <c r="U741" s="4"/>
      <c r="V741" s="4"/>
      <c r="W741" s="4"/>
      <c r="X741" s="4"/>
      <c r="Y741" s="4"/>
      <c r="Z741" s="4"/>
      <c r="AA741" s="4"/>
      <c r="AB741" s="4"/>
      <c r="AC741" s="4"/>
      <c r="AD741" s="4"/>
      <c r="AE741" s="4"/>
      <c r="AF741" s="4"/>
      <c r="AG741" s="4"/>
      <c r="AH741" s="4"/>
      <c r="AI741" s="4"/>
      <c r="AJ741" s="4"/>
      <c r="AK741" s="4"/>
    </row>
    <row r="742" spans="1:37" ht="70" customHeight="1" x14ac:dyDescent="0.2">
      <c r="A742" s="107"/>
      <c r="B742" s="4"/>
      <c r="C742" s="163"/>
      <c r="D742" s="4"/>
      <c r="E742" s="4"/>
      <c r="F742" s="4"/>
      <c r="G742" s="4"/>
      <c r="H742" s="4"/>
      <c r="I742" s="4"/>
      <c r="J742" s="4"/>
      <c r="K742" s="4"/>
      <c r="L742" s="4"/>
      <c r="M742" s="4"/>
      <c r="N742" s="4"/>
      <c r="O742" s="4"/>
      <c r="P742" s="4"/>
      <c r="Q742" s="4"/>
      <c r="R742" s="4"/>
      <c r="S742" s="4"/>
      <c r="T742" s="4"/>
      <c r="U742" s="4"/>
      <c r="V742" s="4"/>
      <c r="W742" s="4"/>
      <c r="X742" s="4"/>
      <c r="Y742" s="4"/>
      <c r="Z742" s="4"/>
      <c r="AA742" s="4"/>
      <c r="AB742" s="4"/>
      <c r="AC742" s="4"/>
      <c r="AD742" s="4"/>
      <c r="AE742" s="4"/>
      <c r="AF742" s="4"/>
      <c r="AG742" s="4"/>
      <c r="AH742" s="4"/>
      <c r="AI742" s="4"/>
      <c r="AJ742" s="4"/>
      <c r="AK742" s="4"/>
    </row>
    <row r="743" spans="1:37" ht="70" customHeight="1" x14ac:dyDescent="0.2">
      <c r="A743" s="107"/>
      <c r="B743" s="4"/>
      <c r="C743" s="163"/>
      <c r="D743" s="4"/>
      <c r="E743" s="4"/>
      <c r="F743" s="4"/>
      <c r="G743" s="4"/>
      <c r="H743" s="4"/>
      <c r="I743" s="4"/>
      <c r="J743" s="4"/>
      <c r="K743" s="4"/>
      <c r="L743" s="4"/>
      <c r="M743" s="4"/>
      <c r="N743" s="4"/>
      <c r="O743" s="4"/>
      <c r="P743" s="4"/>
      <c r="Q743" s="4"/>
      <c r="R743" s="4"/>
      <c r="S743" s="4"/>
      <c r="T743" s="4"/>
      <c r="U743" s="4"/>
      <c r="V743" s="4"/>
      <c r="W743" s="4"/>
      <c r="X743" s="4"/>
      <c r="Y743" s="4"/>
      <c r="Z743" s="4"/>
      <c r="AA743" s="4"/>
      <c r="AB743" s="4"/>
      <c r="AC743" s="4"/>
      <c r="AD743" s="4"/>
      <c r="AE743" s="4"/>
      <c r="AF743" s="4"/>
      <c r="AG743" s="4"/>
      <c r="AH743" s="4"/>
      <c r="AI743" s="4"/>
      <c r="AJ743" s="4"/>
      <c r="AK743" s="4"/>
    </row>
    <row r="744" spans="1:37" ht="70" customHeight="1" x14ac:dyDescent="0.2">
      <c r="A744" s="107"/>
      <c r="B744" s="4"/>
      <c r="C744" s="163"/>
      <c r="D744" s="4"/>
      <c r="E744" s="4"/>
      <c r="F744" s="4"/>
      <c r="G744" s="4"/>
      <c r="H744" s="4"/>
      <c r="I744" s="4"/>
      <c r="J744" s="4"/>
      <c r="K744" s="4"/>
      <c r="L744" s="4"/>
      <c r="M744" s="4"/>
      <c r="N744" s="4"/>
      <c r="O744" s="4"/>
      <c r="P744" s="4"/>
      <c r="Q744" s="4"/>
      <c r="R744" s="4"/>
      <c r="S744" s="4"/>
      <c r="T744" s="4"/>
      <c r="U744" s="4"/>
      <c r="V744" s="4"/>
      <c r="W744" s="4"/>
      <c r="X744" s="4"/>
      <c r="Y744" s="4"/>
      <c r="Z744" s="4"/>
      <c r="AA744" s="4"/>
      <c r="AB744" s="4"/>
      <c r="AC744" s="4"/>
      <c r="AD744" s="4"/>
      <c r="AE744" s="4"/>
      <c r="AF744" s="4"/>
      <c r="AG744" s="4"/>
      <c r="AH744" s="4"/>
      <c r="AI744" s="4"/>
      <c r="AJ744" s="4"/>
      <c r="AK744" s="4"/>
    </row>
    <row r="745" spans="1:37" ht="70" customHeight="1" x14ac:dyDescent="0.2">
      <c r="A745" s="107"/>
      <c r="B745" s="4"/>
      <c r="C745" s="163"/>
      <c r="D745" s="4"/>
      <c r="E745" s="4"/>
      <c r="F745" s="4"/>
      <c r="G745" s="4"/>
      <c r="H745" s="4"/>
      <c r="I745" s="4"/>
      <c r="J745" s="4"/>
      <c r="K745" s="4"/>
      <c r="L745" s="4"/>
      <c r="M745" s="4"/>
      <c r="N745" s="4"/>
      <c r="O745" s="4"/>
      <c r="P745" s="4"/>
      <c r="Q745" s="4"/>
      <c r="R745" s="4"/>
      <c r="S745" s="4"/>
      <c r="T745" s="4"/>
      <c r="U745" s="4"/>
      <c r="V745" s="4"/>
      <c r="W745" s="4"/>
      <c r="X745" s="4"/>
      <c r="Y745" s="4"/>
      <c r="Z745" s="4"/>
      <c r="AA745" s="4"/>
      <c r="AB745" s="4"/>
      <c r="AC745" s="4"/>
      <c r="AD745" s="4"/>
      <c r="AE745" s="4"/>
      <c r="AF745" s="4"/>
      <c r="AG745" s="4"/>
      <c r="AH745" s="4"/>
      <c r="AI745" s="4"/>
      <c r="AJ745" s="4"/>
      <c r="AK745" s="4"/>
    </row>
    <row r="746" spans="1:37" ht="70" customHeight="1" x14ac:dyDescent="0.2">
      <c r="A746" s="107"/>
      <c r="B746" s="4"/>
      <c r="C746" s="163"/>
      <c r="D746" s="4"/>
      <c r="E746" s="4"/>
      <c r="F746" s="4"/>
      <c r="G746" s="4"/>
      <c r="H746" s="4"/>
      <c r="I746" s="4"/>
      <c r="J746" s="4"/>
      <c r="K746" s="4"/>
      <c r="L746" s="4"/>
      <c r="M746" s="4"/>
      <c r="N746" s="4"/>
      <c r="O746" s="4"/>
      <c r="P746" s="4"/>
      <c r="Q746" s="4"/>
      <c r="R746" s="4"/>
      <c r="S746" s="4"/>
      <c r="T746" s="4"/>
      <c r="U746" s="4"/>
      <c r="V746" s="4"/>
      <c r="W746" s="4"/>
      <c r="X746" s="4"/>
      <c r="Y746" s="4"/>
      <c r="Z746" s="4"/>
      <c r="AA746" s="4"/>
      <c r="AB746" s="4"/>
      <c r="AC746" s="4"/>
      <c r="AD746" s="4"/>
      <c r="AE746" s="4"/>
      <c r="AF746" s="4"/>
      <c r="AG746" s="4"/>
      <c r="AH746" s="4"/>
      <c r="AI746" s="4"/>
      <c r="AJ746" s="4"/>
      <c r="AK746" s="4"/>
    </row>
    <row r="747" spans="1:37" ht="70" customHeight="1" x14ac:dyDescent="0.2">
      <c r="A747" s="107"/>
      <c r="B747" s="4"/>
      <c r="C747" s="163"/>
      <c r="D747" s="4"/>
      <c r="E747" s="4"/>
      <c r="F747" s="4"/>
      <c r="G747" s="4"/>
      <c r="H747" s="4"/>
      <c r="I747" s="4"/>
      <c r="J747" s="4"/>
      <c r="K747" s="4"/>
      <c r="L747" s="4"/>
      <c r="M747" s="4"/>
      <c r="N747" s="4"/>
      <c r="O747" s="4"/>
      <c r="P747" s="4"/>
      <c r="Q747" s="4"/>
      <c r="R747" s="4"/>
      <c r="S747" s="4"/>
      <c r="T747" s="4"/>
      <c r="U747" s="4"/>
      <c r="V747" s="4"/>
      <c r="W747" s="4"/>
      <c r="X747" s="4"/>
      <c r="Y747" s="4"/>
      <c r="Z747" s="4"/>
      <c r="AA747" s="4"/>
      <c r="AB747" s="4"/>
      <c r="AC747" s="4"/>
      <c r="AD747" s="4"/>
      <c r="AE747" s="4"/>
      <c r="AF747" s="4"/>
      <c r="AG747" s="4"/>
      <c r="AH747" s="4"/>
      <c r="AI747" s="4"/>
      <c r="AJ747" s="4"/>
      <c r="AK747" s="4"/>
    </row>
    <row r="748" spans="1:37" ht="70" customHeight="1" x14ac:dyDescent="0.2">
      <c r="A748" s="107"/>
      <c r="B748" s="4"/>
      <c r="C748" s="163"/>
      <c r="D748" s="4"/>
      <c r="E748" s="4"/>
      <c r="F748" s="4"/>
      <c r="G748" s="4"/>
      <c r="H748" s="4"/>
      <c r="I748" s="4"/>
      <c r="J748" s="4"/>
      <c r="K748" s="4"/>
      <c r="L748" s="4"/>
      <c r="M748" s="4"/>
      <c r="N748" s="4"/>
      <c r="O748" s="4"/>
      <c r="P748" s="4"/>
      <c r="Q748" s="4"/>
      <c r="R748" s="4"/>
      <c r="S748" s="4"/>
      <c r="T748" s="4"/>
      <c r="U748" s="4"/>
      <c r="V748" s="4"/>
      <c r="W748" s="4"/>
      <c r="X748" s="4"/>
      <c r="Y748" s="4"/>
      <c r="Z748" s="4"/>
      <c r="AA748" s="4"/>
      <c r="AB748" s="4"/>
      <c r="AC748" s="4"/>
      <c r="AD748" s="4"/>
      <c r="AE748" s="4"/>
      <c r="AF748" s="4"/>
      <c r="AG748" s="4"/>
      <c r="AH748" s="4"/>
      <c r="AI748" s="4"/>
      <c r="AJ748" s="4"/>
      <c r="AK748" s="4"/>
    </row>
    <row r="749" spans="1:37" ht="70" customHeight="1" x14ac:dyDescent="0.2">
      <c r="A749" s="107"/>
      <c r="B749" s="4"/>
      <c r="C749" s="163"/>
      <c r="D749" s="4"/>
      <c r="E749" s="4"/>
      <c r="F749" s="4"/>
      <c r="G749" s="4"/>
      <c r="H749" s="4"/>
      <c r="I749" s="4"/>
      <c r="J749" s="4"/>
      <c r="K749" s="4"/>
      <c r="L749" s="4"/>
      <c r="M749" s="4"/>
      <c r="N749" s="4"/>
      <c r="O749" s="4"/>
      <c r="P749" s="4"/>
      <c r="Q749" s="4"/>
      <c r="R749" s="4"/>
      <c r="S749" s="4"/>
      <c r="T749" s="4"/>
      <c r="U749" s="4"/>
      <c r="V749" s="4"/>
      <c r="W749" s="4"/>
      <c r="X749" s="4"/>
      <c r="Y749" s="4"/>
      <c r="Z749" s="4"/>
      <c r="AA749" s="4"/>
      <c r="AB749" s="4"/>
      <c r="AC749" s="4"/>
      <c r="AD749" s="4"/>
      <c r="AE749" s="4"/>
      <c r="AF749" s="4"/>
      <c r="AG749" s="4"/>
      <c r="AH749" s="4"/>
      <c r="AI749" s="4"/>
      <c r="AJ749" s="4"/>
      <c r="AK749" s="4"/>
    </row>
    <row r="750" spans="1:37" ht="70" customHeight="1" x14ac:dyDescent="0.2">
      <c r="A750" s="107"/>
      <c r="B750" s="4"/>
      <c r="C750" s="163"/>
      <c r="D750" s="4"/>
      <c r="E750" s="4"/>
      <c r="F750" s="4"/>
      <c r="G750" s="4"/>
      <c r="H750" s="4"/>
      <c r="I750" s="4"/>
      <c r="J750" s="4"/>
      <c r="K750" s="4"/>
      <c r="L750" s="4"/>
      <c r="M750" s="4"/>
      <c r="N750" s="4"/>
      <c r="O750" s="4"/>
      <c r="P750" s="4"/>
      <c r="Q750" s="4"/>
      <c r="R750" s="4"/>
      <c r="S750" s="4"/>
      <c r="T750" s="4"/>
      <c r="U750" s="4"/>
      <c r="V750" s="4"/>
      <c r="W750" s="4"/>
      <c r="X750" s="4"/>
      <c r="Y750" s="4"/>
      <c r="Z750" s="4"/>
      <c r="AA750" s="4"/>
      <c r="AB750" s="4"/>
      <c r="AC750" s="4"/>
      <c r="AD750" s="4"/>
      <c r="AE750" s="4"/>
      <c r="AF750" s="4"/>
      <c r="AG750" s="4"/>
      <c r="AH750" s="4"/>
      <c r="AI750" s="4"/>
      <c r="AJ750" s="4"/>
      <c r="AK750" s="4"/>
    </row>
    <row r="751" spans="1:37" ht="70" customHeight="1" x14ac:dyDescent="0.2">
      <c r="A751" s="107"/>
      <c r="B751" s="4"/>
      <c r="C751" s="163"/>
      <c r="D751" s="4"/>
      <c r="E751" s="4"/>
      <c r="F751" s="4"/>
      <c r="G751" s="4"/>
      <c r="H751" s="4"/>
      <c r="I751" s="4"/>
      <c r="J751" s="4"/>
      <c r="K751" s="4"/>
      <c r="L751" s="4"/>
      <c r="M751" s="4"/>
      <c r="N751" s="4"/>
      <c r="O751" s="4"/>
      <c r="P751" s="4"/>
      <c r="Q751" s="4"/>
      <c r="R751" s="4"/>
      <c r="S751" s="4"/>
      <c r="T751" s="4"/>
      <c r="U751" s="4"/>
      <c r="V751" s="4"/>
      <c r="W751" s="4"/>
      <c r="X751" s="4"/>
      <c r="Y751" s="4"/>
      <c r="Z751" s="4"/>
      <c r="AA751" s="4"/>
      <c r="AB751" s="4"/>
      <c r="AC751" s="4"/>
      <c r="AD751" s="4"/>
      <c r="AE751" s="4"/>
      <c r="AF751" s="4"/>
      <c r="AG751" s="4"/>
      <c r="AH751" s="4"/>
      <c r="AI751" s="4"/>
      <c r="AJ751" s="4"/>
      <c r="AK751" s="4"/>
    </row>
    <row r="752" spans="1:37" ht="70" customHeight="1" x14ac:dyDescent="0.2">
      <c r="A752" s="107"/>
      <c r="B752" s="4"/>
      <c r="C752" s="163"/>
      <c r="D752" s="4"/>
      <c r="E752" s="4"/>
      <c r="F752" s="4"/>
      <c r="G752" s="4"/>
      <c r="H752" s="4"/>
      <c r="I752" s="4"/>
      <c r="J752" s="4"/>
      <c r="K752" s="4"/>
      <c r="L752" s="4"/>
      <c r="M752" s="4"/>
      <c r="N752" s="4"/>
      <c r="O752" s="4"/>
      <c r="P752" s="4"/>
      <c r="Q752" s="4"/>
      <c r="R752" s="4"/>
      <c r="S752" s="4"/>
      <c r="T752" s="4"/>
      <c r="U752" s="4"/>
      <c r="V752" s="4"/>
      <c r="W752" s="4"/>
      <c r="X752" s="4"/>
      <c r="Y752" s="4"/>
      <c r="Z752" s="4"/>
      <c r="AA752" s="4"/>
      <c r="AB752" s="4"/>
      <c r="AC752" s="4"/>
      <c r="AD752" s="4"/>
      <c r="AE752" s="4"/>
      <c r="AF752" s="4"/>
      <c r="AG752" s="4"/>
      <c r="AH752" s="4"/>
      <c r="AI752" s="4"/>
      <c r="AJ752" s="4"/>
      <c r="AK752" s="4"/>
    </row>
    <row r="753" spans="1:37" ht="70" customHeight="1" x14ac:dyDescent="0.2">
      <c r="A753" s="107"/>
      <c r="B753" s="4"/>
      <c r="C753" s="163"/>
      <c r="D753" s="4"/>
      <c r="E753" s="4"/>
      <c r="F753" s="4"/>
      <c r="G753" s="4"/>
      <c r="H753" s="4"/>
      <c r="I753" s="4"/>
      <c r="J753" s="4"/>
      <c r="K753" s="4"/>
      <c r="L753" s="4"/>
      <c r="M753" s="4"/>
      <c r="N753" s="4"/>
      <c r="O753" s="4"/>
      <c r="P753" s="4"/>
      <c r="Q753" s="4"/>
      <c r="R753" s="4"/>
      <c r="S753" s="4"/>
      <c r="T753" s="4"/>
      <c r="U753" s="4"/>
      <c r="V753" s="4"/>
      <c r="W753" s="4"/>
      <c r="X753" s="4"/>
      <c r="Y753" s="4"/>
      <c r="Z753" s="4"/>
      <c r="AA753" s="4"/>
      <c r="AB753" s="4"/>
      <c r="AC753" s="4"/>
      <c r="AD753" s="4"/>
      <c r="AE753" s="4"/>
      <c r="AF753" s="4"/>
      <c r="AG753" s="4"/>
      <c r="AH753" s="4"/>
      <c r="AI753" s="4"/>
      <c r="AJ753" s="4"/>
      <c r="AK753" s="4"/>
    </row>
    <row r="754" spans="1:37" ht="70" customHeight="1" x14ac:dyDescent="0.2">
      <c r="A754" s="107"/>
      <c r="B754" s="4"/>
      <c r="C754" s="163"/>
      <c r="D754" s="4"/>
      <c r="E754" s="4"/>
      <c r="F754" s="4"/>
      <c r="G754" s="4"/>
      <c r="H754" s="4"/>
      <c r="I754" s="4"/>
      <c r="J754" s="4"/>
      <c r="K754" s="4"/>
      <c r="L754" s="4"/>
      <c r="M754" s="4"/>
      <c r="N754" s="4"/>
      <c r="O754" s="4"/>
      <c r="P754" s="4"/>
      <c r="Q754" s="4"/>
      <c r="R754" s="4"/>
      <c r="S754" s="4"/>
      <c r="T754" s="4"/>
      <c r="U754" s="4"/>
      <c r="V754" s="4"/>
      <c r="W754" s="4"/>
      <c r="X754" s="4"/>
      <c r="Y754" s="4"/>
      <c r="Z754" s="4"/>
      <c r="AA754" s="4"/>
      <c r="AB754" s="4"/>
      <c r="AC754" s="4"/>
      <c r="AD754" s="4"/>
      <c r="AE754" s="4"/>
      <c r="AF754" s="4"/>
      <c r="AG754" s="4"/>
      <c r="AH754" s="4"/>
      <c r="AI754" s="4"/>
      <c r="AJ754" s="4"/>
      <c r="AK754" s="4"/>
    </row>
    <row r="755" spans="1:37" ht="70" customHeight="1" x14ac:dyDescent="0.2">
      <c r="A755" s="107"/>
      <c r="B755" s="4"/>
      <c r="C755" s="163"/>
      <c r="D755" s="4"/>
      <c r="E755" s="4"/>
      <c r="F755" s="4"/>
      <c r="G755" s="4"/>
      <c r="H755" s="4"/>
      <c r="I755" s="4"/>
      <c r="J755" s="4"/>
      <c r="K755" s="4"/>
      <c r="L755" s="4"/>
      <c r="M755" s="4"/>
      <c r="N755" s="4"/>
      <c r="O755" s="4"/>
      <c r="P755" s="4"/>
      <c r="Q755" s="4"/>
      <c r="R755" s="4"/>
      <c r="S755" s="4"/>
      <c r="T755" s="4"/>
      <c r="U755" s="4"/>
      <c r="V755" s="4"/>
      <c r="W755" s="4"/>
      <c r="X755" s="4"/>
      <c r="Y755" s="4"/>
      <c r="Z755" s="4"/>
      <c r="AA755" s="4"/>
      <c r="AB755" s="4"/>
      <c r="AC755" s="4"/>
      <c r="AD755" s="4"/>
      <c r="AE755" s="4"/>
      <c r="AF755" s="4"/>
      <c r="AG755" s="4"/>
      <c r="AH755" s="4"/>
      <c r="AI755" s="4"/>
      <c r="AJ755" s="4"/>
      <c r="AK755" s="4"/>
    </row>
    <row r="756" spans="1:37" ht="70" customHeight="1" x14ac:dyDescent="0.2">
      <c r="A756" s="107"/>
      <c r="B756" s="4"/>
      <c r="C756" s="163"/>
      <c r="D756" s="4"/>
      <c r="E756" s="4"/>
      <c r="F756" s="4"/>
      <c r="G756" s="4"/>
      <c r="H756" s="4"/>
      <c r="I756" s="4"/>
      <c r="J756" s="4"/>
      <c r="K756" s="4"/>
      <c r="L756" s="4"/>
      <c r="M756" s="4"/>
      <c r="N756" s="4"/>
      <c r="O756" s="4"/>
      <c r="P756" s="4"/>
      <c r="Q756" s="4"/>
      <c r="R756" s="4"/>
      <c r="S756" s="4"/>
      <c r="T756" s="4"/>
      <c r="U756" s="4"/>
      <c r="V756" s="4"/>
      <c r="W756" s="4"/>
      <c r="X756" s="4"/>
      <c r="Y756" s="4"/>
      <c r="Z756" s="4"/>
      <c r="AA756" s="4"/>
      <c r="AB756" s="4"/>
      <c r="AC756" s="4"/>
      <c r="AD756" s="4"/>
      <c r="AE756" s="4"/>
      <c r="AF756" s="4"/>
      <c r="AG756" s="4"/>
      <c r="AH756" s="4"/>
      <c r="AI756" s="4"/>
      <c r="AJ756" s="4"/>
      <c r="AK756" s="4"/>
    </row>
    <row r="757" spans="1:37" ht="70" customHeight="1" x14ac:dyDescent="0.2">
      <c r="A757" s="107"/>
      <c r="B757" s="4"/>
      <c r="C757" s="163"/>
      <c r="D757" s="4"/>
      <c r="E757" s="4"/>
      <c r="F757" s="4"/>
      <c r="G757" s="4"/>
      <c r="H757" s="4"/>
      <c r="I757" s="4"/>
      <c r="J757" s="4"/>
      <c r="K757" s="4"/>
      <c r="L757" s="4"/>
      <c r="M757" s="4"/>
      <c r="N757" s="4"/>
      <c r="O757" s="4"/>
      <c r="P757" s="4"/>
      <c r="Q757" s="4"/>
      <c r="R757" s="4"/>
      <c r="S757" s="4"/>
      <c r="T757" s="4"/>
      <c r="U757" s="4"/>
      <c r="V757" s="4"/>
      <c r="W757" s="4"/>
      <c r="X757" s="4"/>
      <c r="Y757" s="4"/>
      <c r="Z757" s="4"/>
      <c r="AA757" s="4"/>
      <c r="AB757" s="4"/>
      <c r="AC757" s="4"/>
      <c r="AD757" s="4"/>
      <c r="AE757" s="4"/>
      <c r="AF757" s="4"/>
      <c r="AG757" s="4"/>
      <c r="AH757" s="4"/>
      <c r="AI757" s="4"/>
      <c r="AJ757" s="4"/>
      <c r="AK757" s="4"/>
    </row>
    <row r="758" spans="1:37" ht="70" customHeight="1" x14ac:dyDescent="0.2">
      <c r="A758" s="107"/>
      <c r="B758" s="4"/>
      <c r="C758" s="163"/>
      <c r="D758" s="4"/>
      <c r="E758" s="4"/>
      <c r="F758" s="4"/>
      <c r="G758" s="4"/>
      <c r="H758" s="4"/>
      <c r="I758" s="4"/>
      <c r="J758" s="4"/>
      <c r="K758" s="4"/>
      <c r="L758" s="4"/>
      <c r="M758" s="4"/>
      <c r="N758" s="4"/>
      <c r="O758" s="4"/>
      <c r="P758" s="4"/>
      <c r="Q758" s="4"/>
      <c r="R758" s="4"/>
      <c r="S758" s="4"/>
      <c r="T758" s="4"/>
      <c r="U758" s="4"/>
      <c r="V758" s="4"/>
      <c r="W758" s="4"/>
      <c r="X758" s="4"/>
      <c r="Y758" s="4"/>
      <c r="Z758" s="4"/>
      <c r="AA758" s="4"/>
      <c r="AB758" s="4"/>
      <c r="AC758" s="4"/>
      <c r="AD758" s="4"/>
      <c r="AE758" s="4"/>
      <c r="AF758" s="4"/>
      <c r="AG758" s="4"/>
      <c r="AH758" s="4"/>
      <c r="AI758" s="4"/>
      <c r="AJ758" s="4"/>
      <c r="AK758" s="4"/>
    </row>
    <row r="759" spans="1:37" ht="70" customHeight="1" x14ac:dyDescent="0.2">
      <c r="A759" s="107"/>
      <c r="B759" s="4"/>
      <c r="C759" s="163"/>
      <c r="D759" s="4"/>
      <c r="E759" s="4"/>
      <c r="F759" s="4"/>
      <c r="G759" s="4"/>
      <c r="H759" s="4"/>
      <c r="I759" s="4"/>
      <c r="J759" s="4"/>
      <c r="K759" s="4"/>
      <c r="L759" s="4"/>
      <c r="M759" s="4"/>
      <c r="N759" s="4"/>
      <c r="O759" s="4"/>
      <c r="P759" s="4"/>
      <c r="Q759" s="4"/>
      <c r="R759" s="4"/>
      <c r="S759" s="4"/>
      <c r="T759" s="4"/>
      <c r="U759" s="4"/>
      <c r="V759" s="4"/>
      <c r="W759" s="4"/>
      <c r="X759" s="4"/>
      <c r="Y759" s="4"/>
      <c r="Z759" s="4"/>
      <c r="AA759" s="4"/>
      <c r="AB759" s="4"/>
      <c r="AC759" s="4"/>
      <c r="AD759" s="4"/>
      <c r="AE759" s="4"/>
      <c r="AF759" s="4"/>
      <c r="AG759" s="4"/>
      <c r="AH759" s="4"/>
      <c r="AI759" s="4"/>
      <c r="AJ759" s="4"/>
      <c r="AK759" s="4"/>
    </row>
    <row r="760" spans="1:37" ht="70" customHeight="1" x14ac:dyDescent="0.2">
      <c r="A760" s="107"/>
      <c r="B760" s="4"/>
      <c r="C760" s="163"/>
      <c r="D760" s="4"/>
      <c r="E760" s="4"/>
      <c r="F760" s="4"/>
      <c r="G760" s="4"/>
      <c r="H760" s="4"/>
      <c r="I760" s="4"/>
      <c r="J760" s="4"/>
      <c r="K760" s="4"/>
      <c r="L760" s="4"/>
      <c r="M760" s="4"/>
      <c r="N760" s="4"/>
      <c r="O760" s="4"/>
      <c r="P760" s="4"/>
      <c r="Q760" s="4"/>
      <c r="R760" s="4"/>
      <c r="S760" s="4"/>
      <c r="T760" s="4"/>
      <c r="U760" s="4"/>
      <c r="V760" s="4"/>
      <c r="W760" s="4"/>
      <c r="X760" s="4"/>
      <c r="Y760" s="4"/>
      <c r="Z760" s="4"/>
      <c r="AA760" s="4"/>
      <c r="AB760" s="4"/>
      <c r="AC760" s="4"/>
      <c r="AD760" s="4"/>
      <c r="AE760" s="4"/>
      <c r="AF760" s="4"/>
      <c r="AG760" s="4"/>
      <c r="AH760" s="4"/>
      <c r="AI760" s="4"/>
      <c r="AJ760" s="4"/>
      <c r="AK760" s="4"/>
    </row>
    <row r="761" spans="1:37" ht="70" customHeight="1" x14ac:dyDescent="0.2">
      <c r="A761" s="107"/>
      <c r="B761" s="4"/>
      <c r="C761" s="163"/>
      <c r="D761" s="4"/>
      <c r="E761" s="4"/>
      <c r="F761" s="4"/>
      <c r="G761" s="4"/>
      <c r="H761" s="4"/>
      <c r="I761" s="4"/>
      <c r="J761" s="4"/>
      <c r="K761" s="4"/>
      <c r="L761" s="4"/>
      <c r="M761" s="4"/>
      <c r="N761" s="4"/>
      <c r="O761" s="4"/>
      <c r="P761" s="4"/>
      <c r="Q761" s="4"/>
      <c r="R761" s="4"/>
      <c r="S761" s="4"/>
      <c r="T761" s="4"/>
      <c r="U761" s="4"/>
      <c r="V761" s="4"/>
      <c r="W761" s="4"/>
      <c r="X761" s="4"/>
      <c r="Y761" s="4"/>
      <c r="Z761" s="4"/>
      <c r="AA761" s="4"/>
      <c r="AB761" s="4"/>
      <c r="AC761" s="4"/>
      <c r="AD761" s="4"/>
      <c r="AE761" s="4"/>
      <c r="AF761" s="4"/>
      <c r="AG761" s="4"/>
      <c r="AH761" s="4"/>
      <c r="AI761" s="4"/>
      <c r="AJ761" s="4"/>
      <c r="AK761" s="4"/>
    </row>
    <row r="762" spans="1:37" ht="70" customHeight="1" x14ac:dyDescent="0.2">
      <c r="A762" s="107"/>
      <c r="B762" s="4"/>
      <c r="C762" s="163"/>
      <c r="D762" s="4"/>
      <c r="E762" s="4"/>
      <c r="F762" s="4"/>
      <c r="G762" s="4"/>
      <c r="H762" s="4"/>
      <c r="I762" s="4"/>
      <c r="J762" s="4"/>
      <c r="K762" s="4"/>
      <c r="L762" s="4"/>
      <c r="M762" s="4"/>
      <c r="N762" s="4"/>
      <c r="O762" s="4"/>
      <c r="P762" s="4"/>
      <c r="Q762" s="4"/>
      <c r="R762" s="4"/>
      <c r="S762" s="4"/>
      <c r="T762" s="4"/>
      <c r="U762" s="4"/>
      <c r="V762" s="4"/>
      <c r="W762" s="4"/>
      <c r="X762" s="4"/>
      <c r="Y762" s="4"/>
      <c r="Z762" s="4"/>
      <c r="AA762" s="4"/>
      <c r="AB762" s="4"/>
      <c r="AC762" s="4"/>
      <c r="AD762" s="4"/>
      <c r="AE762" s="4"/>
      <c r="AF762" s="4"/>
      <c r="AG762" s="4"/>
      <c r="AH762" s="4"/>
      <c r="AI762" s="4"/>
      <c r="AJ762" s="4"/>
      <c r="AK762" s="4"/>
    </row>
    <row r="763" spans="1:37" ht="70" customHeight="1" x14ac:dyDescent="0.2">
      <c r="A763" s="107"/>
      <c r="B763" s="4"/>
      <c r="C763" s="163"/>
      <c r="D763" s="4"/>
      <c r="E763" s="4"/>
      <c r="F763" s="4"/>
      <c r="G763" s="4"/>
      <c r="H763" s="4"/>
      <c r="I763" s="4"/>
      <c r="J763" s="4"/>
      <c r="K763" s="4"/>
      <c r="L763" s="4"/>
      <c r="M763" s="4"/>
      <c r="N763" s="4"/>
      <c r="O763" s="4"/>
      <c r="P763" s="4"/>
      <c r="Q763" s="4"/>
      <c r="R763" s="4"/>
      <c r="S763" s="4"/>
      <c r="T763" s="4"/>
      <c r="U763" s="4"/>
      <c r="V763" s="4"/>
      <c r="W763" s="4"/>
      <c r="X763" s="4"/>
      <c r="Y763" s="4"/>
      <c r="Z763" s="4"/>
      <c r="AA763" s="4"/>
      <c r="AB763" s="4"/>
      <c r="AC763" s="4"/>
      <c r="AD763" s="4"/>
      <c r="AE763" s="4"/>
      <c r="AF763" s="4"/>
      <c r="AG763" s="4"/>
      <c r="AH763" s="4"/>
      <c r="AI763" s="4"/>
      <c r="AJ763" s="4"/>
      <c r="AK763" s="4"/>
    </row>
    <row r="764" spans="1:37" ht="70" customHeight="1" x14ac:dyDescent="0.2">
      <c r="A764" s="107"/>
      <c r="B764" s="4"/>
      <c r="C764" s="163"/>
      <c r="D764" s="4"/>
      <c r="E764" s="4"/>
      <c r="F764" s="4"/>
      <c r="G764" s="4"/>
      <c r="H764" s="4"/>
      <c r="I764" s="4"/>
      <c r="J764" s="4"/>
      <c r="K764" s="4"/>
      <c r="L764" s="4"/>
      <c r="M764" s="4"/>
      <c r="N764" s="4"/>
      <c r="O764" s="4"/>
      <c r="P764" s="4"/>
      <c r="Q764" s="4"/>
      <c r="R764" s="4"/>
      <c r="S764" s="4"/>
      <c r="T764" s="4"/>
      <c r="U764" s="4"/>
      <c r="V764" s="4"/>
      <c r="W764" s="4"/>
      <c r="X764" s="4"/>
      <c r="Y764" s="4"/>
      <c r="Z764" s="4"/>
      <c r="AA764" s="4"/>
      <c r="AB764" s="4"/>
      <c r="AC764" s="4"/>
      <c r="AD764" s="4"/>
      <c r="AE764" s="4"/>
      <c r="AF764" s="4"/>
      <c r="AG764" s="4"/>
      <c r="AH764" s="4"/>
      <c r="AI764" s="4"/>
      <c r="AJ764" s="4"/>
      <c r="AK764" s="4"/>
    </row>
    <row r="765" spans="1:37" ht="70" customHeight="1" x14ac:dyDescent="0.2">
      <c r="A765" s="107"/>
      <c r="B765" s="4"/>
      <c r="C765" s="163"/>
      <c r="D765" s="4"/>
      <c r="E765" s="4"/>
      <c r="F765" s="4"/>
      <c r="G765" s="4"/>
      <c r="H765" s="4"/>
      <c r="I765" s="4"/>
      <c r="J765" s="4"/>
      <c r="K765" s="4"/>
      <c r="L765" s="4"/>
      <c r="M765" s="4"/>
      <c r="N765" s="4"/>
      <c r="O765" s="4"/>
      <c r="P765" s="4"/>
      <c r="Q765" s="4"/>
      <c r="R765" s="4"/>
      <c r="S765" s="4"/>
      <c r="T765" s="4"/>
      <c r="U765" s="4"/>
      <c r="V765" s="4"/>
      <c r="W765" s="4"/>
      <c r="X765" s="4"/>
      <c r="Y765" s="4"/>
      <c r="Z765" s="4"/>
      <c r="AA765" s="4"/>
      <c r="AB765" s="4"/>
      <c r="AC765" s="4"/>
      <c r="AD765" s="4"/>
      <c r="AE765" s="4"/>
      <c r="AF765" s="4"/>
      <c r="AG765" s="4"/>
      <c r="AH765" s="4"/>
      <c r="AI765" s="4"/>
      <c r="AJ765" s="4"/>
      <c r="AK765" s="4"/>
    </row>
    <row r="766" spans="1:37" ht="70" customHeight="1" x14ac:dyDescent="0.2">
      <c r="A766" s="107"/>
      <c r="B766" s="4"/>
      <c r="C766" s="163"/>
      <c r="D766" s="4"/>
      <c r="E766" s="4"/>
      <c r="F766" s="4"/>
      <c r="G766" s="4"/>
      <c r="H766" s="4"/>
      <c r="I766" s="4"/>
      <c r="J766" s="4"/>
      <c r="K766" s="4"/>
      <c r="L766" s="4"/>
      <c r="M766" s="4"/>
      <c r="N766" s="4"/>
      <c r="O766" s="4"/>
      <c r="P766" s="4"/>
      <c r="Q766" s="4"/>
      <c r="R766" s="4"/>
      <c r="S766" s="4"/>
      <c r="T766" s="4"/>
      <c r="U766" s="4"/>
      <c r="V766" s="4"/>
      <c r="W766" s="4"/>
      <c r="X766" s="4"/>
      <c r="Y766" s="4"/>
      <c r="Z766" s="4"/>
      <c r="AA766" s="4"/>
      <c r="AB766" s="4"/>
      <c r="AC766" s="4"/>
      <c r="AD766" s="4"/>
      <c r="AE766" s="4"/>
      <c r="AF766" s="4"/>
      <c r="AG766" s="4"/>
      <c r="AH766" s="4"/>
      <c r="AI766" s="4"/>
      <c r="AJ766" s="4"/>
      <c r="AK766" s="4"/>
    </row>
    <row r="767" spans="1:37" ht="70" customHeight="1" x14ac:dyDescent="0.2">
      <c r="A767" s="107"/>
      <c r="B767" s="4"/>
      <c r="C767" s="163"/>
      <c r="D767" s="4"/>
      <c r="E767" s="4"/>
      <c r="F767" s="4"/>
      <c r="G767" s="4"/>
      <c r="H767" s="4"/>
      <c r="I767" s="4"/>
      <c r="J767" s="4"/>
      <c r="K767" s="4"/>
      <c r="L767" s="4"/>
      <c r="M767" s="4"/>
      <c r="N767" s="4"/>
      <c r="O767" s="4"/>
      <c r="P767" s="4"/>
      <c r="Q767" s="4"/>
      <c r="R767" s="4"/>
      <c r="S767" s="4"/>
      <c r="T767" s="4"/>
      <c r="U767" s="4"/>
      <c r="V767" s="4"/>
      <c r="W767" s="4"/>
      <c r="X767" s="4"/>
      <c r="Y767" s="4"/>
      <c r="Z767" s="4"/>
      <c r="AA767" s="4"/>
      <c r="AB767" s="4"/>
      <c r="AC767" s="4"/>
      <c r="AD767" s="4"/>
      <c r="AE767" s="4"/>
      <c r="AF767" s="4"/>
      <c r="AG767" s="4"/>
      <c r="AH767" s="4"/>
      <c r="AI767" s="4"/>
      <c r="AJ767" s="4"/>
      <c r="AK767" s="4"/>
    </row>
    <row r="768" spans="1:37" ht="70" customHeight="1" x14ac:dyDescent="0.2">
      <c r="A768" s="107"/>
      <c r="B768" s="4"/>
      <c r="C768" s="163"/>
      <c r="D768" s="4"/>
      <c r="E768" s="4"/>
      <c r="F768" s="4"/>
      <c r="G768" s="4"/>
      <c r="H768" s="4"/>
      <c r="I768" s="4"/>
      <c r="J768" s="4"/>
      <c r="K768" s="4"/>
      <c r="L768" s="4"/>
      <c r="M768" s="4"/>
      <c r="N768" s="4"/>
      <c r="O768" s="4"/>
      <c r="P768" s="4"/>
      <c r="Q768" s="4"/>
      <c r="R768" s="4"/>
      <c r="S768" s="4"/>
      <c r="T768" s="4"/>
      <c r="U768" s="4"/>
      <c r="V768" s="4"/>
      <c r="W768" s="4"/>
      <c r="X768" s="4"/>
      <c r="Y768" s="4"/>
      <c r="Z768" s="4"/>
      <c r="AA768" s="4"/>
      <c r="AB768" s="4"/>
      <c r="AC768" s="4"/>
      <c r="AD768" s="4"/>
      <c r="AE768" s="4"/>
      <c r="AF768" s="4"/>
      <c r="AG768" s="4"/>
      <c r="AH768" s="4"/>
      <c r="AI768" s="4"/>
      <c r="AJ768" s="4"/>
      <c r="AK768" s="4"/>
    </row>
    <row r="769" spans="1:37" ht="70" customHeight="1" x14ac:dyDescent="0.2">
      <c r="A769" s="107"/>
      <c r="B769" s="4"/>
      <c r="C769" s="163"/>
      <c r="D769" s="4"/>
      <c r="E769" s="4"/>
      <c r="F769" s="4"/>
      <c r="G769" s="4"/>
      <c r="H769" s="4"/>
      <c r="I769" s="4"/>
      <c r="J769" s="4"/>
      <c r="K769" s="4"/>
      <c r="L769" s="4"/>
      <c r="M769" s="4"/>
      <c r="N769" s="4"/>
      <c r="O769" s="4"/>
      <c r="P769" s="4"/>
      <c r="Q769" s="4"/>
      <c r="R769" s="4"/>
      <c r="S769" s="4"/>
      <c r="T769" s="4"/>
      <c r="U769" s="4"/>
      <c r="V769" s="4"/>
      <c r="W769" s="4"/>
      <c r="X769" s="4"/>
      <c r="Y769" s="4"/>
      <c r="Z769" s="4"/>
      <c r="AA769" s="4"/>
      <c r="AB769" s="4"/>
      <c r="AC769" s="4"/>
      <c r="AD769" s="4"/>
      <c r="AE769" s="4"/>
      <c r="AF769" s="4"/>
      <c r="AG769" s="4"/>
      <c r="AH769" s="4"/>
      <c r="AI769" s="4"/>
      <c r="AJ769" s="4"/>
      <c r="AK769" s="4"/>
    </row>
    <row r="770" spans="1:37" ht="70" customHeight="1" x14ac:dyDescent="0.2">
      <c r="A770" s="107"/>
      <c r="B770" s="4"/>
      <c r="C770" s="163"/>
      <c r="D770" s="4"/>
      <c r="E770" s="4"/>
      <c r="F770" s="4"/>
      <c r="G770" s="4"/>
      <c r="H770" s="4"/>
      <c r="I770" s="4"/>
      <c r="J770" s="4"/>
      <c r="K770" s="4"/>
      <c r="L770" s="4"/>
      <c r="M770" s="4"/>
      <c r="N770" s="4"/>
      <c r="O770" s="4"/>
      <c r="P770" s="4"/>
      <c r="Q770" s="4"/>
      <c r="R770" s="4"/>
      <c r="S770" s="4"/>
      <c r="T770" s="4"/>
      <c r="U770" s="4"/>
      <c r="V770" s="4"/>
      <c r="W770" s="4"/>
      <c r="X770" s="4"/>
      <c r="Y770" s="4"/>
      <c r="Z770" s="4"/>
      <c r="AA770" s="4"/>
      <c r="AB770" s="4"/>
      <c r="AC770" s="4"/>
      <c r="AD770" s="4"/>
      <c r="AE770" s="4"/>
      <c r="AF770" s="4"/>
      <c r="AG770" s="4"/>
      <c r="AH770" s="4"/>
      <c r="AI770" s="4"/>
      <c r="AJ770" s="4"/>
      <c r="AK770" s="4"/>
    </row>
    <row r="771" spans="1:37" ht="70" customHeight="1" x14ac:dyDescent="0.2">
      <c r="A771" s="107"/>
      <c r="B771" s="4"/>
      <c r="C771" s="163"/>
      <c r="D771" s="4"/>
      <c r="E771" s="4"/>
      <c r="F771" s="4"/>
      <c r="G771" s="4"/>
      <c r="H771" s="4"/>
      <c r="I771" s="4"/>
      <c r="J771" s="4"/>
      <c r="K771" s="4"/>
      <c r="L771" s="4"/>
      <c r="M771" s="4"/>
      <c r="N771" s="4"/>
      <c r="O771" s="4"/>
      <c r="P771" s="4"/>
      <c r="Q771" s="4"/>
      <c r="R771" s="4"/>
      <c r="S771" s="4"/>
      <c r="T771" s="4"/>
      <c r="U771" s="4"/>
      <c r="V771" s="4"/>
      <c r="W771" s="4"/>
      <c r="X771" s="4"/>
      <c r="Y771" s="4"/>
      <c r="Z771" s="4"/>
      <c r="AA771" s="4"/>
      <c r="AB771" s="4"/>
      <c r="AC771" s="4"/>
      <c r="AD771" s="4"/>
      <c r="AE771" s="4"/>
      <c r="AF771" s="4"/>
      <c r="AG771" s="4"/>
      <c r="AH771" s="4"/>
      <c r="AI771" s="4"/>
      <c r="AJ771" s="4"/>
      <c r="AK771" s="4"/>
    </row>
    <row r="772" spans="1:37" ht="70" customHeight="1" x14ac:dyDescent="0.2">
      <c r="A772" s="107"/>
      <c r="B772" s="4"/>
      <c r="C772" s="163"/>
      <c r="D772" s="4"/>
      <c r="E772" s="4"/>
      <c r="F772" s="4"/>
      <c r="G772" s="4"/>
      <c r="H772" s="4"/>
      <c r="I772" s="4"/>
      <c r="J772" s="4"/>
      <c r="K772" s="4"/>
      <c r="L772" s="4"/>
      <c r="M772" s="4"/>
      <c r="N772" s="4"/>
      <c r="O772" s="4"/>
      <c r="P772" s="4"/>
      <c r="Q772" s="4"/>
      <c r="R772" s="4"/>
      <c r="S772" s="4"/>
      <c r="T772" s="4"/>
      <c r="U772" s="4"/>
      <c r="V772" s="4"/>
      <c r="W772" s="4"/>
      <c r="X772" s="4"/>
      <c r="Y772" s="4"/>
      <c r="Z772" s="4"/>
      <c r="AA772" s="4"/>
      <c r="AB772" s="4"/>
      <c r="AC772" s="4"/>
      <c r="AD772" s="4"/>
      <c r="AE772" s="4"/>
      <c r="AF772" s="4"/>
      <c r="AG772" s="4"/>
      <c r="AH772" s="4"/>
      <c r="AI772" s="4"/>
      <c r="AJ772" s="4"/>
      <c r="AK772" s="4"/>
    </row>
    <row r="773" spans="1:37" ht="70" customHeight="1" x14ac:dyDescent="0.2">
      <c r="A773" s="107"/>
      <c r="B773" s="4"/>
      <c r="C773" s="163"/>
      <c r="D773" s="4"/>
      <c r="E773" s="4"/>
      <c r="F773" s="4"/>
      <c r="G773" s="4"/>
      <c r="H773" s="4"/>
      <c r="I773" s="4"/>
      <c r="J773" s="4"/>
      <c r="K773" s="4"/>
      <c r="L773" s="4"/>
      <c r="M773" s="4"/>
      <c r="N773" s="4"/>
      <c r="O773" s="4"/>
      <c r="P773" s="4"/>
      <c r="Q773" s="4"/>
      <c r="R773" s="4"/>
      <c r="S773" s="4"/>
      <c r="T773" s="4"/>
      <c r="U773" s="4"/>
      <c r="V773" s="4"/>
      <c r="W773" s="4"/>
      <c r="X773" s="4"/>
      <c r="Y773" s="4"/>
      <c r="Z773" s="4"/>
      <c r="AA773" s="4"/>
      <c r="AB773" s="4"/>
      <c r="AC773" s="4"/>
      <c r="AD773" s="4"/>
      <c r="AE773" s="4"/>
      <c r="AF773" s="4"/>
      <c r="AG773" s="4"/>
      <c r="AH773" s="4"/>
      <c r="AI773" s="4"/>
      <c r="AJ773" s="4"/>
      <c r="AK773" s="4"/>
    </row>
    <row r="774" spans="1:37" ht="70" customHeight="1" x14ac:dyDescent="0.2">
      <c r="A774" s="107"/>
      <c r="B774" s="4"/>
      <c r="C774" s="163"/>
      <c r="D774" s="4"/>
      <c r="E774" s="4"/>
      <c r="F774" s="4"/>
      <c r="G774" s="4"/>
      <c r="H774" s="4"/>
      <c r="I774" s="4"/>
      <c r="J774" s="4"/>
      <c r="K774" s="4"/>
      <c r="L774" s="4"/>
      <c r="M774" s="4"/>
      <c r="N774" s="4"/>
      <c r="O774" s="4"/>
      <c r="P774" s="4"/>
      <c r="Q774" s="4"/>
      <c r="R774" s="4"/>
      <c r="S774" s="4"/>
      <c r="T774" s="4"/>
      <c r="U774" s="4"/>
      <c r="V774" s="4"/>
      <c r="W774" s="4"/>
      <c r="X774" s="4"/>
      <c r="Y774" s="4"/>
      <c r="Z774" s="4"/>
      <c r="AA774" s="4"/>
      <c r="AB774" s="4"/>
      <c r="AC774" s="4"/>
      <c r="AD774" s="4"/>
      <c r="AE774" s="4"/>
      <c r="AF774" s="4"/>
      <c r="AG774" s="4"/>
      <c r="AH774" s="4"/>
      <c r="AI774" s="4"/>
      <c r="AJ774" s="4"/>
      <c r="AK774" s="4"/>
    </row>
    <row r="775" spans="1:37" ht="70" customHeight="1" x14ac:dyDescent="0.2">
      <c r="A775" s="107"/>
      <c r="B775" s="4"/>
      <c r="C775" s="163"/>
      <c r="D775" s="4"/>
      <c r="E775" s="4"/>
      <c r="F775" s="4"/>
      <c r="G775" s="4"/>
      <c r="H775" s="4"/>
      <c r="I775" s="4"/>
      <c r="J775" s="4"/>
      <c r="K775" s="4"/>
      <c r="L775" s="4"/>
      <c r="M775" s="4"/>
      <c r="N775" s="4"/>
      <c r="O775" s="4"/>
      <c r="P775" s="4"/>
      <c r="Q775" s="4"/>
      <c r="R775" s="4"/>
      <c r="S775" s="4"/>
      <c r="T775" s="4"/>
      <c r="U775" s="4"/>
      <c r="V775" s="4"/>
      <c r="W775" s="4"/>
      <c r="X775" s="4"/>
      <c r="Y775" s="4"/>
      <c r="Z775" s="4"/>
      <c r="AA775" s="4"/>
      <c r="AB775" s="4"/>
      <c r="AC775" s="4"/>
      <c r="AD775" s="4"/>
      <c r="AE775" s="4"/>
      <c r="AF775" s="4"/>
      <c r="AG775" s="4"/>
      <c r="AH775" s="4"/>
      <c r="AI775" s="4"/>
      <c r="AJ775" s="4"/>
      <c r="AK775" s="4"/>
    </row>
    <row r="776" spans="1:37" ht="70" customHeight="1" x14ac:dyDescent="0.2">
      <c r="A776" s="107"/>
      <c r="B776" s="4"/>
      <c r="C776" s="163"/>
      <c r="D776" s="4"/>
      <c r="E776" s="4"/>
      <c r="F776" s="4"/>
      <c r="G776" s="4"/>
      <c r="H776" s="4"/>
      <c r="I776" s="4"/>
      <c r="J776" s="4"/>
      <c r="K776" s="4"/>
      <c r="L776" s="4"/>
      <c r="M776" s="4"/>
      <c r="N776" s="4"/>
      <c r="O776" s="4"/>
      <c r="P776" s="4"/>
      <c r="Q776" s="4"/>
      <c r="R776" s="4"/>
      <c r="S776" s="4"/>
      <c r="T776" s="4"/>
      <c r="U776" s="4"/>
      <c r="V776" s="4"/>
      <c r="W776" s="4"/>
      <c r="X776" s="4"/>
      <c r="Y776" s="4"/>
      <c r="Z776" s="4"/>
      <c r="AA776" s="4"/>
      <c r="AB776" s="4"/>
      <c r="AC776" s="4"/>
      <c r="AD776" s="4"/>
      <c r="AE776" s="4"/>
      <c r="AF776" s="4"/>
      <c r="AG776" s="4"/>
      <c r="AH776" s="4"/>
      <c r="AI776" s="4"/>
      <c r="AJ776" s="4"/>
      <c r="AK776" s="4"/>
    </row>
    <row r="777" spans="1:37" ht="70" customHeight="1" x14ac:dyDescent="0.2">
      <c r="A777" s="107"/>
      <c r="B777" s="4"/>
      <c r="C777" s="163"/>
      <c r="D777" s="4"/>
      <c r="E777" s="4"/>
      <c r="F777" s="4"/>
      <c r="G777" s="4"/>
      <c r="H777" s="4"/>
      <c r="I777" s="4"/>
      <c r="J777" s="4"/>
      <c r="K777" s="4"/>
      <c r="L777" s="4"/>
      <c r="M777" s="4"/>
      <c r="N777" s="4"/>
      <c r="O777" s="4"/>
      <c r="P777" s="4"/>
      <c r="Q777" s="4"/>
      <c r="R777" s="4"/>
      <c r="S777" s="4"/>
      <c r="T777" s="4"/>
      <c r="U777" s="4"/>
      <c r="V777" s="4"/>
      <c r="W777" s="4"/>
      <c r="X777" s="4"/>
      <c r="Y777" s="4"/>
      <c r="Z777" s="4"/>
      <c r="AA777" s="4"/>
      <c r="AB777" s="4"/>
      <c r="AC777" s="4"/>
      <c r="AD777" s="4"/>
      <c r="AE777" s="4"/>
      <c r="AF777" s="4"/>
      <c r="AG777" s="4"/>
      <c r="AH777" s="4"/>
      <c r="AI777" s="4"/>
      <c r="AJ777" s="4"/>
      <c r="AK777" s="4"/>
    </row>
    <row r="778" spans="1:37" ht="70" customHeight="1" x14ac:dyDescent="0.2">
      <c r="A778" s="107"/>
      <c r="B778" s="4"/>
      <c r="C778" s="163"/>
      <c r="D778" s="4"/>
      <c r="E778" s="4"/>
      <c r="F778" s="4"/>
      <c r="G778" s="4"/>
      <c r="H778" s="4"/>
      <c r="I778" s="4"/>
      <c r="J778" s="4"/>
      <c r="K778" s="4"/>
      <c r="L778" s="4"/>
      <c r="M778" s="4"/>
      <c r="N778" s="4"/>
      <c r="O778" s="4"/>
      <c r="P778" s="4"/>
      <c r="Q778" s="4"/>
      <c r="R778" s="4"/>
      <c r="S778" s="4"/>
      <c r="T778" s="4"/>
      <c r="U778" s="4"/>
      <c r="V778" s="4"/>
      <c r="W778" s="4"/>
      <c r="X778" s="4"/>
      <c r="Y778" s="4"/>
      <c r="Z778" s="4"/>
      <c r="AA778" s="4"/>
      <c r="AB778" s="4"/>
      <c r="AC778" s="4"/>
      <c r="AD778" s="4"/>
      <c r="AE778" s="4"/>
      <c r="AF778" s="4"/>
      <c r="AG778" s="4"/>
      <c r="AH778" s="4"/>
      <c r="AI778" s="4"/>
      <c r="AJ778" s="4"/>
      <c r="AK778" s="4"/>
    </row>
    <row r="779" spans="1:37" ht="70" customHeight="1" x14ac:dyDescent="0.2">
      <c r="A779" s="107"/>
      <c r="B779" s="4"/>
      <c r="C779" s="163"/>
      <c r="D779" s="4"/>
      <c r="E779" s="4"/>
      <c r="F779" s="4"/>
      <c r="G779" s="4"/>
      <c r="H779" s="4"/>
      <c r="I779" s="4"/>
      <c r="J779" s="4"/>
      <c r="K779" s="4"/>
      <c r="L779" s="4"/>
      <c r="M779" s="4"/>
      <c r="N779" s="4"/>
      <c r="O779" s="4"/>
      <c r="P779" s="4"/>
      <c r="Q779" s="4"/>
      <c r="R779" s="4"/>
      <c r="S779" s="4"/>
      <c r="T779" s="4"/>
      <c r="U779" s="4"/>
      <c r="V779" s="4"/>
      <c r="W779" s="4"/>
      <c r="X779" s="4"/>
      <c r="Y779" s="4"/>
      <c r="Z779" s="4"/>
      <c r="AA779" s="4"/>
      <c r="AB779" s="4"/>
      <c r="AC779" s="4"/>
      <c r="AD779" s="4"/>
      <c r="AE779" s="4"/>
      <c r="AF779" s="4"/>
      <c r="AG779" s="4"/>
      <c r="AH779" s="4"/>
      <c r="AI779" s="4"/>
      <c r="AJ779" s="4"/>
      <c r="AK779" s="4"/>
    </row>
    <row r="780" spans="1:37" ht="70" customHeight="1" x14ac:dyDescent="0.2">
      <c r="A780" s="107"/>
      <c r="B780" s="4"/>
      <c r="C780" s="163"/>
      <c r="D780" s="4"/>
      <c r="E780" s="4"/>
      <c r="F780" s="4"/>
      <c r="G780" s="4"/>
      <c r="H780" s="4"/>
      <c r="I780" s="4"/>
      <c r="J780" s="4"/>
      <c r="K780" s="4"/>
      <c r="L780" s="4"/>
      <c r="M780" s="4"/>
      <c r="N780" s="4"/>
      <c r="O780" s="4"/>
      <c r="P780" s="4"/>
      <c r="Q780" s="4"/>
      <c r="R780" s="4"/>
      <c r="S780" s="4"/>
      <c r="T780" s="4"/>
      <c r="U780" s="4"/>
      <c r="V780" s="4"/>
      <c r="W780" s="4"/>
      <c r="X780" s="4"/>
      <c r="Y780" s="4"/>
      <c r="Z780" s="4"/>
      <c r="AA780" s="4"/>
      <c r="AB780" s="4"/>
      <c r="AC780" s="4"/>
      <c r="AD780" s="4"/>
      <c r="AE780" s="4"/>
      <c r="AF780" s="4"/>
      <c r="AG780" s="4"/>
      <c r="AH780" s="4"/>
      <c r="AI780" s="4"/>
      <c r="AJ780" s="4"/>
      <c r="AK780" s="4"/>
    </row>
    <row r="781" spans="1:37" ht="70" customHeight="1" x14ac:dyDescent="0.2">
      <c r="A781" s="107"/>
      <c r="B781" s="4"/>
      <c r="C781" s="163"/>
      <c r="D781" s="4"/>
      <c r="E781" s="4"/>
      <c r="F781" s="4"/>
      <c r="G781" s="4"/>
      <c r="H781" s="4"/>
      <c r="I781" s="4"/>
      <c r="J781" s="4"/>
      <c r="K781" s="4"/>
      <c r="L781" s="4"/>
      <c r="M781" s="4"/>
      <c r="N781" s="4"/>
      <c r="O781" s="4"/>
      <c r="P781" s="4"/>
      <c r="Q781" s="4"/>
      <c r="R781" s="4"/>
      <c r="S781" s="4"/>
      <c r="T781" s="4"/>
      <c r="U781" s="4"/>
      <c r="V781" s="4"/>
      <c r="W781" s="4"/>
      <c r="X781" s="4"/>
      <c r="Y781" s="4"/>
      <c r="Z781" s="4"/>
      <c r="AA781" s="4"/>
      <c r="AB781" s="4"/>
      <c r="AC781" s="4"/>
      <c r="AD781" s="4"/>
      <c r="AE781" s="4"/>
      <c r="AF781" s="4"/>
      <c r="AG781" s="4"/>
      <c r="AH781" s="4"/>
      <c r="AI781" s="4"/>
      <c r="AJ781" s="4"/>
      <c r="AK781" s="4"/>
    </row>
    <row r="782" spans="1:37" ht="70" customHeight="1" x14ac:dyDescent="0.2">
      <c r="A782" s="107"/>
      <c r="B782" s="4"/>
      <c r="C782" s="163"/>
      <c r="D782" s="4"/>
      <c r="E782" s="4"/>
      <c r="F782" s="4"/>
      <c r="G782" s="4"/>
      <c r="H782" s="4"/>
      <c r="I782" s="4"/>
      <c r="J782" s="4"/>
      <c r="K782" s="4"/>
      <c r="L782" s="4"/>
      <c r="M782" s="4"/>
      <c r="N782" s="4"/>
      <c r="O782" s="4"/>
      <c r="P782" s="4"/>
      <c r="Q782" s="4"/>
      <c r="R782" s="4"/>
      <c r="S782" s="4"/>
      <c r="T782" s="4"/>
      <c r="U782" s="4"/>
      <c r="V782" s="4"/>
      <c r="W782" s="4"/>
      <c r="X782" s="4"/>
      <c r="Y782" s="4"/>
      <c r="Z782" s="4"/>
      <c r="AA782" s="4"/>
      <c r="AB782" s="4"/>
      <c r="AC782" s="4"/>
      <c r="AD782" s="4"/>
      <c r="AE782" s="4"/>
      <c r="AF782" s="4"/>
      <c r="AG782" s="4"/>
      <c r="AH782" s="4"/>
      <c r="AI782" s="4"/>
      <c r="AJ782" s="4"/>
      <c r="AK782" s="4"/>
    </row>
    <row r="783" spans="1:37" ht="70" customHeight="1" x14ac:dyDescent="0.2">
      <c r="A783" s="107"/>
      <c r="B783" s="4"/>
      <c r="C783" s="163"/>
      <c r="D783" s="4"/>
      <c r="E783" s="4"/>
      <c r="F783" s="4"/>
      <c r="G783" s="4"/>
      <c r="H783" s="4"/>
      <c r="I783" s="4"/>
      <c r="J783" s="4"/>
      <c r="K783" s="4"/>
      <c r="L783" s="4"/>
      <c r="M783" s="4"/>
      <c r="N783" s="4"/>
      <c r="O783" s="4"/>
      <c r="P783" s="4"/>
      <c r="Q783" s="4"/>
      <c r="R783" s="4"/>
      <c r="S783" s="4"/>
      <c r="T783" s="4"/>
      <c r="U783" s="4"/>
      <c r="V783" s="4"/>
      <c r="W783" s="4"/>
      <c r="X783" s="4"/>
      <c r="Y783" s="4"/>
      <c r="Z783" s="4"/>
      <c r="AA783" s="4"/>
      <c r="AB783" s="4"/>
      <c r="AC783" s="4"/>
      <c r="AD783" s="4"/>
      <c r="AE783" s="4"/>
      <c r="AF783" s="4"/>
      <c r="AG783" s="4"/>
      <c r="AH783" s="4"/>
      <c r="AI783" s="4"/>
      <c r="AJ783" s="4"/>
      <c r="AK783" s="4"/>
    </row>
    <row r="784" spans="1:37" ht="70" customHeight="1" x14ac:dyDescent="0.2">
      <c r="A784" s="107"/>
      <c r="B784" s="4"/>
      <c r="C784" s="163"/>
      <c r="D784" s="4"/>
      <c r="E784" s="4"/>
      <c r="F784" s="4"/>
      <c r="G784" s="4"/>
      <c r="H784" s="4"/>
      <c r="I784" s="4"/>
      <c r="J784" s="4"/>
      <c r="K784" s="4"/>
      <c r="L784" s="4"/>
      <c r="M784" s="4"/>
      <c r="N784" s="4"/>
      <c r="O784" s="4"/>
      <c r="P784" s="4"/>
      <c r="Q784" s="4"/>
      <c r="R784" s="4"/>
      <c r="S784" s="4"/>
      <c r="T784" s="4"/>
      <c r="U784" s="4"/>
      <c r="V784" s="4"/>
      <c r="W784" s="4"/>
      <c r="X784" s="4"/>
      <c r="Y784" s="4"/>
      <c r="Z784" s="4"/>
      <c r="AA784" s="4"/>
      <c r="AB784" s="4"/>
      <c r="AC784" s="4"/>
      <c r="AD784" s="4"/>
      <c r="AE784" s="4"/>
      <c r="AF784" s="4"/>
      <c r="AG784" s="4"/>
      <c r="AH784" s="4"/>
      <c r="AI784" s="4"/>
      <c r="AJ784" s="4"/>
      <c r="AK784" s="4"/>
    </row>
    <row r="785" spans="1:37" ht="70" customHeight="1" x14ac:dyDescent="0.2">
      <c r="A785" s="107"/>
      <c r="B785" s="4"/>
      <c r="C785" s="163"/>
      <c r="D785" s="4"/>
      <c r="E785" s="4"/>
      <c r="F785" s="4"/>
      <c r="G785" s="4"/>
      <c r="H785" s="4"/>
      <c r="I785" s="4"/>
      <c r="J785" s="4"/>
      <c r="K785" s="4"/>
      <c r="L785" s="4"/>
      <c r="M785" s="4"/>
      <c r="N785" s="4"/>
      <c r="O785" s="4"/>
      <c r="P785" s="4"/>
      <c r="Q785" s="4"/>
      <c r="R785" s="4"/>
      <c r="S785" s="4"/>
      <c r="T785" s="4"/>
      <c r="U785" s="4"/>
      <c r="V785" s="4"/>
      <c r="W785" s="4"/>
      <c r="X785" s="4"/>
      <c r="Y785" s="4"/>
      <c r="Z785" s="4"/>
      <c r="AA785" s="4"/>
      <c r="AB785" s="4"/>
      <c r="AC785" s="4"/>
      <c r="AD785" s="4"/>
      <c r="AE785" s="4"/>
      <c r="AF785" s="4"/>
      <c r="AG785" s="4"/>
      <c r="AH785" s="4"/>
      <c r="AI785" s="4"/>
      <c r="AJ785" s="4"/>
      <c r="AK785" s="4"/>
    </row>
    <row r="786" spans="1:37" ht="70" customHeight="1" x14ac:dyDescent="0.2">
      <c r="A786" s="107"/>
      <c r="B786" s="4"/>
      <c r="C786" s="163"/>
      <c r="D786" s="4"/>
      <c r="E786" s="4"/>
      <c r="F786" s="4"/>
      <c r="G786" s="4"/>
      <c r="H786" s="4"/>
      <c r="I786" s="4"/>
      <c r="J786" s="4"/>
      <c r="K786" s="4"/>
      <c r="L786" s="4"/>
      <c r="M786" s="4"/>
      <c r="N786" s="4"/>
      <c r="O786" s="4"/>
      <c r="P786" s="4"/>
      <c r="Q786" s="4"/>
      <c r="R786" s="4"/>
      <c r="S786" s="4"/>
      <c r="T786" s="4"/>
      <c r="U786" s="4"/>
      <c r="V786" s="4"/>
      <c r="W786" s="4"/>
      <c r="X786" s="4"/>
      <c r="Y786" s="4"/>
      <c r="Z786" s="4"/>
      <c r="AA786" s="4"/>
      <c r="AB786" s="4"/>
      <c r="AC786" s="4"/>
      <c r="AD786" s="4"/>
      <c r="AE786" s="4"/>
      <c r="AF786" s="4"/>
      <c r="AG786" s="4"/>
      <c r="AH786" s="4"/>
      <c r="AI786" s="4"/>
      <c r="AJ786" s="4"/>
      <c r="AK786" s="4"/>
    </row>
    <row r="787" spans="1:37" ht="70" customHeight="1" x14ac:dyDescent="0.2">
      <c r="A787" s="107"/>
      <c r="B787" s="4"/>
      <c r="C787" s="163"/>
      <c r="D787" s="4"/>
      <c r="E787" s="4"/>
      <c r="F787" s="4"/>
      <c r="G787" s="4"/>
      <c r="H787" s="4"/>
      <c r="I787" s="4"/>
      <c r="J787" s="4"/>
      <c r="K787" s="4"/>
      <c r="L787" s="4"/>
      <c r="M787" s="4"/>
      <c r="N787" s="4"/>
      <c r="O787" s="4"/>
      <c r="P787" s="4"/>
      <c r="Q787" s="4"/>
      <c r="R787" s="4"/>
      <c r="S787" s="4"/>
      <c r="T787" s="4"/>
      <c r="U787" s="4"/>
      <c r="V787" s="4"/>
      <c r="W787" s="4"/>
      <c r="X787" s="4"/>
      <c r="Y787" s="4"/>
      <c r="Z787" s="4"/>
      <c r="AA787" s="4"/>
      <c r="AB787" s="4"/>
      <c r="AC787" s="4"/>
      <c r="AD787" s="4"/>
      <c r="AE787" s="4"/>
      <c r="AF787" s="4"/>
      <c r="AG787" s="4"/>
      <c r="AH787" s="4"/>
      <c r="AI787" s="4"/>
      <c r="AJ787" s="4"/>
      <c r="AK787" s="4"/>
    </row>
    <row r="788" spans="1:37" ht="70" customHeight="1" x14ac:dyDescent="0.2">
      <c r="A788" s="107"/>
      <c r="B788" s="4"/>
      <c r="C788" s="163"/>
      <c r="D788" s="4"/>
      <c r="E788" s="4"/>
      <c r="F788" s="4"/>
      <c r="G788" s="4"/>
      <c r="H788" s="4"/>
      <c r="I788" s="4"/>
      <c r="J788" s="4"/>
      <c r="K788" s="4"/>
      <c r="L788" s="4"/>
      <c r="M788" s="4"/>
      <c r="N788" s="4"/>
      <c r="O788" s="4"/>
      <c r="P788" s="4"/>
      <c r="Q788" s="4"/>
      <c r="R788" s="4"/>
      <c r="S788" s="4"/>
      <c r="T788" s="4"/>
      <c r="U788" s="4"/>
      <c r="V788" s="4"/>
      <c r="W788" s="4"/>
      <c r="X788" s="4"/>
      <c r="Y788" s="4"/>
      <c r="Z788" s="4"/>
      <c r="AA788" s="4"/>
      <c r="AB788" s="4"/>
      <c r="AC788" s="4"/>
      <c r="AD788" s="4"/>
      <c r="AE788" s="4"/>
      <c r="AF788" s="4"/>
      <c r="AG788" s="4"/>
      <c r="AH788" s="4"/>
      <c r="AI788" s="4"/>
      <c r="AJ788" s="4"/>
      <c r="AK788" s="4"/>
    </row>
    <row r="789" spans="1:37" ht="70" customHeight="1" x14ac:dyDescent="0.2">
      <c r="A789" s="107"/>
      <c r="B789" s="4"/>
      <c r="C789" s="163"/>
      <c r="D789" s="4"/>
      <c r="E789" s="4"/>
      <c r="F789" s="4"/>
      <c r="G789" s="4"/>
      <c r="H789" s="4"/>
      <c r="I789" s="4"/>
      <c r="J789" s="4"/>
      <c r="K789" s="4"/>
      <c r="L789" s="4"/>
      <c r="M789" s="4"/>
      <c r="N789" s="4"/>
      <c r="O789" s="4"/>
      <c r="P789" s="4"/>
      <c r="Q789" s="4"/>
      <c r="R789" s="4"/>
      <c r="S789" s="4"/>
      <c r="T789" s="4"/>
      <c r="U789" s="4"/>
      <c r="V789" s="4"/>
      <c r="W789" s="4"/>
      <c r="X789" s="4"/>
      <c r="Y789" s="4"/>
      <c r="Z789" s="4"/>
      <c r="AA789" s="4"/>
      <c r="AB789" s="4"/>
      <c r="AC789" s="4"/>
      <c r="AD789" s="4"/>
      <c r="AE789" s="4"/>
      <c r="AF789" s="4"/>
      <c r="AG789" s="4"/>
      <c r="AH789" s="4"/>
      <c r="AI789" s="4"/>
      <c r="AJ789" s="4"/>
      <c r="AK789" s="4"/>
    </row>
    <row r="790" spans="1:37" ht="70" customHeight="1" x14ac:dyDescent="0.2">
      <c r="A790" s="107"/>
      <c r="B790" s="4"/>
      <c r="C790" s="163"/>
      <c r="D790" s="4"/>
      <c r="E790" s="4"/>
      <c r="F790" s="4"/>
      <c r="G790" s="4"/>
      <c r="H790" s="4"/>
      <c r="I790" s="4"/>
      <c r="J790" s="4"/>
      <c r="K790" s="4"/>
      <c r="L790" s="4"/>
      <c r="M790" s="4"/>
      <c r="N790" s="4"/>
      <c r="O790" s="4"/>
      <c r="P790" s="4"/>
      <c r="Q790" s="4"/>
      <c r="R790" s="4"/>
      <c r="S790" s="4"/>
      <c r="T790" s="4"/>
      <c r="U790" s="4"/>
      <c r="V790" s="4"/>
      <c r="W790" s="4"/>
      <c r="X790" s="4"/>
      <c r="Y790" s="4"/>
      <c r="Z790" s="4"/>
      <c r="AA790" s="4"/>
      <c r="AB790" s="4"/>
      <c r="AC790" s="4"/>
      <c r="AD790" s="4"/>
      <c r="AE790" s="4"/>
      <c r="AF790" s="4"/>
      <c r="AG790" s="4"/>
      <c r="AH790" s="4"/>
      <c r="AI790" s="4"/>
      <c r="AJ790" s="4"/>
      <c r="AK790" s="4"/>
    </row>
    <row r="791" spans="1:37" ht="70" customHeight="1" x14ac:dyDescent="0.2">
      <c r="A791" s="107"/>
      <c r="B791" s="4"/>
      <c r="C791" s="163"/>
      <c r="D791" s="4"/>
      <c r="E791" s="4"/>
      <c r="F791" s="4"/>
      <c r="G791" s="4"/>
      <c r="H791" s="4"/>
      <c r="I791" s="4"/>
      <c r="J791" s="4"/>
      <c r="K791" s="4"/>
      <c r="L791" s="4"/>
      <c r="M791" s="4"/>
      <c r="N791" s="4"/>
      <c r="O791" s="4"/>
      <c r="P791" s="4"/>
      <c r="Q791" s="4"/>
      <c r="R791" s="4"/>
      <c r="S791" s="4"/>
      <c r="T791" s="4"/>
      <c r="U791" s="4"/>
      <c r="V791" s="4"/>
      <c r="W791" s="4"/>
      <c r="X791" s="4"/>
      <c r="Y791" s="4"/>
      <c r="Z791" s="4"/>
      <c r="AA791" s="4"/>
      <c r="AB791" s="4"/>
      <c r="AC791" s="4"/>
      <c r="AD791" s="4"/>
      <c r="AE791" s="4"/>
      <c r="AF791" s="4"/>
      <c r="AG791" s="4"/>
      <c r="AH791" s="4"/>
      <c r="AI791" s="4"/>
      <c r="AJ791" s="4"/>
      <c r="AK791" s="4"/>
    </row>
    <row r="792" spans="1:37" ht="70" customHeight="1" x14ac:dyDescent="0.2">
      <c r="A792" s="107"/>
      <c r="B792" s="4"/>
      <c r="C792" s="163"/>
      <c r="D792" s="4"/>
      <c r="E792" s="4"/>
      <c r="F792" s="4"/>
      <c r="G792" s="4"/>
      <c r="H792" s="4"/>
      <c r="I792" s="4"/>
      <c r="J792" s="4"/>
      <c r="K792" s="4"/>
      <c r="L792" s="4"/>
      <c r="M792" s="4"/>
      <c r="N792" s="4"/>
      <c r="O792" s="4"/>
      <c r="P792" s="4"/>
      <c r="Q792" s="4"/>
      <c r="R792" s="4"/>
      <c r="S792" s="4"/>
      <c r="T792" s="4"/>
      <c r="U792" s="4"/>
      <c r="V792" s="4"/>
      <c r="W792" s="4"/>
      <c r="X792" s="4"/>
      <c r="Y792" s="4"/>
      <c r="Z792" s="4"/>
      <c r="AA792" s="4"/>
      <c r="AB792" s="4"/>
      <c r="AC792" s="4"/>
      <c r="AD792" s="4"/>
      <c r="AE792" s="4"/>
      <c r="AF792" s="4"/>
      <c r="AG792" s="4"/>
      <c r="AH792" s="4"/>
      <c r="AI792" s="4"/>
      <c r="AJ792" s="4"/>
      <c r="AK792" s="4"/>
    </row>
    <row r="793" spans="1:37" ht="70" customHeight="1" x14ac:dyDescent="0.2">
      <c r="A793" s="107"/>
      <c r="B793" s="4"/>
      <c r="C793" s="163"/>
      <c r="D793" s="4"/>
      <c r="E793" s="4"/>
      <c r="F793" s="4"/>
      <c r="G793" s="4"/>
      <c r="H793" s="4"/>
      <c r="I793" s="4"/>
      <c r="J793" s="4"/>
      <c r="K793" s="4"/>
      <c r="L793" s="4"/>
      <c r="M793" s="4"/>
      <c r="N793" s="4"/>
      <c r="O793" s="4"/>
      <c r="P793" s="4"/>
      <c r="Q793" s="4"/>
      <c r="R793" s="4"/>
      <c r="S793" s="4"/>
      <c r="T793" s="4"/>
      <c r="U793" s="4"/>
      <c r="V793" s="4"/>
      <c r="W793" s="4"/>
      <c r="X793" s="4"/>
      <c r="Y793" s="4"/>
      <c r="Z793" s="4"/>
      <c r="AA793" s="4"/>
      <c r="AB793" s="4"/>
      <c r="AC793" s="4"/>
      <c r="AD793" s="4"/>
      <c r="AE793" s="4"/>
      <c r="AF793" s="4"/>
      <c r="AG793" s="4"/>
      <c r="AH793" s="4"/>
      <c r="AI793" s="4"/>
      <c r="AJ793" s="4"/>
      <c r="AK793" s="4"/>
    </row>
    <row r="794" spans="1:37" ht="70" customHeight="1" x14ac:dyDescent="0.2">
      <c r="A794" s="107"/>
      <c r="B794" s="4"/>
      <c r="C794" s="163"/>
      <c r="D794" s="4"/>
      <c r="E794" s="4"/>
      <c r="F794" s="4"/>
      <c r="G794" s="4"/>
      <c r="H794" s="4"/>
      <c r="I794" s="4"/>
      <c r="J794" s="4"/>
      <c r="K794" s="4"/>
      <c r="L794" s="4"/>
      <c r="M794" s="4"/>
      <c r="N794" s="4"/>
      <c r="O794" s="4"/>
      <c r="P794" s="4"/>
      <c r="Q794" s="4"/>
      <c r="R794" s="4"/>
      <c r="S794" s="4"/>
      <c r="T794" s="4"/>
      <c r="U794" s="4"/>
      <c r="V794" s="4"/>
      <c r="W794" s="4"/>
      <c r="X794" s="4"/>
      <c r="Y794" s="4"/>
      <c r="Z794" s="4"/>
      <c r="AA794" s="4"/>
      <c r="AB794" s="4"/>
      <c r="AC794" s="4"/>
      <c r="AD794" s="4"/>
      <c r="AE794" s="4"/>
      <c r="AF794" s="4"/>
      <c r="AG794" s="4"/>
      <c r="AH794" s="4"/>
      <c r="AI794" s="4"/>
      <c r="AJ794" s="4"/>
      <c r="AK794" s="4"/>
    </row>
    <row r="795" spans="1:37" ht="70" customHeight="1" x14ac:dyDescent="0.2">
      <c r="A795" s="107"/>
      <c r="B795" s="4"/>
      <c r="C795" s="163"/>
      <c r="D795" s="4"/>
      <c r="E795" s="4"/>
      <c r="F795" s="4"/>
      <c r="G795" s="4"/>
      <c r="H795" s="4"/>
      <c r="I795" s="4"/>
      <c r="J795" s="4"/>
      <c r="K795" s="4"/>
      <c r="L795" s="4"/>
      <c r="M795" s="4"/>
      <c r="N795" s="4"/>
      <c r="O795" s="4"/>
      <c r="P795" s="4"/>
      <c r="Q795" s="4"/>
      <c r="R795" s="4"/>
      <c r="S795" s="4"/>
      <c r="T795" s="4"/>
      <c r="U795" s="4"/>
      <c r="V795" s="4"/>
      <c r="W795" s="4"/>
      <c r="X795" s="4"/>
      <c r="Y795" s="4"/>
      <c r="Z795" s="4"/>
      <c r="AA795" s="4"/>
      <c r="AB795" s="4"/>
      <c r="AC795" s="4"/>
      <c r="AD795" s="4"/>
      <c r="AE795" s="4"/>
      <c r="AF795" s="4"/>
      <c r="AG795" s="4"/>
      <c r="AH795" s="4"/>
      <c r="AI795" s="4"/>
      <c r="AJ795" s="4"/>
      <c r="AK795" s="4"/>
    </row>
    <row r="796" spans="1:37" ht="70" customHeight="1" x14ac:dyDescent="0.2">
      <c r="A796" s="107"/>
      <c r="B796" s="4"/>
      <c r="C796" s="163"/>
      <c r="D796" s="4"/>
      <c r="E796" s="4"/>
      <c r="F796" s="4"/>
      <c r="G796" s="4"/>
      <c r="H796" s="4"/>
      <c r="I796" s="4"/>
      <c r="J796" s="4"/>
      <c r="K796" s="4"/>
      <c r="L796" s="4"/>
      <c r="M796" s="4"/>
      <c r="N796" s="4"/>
      <c r="O796" s="4"/>
      <c r="P796" s="4"/>
      <c r="Q796" s="4"/>
      <c r="R796" s="4"/>
      <c r="S796" s="4"/>
      <c r="T796" s="4"/>
      <c r="U796" s="4"/>
      <c r="V796" s="4"/>
      <c r="W796" s="4"/>
      <c r="X796" s="4"/>
      <c r="Y796" s="4"/>
      <c r="Z796" s="4"/>
      <c r="AA796" s="4"/>
      <c r="AB796" s="4"/>
      <c r="AC796" s="4"/>
      <c r="AD796" s="4"/>
      <c r="AE796" s="4"/>
      <c r="AF796" s="4"/>
      <c r="AG796" s="4"/>
      <c r="AH796" s="4"/>
      <c r="AI796" s="4"/>
      <c r="AJ796" s="4"/>
      <c r="AK796" s="4"/>
    </row>
    <row r="797" spans="1:37" ht="70" customHeight="1" x14ac:dyDescent="0.2">
      <c r="A797" s="107"/>
      <c r="B797" s="4"/>
      <c r="C797" s="163"/>
      <c r="D797" s="4"/>
      <c r="E797" s="4"/>
      <c r="F797" s="4"/>
      <c r="G797" s="4"/>
      <c r="H797" s="4"/>
      <c r="I797" s="4"/>
      <c r="J797" s="4"/>
      <c r="K797" s="4"/>
      <c r="L797" s="4"/>
      <c r="M797" s="4"/>
      <c r="N797" s="4"/>
      <c r="O797" s="4"/>
      <c r="P797" s="4"/>
      <c r="Q797" s="4"/>
      <c r="R797" s="4"/>
      <c r="S797" s="4"/>
      <c r="T797" s="4"/>
      <c r="U797" s="4"/>
      <c r="V797" s="4"/>
      <c r="W797" s="4"/>
      <c r="X797" s="4"/>
      <c r="Y797" s="4"/>
      <c r="Z797" s="4"/>
      <c r="AA797" s="4"/>
      <c r="AB797" s="4"/>
      <c r="AC797" s="4"/>
      <c r="AD797" s="4"/>
      <c r="AE797" s="4"/>
      <c r="AF797" s="4"/>
      <c r="AG797" s="4"/>
      <c r="AH797" s="4"/>
      <c r="AI797" s="4"/>
      <c r="AJ797" s="4"/>
      <c r="AK797" s="4"/>
    </row>
    <row r="798" spans="1:37" ht="70" customHeight="1" x14ac:dyDescent="0.2">
      <c r="A798" s="107"/>
      <c r="B798" s="4"/>
      <c r="C798" s="163"/>
      <c r="D798" s="4"/>
      <c r="E798" s="4"/>
      <c r="F798" s="4"/>
      <c r="G798" s="4"/>
      <c r="H798" s="4"/>
      <c r="I798" s="4"/>
      <c r="J798" s="4"/>
      <c r="K798" s="4"/>
      <c r="L798" s="4"/>
      <c r="M798" s="4"/>
      <c r="N798" s="4"/>
      <c r="O798" s="4"/>
      <c r="P798" s="4"/>
      <c r="Q798" s="4"/>
      <c r="R798" s="4"/>
      <c r="S798" s="4"/>
      <c r="T798" s="4"/>
      <c r="U798" s="4"/>
      <c r="V798" s="4"/>
      <c r="W798" s="4"/>
      <c r="X798" s="4"/>
      <c r="Y798" s="4"/>
      <c r="Z798" s="4"/>
      <c r="AA798" s="4"/>
      <c r="AB798" s="4"/>
      <c r="AC798" s="4"/>
      <c r="AD798" s="4"/>
      <c r="AE798" s="4"/>
      <c r="AF798" s="4"/>
      <c r="AG798" s="4"/>
      <c r="AH798" s="4"/>
      <c r="AI798" s="4"/>
      <c r="AJ798" s="4"/>
      <c r="AK798" s="4"/>
    </row>
    <row r="799" spans="1:37" ht="70" customHeight="1" x14ac:dyDescent="0.2">
      <c r="A799" s="107"/>
      <c r="B799" s="4"/>
      <c r="C799" s="163"/>
      <c r="D799" s="4"/>
      <c r="E799" s="4"/>
      <c r="F799" s="4"/>
      <c r="G799" s="4"/>
      <c r="H799" s="4"/>
      <c r="I799" s="4"/>
      <c r="J799" s="4"/>
      <c r="K799" s="4"/>
      <c r="L799" s="4"/>
      <c r="M799" s="4"/>
      <c r="N799" s="4"/>
      <c r="O799" s="4"/>
      <c r="P799" s="4"/>
      <c r="Q799" s="4"/>
      <c r="R799" s="4"/>
      <c r="S799" s="4"/>
      <c r="T799" s="4"/>
      <c r="U799" s="4"/>
      <c r="V799" s="4"/>
      <c r="W799" s="4"/>
      <c r="X799" s="4"/>
      <c r="Y799" s="4"/>
      <c r="Z799" s="4"/>
      <c r="AA799" s="4"/>
      <c r="AB799" s="4"/>
      <c r="AC799" s="4"/>
      <c r="AD799" s="4"/>
      <c r="AE799" s="4"/>
      <c r="AF799" s="4"/>
      <c r="AG799" s="4"/>
      <c r="AH799" s="4"/>
      <c r="AI799" s="4"/>
      <c r="AJ799" s="4"/>
      <c r="AK799" s="4"/>
    </row>
    <row r="800" spans="1:37" ht="70" customHeight="1" x14ac:dyDescent="0.2">
      <c r="A800" s="107"/>
      <c r="B800" s="4"/>
      <c r="C800" s="163"/>
      <c r="D800" s="4"/>
      <c r="E800" s="4"/>
      <c r="F800" s="4"/>
      <c r="G800" s="4"/>
      <c r="H800" s="4"/>
      <c r="I800" s="4"/>
      <c r="J800" s="4"/>
      <c r="K800" s="4"/>
      <c r="L800" s="4"/>
      <c r="M800" s="4"/>
      <c r="N800" s="4"/>
      <c r="O800" s="4"/>
      <c r="P800" s="4"/>
      <c r="Q800" s="4"/>
      <c r="R800" s="4"/>
      <c r="S800" s="4"/>
      <c r="T800" s="4"/>
      <c r="U800" s="4"/>
      <c r="V800" s="4"/>
      <c r="W800" s="4"/>
      <c r="X800" s="4"/>
      <c r="Y800" s="4"/>
      <c r="Z800" s="4"/>
      <c r="AA800" s="4"/>
      <c r="AB800" s="4"/>
      <c r="AC800" s="4"/>
      <c r="AD800" s="4"/>
      <c r="AE800" s="4"/>
      <c r="AF800" s="4"/>
      <c r="AG800" s="4"/>
      <c r="AH800" s="4"/>
      <c r="AI800" s="4"/>
      <c r="AJ800" s="4"/>
      <c r="AK800" s="4"/>
    </row>
    <row r="801" spans="1:37" ht="70" customHeight="1" x14ac:dyDescent="0.2">
      <c r="A801" s="107"/>
      <c r="B801" s="4"/>
      <c r="C801" s="163"/>
      <c r="D801" s="4"/>
      <c r="E801" s="4"/>
      <c r="F801" s="4"/>
      <c r="G801" s="4"/>
      <c r="H801" s="4"/>
      <c r="I801" s="4"/>
      <c r="J801" s="4"/>
      <c r="K801" s="4"/>
      <c r="L801" s="4"/>
      <c r="M801" s="4"/>
      <c r="N801" s="4"/>
      <c r="O801" s="4"/>
      <c r="P801" s="4"/>
      <c r="Q801" s="4"/>
      <c r="R801" s="4"/>
      <c r="S801" s="4"/>
      <c r="T801" s="4"/>
      <c r="U801" s="4"/>
      <c r="V801" s="4"/>
      <c r="W801" s="4"/>
      <c r="X801" s="4"/>
      <c r="Y801" s="4"/>
      <c r="Z801" s="4"/>
      <c r="AA801" s="4"/>
      <c r="AB801" s="4"/>
      <c r="AC801" s="4"/>
      <c r="AD801" s="4"/>
      <c r="AE801" s="4"/>
      <c r="AF801" s="4"/>
      <c r="AG801" s="4"/>
      <c r="AH801" s="4"/>
      <c r="AI801" s="4"/>
      <c r="AJ801" s="4"/>
      <c r="AK801" s="4"/>
    </row>
    <row r="802" spans="1:37" ht="70" customHeight="1" x14ac:dyDescent="0.2">
      <c r="A802" s="107"/>
      <c r="B802" s="4"/>
      <c r="C802" s="163"/>
      <c r="D802" s="4"/>
      <c r="E802" s="4"/>
      <c r="F802" s="4"/>
      <c r="G802" s="4"/>
      <c r="H802" s="4"/>
      <c r="I802" s="4"/>
      <c r="J802" s="4"/>
      <c r="K802" s="4"/>
      <c r="L802" s="4"/>
      <c r="M802" s="4"/>
      <c r="N802" s="4"/>
      <c r="O802" s="4"/>
      <c r="P802" s="4"/>
      <c r="Q802" s="4"/>
      <c r="R802" s="4"/>
      <c r="S802" s="4"/>
      <c r="T802" s="4"/>
      <c r="U802" s="4"/>
      <c r="V802" s="4"/>
      <c r="W802" s="4"/>
      <c r="X802" s="4"/>
      <c r="Y802" s="4"/>
      <c r="Z802" s="4"/>
      <c r="AA802" s="4"/>
      <c r="AB802" s="4"/>
      <c r="AC802" s="4"/>
      <c r="AD802" s="4"/>
      <c r="AE802" s="4"/>
      <c r="AF802" s="4"/>
      <c r="AG802" s="4"/>
      <c r="AH802" s="4"/>
      <c r="AI802" s="4"/>
      <c r="AJ802" s="4"/>
      <c r="AK802" s="4"/>
    </row>
    <row r="803" spans="1:37" ht="70" customHeight="1" x14ac:dyDescent="0.2">
      <c r="A803" s="107"/>
      <c r="B803" s="4"/>
      <c r="C803" s="163"/>
      <c r="D803" s="4"/>
      <c r="E803" s="4"/>
      <c r="F803" s="4"/>
      <c r="G803" s="4"/>
      <c r="H803" s="4"/>
      <c r="I803" s="4"/>
      <c r="J803" s="4"/>
      <c r="K803" s="4"/>
      <c r="L803" s="4"/>
      <c r="M803" s="4"/>
      <c r="N803" s="4"/>
      <c r="O803" s="4"/>
      <c r="P803" s="4"/>
      <c r="Q803" s="4"/>
      <c r="R803" s="4"/>
      <c r="S803" s="4"/>
      <c r="T803" s="4"/>
      <c r="U803" s="4"/>
      <c r="V803" s="4"/>
      <c r="W803" s="4"/>
      <c r="X803" s="4"/>
      <c r="Y803" s="4"/>
      <c r="Z803" s="4"/>
      <c r="AA803" s="4"/>
      <c r="AB803" s="4"/>
      <c r="AC803" s="4"/>
      <c r="AD803" s="4"/>
      <c r="AE803" s="4"/>
      <c r="AF803" s="4"/>
      <c r="AG803" s="4"/>
      <c r="AH803" s="4"/>
      <c r="AI803" s="4"/>
      <c r="AJ803" s="4"/>
      <c r="AK803" s="4"/>
    </row>
    <row r="804" spans="1:37" ht="70" customHeight="1" x14ac:dyDescent="0.2">
      <c r="A804" s="107"/>
      <c r="B804" s="4"/>
      <c r="C804" s="163"/>
      <c r="D804" s="4"/>
      <c r="E804" s="4"/>
      <c r="F804" s="4"/>
      <c r="G804" s="4"/>
      <c r="H804" s="4"/>
      <c r="I804" s="4"/>
      <c r="J804" s="4"/>
      <c r="K804" s="4"/>
      <c r="L804" s="4"/>
      <c r="M804" s="4"/>
      <c r="N804" s="4"/>
      <c r="O804" s="4"/>
      <c r="P804" s="4"/>
      <c r="Q804" s="4"/>
      <c r="R804" s="4"/>
      <c r="S804" s="4"/>
      <c r="T804" s="4"/>
      <c r="U804" s="4"/>
      <c r="V804" s="4"/>
      <c r="W804" s="4"/>
      <c r="X804" s="4"/>
      <c r="Y804" s="4"/>
      <c r="Z804" s="4"/>
      <c r="AA804" s="4"/>
      <c r="AB804" s="4"/>
      <c r="AC804" s="4"/>
      <c r="AD804" s="4"/>
      <c r="AE804" s="4"/>
      <c r="AF804" s="4"/>
      <c r="AG804" s="4"/>
      <c r="AH804" s="4"/>
      <c r="AI804" s="4"/>
      <c r="AJ804" s="4"/>
      <c r="AK804" s="4"/>
    </row>
    <row r="805" spans="1:37" ht="70" customHeight="1" x14ac:dyDescent="0.2">
      <c r="A805" s="107"/>
      <c r="B805" s="4"/>
      <c r="C805" s="163"/>
      <c r="D805" s="4"/>
      <c r="E805" s="4"/>
      <c r="F805" s="4"/>
      <c r="G805" s="4"/>
      <c r="H805" s="4"/>
      <c r="I805" s="4"/>
      <c r="J805" s="4"/>
      <c r="K805" s="4"/>
      <c r="L805" s="4"/>
      <c r="M805" s="4"/>
      <c r="N805" s="4"/>
      <c r="O805" s="4"/>
      <c r="P805" s="4"/>
      <c r="Q805" s="4"/>
      <c r="R805" s="4"/>
      <c r="S805" s="4"/>
      <c r="T805" s="4"/>
      <c r="U805" s="4"/>
      <c r="V805" s="4"/>
      <c r="W805" s="4"/>
      <c r="X805" s="4"/>
      <c r="Y805" s="4"/>
      <c r="Z805" s="4"/>
      <c r="AA805" s="4"/>
      <c r="AB805" s="4"/>
      <c r="AC805" s="4"/>
      <c r="AD805" s="4"/>
      <c r="AE805" s="4"/>
      <c r="AF805" s="4"/>
      <c r="AG805" s="4"/>
      <c r="AH805" s="4"/>
      <c r="AI805" s="4"/>
      <c r="AJ805" s="4"/>
      <c r="AK805" s="4"/>
    </row>
    <row r="806" spans="1:37" ht="70" customHeight="1" x14ac:dyDescent="0.2">
      <c r="A806" s="107"/>
      <c r="B806" s="4"/>
      <c r="C806" s="163"/>
      <c r="D806" s="4"/>
      <c r="E806" s="4"/>
      <c r="F806" s="4"/>
      <c r="G806" s="4"/>
      <c r="H806" s="4"/>
      <c r="I806" s="4"/>
      <c r="J806" s="4"/>
      <c r="K806" s="4"/>
      <c r="L806" s="4"/>
      <c r="M806" s="4"/>
      <c r="N806" s="4"/>
      <c r="O806" s="4"/>
      <c r="P806" s="4"/>
      <c r="Q806" s="4"/>
      <c r="R806" s="4"/>
      <c r="S806" s="4"/>
      <c r="T806" s="4"/>
      <c r="U806" s="4"/>
      <c r="V806" s="4"/>
      <c r="W806" s="4"/>
      <c r="X806" s="4"/>
      <c r="Y806" s="4"/>
      <c r="Z806" s="4"/>
      <c r="AA806" s="4"/>
      <c r="AB806" s="4"/>
      <c r="AC806" s="4"/>
      <c r="AD806" s="4"/>
      <c r="AE806" s="4"/>
      <c r="AF806" s="4"/>
      <c r="AG806" s="4"/>
      <c r="AH806" s="4"/>
      <c r="AI806" s="4"/>
      <c r="AJ806" s="4"/>
      <c r="AK806" s="4"/>
    </row>
    <row r="807" spans="1:37" ht="70" customHeight="1" x14ac:dyDescent="0.2">
      <c r="A807" s="107"/>
      <c r="B807" s="4"/>
      <c r="C807" s="163"/>
      <c r="D807" s="4"/>
      <c r="E807" s="4"/>
      <c r="F807" s="4"/>
      <c r="G807" s="4"/>
      <c r="H807" s="4"/>
      <c r="I807" s="4"/>
      <c r="J807" s="4"/>
      <c r="K807" s="4"/>
      <c r="L807" s="4"/>
      <c r="M807" s="4"/>
      <c r="N807" s="4"/>
      <c r="O807" s="4"/>
      <c r="P807" s="4"/>
      <c r="Q807" s="4"/>
      <c r="R807" s="4"/>
      <c r="S807" s="4"/>
      <c r="T807" s="4"/>
      <c r="U807" s="4"/>
      <c r="V807" s="4"/>
      <c r="W807" s="4"/>
      <c r="X807" s="4"/>
      <c r="Y807" s="4"/>
      <c r="Z807" s="4"/>
      <c r="AA807" s="4"/>
      <c r="AB807" s="4"/>
      <c r="AC807" s="4"/>
      <c r="AD807" s="4"/>
      <c r="AE807" s="4"/>
      <c r="AF807" s="4"/>
      <c r="AG807" s="4"/>
      <c r="AH807" s="4"/>
      <c r="AI807" s="4"/>
      <c r="AJ807" s="4"/>
      <c r="AK807" s="4"/>
    </row>
    <row r="808" spans="1:37" ht="70" customHeight="1" x14ac:dyDescent="0.2">
      <c r="A808" s="107"/>
      <c r="B808" s="4"/>
      <c r="C808" s="163"/>
      <c r="D808" s="4"/>
      <c r="E808" s="4"/>
      <c r="F808" s="4"/>
      <c r="G808" s="4"/>
      <c r="H808" s="4"/>
      <c r="I808" s="4"/>
      <c r="J808" s="4"/>
      <c r="K808" s="4"/>
      <c r="L808" s="4"/>
      <c r="M808" s="4"/>
      <c r="N808" s="4"/>
      <c r="O808" s="4"/>
      <c r="P808" s="4"/>
      <c r="Q808" s="4"/>
      <c r="R808" s="4"/>
      <c r="S808" s="4"/>
      <c r="T808" s="4"/>
      <c r="U808" s="4"/>
      <c r="V808" s="4"/>
      <c r="W808" s="4"/>
      <c r="X808" s="4"/>
      <c r="Y808" s="4"/>
      <c r="Z808" s="4"/>
      <c r="AA808" s="4"/>
      <c r="AB808" s="4"/>
      <c r="AC808" s="4"/>
      <c r="AD808" s="4"/>
      <c r="AE808" s="4"/>
      <c r="AF808" s="4"/>
      <c r="AG808" s="4"/>
      <c r="AH808" s="4"/>
      <c r="AI808" s="4"/>
      <c r="AJ808" s="4"/>
      <c r="AK808" s="4"/>
    </row>
    <row r="809" spans="1:37" ht="70" customHeight="1" x14ac:dyDescent="0.2">
      <c r="A809" s="107"/>
      <c r="B809" s="4"/>
      <c r="C809" s="163"/>
      <c r="D809" s="4"/>
      <c r="E809" s="4"/>
      <c r="F809" s="4"/>
      <c r="G809" s="4"/>
      <c r="H809" s="4"/>
      <c r="I809" s="4"/>
      <c r="J809" s="4"/>
      <c r="K809" s="4"/>
      <c r="L809" s="4"/>
      <c r="M809" s="4"/>
      <c r="N809" s="4"/>
      <c r="O809" s="4"/>
      <c r="P809" s="4"/>
      <c r="Q809" s="4"/>
      <c r="R809" s="4"/>
      <c r="S809" s="4"/>
      <c r="T809" s="4"/>
      <c r="U809" s="4"/>
      <c r="V809" s="4"/>
      <c r="W809" s="4"/>
      <c r="X809" s="4"/>
      <c r="Y809" s="4"/>
      <c r="Z809" s="4"/>
      <c r="AA809" s="4"/>
      <c r="AB809" s="4"/>
      <c r="AC809" s="4"/>
      <c r="AD809" s="4"/>
      <c r="AE809" s="4"/>
      <c r="AF809" s="4"/>
      <c r="AG809" s="4"/>
      <c r="AH809" s="4"/>
      <c r="AI809" s="4"/>
      <c r="AJ809" s="4"/>
      <c r="AK809" s="4"/>
    </row>
    <row r="810" spans="1:37" ht="70" customHeight="1" x14ac:dyDescent="0.2">
      <c r="A810" s="107"/>
      <c r="B810" s="4"/>
      <c r="C810" s="163"/>
      <c r="D810" s="4"/>
      <c r="E810" s="4"/>
      <c r="F810" s="4"/>
      <c r="G810" s="4"/>
      <c r="H810" s="4"/>
      <c r="I810" s="4"/>
      <c r="J810" s="4"/>
      <c r="K810" s="4"/>
      <c r="L810" s="4"/>
      <c r="M810" s="4"/>
      <c r="N810" s="4"/>
      <c r="O810" s="4"/>
      <c r="P810" s="4"/>
      <c r="Q810" s="4"/>
      <c r="R810" s="4"/>
      <c r="S810" s="4"/>
      <c r="T810" s="4"/>
      <c r="U810" s="4"/>
      <c r="V810" s="4"/>
      <c r="W810" s="4"/>
      <c r="X810" s="4"/>
      <c r="Y810" s="4"/>
      <c r="Z810" s="4"/>
      <c r="AA810" s="4"/>
      <c r="AB810" s="4"/>
      <c r="AC810" s="4"/>
      <c r="AD810" s="4"/>
      <c r="AE810" s="4"/>
      <c r="AF810" s="4"/>
      <c r="AG810" s="4"/>
      <c r="AH810" s="4"/>
      <c r="AI810" s="4"/>
      <c r="AJ810" s="4"/>
      <c r="AK810" s="4"/>
    </row>
    <row r="811" spans="1:37" ht="70" customHeight="1" x14ac:dyDescent="0.2">
      <c r="A811" s="107"/>
      <c r="B811" s="4"/>
      <c r="C811" s="163"/>
      <c r="D811" s="4"/>
      <c r="E811" s="4"/>
      <c r="F811" s="4"/>
      <c r="G811" s="4"/>
      <c r="H811" s="4"/>
      <c r="I811" s="4"/>
      <c r="J811" s="4"/>
      <c r="K811" s="4"/>
      <c r="L811" s="4"/>
      <c r="M811" s="4"/>
      <c r="N811" s="4"/>
      <c r="O811" s="4"/>
      <c r="P811" s="4"/>
      <c r="Q811" s="4"/>
      <c r="R811" s="4"/>
      <c r="S811" s="4"/>
      <c r="T811" s="4"/>
      <c r="U811" s="4"/>
      <c r="V811" s="4"/>
      <c r="W811" s="4"/>
      <c r="X811" s="4"/>
      <c r="Y811" s="4"/>
      <c r="Z811" s="4"/>
      <c r="AA811" s="4"/>
      <c r="AB811" s="4"/>
      <c r="AC811" s="4"/>
      <c r="AD811" s="4"/>
      <c r="AE811" s="4"/>
      <c r="AF811" s="4"/>
      <c r="AG811" s="4"/>
      <c r="AH811" s="4"/>
      <c r="AI811" s="4"/>
      <c r="AJ811" s="4"/>
      <c r="AK811" s="4"/>
    </row>
    <row r="812" spans="1:37" ht="70" customHeight="1" x14ac:dyDescent="0.2">
      <c r="A812" s="107"/>
      <c r="B812" s="4"/>
      <c r="C812" s="163"/>
      <c r="D812" s="4"/>
      <c r="E812" s="4"/>
      <c r="F812" s="4"/>
      <c r="G812" s="4"/>
      <c r="H812" s="4"/>
      <c r="I812" s="4"/>
      <c r="J812" s="4"/>
      <c r="K812" s="4"/>
      <c r="L812" s="4"/>
      <c r="M812" s="4"/>
      <c r="N812" s="4"/>
      <c r="O812" s="4"/>
      <c r="P812" s="4"/>
      <c r="Q812" s="4"/>
      <c r="R812" s="4"/>
      <c r="S812" s="4"/>
      <c r="T812" s="4"/>
      <c r="U812" s="4"/>
      <c r="V812" s="4"/>
      <c r="W812" s="4"/>
      <c r="X812" s="4"/>
      <c r="Y812" s="4"/>
      <c r="Z812" s="4"/>
      <c r="AA812" s="4"/>
      <c r="AB812" s="4"/>
      <c r="AC812" s="4"/>
      <c r="AD812" s="4"/>
      <c r="AE812" s="4"/>
      <c r="AF812" s="4"/>
      <c r="AG812" s="4"/>
      <c r="AH812" s="4"/>
      <c r="AI812" s="4"/>
      <c r="AJ812" s="4"/>
      <c r="AK812" s="4"/>
    </row>
    <row r="813" spans="1:37" ht="70" customHeight="1" x14ac:dyDescent="0.2">
      <c r="A813" s="107"/>
      <c r="B813" s="4"/>
      <c r="C813" s="163"/>
      <c r="D813" s="4"/>
      <c r="E813" s="4"/>
      <c r="F813" s="4"/>
      <c r="G813" s="4"/>
      <c r="H813" s="4"/>
      <c r="I813" s="4"/>
      <c r="J813" s="4"/>
      <c r="K813" s="4"/>
      <c r="L813" s="4"/>
      <c r="M813" s="4"/>
      <c r="N813" s="4"/>
      <c r="O813" s="4"/>
      <c r="P813" s="4"/>
      <c r="Q813" s="4"/>
      <c r="R813" s="4"/>
      <c r="S813" s="4"/>
      <c r="T813" s="4"/>
      <c r="U813" s="4"/>
      <c r="V813" s="4"/>
      <c r="W813" s="4"/>
      <c r="X813" s="4"/>
      <c r="Y813" s="4"/>
      <c r="Z813" s="4"/>
      <c r="AA813" s="4"/>
      <c r="AB813" s="4"/>
      <c r="AC813" s="4"/>
      <c r="AD813" s="4"/>
      <c r="AE813" s="4"/>
      <c r="AF813" s="4"/>
      <c r="AG813" s="4"/>
      <c r="AH813" s="4"/>
      <c r="AI813" s="4"/>
      <c r="AJ813" s="4"/>
      <c r="AK813" s="4"/>
    </row>
    <row r="814" spans="1:37" ht="70" customHeight="1" x14ac:dyDescent="0.2">
      <c r="A814" s="107"/>
      <c r="B814" s="4"/>
      <c r="C814" s="163"/>
      <c r="D814" s="4"/>
      <c r="E814" s="4"/>
      <c r="F814" s="4"/>
      <c r="G814" s="4"/>
      <c r="H814" s="4"/>
      <c r="I814" s="4"/>
      <c r="J814" s="4"/>
      <c r="K814" s="4"/>
      <c r="L814" s="4"/>
      <c r="M814" s="4"/>
      <c r="N814" s="4"/>
      <c r="O814" s="4"/>
      <c r="P814" s="4"/>
      <c r="Q814" s="4"/>
      <c r="R814" s="4"/>
      <c r="S814" s="4"/>
      <c r="T814" s="4"/>
      <c r="U814" s="4"/>
      <c r="V814" s="4"/>
      <c r="W814" s="4"/>
      <c r="X814" s="4"/>
      <c r="Y814" s="4"/>
      <c r="Z814" s="4"/>
      <c r="AA814" s="4"/>
      <c r="AB814" s="4"/>
      <c r="AC814" s="4"/>
      <c r="AD814" s="4"/>
      <c r="AE814" s="4"/>
      <c r="AF814" s="4"/>
      <c r="AG814" s="4"/>
      <c r="AH814" s="4"/>
      <c r="AI814" s="4"/>
      <c r="AJ814" s="4"/>
      <c r="AK814" s="4"/>
    </row>
    <row r="815" spans="1:37" ht="70" customHeight="1" x14ac:dyDescent="0.2">
      <c r="A815" s="107"/>
      <c r="B815" s="4"/>
      <c r="C815" s="163"/>
      <c r="D815" s="4"/>
      <c r="E815" s="4"/>
      <c r="F815" s="4"/>
      <c r="G815" s="4"/>
      <c r="H815" s="4"/>
      <c r="I815" s="4"/>
      <c r="J815" s="4"/>
      <c r="K815" s="4"/>
      <c r="L815" s="4"/>
      <c r="M815" s="4"/>
      <c r="N815" s="4"/>
      <c r="O815" s="4"/>
      <c r="P815" s="4"/>
      <c r="Q815" s="4"/>
      <c r="R815" s="4"/>
      <c r="S815" s="4"/>
      <c r="T815" s="4"/>
      <c r="U815" s="4"/>
      <c r="V815" s="4"/>
      <c r="W815" s="4"/>
      <c r="X815" s="4"/>
      <c r="Y815" s="4"/>
      <c r="Z815" s="4"/>
      <c r="AA815" s="4"/>
      <c r="AB815" s="4"/>
      <c r="AC815" s="4"/>
      <c r="AD815" s="4"/>
      <c r="AE815" s="4"/>
      <c r="AF815" s="4"/>
      <c r="AG815" s="4"/>
      <c r="AH815" s="4"/>
      <c r="AI815" s="4"/>
      <c r="AJ815" s="4"/>
      <c r="AK815" s="4"/>
    </row>
    <row r="816" spans="1:37" ht="70" customHeight="1" x14ac:dyDescent="0.2">
      <c r="A816" s="107"/>
      <c r="B816" s="4"/>
      <c r="C816" s="163"/>
      <c r="D816" s="4"/>
      <c r="E816" s="4"/>
      <c r="F816" s="4"/>
      <c r="G816" s="4"/>
      <c r="H816" s="4"/>
      <c r="I816" s="4"/>
      <c r="J816" s="4"/>
      <c r="K816" s="4"/>
      <c r="L816" s="4"/>
      <c r="M816" s="4"/>
      <c r="N816" s="4"/>
      <c r="O816" s="4"/>
      <c r="P816" s="4"/>
      <c r="Q816" s="4"/>
      <c r="R816" s="4"/>
      <c r="S816" s="4"/>
      <c r="T816" s="4"/>
      <c r="U816" s="4"/>
      <c r="V816" s="4"/>
      <c r="W816" s="4"/>
      <c r="X816" s="4"/>
      <c r="Y816" s="4"/>
      <c r="Z816" s="4"/>
      <c r="AA816" s="4"/>
      <c r="AB816" s="4"/>
      <c r="AC816" s="4"/>
      <c r="AD816" s="4"/>
      <c r="AE816" s="4"/>
      <c r="AF816" s="4"/>
      <c r="AG816" s="4"/>
      <c r="AH816" s="4"/>
      <c r="AI816" s="4"/>
      <c r="AJ816" s="4"/>
      <c r="AK816" s="4"/>
    </row>
    <row r="817" spans="1:37" ht="70" customHeight="1" x14ac:dyDescent="0.2">
      <c r="A817" s="107"/>
      <c r="B817" s="4"/>
      <c r="C817" s="163"/>
      <c r="D817" s="4"/>
      <c r="E817" s="4"/>
      <c r="F817" s="4"/>
      <c r="G817" s="4"/>
      <c r="H817" s="4"/>
      <c r="I817" s="4"/>
      <c r="J817" s="4"/>
      <c r="K817" s="4"/>
      <c r="L817" s="4"/>
      <c r="M817" s="4"/>
      <c r="N817" s="4"/>
      <c r="O817" s="4"/>
      <c r="P817" s="4"/>
      <c r="Q817" s="4"/>
      <c r="R817" s="4"/>
      <c r="S817" s="4"/>
      <c r="T817" s="4"/>
      <c r="U817" s="4"/>
      <c r="V817" s="4"/>
      <c r="W817" s="4"/>
      <c r="X817" s="4"/>
      <c r="Y817" s="4"/>
      <c r="Z817" s="4"/>
      <c r="AA817" s="4"/>
      <c r="AB817" s="4"/>
      <c r="AC817" s="4"/>
      <c r="AD817" s="4"/>
      <c r="AE817" s="4"/>
      <c r="AF817" s="4"/>
      <c r="AG817" s="4"/>
      <c r="AH817" s="4"/>
      <c r="AI817" s="4"/>
      <c r="AJ817" s="4"/>
      <c r="AK817" s="4"/>
    </row>
    <row r="818" spans="1:37" ht="70" customHeight="1" x14ac:dyDescent="0.2">
      <c r="A818" s="107"/>
      <c r="B818" s="4"/>
      <c r="C818" s="163"/>
      <c r="D818" s="4"/>
      <c r="E818" s="4"/>
      <c r="F818" s="4"/>
      <c r="G818" s="4"/>
      <c r="H818" s="4"/>
      <c r="I818" s="4"/>
      <c r="J818" s="4"/>
      <c r="K818" s="4"/>
      <c r="L818" s="4"/>
      <c r="M818" s="4"/>
      <c r="N818" s="4"/>
      <c r="O818" s="4"/>
      <c r="P818" s="4"/>
      <c r="Q818" s="4"/>
      <c r="R818" s="4"/>
      <c r="S818" s="4"/>
      <c r="T818" s="4"/>
      <c r="U818" s="4"/>
      <c r="V818" s="4"/>
      <c r="W818" s="4"/>
      <c r="X818" s="4"/>
      <c r="Y818" s="4"/>
      <c r="Z818" s="4"/>
      <c r="AA818" s="4"/>
      <c r="AB818" s="4"/>
      <c r="AC818" s="4"/>
      <c r="AD818" s="4"/>
      <c r="AE818" s="4"/>
      <c r="AF818" s="4"/>
      <c r="AG818" s="4"/>
      <c r="AH818" s="4"/>
      <c r="AI818" s="4"/>
      <c r="AJ818" s="4"/>
      <c r="AK818" s="4"/>
    </row>
    <row r="819" spans="1:37" ht="70" customHeight="1" x14ac:dyDescent="0.2">
      <c r="A819" s="107"/>
      <c r="B819" s="4"/>
      <c r="C819" s="163"/>
      <c r="D819" s="4"/>
      <c r="E819" s="4"/>
      <c r="F819" s="4"/>
      <c r="G819" s="4"/>
      <c r="H819" s="4"/>
      <c r="I819" s="4"/>
      <c r="J819" s="4"/>
      <c r="K819" s="4"/>
      <c r="L819" s="4"/>
      <c r="M819" s="4"/>
      <c r="N819" s="4"/>
      <c r="O819" s="4"/>
      <c r="P819" s="4"/>
      <c r="Q819" s="4"/>
      <c r="R819" s="4"/>
      <c r="S819" s="4"/>
      <c r="T819" s="4"/>
      <c r="U819" s="4"/>
      <c r="V819" s="4"/>
      <c r="W819" s="4"/>
      <c r="X819" s="4"/>
      <c r="Y819" s="4"/>
      <c r="Z819" s="4"/>
      <c r="AA819" s="4"/>
      <c r="AB819" s="4"/>
      <c r="AC819" s="4"/>
      <c r="AD819" s="4"/>
      <c r="AE819" s="4"/>
      <c r="AF819" s="4"/>
      <c r="AG819" s="4"/>
      <c r="AH819" s="4"/>
      <c r="AI819" s="4"/>
      <c r="AJ819" s="4"/>
      <c r="AK819" s="4"/>
    </row>
    <row r="820" spans="1:37" ht="70" customHeight="1" x14ac:dyDescent="0.2">
      <c r="A820" s="107"/>
      <c r="B820" s="4"/>
      <c r="C820" s="163"/>
      <c r="D820" s="4"/>
      <c r="E820" s="4"/>
      <c r="F820" s="4"/>
      <c r="G820" s="4"/>
      <c r="H820" s="4"/>
      <c r="I820" s="4"/>
      <c r="J820" s="4"/>
      <c r="K820" s="4"/>
      <c r="L820" s="4"/>
      <c r="M820" s="4"/>
      <c r="N820" s="4"/>
      <c r="O820" s="4"/>
      <c r="P820" s="4"/>
      <c r="Q820" s="4"/>
      <c r="R820" s="4"/>
      <c r="S820" s="4"/>
      <c r="T820" s="4"/>
      <c r="U820" s="4"/>
      <c r="V820" s="4"/>
      <c r="W820" s="4"/>
      <c r="X820" s="4"/>
      <c r="Y820" s="4"/>
      <c r="Z820" s="4"/>
      <c r="AA820" s="4"/>
      <c r="AB820" s="4"/>
      <c r="AC820" s="4"/>
      <c r="AD820" s="4"/>
      <c r="AE820" s="4"/>
      <c r="AF820" s="4"/>
      <c r="AG820" s="4"/>
      <c r="AH820" s="4"/>
      <c r="AI820" s="4"/>
      <c r="AJ820" s="4"/>
      <c r="AK820" s="4"/>
    </row>
    <row r="821" spans="1:37" ht="70" customHeight="1" x14ac:dyDescent="0.2">
      <c r="A821" s="107"/>
      <c r="B821" s="4"/>
      <c r="C821" s="163"/>
      <c r="D821" s="4"/>
      <c r="E821" s="4"/>
      <c r="F821" s="4"/>
      <c r="G821" s="4"/>
      <c r="H821" s="4"/>
      <c r="I821" s="4"/>
      <c r="J821" s="4"/>
      <c r="K821" s="4"/>
      <c r="L821" s="4"/>
      <c r="M821" s="4"/>
      <c r="N821" s="4"/>
      <c r="O821" s="4"/>
      <c r="P821" s="4"/>
      <c r="Q821" s="4"/>
      <c r="R821" s="4"/>
      <c r="S821" s="4"/>
      <c r="T821" s="4"/>
      <c r="U821" s="4"/>
      <c r="V821" s="4"/>
      <c r="W821" s="4"/>
      <c r="X821" s="4"/>
      <c r="Y821" s="4"/>
      <c r="Z821" s="4"/>
      <c r="AA821" s="4"/>
      <c r="AB821" s="4"/>
      <c r="AC821" s="4"/>
      <c r="AD821" s="4"/>
      <c r="AE821" s="4"/>
      <c r="AF821" s="4"/>
      <c r="AG821" s="4"/>
      <c r="AH821" s="4"/>
      <c r="AI821" s="4"/>
      <c r="AJ821" s="4"/>
      <c r="AK821" s="4"/>
    </row>
    <row r="822" spans="1:37" ht="70" customHeight="1" x14ac:dyDescent="0.2">
      <c r="A822" s="107"/>
      <c r="B822" s="4"/>
      <c r="C822" s="163"/>
      <c r="D822" s="4"/>
      <c r="E822" s="4"/>
      <c r="F822" s="4"/>
      <c r="G822" s="4"/>
      <c r="H822" s="4"/>
      <c r="I822" s="4"/>
      <c r="J822" s="4"/>
      <c r="K822" s="4"/>
      <c r="L822" s="4"/>
      <c r="M822" s="4"/>
      <c r="N822" s="4"/>
      <c r="O822" s="4"/>
      <c r="P822" s="4"/>
      <c r="Q822" s="4"/>
      <c r="R822" s="4"/>
      <c r="S822" s="4"/>
      <c r="T822" s="4"/>
      <c r="U822" s="4"/>
      <c r="V822" s="4"/>
      <c r="W822" s="4"/>
      <c r="X822" s="4"/>
      <c r="Y822" s="4"/>
      <c r="Z822" s="4"/>
      <c r="AA822" s="4"/>
      <c r="AB822" s="4"/>
      <c r="AC822" s="4"/>
      <c r="AD822" s="4"/>
      <c r="AE822" s="4"/>
      <c r="AF822" s="4"/>
      <c r="AG822" s="4"/>
      <c r="AH822" s="4"/>
      <c r="AI822" s="4"/>
      <c r="AJ822" s="4"/>
      <c r="AK822" s="4"/>
    </row>
    <row r="823" spans="1:37" ht="70" customHeight="1" x14ac:dyDescent="0.2">
      <c r="A823" s="107"/>
      <c r="B823" s="4"/>
      <c r="C823" s="163"/>
      <c r="D823" s="4"/>
      <c r="E823" s="4"/>
      <c r="F823" s="4"/>
      <c r="G823" s="4"/>
      <c r="H823" s="4"/>
      <c r="I823" s="4"/>
      <c r="J823" s="4"/>
      <c r="K823" s="4"/>
      <c r="L823" s="4"/>
      <c r="M823" s="4"/>
      <c r="N823" s="4"/>
      <c r="O823" s="4"/>
      <c r="P823" s="4"/>
      <c r="Q823" s="4"/>
      <c r="R823" s="4"/>
      <c r="S823" s="4"/>
      <c r="T823" s="4"/>
      <c r="U823" s="4"/>
      <c r="V823" s="4"/>
      <c r="W823" s="4"/>
      <c r="X823" s="4"/>
      <c r="Y823" s="4"/>
      <c r="Z823" s="4"/>
      <c r="AA823" s="4"/>
      <c r="AB823" s="4"/>
      <c r="AC823" s="4"/>
      <c r="AD823" s="4"/>
      <c r="AE823" s="4"/>
      <c r="AF823" s="4"/>
      <c r="AG823" s="4"/>
      <c r="AH823" s="4"/>
      <c r="AI823" s="4"/>
      <c r="AJ823" s="4"/>
      <c r="AK823" s="4"/>
    </row>
    <row r="824" spans="1:37" ht="70" customHeight="1" x14ac:dyDescent="0.2">
      <c r="A824" s="107"/>
      <c r="B824" s="4"/>
      <c r="C824" s="163"/>
      <c r="D824" s="4"/>
      <c r="E824" s="4"/>
      <c r="F824" s="4"/>
      <c r="G824" s="4"/>
      <c r="H824" s="4"/>
      <c r="I824" s="4"/>
      <c r="J824" s="4"/>
      <c r="K824" s="4"/>
      <c r="L824" s="4"/>
      <c r="M824" s="4"/>
      <c r="N824" s="4"/>
      <c r="O824" s="4"/>
      <c r="P824" s="4"/>
      <c r="Q824" s="4"/>
      <c r="R824" s="4"/>
      <c r="S824" s="4"/>
      <c r="T824" s="4"/>
      <c r="U824" s="4"/>
      <c r="V824" s="4"/>
      <c r="W824" s="4"/>
      <c r="X824" s="4"/>
      <c r="Y824" s="4"/>
      <c r="Z824" s="4"/>
      <c r="AA824" s="4"/>
      <c r="AB824" s="4"/>
      <c r="AC824" s="4"/>
      <c r="AD824" s="4"/>
      <c r="AE824" s="4"/>
      <c r="AF824" s="4"/>
      <c r="AG824" s="4"/>
      <c r="AH824" s="4"/>
      <c r="AI824" s="4"/>
      <c r="AJ824" s="4"/>
      <c r="AK824" s="4"/>
    </row>
    <row r="825" spans="1:37" ht="70" customHeight="1" x14ac:dyDescent="0.2">
      <c r="A825" s="107"/>
      <c r="B825" s="4"/>
      <c r="C825" s="163"/>
      <c r="D825" s="4"/>
      <c r="E825" s="4"/>
      <c r="F825" s="4"/>
      <c r="G825" s="4"/>
      <c r="H825" s="4"/>
      <c r="I825" s="4"/>
      <c r="J825" s="4"/>
      <c r="K825" s="4"/>
      <c r="L825" s="4"/>
      <c r="M825" s="4"/>
      <c r="N825" s="4"/>
      <c r="O825" s="4"/>
      <c r="P825" s="4"/>
      <c r="Q825" s="4"/>
      <c r="R825" s="4"/>
      <c r="S825" s="4"/>
      <c r="T825" s="4"/>
      <c r="U825" s="4"/>
      <c r="V825" s="4"/>
      <c r="W825" s="4"/>
      <c r="X825" s="4"/>
      <c r="Y825" s="4"/>
      <c r="Z825" s="4"/>
      <c r="AA825" s="4"/>
      <c r="AB825" s="4"/>
      <c r="AC825" s="4"/>
      <c r="AD825" s="4"/>
      <c r="AE825" s="4"/>
      <c r="AF825" s="4"/>
      <c r="AG825" s="4"/>
      <c r="AH825" s="4"/>
      <c r="AI825" s="4"/>
      <c r="AJ825" s="4"/>
      <c r="AK825" s="4"/>
    </row>
    <row r="826" spans="1:37" ht="70" customHeight="1" x14ac:dyDescent="0.2">
      <c r="A826" s="107"/>
      <c r="B826" s="4"/>
      <c r="C826" s="163"/>
      <c r="D826" s="4"/>
      <c r="E826" s="4"/>
      <c r="F826" s="4"/>
      <c r="G826" s="4"/>
      <c r="H826" s="4"/>
      <c r="I826" s="4"/>
      <c r="J826" s="4"/>
      <c r="K826" s="4"/>
      <c r="L826" s="4"/>
      <c r="M826" s="4"/>
      <c r="N826" s="4"/>
      <c r="O826" s="4"/>
      <c r="P826" s="4"/>
      <c r="Q826" s="4"/>
      <c r="R826" s="4"/>
      <c r="S826" s="4"/>
      <c r="T826" s="4"/>
      <c r="U826" s="4"/>
      <c r="V826" s="4"/>
      <c r="W826" s="4"/>
      <c r="X826" s="4"/>
      <c r="Y826" s="4"/>
      <c r="Z826" s="4"/>
      <c r="AA826" s="4"/>
      <c r="AB826" s="4"/>
      <c r="AC826" s="4"/>
      <c r="AD826" s="4"/>
      <c r="AE826" s="4"/>
      <c r="AF826" s="4"/>
      <c r="AG826" s="4"/>
      <c r="AH826" s="4"/>
      <c r="AI826" s="4"/>
      <c r="AJ826" s="4"/>
      <c r="AK826" s="4"/>
    </row>
    <row r="827" spans="1:37" ht="70" customHeight="1" x14ac:dyDescent="0.2">
      <c r="A827" s="107"/>
      <c r="B827" s="4"/>
      <c r="C827" s="163"/>
      <c r="D827" s="4"/>
      <c r="E827" s="4"/>
      <c r="F827" s="4"/>
      <c r="G827" s="4"/>
      <c r="H827" s="4"/>
      <c r="I827" s="4"/>
      <c r="J827" s="4"/>
      <c r="K827" s="4"/>
      <c r="L827" s="4"/>
      <c r="M827" s="4"/>
      <c r="N827" s="4"/>
      <c r="O827" s="4"/>
      <c r="P827" s="4"/>
      <c r="Q827" s="4"/>
      <c r="R827" s="4"/>
      <c r="S827" s="4"/>
      <c r="T827" s="4"/>
      <c r="U827" s="4"/>
      <c r="V827" s="4"/>
      <c r="W827" s="4"/>
      <c r="X827" s="4"/>
      <c r="Y827" s="4"/>
      <c r="Z827" s="4"/>
      <c r="AA827" s="4"/>
      <c r="AB827" s="4"/>
      <c r="AC827" s="4"/>
      <c r="AD827" s="4"/>
      <c r="AE827" s="4"/>
      <c r="AF827" s="4"/>
      <c r="AG827" s="4"/>
      <c r="AH827" s="4"/>
      <c r="AI827" s="4"/>
      <c r="AJ827" s="4"/>
      <c r="AK827" s="4"/>
    </row>
    <row r="828" spans="1:37" ht="70" customHeight="1" x14ac:dyDescent="0.2">
      <c r="A828" s="107"/>
      <c r="B828" s="4"/>
      <c r="C828" s="163"/>
      <c r="D828" s="4"/>
      <c r="E828" s="4"/>
      <c r="F828" s="4"/>
      <c r="G828" s="4"/>
      <c r="H828" s="4"/>
      <c r="I828" s="4"/>
      <c r="J828" s="4"/>
      <c r="K828" s="4"/>
      <c r="L828" s="4"/>
      <c r="M828" s="4"/>
      <c r="N828" s="4"/>
      <c r="O828" s="4"/>
      <c r="P828" s="4"/>
      <c r="Q828" s="4"/>
      <c r="R828" s="4"/>
      <c r="S828" s="4"/>
      <c r="T828" s="4"/>
      <c r="U828" s="4"/>
      <c r="V828" s="4"/>
      <c r="W828" s="4"/>
      <c r="X828" s="4"/>
      <c r="Y828" s="4"/>
      <c r="Z828" s="4"/>
      <c r="AA828" s="4"/>
      <c r="AB828" s="4"/>
      <c r="AC828" s="4"/>
      <c r="AD828" s="4"/>
      <c r="AE828" s="4"/>
      <c r="AF828" s="4"/>
      <c r="AG828" s="4"/>
      <c r="AH828" s="4"/>
      <c r="AI828" s="4"/>
      <c r="AJ828" s="4"/>
      <c r="AK828" s="4"/>
    </row>
    <row r="829" spans="1:37" ht="70" customHeight="1" x14ac:dyDescent="0.2">
      <c r="A829" s="107"/>
      <c r="B829" s="4"/>
      <c r="C829" s="163"/>
      <c r="D829" s="4"/>
      <c r="E829" s="4"/>
      <c r="F829" s="4"/>
      <c r="G829" s="4"/>
      <c r="H829" s="4"/>
      <c r="I829" s="4"/>
      <c r="J829" s="4"/>
      <c r="K829" s="4"/>
      <c r="L829" s="4"/>
      <c r="M829" s="4"/>
      <c r="N829" s="4"/>
      <c r="O829" s="4"/>
      <c r="P829" s="4"/>
      <c r="Q829" s="4"/>
      <c r="R829" s="4"/>
      <c r="S829" s="4"/>
      <c r="T829" s="4"/>
      <c r="U829" s="4"/>
      <c r="V829" s="4"/>
      <c r="W829" s="4"/>
      <c r="X829" s="4"/>
      <c r="Y829" s="4"/>
      <c r="Z829" s="4"/>
      <c r="AA829" s="4"/>
      <c r="AB829" s="4"/>
      <c r="AC829" s="4"/>
      <c r="AD829" s="4"/>
      <c r="AE829" s="4"/>
      <c r="AF829" s="4"/>
      <c r="AG829" s="4"/>
      <c r="AH829" s="4"/>
      <c r="AI829" s="4"/>
      <c r="AJ829" s="4"/>
      <c r="AK829" s="4"/>
    </row>
    <row r="830" spans="1:37" ht="70" customHeight="1" x14ac:dyDescent="0.2">
      <c r="A830" s="107"/>
      <c r="B830" s="4"/>
      <c r="C830" s="163"/>
      <c r="D830" s="4"/>
      <c r="E830" s="4"/>
      <c r="F830" s="4"/>
      <c r="G830" s="4"/>
      <c r="H830" s="4"/>
      <c r="I830" s="4"/>
      <c r="J830" s="4"/>
      <c r="K830" s="4"/>
      <c r="L830" s="4"/>
      <c r="M830" s="4"/>
      <c r="N830" s="4"/>
      <c r="O830" s="4"/>
      <c r="P830" s="4"/>
      <c r="Q830" s="4"/>
      <c r="R830" s="4"/>
      <c r="S830" s="4"/>
      <c r="T830" s="4"/>
      <c r="U830" s="4"/>
      <c r="V830" s="4"/>
      <c r="W830" s="4"/>
      <c r="X830" s="4"/>
      <c r="Y830" s="4"/>
      <c r="Z830" s="4"/>
      <c r="AA830" s="4"/>
      <c r="AB830" s="4"/>
      <c r="AC830" s="4"/>
      <c r="AD830" s="4"/>
      <c r="AE830" s="4"/>
      <c r="AF830" s="4"/>
      <c r="AG830" s="4"/>
      <c r="AH830" s="4"/>
      <c r="AI830" s="4"/>
      <c r="AJ830" s="4"/>
      <c r="AK830" s="4"/>
    </row>
    <row r="831" spans="1:37" ht="70" customHeight="1" x14ac:dyDescent="0.2">
      <c r="A831" s="107"/>
      <c r="B831" s="4"/>
      <c r="C831" s="163"/>
      <c r="D831" s="4"/>
      <c r="E831" s="4"/>
      <c r="F831" s="4"/>
      <c r="G831" s="4"/>
      <c r="H831" s="4"/>
      <c r="I831" s="4"/>
      <c r="J831" s="4"/>
      <c r="K831" s="4"/>
      <c r="L831" s="4"/>
      <c r="M831" s="4"/>
      <c r="N831" s="4"/>
      <c r="O831" s="4"/>
      <c r="P831" s="4"/>
      <c r="Q831" s="4"/>
      <c r="R831" s="4"/>
      <c r="S831" s="4"/>
      <c r="T831" s="4"/>
      <c r="U831" s="4"/>
      <c r="V831" s="4"/>
      <c r="W831" s="4"/>
      <c r="X831" s="4"/>
      <c r="Y831" s="4"/>
      <c r="Z831" s="4"/>
      <c r="AA831" s="4"/>
      <c r="AB831" s="4"/>
      <c r="AC831" s="4"/>
      <c r="AD831" s="4"/>
      <c r="AE831" s="4"/>
      <c r="AF831" s="4"/>
      <c r="AG831" s="4"/>
      <c r="AH831" s="4"/>
      <c r="AI831" s="4"/>
      <c r="AJ831" s="4"/>
      <c r="AK831" s="4"/>
    </row>
    <row r="832" spans="1:37" ht="70" customHeight="1" x14ac:dyDescent="0.2">
      <c r="A832" s="107"/>
      <c r="B832" s="4"/>
      <c r="C832" s="163"/>
      <c r="D832" s="4"/>
      <c r="E832" s="4"/>
      <c r="F832" s="4"/>
      <c r="G832" s="4"/>
      <c r="H832" s="4"/>
      <c r="I832" s="4"/>
      <c r="J832" s="4"/>
      <c r="K832" s="4"/>
      <c r="L832" s="4"/>
      <c r="M832" s="4"/>
      <c r="N832" s="4"/>
      <c r="O832" s="4"/>
      <c r="P832" s="4"/>
      <c r="Q832" s="4"/>
      <c r="R832" s="4"/>
      <c r="S832" s="4"/>
      <c r="T832" s="4"/>
      <c r="U832" s="4"/>
      <c r="V832" s="4"/>
      <c r="W832" s="4"/>
      <c r="X832" s="4"/>
      <c r="Y832" s="4"/>
      <c r="Z832" s="4"/>
      <c r="AA832" s="4"/>
      <c r="AB832" s="4"/>
      <c r="AC832" s="4"/>
      <c r="AD832" s="4"/>
      <c r="AE832" s="4"/>
      <c r="AF832" s="4"/>
      <c r="AG832" s="4"/>
      <c r="AH832" s="4"/>
      <c r="AI832" s="4"/>
      <c r="AJ832" s="4"/>
      <c r="AK832" s="4"/>
    </row>
    <row r="833" spans="1:37" ht="70" customHeight="1" x14ac:dyDescent="0.2">
      <c r="A833" s="107"/>
      <c r="B833" s="4"/>
      <c r="C833" s="163"/>
      <c r="D833" s="4"/>
      <c r="E833" s="4"/>
      <c r="F833" s="4"/>
      <c r="G833" s="4"/>
      <c r="H833" s="4"/>
      <c r="I833" s="4"/>
      <c r="J833" s="4"/>
      <c r="K833" s="4"/>
      <c r="L833" s="4"/>
      <c r="M833" s="4"/>
      <c r="N833" s="4"/>
      <c r="O833" s="4"/>
      <c r="P833" s="4"/>
      <c r="Q833" s="4"/>
      <c r="R833" s="4"/>
      <c r="S833" s="4"/>
      <c r="T833" s="4"/>
      <c r="U833" s="4"/>
      <c r="V833" s="4"/>
      <c r="W833" s="4"/>
      <c r="X833" s="4"/>
      <c r="Y833" s="4"/>
      <c r="Z833" s="4"/>
      <c r="AA833" s="4"/>
      <c r="AB833" s="4"/>
      <c r="AC833" s="4"/>
      <c r="AD833" s="4"/>
      <c r="AE833" s="4"/>
      <c r="AF833" s="4"/>
      <c r="AG833" s="4"/>
      <c r="AH833" s="4"/>
      <c r="AI833" s="4"/>
      <c r="AJ833" s="4"/>
      <c r="AK833" s="4"/>
    </row>
    <row r="834" spans="1:37" ht="70" customHeight="1" x14ac:dyDescent="0.2">
      <c r="A834" s="107"/>
      <c r="B834" s="4"/>
      <c r="C834" s="163"/>
      <c r="D834" s="4"/>
      <c r="E834" s="4"/>
      <c r="F834" s="4"/>
      <c r="G834" s="4"/>
      <c r="H834" s="4"/>
      <c r="I834" s="4"/>
      <c r="J834" s="4"/>
      <c r="K834" s="4"/>
      <c r="L834" s="4"/>
      <c r="M834" s="4"/>
      <c r="N834" s="4"/>
      <c r="O834" s="4"/>
      <c r="P834" s="4"/>
      <c r="Q834" s="4"/>
      <c r="R834" s="4"/>
      <c r="S834" s="4"/>
      <c r="T834" s="4"/>
      <c r="U834" s="4"/>
      <c r="V834" s="4"/>
      <c r="W834" s="4"/>
      <c r="X834" s="4"/>
      <c r="Y834" s="4"/>
      <c r="Z834" s="4"/>
      <c r="AA834" s="4"/>
      <c r="AB834" s="4"/>
      <c r="AC834" s="4"/>
      <c r="AD834" s="4"/>
      <c r="AE834" s="4"/>
      <c r="AF834" s="4"/>
      <c r="AG834" s="4"/>
      <c r="AH834" s="4"/>
      <c r="AI834" s="4"/>
      <c r="AJ834" s="4"/>
      <c r="AK834" s="4"/>
    </row>
    <row r="835" spans="1:37" ht="70" customHeight="1" x14ac:dyDescent="0.2">
      <c r="A835" s="107"/>
      <c r="B835" s="4"/>
      <c r="C835" s="163"/>
      <c r="D835" s="4"/>
      <c r="E835" s="4"/>
      <c r="F835" s="4"/>
      <c r="G835" s="4"/>
      <c r="H835" s="4"/>
      <c r="I835" s="4"/>
      <c r="J835" s="4"/>
      <c r="K835" s="4"/>
      <c r="L835" s="4"/>
      <c r="M835" s="4"/>
      <c r="N835" s="4"/>
      <c r="O835" s="4"/>
      <c r="P835" s="4"/>
      <c r="Q835" s="4"/>
      <c r="R835" s="4"/>
      <c r="S835" s="4"/>
      <c r="T835" s="4"/>
      <c r="U835" s="4"/>
      <c r="V835" s="4"/>
      <c r="W835" s="4"/>
      <c r="X835" s="4"/>
      <c r="Y835" s="4"/>
      <c r="Z835" s="4"/>
      <c r="AA835" s="4"/>
      <c r="AB835" s="4"/>
      <c r="AC835" s="4"/>
      <c r="AD835" s="4"/>
      <c r="AE835" s="4"/>
      <c r="AF835" s="4"/>
      <c r="AG835" s="4"/>
      <c r="AH835" s="4"/>
      <c r="AI835" s="4"/>
      <c r="AJ835" s="4"/>
      <c r="AK835" s="4"/>
    </row>
    <row r="836" spans="1:37" ht="70" customHeight="1" x14ac:dyDescent="0.2">
      <c r="A836" s="107"/>
      <c r="B836" s="4"/>
      <c r="C836" s="163"/>
      <c r="D836" s="4"/>
      <c r="E836" s="4"/>
      <c r="F836" s="4"/>
      <c r="G836" s="4"/>
      <c r="H836" s="4"/>
      <c r="I836" s="4"/>
      <c r="J836" s="4"/>
      <c r="K836" s="4"/>
      <c r="L836" s="4"/>
      <c r="M836" s="4"/>
      <c r="N836" s="4"/>
      <c r="O836" s="4"/>
      <c r="P836" s="4"/>
      <c r="Q836" s="4"/>
      <c r="R836" s="4"/>
      <c r="S836" s="4"/>
      <c r="T836" s="4"/>
      <c r="U836" s="4"/>
      <c r="V836" s="4"/>
      <c r="W836" s="4"/>
      <c r="X836" s="4"/>
      <c r="Y836" s="4"/>
      <c r="Z836" s="4"/>
      <c r="AA836" s="4"/>
      <c r="AB836" s="4"/>
      <c r="AC836" s="4"/>
      <c r="AD836" s="4"/>
      <c r="AE836" s="4"/>
      <c r="AF836" s="4"/>
      <c r="AG836" s="4"/>
      <c r="AH836" s="4"/>
      <c r="AI836" s="4"/>
      <c r="AJ836" s="4"/>
      <c r="AK836" s="4"/>
    </row>
    <row r="837" spans="1:37" ht="70" customHeight="1" x14ac:dyDescent="0.2">
      <c r="A837" s="107"/>
      <c r="B837" s="4"/>
      <c r="C837" s="163"/>
      <c r="D837" s="4"/>
      <c r="E837" s="4"/>
      <c r="F837" s="4"/>
      <c r="G837" s="4"/>
      <c r="H837" s="4"/>
      <c r="I837" s="4"/>
      <c r="J837" s="4"/>
      <c r="K837" s="4"/>
      <c r="L837" s="4"/>
      <c r="M837" s="4"/>
      <c r="N837" s="4"/>
      <c r="O837" s="4"/>
      <c r="P837" s="4"/>
      <c r="Q837" s="4"/>
      <c r="R837" s="4"/>
      <c r="S837" s="4"/>
      <c r="T837" s="4"/>
      <c r="U837" s="4"/>
      <c r="V837" s="4"/>
      <c r="W837" s="4"/>
      <c r="X837" s="4"/>
      <c r="Y837" s="4"/>
      <c r="Z837" s="4"/>
      <c r="AA837" s="4"/>
      <c r="AB837" s="4"/>
      <c r="AC837" s="4"/>
      <c r="AD837" s="4"/>
      <c r="AE837" s="4"/>
      <c r="AF837" s="4"/>
      <c r="AG837" s="4"/>
      <c r="AH837" s="4"/>
      <c r="AI837" s="4"/>
      <c r="AJ837" s="4"/>
      <c r="AK837" s="4"/>
    </row>
    <row r="838" spans="1:37" ht="70" customHeight="1" x14ac:dyDescent="0.2">
      <c r="A838" s="107"/>
      <c r="B838" s="4"/>
      <c r="C838" s="163"/>
      <c r="D838" s="4"/>
      <c r="E838" s="4"/>
      <c r="F838" s="4"/>
      <c r="G838" s="4"/>
      <c r="H838" s="4"/>
      <c r="I838" s="4"/>
      <c r="J838" s="4"/>
      <c r="K838" s="4"/>
      <c r="L838" s="4"/>
      <c r="M838" s="4"/>
      <c r="N838" s="4"/>
      <c r="O838" s="4"/>
      <c r="P838" s="4"/>
      <c r="Q838" s="4"/>
      <c r="R838" s="4"/>
      <c r="S838" s="4"/>
      <c r="T838" s="4"/>
      <c r="U838" s="4"/>
      <c r="V838" s="4"/>
      <c r="W838" s="4"/>
      <c r="X838" s="4"/>
      <c r="Y838" s="4"/>
      <c r="Z838" s="4"/>
      <c r="AA838" s="4"/>
      <c r="AB838" s="4"/>
      <c r="AC838" s="4"/>
      <c r="AD838" s="4"/>
      <c r="AE838" s="4"/>
      <c r="AF838" s="4"/>
      <c r="AG838" s="4"/>
      <c r="AH838" s="4"/>
      <c r="AI838" s="4"/>
      <c r="AJ838" s="4"/>
      <c r="AK838" s="4"/>
    </row>
    <row r="839" spans="1:37" ht="70" customHeight="1" x14ac:dyDescent="0.2">
      <c r="A839" s="107"/>
      <c r="B839" s="4"/>
      <c r="C839" s="163"/>
      <c r="D839" s="4"/>
      <c r="E839" s="4"/>
      <c r="F839" s="4"/>
      <c r="G839" s="4"/>
      <c r="H839" s="4"/>
      <c r="I839" s="4"/>
      <c r="J839" s="4"/>
      <c r="K839" s="4"/>
      <c r="L839" s="4"/>
      <c r="M839" s="4"/>
      <c r="N839" s="4"/>
      <c r="O839" s="4"/>
      <c r="P839" s="4"/>
      <c r="Q839" s="4"/>
      <c r="R839" s="4"/>
      <c r="S839" s="4"/>
      <c r="T839" s="4"/>
      <c r="U839" s="4"/>
      <c r="V839" s="4"/>
      <c r="W839" s="4"/>
      <c r="X839" s="4"/>
      <c r="Y839" s="4"/>
      <c r="Z839" s="4"/>
      <c r="AA839" s="4"/>
      <c r="AB839" s="4"/>
      <c r="AC839" s="4"/>
      <c r="AD839" s="4"/>
      <c r="AE839" s="4"/>
      <c r="AF839" s="4"/>
      <c r="AG839" s="4"/>
      <c r="AH839" s="4"/>
      <c r="AI839" s="4"/>
      <c r="AJ839" s="4"/>
      <c r="AK839" s="4"/>
    </row>
    <row r="840" spans="1:37" ht="70" customHeight="1" x14ac:dyDescent="0.2">
      <c r="A840" s="107"/>
      <c r="B840" s="4"/>
      <c r="C840" s="163"/>
      <c r="D840" s="4"/>
      <c r="E840" s="4"/>
      <c r="F840" s="4"/>
      <c r="G840" s="4"/>
      <c r="H840" s="4"/>
      <c r="I840" s="4"/>
      <c r="J840" s="4"/>
      <c r="K840" s="4"/>
      <c r="L840" s="4"/>
      <c r="M840" s="4"/>
      <c r="N840" s="4"/>
      <c r="O840" s="4"/>
      <c r="P840" s="4"/>
      <c r="Q840" s="4"/>
      <c r="R840" s="4"/>
      <c r="S840" s="4"/>
      <c r="T840" s="4"/>
      <c r="U840" s="4"/>
      <c r="V840" s="4"/>
      <c r="W840" s="4"/>
      <c r="X840" s="4"/>
      <c r="Y840" s="4"/>
      <c r="Z840" s="4"/>
      <c r="AA840" s="4"/>
      <c r="AB840" s="4"/>
      <c r="AC840" s="4"/>
      <c r="AD840" s="4"/>
      <c r="AE840" s="4"/>
      <c r="AF840" s="4"/>
      <c r="AG840" s="4"/>
      <c r="AH840" s="4"/>
      <c r="AI840" s="4"/>
      <c r="AJ840" s="4"/>
      <c r="AK840" s="4"/>
    </row>
    <row r="841" spans="1:37" ht="70" customHeight="1" x14ac:dyDescent="0.2">
      <c r="A841" s="107"/>
      <c r="B841" s="4"/>
      <c r="C841" s="163"/>
      <c r="D841" s="4"/>
      <c r="E841" s="4"/>
      <c r="F841" s="4"/>
      <c r="G841" s="4"/>
      <c r="H841" s="4"/>
      <c r="I841" s="4"/>
      <c r="J841" s="4"/>
      <c r="K841" s="4"/>
      <c r="L841" s="4"/>
      <c r="M841" s="4"/>
      <c r="N841" s="4"/>
      <c r="O841" s="4"/>
      <c r="P841" s="4"/>
      <c r="Q841" s="4"/>
      <c r="R841" s="4"/>
      <c r="S841" s="4"/>
      <c r="T841" s="4"/>
      <c r="U841" s="4"/>
      <c r="V841" s="4"/>
      <c r="W841" s="4"/>
      <c r="X841" s="4"/>
      <c r="Y841" s="4"/>
      <c r="Z841" s="4"/>
      <c r="AA841" s="4"/>
      <c r="AB841" s="4"/>
      <c r="AC841" s="4"/>
      <c r="AD841" s="4"/>
      <c r="AE841" s="4"/>
      <c r="AF841" s="4"/>
      <c r="AG841" s="4"/>
      <c r="AH841" s="4"/>
      <c r="AI841" s="4"/>
      <c r="AJ841" s="4"/>
      <c r="AK841" s="4"/>
    </row>
    <row r="842" spans="1:37" ht="70" customHeight="1" x14ac:dyDescent="0.2">
      <c r="A842" s="107"/>
      <c r="B842" s="4"/>
      <c r="C842" s="163"/>
      <c r="D842" s="4"/>
      <c r="E842" s="4"/>
      <c r="F842" s="4"/>
      <c r="G842" s="4"/>
      <c r="H842" s="4"/>
      <c r="I842" s="4"/>
      <c r="J842" s="4"/>
      <c r="K842" s="4"/>
      <c r="L842" s="4"/>
      <c r="M842" s="4"/>
      <c r="N842" s="4"/>
      <c r="O842" s="4"/>
      <c r="P842" s="4"/>
      <c r="Q842" s="4"/>
      <c r="R842" s="4"/>
      <c r="S842" s="4"/>
      <c r="T842" s="4"/>
      <c r="U842" s="4"/>
      <c r="V842" s="4"/>
      <c r="W842" s="4"/>
      <c r="X842" s="4"/>
      <c r="Y842" s="4"/>
      <c r="Z842" s="4"/>
      <c r="AA842" s="4"/>
      <c r="AB842" s="4"/>
      <c r="AC842" s="4"/>
      <c r="AD842" s="4"/>
      <c r="AE842" s="4"/>
      <c r="AF842" s="4"/>
      <c r="AG842" s="4"/>
      <c r="AH842" s="4"/>
      <c r="AI842" s="4"/>
      <c r="AJ842" s="4"/>
      <c r="AK842" s="4"/>
    </row>
    <row r="843" spans="1:37" ht="70" customHeight="1" x14ac:dyDescent="0.2">
      <c r="A843" s="107"/>
      <c r="B843" s="4"/>
      <c r="C843" s="163"/>
      <c r="D843" s="4"/>
      <c r="E843" s="4"/>
      <c r="F843" s="4"/>
      <c r="G843" s="4"/>
      <c r="H843" s="4"/>
      <c r="I843" s="4"/>
      <c r="J843" s="4"/>
      <c r="K843" s="4"/>
      <c r="L843" s="4"/>
      <c r="M843" s="4"/>
      <c r="N843" s="4"/>
      <c r="O843" s="4"/>
      <c r="P843" s="4"/>
      <c r="Q843" s="4"/>
      <c r="R843" s="4"/>
      <c r="S843" s="4"/>
      <c r="T843" s="4"/>
      <c r="U843" s="4"/>
      <c r="V843" s="4"/>
      <c r="W843" s="4"/>
      <c r="X843" s="4"/>
      <c r="Y843" s="4"/>
      <c r="Z843" s="4"/>
      <c r="AA843" s="4"/>
      <c r="AB843" s="4"/>
      <c r="AC843" s="4"/>
      <c r="AD843" s="4"/>
      <c r="AE843" s="4"/>
      <c r="AF843" s="4"/>
      <c r="AG843" s="4"/>
      <c r="AH843" s="4"/>
      <c r="AI843" s="4"/>
      <c r="AJ843" s="4"/>
      <c r="AK843" s="4"/>
    </row>
    <row r="844" spans="1:37" ht="70" customHeight="1" x14ac:dyDescent="0.2">
      <c r="A844" s="107"/>
      <c r="B844" s="4"/>
      <c r="C844" s="163"/>
      <c r="D844" s="4"/>
      <c r="E844" s="4"/>
      <c r="F844" s="4"/>
      <c r="G844" s="4"/>
      <c r="H844" s="4"/>
      <c r="I844" s="4"/>
      <c r="J844" s="4"/>
      <c r="K844" s="4"/>
      <c r="L844" s="4"/>
      <c r="M844" s="4"/>
      <c r="N844" s="4"/>
      <c r="O844" s="4"/>
      <c r="P844" s="4"/>
      <c r="Q844" s="4"/>
      <c r="R844" s="4"/>
      <c r="S844" s="4"/>
      <c r="T844" s="4"/>
      <c r="U844" s="4"/>
      <c r="V844" s="4"/>
      <c r="W844" s="4"/>
      <c r="X844" s="4"/>
      <c r="Y844" s="4"/>
      <c r="Z844" s="4"/>
      <c r="AA844" s="4"/>
      <c r="AB844" s="4"/>
      <c r="AC844" s="4"/>
      <c r="AD844" s="4"/>
      <c r="AE844" s="4"/>
      <c r="AF844" s="4"/>
      <c r="AG844" s="4"/>
      <c r="AH844" s="4"/>
      <c r="AI844" s="4"/>
      <c r="AJ844" s="4"/>
      <c r="AK844" s="4"/>
    </row>
    <row r="845" spans="1:37" ht="70" customHeight="1" x14ac:dyDescent="0.2">
      <c r="A845" s="107"/>
      <c r="B845" s="4"/>
      <c r="C845" s="163"/>
      <c r="D845" s="4"/>
      <c r="E845" s="4"/>
      <c r="F845" s="4"/>
      <c r="G845" s="4"/>
      <c r="H845" s="4"/>
      <c r="I845" s="4"/>
      <c r="J845" s="4"/>
      <c r="K845" s="4"/>
      <c r="L845" s="4"/>
      <c r="M845" s="4"/>
      <c r="N845" s="4"/>
      <c r="O845" s="4"/>
      <c r="P845" s="4"/>
      <c r="Q845" s="4"/>
      <c r="R845" s="4"/>
      <c r="S845" s="4"/>
      <c r="T845" s="4"/>
      <c r="U845" s="4"/>
      <c r="V845" s="4"/>
      <c r="W845" s="4"/>
      <c r="X845" s="4"/>
      <c r="Y845" s="4"/>
      <c r="Z845" s="4"/>
      <c r="AA845" s="4"/>
      <c r="AB845" s="4"/>
      <c r="AC845" s="4"/>
      <c r="AD845" s="4"/>
      <c r="AE845" s="4"/>
      <c r="AF845" s="4"/>
      <c r="AG845" s="4"/>
      <c r="AH845" s="4"/>
      <c r="AI845" s="4"/>
      <c r="AJ845" s="4"/>
      <c r="AK845" s="4"/>
    </row>
    <row r="846" spans="1:37" ht="70" customHeight="1" x14ac:dyDescent="0.2">
      <c r="A846" s="107"/>
      <c r="B846" s="4"/>
      <c r="C846" s="163"/>
      <c r="D846" s="4"/>
      <c r="E846" s="4"/>
      <c r="F846" s="4"/>
      <c r="G846" s="4"/>
      <c r="H846" s="4"/>
      <c r="I846" s="4"/>
      <c r="J846" s="4"/>
      <c r="K846" s="4"/>
      <c r="L846" s="4"/>
      <c r="M846" s="4"/>
      <c r="N846" s="4"/>
      <c r="O846" s="4"/>
      <c r="P846" s="4"/>
      <c r="Q846" s="4"/>
      <c r="R846" s="4"/>
      <c r="S846" s="4"/>
      <c r="T846" s="4"/>
      <c r="U846" s="4"/>
      <c r="V846" s="4"/>
      <c r="W846" s="4"/>
      <c r="X846" s="4"/>
      <c r="Y846" s="4"/>
      <c r="Z846" s="4"/>
      <c r="AA846" s="4"/>
      <c r="AB846" s="4"/>
      <c r="AC846" s="4"/>
      <c r="AD846" s="4"/>
      <c r="AE846" s="4"/>
      <c r="AF846" s="4"/>
      <c r="AG846" s="4"/>
      <c r="AH846" s="4"/>
      <c r="AI846" s="4"/>
      <c r="AJ846" s="4"/>
      <c r="AK846" s="4"/>
    </row>
    <row r="847" spans="1:37" ht="70" customHeight="1" x14ac:dyDescent="0.2">
      <c r="A847" s="107"/>
      <c r="B847" s="4"/>
      <c r="C847" s="163"/>
      <c r="D847" s="4"/>
      <c r="E847" s="4"/>
      <c r="F847" s="4"/>
      <c r="G847" s="4"/>
      <c r="H847" s="4"/>
      <c r="I847" s="4"/>
      <c r="J847" s="4"/>
      <c r="K847" s="4"/>
      <c r="L847" s="4"/>
      <c r="M847" s="4"/>
      <c r="N847" s="4"/>
      <c r="O847" s="4"/>
      <c r="P847" s="4"/>
      <c r="Q847" s="4"/>
      <c r="R847" s="4"/>
      <c r="S847" s="4"/>
      <c r="T847" s="4"/>
      <c r="U847" s="4"/>
      <c r="V847" s="4"/>
      <c r="W847" s="4"/>
      <c r="X847" s="4"/>
      <c r="Y847" s="4"/>
      <c r="Z847" s="4"/>
      <c r="AA847" s="4"/>
      <c r="AB847" s="4"/>
      <c r="AC847" s="4"/>
      <c r="AD847" s="4"/>
      <c r="AE847" s="4"/>
      <c r="AF847" s="4"/>
      <c r="AG847" s="4"/>
      <c r="AH847" s="4"/>
      <c r="AI847" s="4"/>
      <c r="AJ847" s="4"/>
      <c r="AK847" s="4"/>
    </row>
    <row r="848" spans="1:37" ht="70" customHeight="1" x14ac:dyDescent="0.2">
      <c r="A848" s="107"/>
      <c r="B848" s="4"/>
      <c r="C848" s="163"/>
      <c r="D848" s="4"/>
      <c r="E848" s="4"/>
      <c r="F848" s="4"/>
      <c r="G848" s="4"/>
      <c r="H848" s="4"/>
      <c r="I848" s="4"/>
      <c r="J848" s="4"/>
      <c r="K848" s="4"/>
      <c r="L848" s="4"/>
      <c r="M848" s="4"/>
      <c r="N848" s="4"/>
      <c r="O848" s="4"/>
      <c r="P848" s="4"/>
      <c r="Q848" s="4"/>
      <c r="R848" s="4"/>
      <c r="S848" s="4"/>
      <c r="T848" s="4"/>
      <c r="U848" s="4"/>
      <c r="V848" s="4"/>
      <c r="W848" s="4"/>
      <c r="X848" s="4"/>
      <c r="Y848" s="4"/>
      <c r="Z848" s="4"/>
      <c r="AA848" s="4"/>
      <c r="AB848" s="4"/>
      <c r="AC848" s="4"/>
      <c r="AD848" s="4"/>
      <c r="AE848" s="4"/>
      <c r="AF848" s="4"/>
      <c r="AG848" s="4"/>
      <c r="AH848" s="4"/>
      <c r="AI848" s="4"/>
      <c r="AJ848" s="4"/>
      <c r="AK848" s="4"/>
    </row>
    <row r="849" spans="1:37" ht="70" customHeight="1" x14ac:dyDescent="0.2">
      <c r="A849" s="107"/>
      <c r="B849" s="4"/>
      <c r="C849" s="163"/>
      <c r="D849" s="4"/>
      <c r="E849" s="4"/>
      <c r="F849" s="4"/>
      <c r="G849" s="4"/>
      <c r="H849" s="4"/>
      <c r="I849" s="4"/>
      <c r="J849" s="4"/>
      <c r="K849" s="4"/>
      <c r="L849" s="4"/>
      <c r="M849" s="4"/>
      <c r="N849" s="4"/>
      <c r="O849" s="4"/>
      <c r="P849" s="4"/>
      <c r="Q849" s="4"/>
      <c r="R849" s="4"/>
      <c r="S849" s="4"/>
      <c r="T849" s="4"/>
      <c r="U849" s="4"/>
      <c r="V849" s="4"/>
      <c r="W849" s="4"/>
      <c r="X849" s="4"/>
      <c r="Y849" s="4"/>
      <c r="Z849" s="4"/>
      <c r="AA849" s="4"/>
      <c r="AB849" s="4"/>
      <c r="AC849" s="4"/>
      <c r="AD849" s="4"/>
      <c r="AE849" s="4"/>
      <c r="AF849" s="4"/>
      <c r="AG849" s="4"/>
      <c r="AH849" s="4"/>
      <c r="AI849" s="4"/>
      <c r="AJ849" s="4"/>
      <c r="AK849" s="4"/>
    </row>
    <row r="850" spans="1:37" ht="70" customHeight="1" x14ac:dyDescent="0.2">
      <c r="A850" s="107"/>
      <c r="B850" s="4"/>
      <c r="C850" s="163"/>
      <c r="D850" s="4"/>
      <c r="E850" s="4"/>
      <c r="F850" s="4"/>
      <c r="G850" s="4"/>
      <c r="H850" s="4"/>
      <c r="I850" s="4"/>
      <c r="J850" s="4"/>
      <c r="K850" s="4"/>
      <c r="L850" s="4"/>
      <c r="M850" s="4"/>
      <c r="N850" s="4"/>
      <c r="O850" s="4"/>
      <c r="P850" s="4"/>
      <c r="Q850" s="4"/>
      <c r="R850" s="4"/>
      <c r="S850" s="4"/>
      <c r="T850" s="4"/>
      <c r="U850" s="4"/>
      <c r="V850" s="4"/>
      <c r="W850" s="4"/>
      <c r="X850" s="4"/>
      <c r="Y850" s="4"/>
      <c r="Z850" s="4"/>
      <c r="AA850" s="4"/>
      <c r="AB850" s="4"/>
      <c r="AC850" s="4"/>
      <c r="AD850" s="4"/>
      <c r="AE850" s="4"/>
      <c r="AF850" s="4"/>
      <c r="AG850" s="4"/>
      <c r="AH850" s="4"/>
      <c r="AI850" s="4"/>
      <c r="AJ850" s="4"/>
      <c r="AK850" s="4"/>
    </row>
    <row r="851" spans="1:37" ht="70" customHeight="1" x14ac:dyDescent="0.2">
      <c r="A851" s="107"/>
      <c r="B851" s="4"/>
      <c r="C851" s="163"/>
      <c r="D851" s="4"/>
      <c r="E851" s="4"/>
      <c r="F851" s="4"/>
      <c r="G851" s="4"/>
      <c r="H851" s="4"/>
      <c r="I851" s="4"/>
      <c r="J851" s="4"/>
      <c r="K851" s="4"/>
      <c r="L851" s="4"/>
      <c r="M851" s="4"/>
      <c r="N851" s="4"/>
      <c r="O851" s="4"/>
      <c r="P851" s="4"/>
      <c r="Q851" s="4"/>
      <c r="R851" s="4"/>
      <c r="S851" s="4"/>
      <c r="T851" s="4"/>
      <c r="U851" s="4"/>
      <c r="V851" s="4"/>
      <c r="W851" s="4"/>
      <c r="X851" s="4"/>
      <c r="Y851" s="4"/>
      <c r="Z851" s="4"/>
      <c r="AA851" s="4"/>
      <c r="AB851" s="4"/>
      <c r="AC851" s="4"/>
      <c r="AD851" s="4"/>
      <c r="AE851" s="4"/>
      <c r="AF851" s="4"/>
      <c r="AG851" s="4"/>
      <c r="AH851" s="4"/>
      <c r="AI851" s="4"/>
      <c r="AJ851" s="4"/>
      <c r="AK851" s="4"/>
    </row>
    <row r="852" spans="1:37" ht="70" customHeight="1" x14ac:dyDescent="0.2">
      <c r="A852" s="107"/>
      <c r="B852" s="4"/>
      <c r="C852" s="163"/>
      <c r="D852" s="4"/>
      <c r="E852" s="4"/>
      <c r="F852" s="4"/>
      <c r="G852" s="4"/>
      <c r="H852" s="4"/>
      <c r="I852" s="4"/>
      <c r="J852" s="4"/>
      <c r="K852" s="4"/>
      <c r="L852" s="4"/>
      <c r="M852" s="4"/>
      <c r="N852" s="4"/>
      <c r="O852" s="4"/>
      <c r="P852" s="4"/>
      <c r="Q852" s="4"/>
      <c r="R852" s="4"/>
      <c r="S852" s="4"/>
      <c r="T852" s="4"/>
      <c r="U852" s="4"/>
      <c r="V852" s="4"/>
      <c r="W852" s="4"/>
      <c r="X852" s="4"/>
      <c r="Y852" s="4"/>
      <c r="Z852" s="4"/>
      <c r="AA852" s="4"/>
      <c r="AB852" s="4"/>
      <c r="AC852" s="4"/>
      <c r="AD852" s="4"/>
      <c r="AE852" s="4"/>
      <c r="AF852" s="4"/>
      <c r="AG852" s="4"/>
      <c r="AH852" s="4"/>
      <c r="AI852" s="4"/>
      <c r="AJ852" s="4"/>
      <c r="AK852" s="4"/>
    </row>
    <row r="853" spans="1:37" ht="70" customHeight="1" x14ac:dyDescent="0.2">
      <c r="A853" s="107"/>
      <c r="B853" s="4"/>
      <c r="C853" s="163"/>
      <c r="D853" s="4"/>
      <c r="E853" s="4"/>
      <c r="F853" s="4"/>
      <c r="G853" s="4"/>
      <c r="H853" s="4"/>
      <c r="I853" s="4"/>
      <c r="J853" s="4"/>
      <c r="K853" s="4"/>
      <c r="L853" s="4"/>
      <c r="M853" s="4"/>
      <c r="N853" s="4"/>
      <c r="O853" s="4"/>
      <c r="P853" s="4"/>
      <c r="Q853" s="4"/>
      <c r="R853" s="4"/>
      <c r="S853" s="4"/>
      <c r="T853" s="4"/>
      <c r="U853" s="4"/>
      <c r="V853" s="4"/>
      <c r="W853" s="4"/>
      <c r="X853" s="4"/>
      <c r="Y853" s="4"/>
      <c r="Z853" s="4"/>
      <c r="AA853" s="4"/>
      <c r="AB853" s="4"/>
      <c r="AC853" s="4"/>
      <c r="AD853" s="4"/>
      <c r="AE853" s="4"/>
      <c r="AF853" s="4"/>
      <c r="AG853" s="4"/>
      <c r="AH853" s="4"/>
      <c r="AI853" s="4"/>
      <c r="AJ853" s="4"/>
      <c r="AK853" s="4"/>
    </row>
    <row r="854" spans="1:37" ht="70" customHeight="1" x14ac:dyDescent="0.2">
      <c r="A854" s="107"/>
      <c r="B854" s="4"/>
      <c r="C854" s="163"/>
      <c r="D854" s="4"/>
      <c r="E854" s="4"/>
      <c r="F854" s="4"/>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c r="AJ854" s="4"/>
      <c r="AK854" s="4"/>
    </row>
    <row r="855" spans="1:37" ht="70" customHeight="1" x14ac:dyDescent="0.2">
      <c r="A855" s="107"/>
      <c r="B855" s="4"/>
      <c r="C855" s="163"/>
      <c r="D855" s="4"/>
      <c r="E855" s="4"/>
      <c r="F855" s="4"/>
      <c r="G855" s="4"/>
      <c r="H855" s="4"/>
      <c r="I855" s="4"/>
      <c r="J855" s="4"/>
      <c r="K855" s="4"/>
      <c r="L855" s="4"/>
      <c r="M855" s="4"/>
      <c r="N855" s="4"/>
      <c r="O855" s="4"/>
      <c r="P855" s="4"/>
      <c r="Q855" s="4"/>
      <c r="R855" s="4"/>
      <c r="S855" s="4"/>
      <c r="T855" s="4"/>
      <c r="U855" s="4"/>
      <c r="V855" s="4"/>
      <c r="W855" s="4"/>
      <c r="X855" s="4"/>
      <c r="Y855" s="4"/>
      <c r="Z855" s="4"/>
      <c r="AA855" s="4"/>
      <c r="AB855" s="4"/>
      <c r="AC855" s="4"/>
      <c r="AD855" s="4"/>
      <c r="AE855" s="4"/>
      <c r="AF855" s="4"/>
      <c r="AG855" s="4"/>
      <c r="AH855" s="4"/>
      <c r="AI855" s="4"/>
      <c r="AJ855" s="4"/>
      <c r="AK855" s="4"/>
    </row>
    <row r="856" spans="1:37" ht="70" customHeight="1" x14ac:dyDescent="0.2">
      <c r="A856" s="107"/>
      <c r="B856" s="4"/>
      <c r="C856" s="163"/>
      <c r="D856" s="4"/>
      <c r="E856" s="4"/>
      <c r="F856" s="4"/>
      <c r="G856" s="4"/>
      <c r="H856" s="4"/>
      <c r="I856" s="4"/>
      <c r="J856" s="4"/>
      <c r="K856" s="4"/>
      <c r="L856" s="4"/>
      <c r="M856" s="4"/>
      <c r="N856" s="4"/>
      <c r="O856" s="4"/>
      <c r="P856" s="4"/>
      <c r="Q856" s="4"/>
      <c r="R856" s="4"/>
      <c r="S856" s="4"/>
      <c r="T856" s="4"/>
      <c r="U856" s="4"/>
      <c r="V856" s="4"/>
      <c r="W856" s="4"/>
      <c r="X856" s="4"/>
      <c r="Y856" s="4"/>
      <c r="Z856" s="4"/>
      <c r="AA856" s="4"/>
      <c r="AB856" s="4"/>
      <c r="AC856" s="4"/>
      <c r="AD856" s="4"/>
      <c r="AE856" s="4"/>
      <c r="AF856" s="4"/>
      <c r="AG856" s="4"/>
      <c r="AH856" s="4"/>
      <c r="AI856" s="4"/>
      <c r="AJ856" s="4"/>
      <c r="AK856" s="4"/>
    </row>
    <row r="857" spans="1:37" ht="70" customHeight="1" x14ac:dyDescent="0.2">
      <c r="A857" s="107"/>
      <c r="B857" s="4"/>
      <c r="C857" s="163"/>
      <c r="D857" s="4"/>
      <c r="E857" s="4"/>
      <c r="F857" s="4"/>
      <c r="G857" s="4"/>
      <c r="H857" s="4"/>
      <c r="I857" s="4"/>
      <c r="J857" s="4"/>
      <c r="K857" s="4"/>
      <c r="L857" s="4"/>
      <c r="M857" s="4"/>
      <c r="N857" s="4"/>
      <c r="O857" s="4"/>
      <c r="P857" s="4"/>
      <c r="Q857" s="4"/>
      <c r="R857" s="4"/>
      <c r="S857" s="4"/>
      <c r="T857" s="4"/>
      <c r="U857" s="4"/>
      <c r="V857" s="4"/>
      <c r="W857" s="4"/>
      <c r="X857" s="4"/>
      <c r="Y857" s="4"/>
      <c r="Z857" s="4"/>
      <c r="AA857" s="4"/>
      <c r="AB857" s="4"/>
      <c r="AC857" s="4"/>
      <c r="AD857" s="4"/>
      <c r="AE857" s="4"/>
      <c r="AF857" s="4"/>
      <c r="AG857" s="4"/>
      <c r="AH857" s="4"/>
      <c r="AI857" s="4"/>
      <c r="AJ857" s="4"/>
      <c r="AK857" s="4"/>
    </row>
    <row r="858" spans="1:37" ht="70" customHeight="1" x14ac:dyDescent="0.2">
      <c r="A858" s="107"/>
      <c r="B858" s="4"/>
      <c r="C858" s="163"/>
      <c r="D858" s="4"/>
      <c r="E858" s="4"/>
      <c r="F858" s="4"/>
      <c r="G858" s="4"/>
      <c r="H858" s="4"/>
      <c r="I858" s="4"/>
      <c r="J858" s="4"/>
      <c r="K858" s="4"/>
      <c r="L858" s="4"/>
      <c r="M858" s="4"/>
      <c r="N858" s="4"/>
      <c r="O858" s="4"/>
      <c r="P858" s="4"/>
      <c r="Q858" s="4"/>
      <c r="R858" s="4"/>
      <c r="S858" s="4"/>
      <c r="T858" s="4"/>
      <c r="U858" s="4"/>
      <c r="V858" s="4"/>
      <c r="W858" s="4"/>
      <c r="X858" s="4"/>
      <c r="Y858" s="4"/>
      <c r="Z858" s="4"/>
      <c r="AA858" s="4"/>
      <c r="AB858" s="4"/>
      <c r="AC858" s="4"/>
      <c r="AD858" s="4"/>
      <c r="AE858" s="4"/>
      <c r="AF858" s="4"/>
      <c r="AG858" s="4"/>
      <c r="AH858" s="4"/>
      <c r="AI858" s="4"/>
      <c r="AJ858" s="4"/>
      <c r="AK858" s="4"/>
    </row>
    <row r="859" spans="1:37" ht="70" customHeight="1" x14ac:dyDescent="0.2">
      <c r="A859" s="107"/>
      <c r="B859" s="4"/>
      <c r="C859" s="163"/>
      <c r="D859" s="4"/>
      <c r="E859" s="4"/>
      <c r="F859" s="4"/>
      <c r="G859" s="4"/>
      <c r="H859" s="4"/>
      <c r="I859" s="4"/>
      <c r="J859" s="4"/>
      <c r="K859" s="4"/>
      <c r="L859" s="4"/>
      <c r="M859" s="4"/>
      <c r="N859" s="4"/>
      <c r="O859" s="4"/>
      <c r="P859" s="4"/>
      <c r="Q859" s="4"/>
      <c r="R859" s="4"/>
      <c r="S859" s="4"/>
      <c r="T859" s="4"/>
      <c r="U859" s="4"/>
      <c r="V859" s="4"/>
      <c r="W859" s="4"/>
      <c r="X859" s="4"/>
      <c r="Y859" s="4"/>
      <c r="Z859" s="4"/>
      <c r="AA859" s="4"/>
      <c r="AB859" s="4"/>
      <c r="AC859" s="4"/>
      <c r="AD859" s="4"/>
      <c r="AE859" s="4"/>
      <c r="AF859" s="4"/>
      <c r="AG859" s="4"/>
      <c r="AH859" s="4"/>
      <c r="AI859" s="4"/>
      <c r="AJ859" s="4"/>
      <c r="AK859" s="4"/>
    </row>
    <row r="860" spans="1:37" ht="70" customHeight="1" x14ac:dyDescent="0.2">
      <c r="A860" s="107"/>
      <c r="B860" s="4"/>
      <c r="C860" s="163"/>
      <c r="D860" s="4"/>
      <c r="E860" s="4"/>
      <c r="F860" s="4"/>
      <c r="G860" s="4"/>
      <c r="H860" s="4"/>
      <c r="I860" s="4"/>
      <c r="J860" s="4"/>
      <c r="K860" s="4"/>
      <c r="L860" s="4"/>
      <c r="M860" s="4"/>
      <c r="N860" s="4"/>
      <c r="O860" s="4"/>
      <c r="P860" s="4"/>
      <c r="Q860" s="4"/>
      <c r="R860" s="4"/>
      <c r="S860" s="4"/>
      <c r="T860" s="4"/>
      <c r="U860" s="4"/>
      <c r="V860" s="4"/>
      <c r="W860" s="4"/>
      <c r="X860" s="4"/>
      <c r="Y860" s="4"/>
      <c r="Z860" s="4"/>
      <c r="AA860" s="4"/>
      <c r="AB860" s="4"/>
      <c r="AC860" s="4"/>
      <c r="AD860" s="4"/>
      <c r="AE860" s="4"/>
      <c r="AF860" s="4"/>
      <c r="AG860" s="4"/>
      <c r="AH860" s="4"/>
      <c r="AI860" s="4"/>
      <c r="AJ860" s="4"/>
      <c r="AK860" s="4"/>
    </row>
    <row r="861" spans="1:37" ht="70" customHeight="1" x14ac:dyDescent="0.2">
      <c r="A861" s="107"/>
      <c r="B861" s="4"/>
      <c r="C861" s="163"/>
      <c r="D861" s="4"/>
      <c r="E861" s="4"/>
      <c r="F861" s="4"/>
      <c r="G861" s="4"/>
      <c r="H861" s="4"/>
      <c r="I861" s="4"/>
      <c r="J861" s="4"/>
      <c r="K861" s="4"/>
      <c r="L861" s="4"/>
      <c r="M861" s="4"/>
      <c r="N861" s="4"/>
      <c r="O861" s="4"/>
      <c r="P861" s="4"/>
      <c r="Q861" s="4"/>
      <c r="R861" s="4"/>
      <c r="S861" s="4"/>
      <c r="T861" s="4"/>
      <c r="U861" s="4"/>
      <c r="V861" s="4"/>
      <c r="W861" s="4"/>
      <c r="X861" s="4"/>
      <c r="Y861" s="4"/>
      <c r="Z861" s="4"/>
      <c r="AA861" s="4"/>
      <c r="AB861" s="4"/>
      <c r="AC861" s="4"/>
      <c r="AD861" s="4"/>
      <c r="AE861" s="4"/>
      <c r="AF861" s="4"/>
      <c r="AG861" s="4"/>
      <c r="AH861" s="4"/>
      <c r="AI861" s="4"/>
      <c r="AJ861" s="4"/>
      <c r="AK861" s="4"/>
    </row>
    <row r="862" spans="1:37" ht="70" customHeight="1" x14ac:dyDescent="0.2">
      <c r="A862" s="107"/>
      <c r="B862" s="4"/>
      <c r="C862" s="163"/>
      <c r="D862" s="4"/>
      <c r="E862" s="4"/>
      <c r="F862" s="4"/>
      <c r="G862" s="4"/>
      <c r="H862" s="4"/>
      <c r="I862" s="4"/>
      <c r="J862" s="4"/>
      <c r="K862" s="4"/>
      <c r="L862" s="4"/>
      <c r="M862" s="4"/>
      <c r="N862" s="4"/>
      <c r="O862" s="4"/>
      <c r="P862" s="4"/>
      <c r="Q862" s="4"/>
      <c r="R862" s="4"/>
      <c r="S862" s="4"/>
      <c r="T862" s="4"/>
      <c r="U862" s="4"/>
      <c r="V862" s="4"/>
      <c r="W862" s="4"/>
      <c r="X862" s="4"/>
      <c r="Y862" s="4"/>
      <c r="Z862" s="4"/>
      <c r="AA862" s="4"/>
      <c r="AB862" s="4"/>
      <c r="AC862" s="4"/>
      <c r="AD862" s="4"/>
      <c r="AE862" s="4"/>
      <c r="AF862" s="4"/>
      <c r="AG862" s="4"/>
      <c r="AH862" s="4"/>
      <c r="AI862" s="4"/>
      <c r="AJ862" s="4"/>
      <c r="AK862" s="4"/>
    </row>
    <row r="863" spans="1:37" ht="70" customHeight="1" x14ac:dyDescent="0.2">
      <c r="A863" s="107"/>
      <c r="B863" s="4"/>
      <c r="C863" s="163"/>
      <c r="D863" s="4"/>
      <c r="E863" s="4"/>
      <c r="F863" s="4"/>
      <c r="G863" s="4"/>
      <c r="H863" s="4"/>
      <c r="I863" s="4"/>
      <c r="J863" s="4"/>
      <c r="K863" s="4"/>
      <c r="L863" s="4"/>
      <c r="M863" s="4"/>
      <c r="N863" s="4"/>
      <c r="O863" s="4"/>
      <c r="P863" s="4"/>
      <c r="Q863" s="4"/>
      <c r="R863" s="4"/>
      <c r="S863" s="4"/>
      <c r="T863" s="4"/>
      <c r="U863" s="4"/>
      <c r="V863" s="4"/>
      <c r="W863" s="4"/>
      <c r="X863" s="4"/>
      <c r="Y863" s="4"/>
      <c r="Z863" s="4"/>
      <c r="AA863" s="4"/>
      <c r="AB863" s="4"/>
      <c r="AC863" s="4"/>
      <c r="AD863" s="4"/>
      <c r="AE863" s="4"/>
      <c r="AF863" s="4"/>
      <c r="AG863" s="4"/>
      <c r="AH863" s="4"/>
      <c r="AI863" s="4"/>
      <c r="AJ863" s="4"/>
      <c r="AK863" s="4"/>
    </row>
    <row r="864" spans="1:37" ht="70" customHeight="1" x14ac:dyDescent="0.2">
      <c r="A864" s="107"/>
      <c r="B864" s="4"/>
      <c r="C864" s="163"/>
      <c r="D864" s="4"/>
      <c r="E864" s="4"/>
      <c r="F864" s="4"/>
      <c r="G864" s="4"/>
      <c r="H864" s="4"/>
      <c r="I864" s="4"/>
      <c r="J864" s="4"/>
      <c r="K864" s="4"/>
      <c r="L864" s="4"/>
      <c r="M864" s="4"/>
      <c r="N864" s="4"/>
      <c r="O864" s="4"/>
      <c r="P864" s="4"/>
      <c r="Q864" s="4"/>
      <c r="R864" s="4"/>
      <c r="S864" s="4"/>
      <c r="T864" s="4"/>
      <c r="U864" s="4"/>
      <c r="V864" s="4"/>
      <c r="W864" s="4"/>
      <c r="X864" s="4"/>
      <c r="Y864" s="4"/>
      <c r="Z864" s="4"/>
      <c r="AA864" s="4"/>
      <c r="AB864" s="4"/>
      <c r="AC864" s="4"/>
      <c r="AD864" s="4"/>
      <c r="AE864" s="4"/>
      <c r="AF864" s="4"/>
      <c r="AG864" s="4"/>
      <c r="AH864" s="4"/>
      <c r="AI864" s="4"/>
      <c r="AJ864" s="4"/>
      <c r="AK864" s="4"/>
    </row>
    <row r="865" spans="1:37" ht="70" customHeight="1" x14ac:dyDescent="0.2">
      <c r="A865" s="107"/>
      <c r="B865" s="4"/>
      <c r="C865" s="163"/>
      <c r="D865" s="4"/>
      <c r="E865" s="4"/>
      <c r="F865" s="4"/>
      <c r="G865" s="4"/>
      <c r="H865" s="4"/>
      <c r="I865" s="4"/>
      <c r="J865" s="4"/>
      <c r="K865" s="4"/>
      <c r="L865" s="4"/>
      <c r="M865" s="4"/>
      <c r="N865" s="4"/>
      <c r="O865" s="4"/>
      <c r="P865" s="4"/>
      <c r="Q865" s="4"/>
      <c r="R865" s="4"/>
      <c r="S865" s="4"/>
      <c r="T865" s="4"/>
      <c r="U865" s="4"/>
      <c r="V865" s="4"/>
      <c r="W865" s="4"/>
      <c r="X865" s="4"/>
      <c r="Y865" s="4"/>
      <c r="Z865" s="4"/>
      <c r="AA865" s="4"/>
      <c r="AB865" s="4"/>
      <c r="AC865" s="4"/>
      <c r="AD865" s="4"/>
      <c r="AE865" s="4"/>
      <c r="AF865" s="4"/>
      <c r="AG865" s="4"/>
      <c r="AH865" s="4"/>
      <c r="AI865" s="4"/>
      <c r="AJ865" s="4"/>
      <c r="AK865" s="4"/>
    </row>
    <row r="866" spans="1:37" ht="70" customHeight="1" x14ac:dyDescent="0.2">
      <c r="A866" s="107"/>
      <c r="B866" s="4"/>
      <c r="C866" s="163"/>
      <c r="D866" s="4"/>
      <c r="E866" s="4"/>
      <c r="F866" s="4"/>
      <c r="G866" s="4"/>
      <c r="H866" s="4"/>
      <c r="I866" s="4"/>
      <c r="J866" s="4"/>
      <c r="K866" s="4"/>
      <c r="L866" s="4"/>
      <c r="M866" s="4"/>
      <c r="N866" s="4"/>
      <c r="O866" s="4"/>
      <c r="P866" s="4"/>
      <c r="Q866" s="4"/>
      <c r="R866" s="4"/>
      <c r="S866" s="4"/>
      <c r="T866" s="4"/>
      <c r="U866" s="4"/>
      <c r="V866" s="4"/>
      <c r="W866" s="4"/>
      <c r="X866" s="4"/>
      <c r="Y866" s="4"/>
      <c r="Z866" s="4"/>
      <c r="AA866" s="4"/>
      <c r="AB866" s="4"/>
      <c r="AC866" s="4"/>
      <c r="AD866" s="4"/>
      <c r="AE866" s="4"/>
      <c r="AF866" s="4"/>
      <c r="AG866" s="4"/>
      <c r="AH866" s="4"/>
      <c r="AI866" s="4"/>
      <c r="AJ866" s="4"/>
      <c r="AK866" s="4"/>
    </row>
    <row r="867" spans="1:37" ht="70" customHeight="1" x14ac:dyDescent="0.2">
      <c r="A867" s="107"/>
      <c r="B867" s="4"/>
      <c r="C867" s="163"/>
      <c r="D867" s="4"/>
      <c r="E867" s="4"/>
      <c r="F867" s="4"/>
      <c r="G867" s="4"/>
      <c r="H867" s="4"/>
      <c r="I867" s="4"/>
      <c r="J867" s="4"/>
      <c r="K867" s="4"/>
      <c r="L867" s="4"/>
      <c r="M867" s="4"/>
      <c r="N867" s="4"/>
      <c r="O867" s="4"/>
      <c r="P867" s="4"/>
      <c r="Q867" s="4"/>
      <c r="R867" s="4"/>
      <c r="S867" s="4"/>
      <c r="T867" s="4"/>
      <c r="U867" s="4"/>
      <c r="V867" s="4"/>
      <c r="W867" s="4"/>
      <c r="X867" s="4"/>
      <c r="Y867" s="4"/>
      <c r="Z867" s="4"/>
      <c r="AA867" s="4"/>
      <c r="AB867" s="4"/>
      <c r="AC867" s="4"/>
      <c r="AD867" s="4"/>
      <c r="AE867" s="4"/>
      <c r="AF867" s="4"/>
      <c r="AG867" s="4"/>
      <c r="AH867" s="4"/>
      <c r="AI867" s="4"/>
      <c r="AJ867" s="4"/>
      <c r="AK867" s="4"/>
    </row>
    <row r="868" spans="1:37" ht="70" customHeight="1" x14ac:dyDescent="0.2">
      <c r="A868" s="107"/>
      <c r="B868" s="4"/>
      <c r="C868" s="163"/>
      <c r="D868" s="4"/>
      <c r="E868" s="4"/>
      <c r="F868" s="4"/>
      <c r="G868" s="4"/>
      <c r="H868" s="4"/>
      <c r="I868" s="4"/>
      <c r="J868" s="4"/>
      <c r="K868" s="4"/>
      <c r="L868" s="4"/>
      <c r="M868" s="4"/>
      <c r="N868" s="4"/>
      <c r="O868" s="4"/>
      <c r="P868" s="4"/>
      <c r="Q868" s="4"/>
      <c r="R868" s="4"/>
      <c r="S868" s="4"/>
      <c r="T868" s="4"/>
      <c r="U868" s="4"/>
      <c r="V868" s="4"/>
      <c r="W868" s="4"/>
      <c r="X868" s="4"/>
      <c r="Y868" s="4"/>
      <c r="Z868" s="4"/>
      <c r="AA868" s="4"/>
      <c r="AB868" s="4"/>
      <c r="AC868" s="4"/>
      <c r="AD868" s="4"/>
      <c r="AE868" s="4"/>
      <c r="AF868" s="4"/>
      <c r="AG868" s="4"/>
      <c r="AH868" s="4"/>
      <c r="AI868" s="4"/>
      <c r="AJ868" s="4"/>
      <c r="AK868" s="4"/>
    </row>
    <row r="869" spans="1:37" ht="70" customHeight="1" x14ac:dyDescent="0.2">
      <c r="A869" s="107"/>
      <c r="B869" s="4"/>
      <c r="C869" s="163"/>
      <c r="D869" s="4"/>
      <c r="E869" s="4"/>
      <c r="F869" s="4"/>
      <c r="G869" s="4"/>
      <c r="H869" s="4"/>
      <c r="I869" s="4"/>
      <c r="J869" s="4"/>
      <c r="K869" s="4"/>
      <c r="L869" s="4"/>
      <c r="M869" s="4"/>
      <c r="N869" s="4"/>
      <c r="O869" s="4"/>
      <c r="P869" s="4"/>
      <c r="Q869" s="4"/>
      <c r="R869" s="4"/>
      <c r="S869" s="4"/>
      <c r="T869" s="4"/>
      <c r="U869" s="4"/>
      <c r="V869" s="4"/>
      <c r="W869" s="4"/>
      <c r="X869" s="4"/>
      <c r="Y869" s="4"/>
      <c r="Z869" s="4"/>
      <c r="AA869" s="4"/>
      <c r="AB869" s="4"/>
      <c r="AC869" s="4"/>
      <c r="AD869" s="4"/>
      <c r="AE869" s="4"/>
      <c r="AF869" s="4"/>
      <c r="AG869" s="4"/>
      <c r="AH869" s="4"/>
      <c r="AI869" s="4"/>
      <c r="AJ869" s="4"/>
      <c r="AK869" s="4"/>
    </row>
    <row r="870" spans="1:37" ht="70" customHeight="1" x14ac:dyDescent="0.2">
      <c r="A870" s="107"/>
      <c r="B870" s="4"/>
      <c r="C870" s="163"/>
      <c r="D870" s="4"/>
      <c r="E870" s="4"/>
      <c r="F870" s="4"/>
      <c r="G870" s="4"/>
      <c r="H870" s="4"/>
      <c r="I870" s="4"/>
      <c r="J870" s="4"/>
      <c r="K870" s="4"/>
      <c r="L870" s="4"/>
      <c r="M870" s="4"/>
      <c r="N870" s="4"/>
      <c r="O870" s="4"/>
      <c r="P870" s="4"/>
      <c r="Q870" s="4"/>
      <c r="R870" s="4"/>
      <c r="S870" s="4"/>
      <c r="T870" s="4"/>
      <c r="U870" s="4"/>
      <c r="V870" s="4"/>
      <c r="W870" s="4"/>
      <c r="X870" s="4"/>
      <c r="Y870" s="4"/>
      <c r="Z870" s="4"/>
      <c r="AA870" s="4"/>
      <c r="AB870" s="4"/>
      <c r="AC870" s="4"/>
      <c r="AD870" s="4"/>
      <c r="AE870" s="4"/>
      <c r="AF870" s="4"/>
      <c r="AG870" s="4"/>
      <c r="AH870" s="4"/>
      <c r="AI870" s="4"/>
      <c r="AJ870" s="4"/>
      <c r="AK870" s="4"/>
    </row>
    <row r="871" spans="1:37" ht="70" customHeight="1" x14ac:dyDescent="0.2">
      <c r="A871" s="107"/>
      <c r="B871" s="4"/>
      <c r="C871" s="163"/>
      <c r="D871" s="4"/>
      <c r="E871" s="4"/>
      <c r="F871" s="4"/>
      <c r="G871" s="4"/>
      <c r="H871" s="4"/>
      <c r="I871" s="4"/>
      <c r="J871" s="4"/>
      <c r="K871" s="4"/>
      <c r="L871" s="4"/>
      <c r="M871" s="4"/>
      <c r="N871" s="4"/>
      <c r="O871" s="4"/>
      <c r="P871" s="4"/>
      <c r="Q871" s="4"/>
      <c r="R871" s="4"/>
      <c r="S871" s="4"/>
      <c r="T871" s="4"/>
      <c r="U871" s="4"/>
      <c r="V871" s="4"/>
      <c r="W871" s="4"/>
      <c r="X871" s="4"/>
      <c r="Y871" s="4"/>
      <c r="Z871" s="4"/>
      <c r="AA871" s="4"/>
      <c r="AB871" s="4"/>
      <c r="AC871" s="4"/>
      <c r="AD871" s="4"/>
      <c r="AE871" s="4"/>
      <c r="AF871" s="4"/>
      <c r="AG871" s="4"/>
      <c r="AH871" s="4"/>
      <c r="AI871" s="4"/>
      <c r="AJ871" s="4"/>
      <c r="AK871" s="4"/>
    </row>
    <row r="872" spans="1:37" ht="70" customHeight="1" x14ac:dyDescent="0.2">
      <c r="A872" s="107"/>
      <c r="B872" s="4"/>
      <c r="C872" s="163"/>
      <c r="D872" s="4"/>
      <c r="E872" s="4"/>
      <c r="F872" s="4"/>
      <c r="G872" s="4"/>
      <c r="H872" s="4"/>
      <c r="I872" s="4"/>
      <c r="J872" s="4"/>
      <c r="K872" s="4"/>
      <c r="L872" s="4"/>
      <c r="M872" s="4"/>
      <c r="N872" s="4"/>
      <c r="O872" s="4"/>
      <c r="P872" s="4"/>
      <c r="Q872" s="4"/>
      <c r="R872" s="4"/>
      <c r="S872" s="4"/>
      <c r="T872" s="4"/>
      <c r="U872" s="4"/>
      <c r="V872" s="4"/>
      <c r="W872" s="4"/>
      <c r="X872" s="4"/>
      <c r="Y872" s="4"/>
      <c r="Z872" s="4"/>
      <c r="AA872" s="4"/>
      <c r="AB872" s="4"/>
      <c r="AC872" s="4"/>
      <c r="AD872" s="4"/>
      <c r="AE872" s="4"/>
      <c r="AF872" s="4"/>
      <c r="AG872" s="4"/>
      <c r="AH872" s="4"/>
      <c r="AI872" s="4"/>
      <c r="AJ872" s="4"/>
      <c r="AK872" s="4"/>
    </row>
    <row r="873" spans="1:37" ht="70" customHeight="1" x14ac:dyDescent="0.2">
      <c r="A873" s="107"/>
      <c r="B873" s="4"/>
      <c r="C873" s="163"/>
      <c r="D873" s="4"/>
      <c r="E873" s="4"/>
      <c r="F873" s="4"/>
      <c r="G873" s="4"/>
      <c r="H873" s="4"/>
      <c r="I873" s="4"/>
      <c r="J873" s="4"/>
      <c r="K873" s="4"/>
      <c r="L873" s="4"/>
      <c r="M873" s="4"/>
      <c r="N873" s="4"/>
      <c r="O873" s="4"/>
      <c r="P873" s="4"/>
      <c r="Q873" s="4"/>
      <c r="R873" s="4"/>
      <c r="S873" s="4"/>
      <c r="T873" s="4"/>
      <c r="U873" s="4"/>
      <c r="V873" s="4"/>
      <c r="W873" s="4"/>
      <c r="X873" s="4"/>
      <c r="Y873" s="4"/>
      <c r="Z873" s="4"/>
      <c r="AA873" s="4"/>
      <c r="AB873" s="4"/>
      <c r="AC873" s="4"/>
      <c r="AD873" s="4"/>
      <c r="AE873" s="4"/>
      <c r="AF873" s="4"/>
      <c r="AG873" s="4"/>
      <c r="AH873" s="4"/>
      <c r="AI873" s="4"/>
      <c r="AJ873" s="4"/>
      <c r="AK873" s="4"/>
    </row>
    <row r="874" spans="1:37" ht="70" customHeight="1" x14ac:dyDescent="0.2">
      <c r="A874" s="107"/>
      <c r="B874" s="4"/>
      <c r="C874" s="163"/>
      <c r="D874" s="4"/>
      <c r="E874" s="4"/>
      <c r="F874" s="4"/>
      <c r="G874" s="4"/>
      <c r="H874" s="4"/>
      <c r="I874" s="4"/>
      <c r="J874" s="4"/>
      <c r="K874" s="4"/>
      <c r="L874" s="4"/>
      <c r="M874" s="4"/>
      <c r="N874" s="4"/>
      <c r="O874" s="4"/>
      <c r="P874" s="4"/>
      <c r="Q874" s="4"/>
      <c r="R874" s="4"/>
      <c r="S874" s="4"/>
      <c r="T874" s="4"/>
      <c r="U874" s="4"/>
      <c r="V874" s="4"/>
      <c r="W874" s="4"/>
      <c r="X874" s="4"/>
      <c r="Y874" s="4"/>
      <c r="Z874" s="4"/>
      <c r="AA874" s="4"/>
      <c r="AB874" s="4"/>
      <c r="AC874" s="4"/>
      <c r="AD874" s="4"/>
      <c r="AE874" s="4"/>
      <c r="AF874" s="4"/>
      <c r="AG874" s="4"/>
      <c r="AH874" s="4"/>
      <c r="AI874" s="4"/>
      <c r="AJ874" s="4"/>
      <c r="AK874" s="4"/>
    </row>
    <row r="875" spans="1:37" ht="70" customHeight="1" x14ac:dyDescent="0.2">
      <c r="A875" s="107"/>
      <c r="B875" s="4"/>
      <c r="C875" s="163"/>
      <c r="D875" s="4"/>
      <c r="E875" s="4"/>
      <c r="F875" s="4"/>
      <c r="G875" s="4"/>
      <c r="H875" s="4"/>
      <c r="I875" s="4"/>
      <c r="J875" s="4"/>
      <c r="K875" s="4"/>
      <c r="L875" s="4"/>
      <c r="M875" s="4"/>
      <c r="N875" s="4"/>
      <c r="O875" s="4"/>
      <c r="P875" s="4"/>
      <c r="Q875" s="4"/>
      <c r="R875" s="4"/>
      <c r="S875" s="4"/>
      <c r="T875" s="4"/>
      <c r="U875" s="4"/>
      <c r="V875" s="4"/>
      <c r="W875" s="4"/>
      <c r="X875" s="4"/>
      <c r="Y875" s="4"/>
      <c r="Z875" s="4"/>
      <c r="AA875" s="4"/>
      <c r="AB875" s="4"/>
      <c r="AC875" s="4"/>
      <c r="AD875" s="4"/>
      <c r="AE875" s="4"/>
      <c r="AF875" s="4"/>
      <c r="AG875" s="4"/>
      <c r="AH875" s="4"/>
      <c r="AI875" s="4"/>
      <c r="AJ875" s="4"/>
      <c r="AK875" s="4"/>
    </row>
    <row r="876" spans="1:37" ht="70" customHeight="1" x14ac:dyDescent="0.2">
      <c r="A876" s="107"/>
      <c r="B876" s="4"/>
      <c r="C876" s="163"/>
      <c r="D876" s="4"/>
      <c r="E876" s="4"/>
      <c r="F876" s="4"/>
      <c r="G876" s="4"/>
      <c r="H876" s="4"/>
      <c r="I876" s="4"/>
      <c r="J876" s="4"/>
      <c r="K876" s="4"/>
      <c r="L876" s="4"/>
      <c r="M876" s="4"/>
      <c r="N876" s="4"/>
      <c r="O876" s="4"/>
      <c r="P876" s="4"/>
      <c r="Q876" s="4"/>
      <c r="R876" s="4"/>
      <c r="S876" s="4"/>
      <c r="T876" s="4"/>
      <c r="U876" s="4"/>
      <c r="V876" s="4"/>
      <c r="W876" s="4"/>
      <c r="X876" s="4"/>
      <c r="Y876" s="4"/>
      <c r="Z876" s="4"/>
      <c r="AA876" s="4"/>
      <c r="AB876" s="4"/>
      <c r="AC876" s="4"/>
      <c r="AD876" s="4"/>
      <c r="AE876" s="4"/>
      <c r="AF876" s="4"/>
      <c r="AG876" s="4"/>
      <c r="AH876" s="4"/>
      <c r="AI876" s="4"/>
      <c r="AJ876" s="4"/>
      <c r="AK876" s="4"/>
    </row>
    <row r="877" spans="1:37" ht="70" customHeight="1" x14ac:dyDescent="0.2">
      <c r="A877" s="107"/>
      <c r="B877" s="4"/>
      <c r="C877" s="163"/>
      <c r="D877" s="4"/>
      <c r="E877" s="4"/>
      <c r="F877" s="4"/>
      <c r="G877" s="4"/>
      <c r="H877" s="4"/>
      <c r="I877" s="4"/>
      <c r="J877" s="4"/>
      <c r="K877" s="4"/>
      <c r="L877" s="4"/>
      <c r="M877" s="4"/>
      <c r="N877" s="4"/>
      <c r="O877" s="4"/>
      <c r="P877" s="4"/>
      <c r="Q877" s="4"/>
      <c r="R877" s="4"/>
      <c r="S877" s="4"/>
      <c r="T877" s="4"/>
      <c r="U877" s="4"/>
      <c r="V877" s="4"/>
      <c r="W877" s="4"/>
      <c r="X877" s="4"/>
      <c r="Y877" s="4"/>
      <c r="Z877" s="4"/>
      <c r="AA877" s="4"/>
      <c r="AB877" s="4"/>
      <c r="AC877" s="4"/>
      <c r="AD877" s="4"/>
      <c r="AE877" s="4"/>
      <c r="AF877" s="4"/>
      <c r="AG877" s="4"/>
      <c r="AH877" s="4"/>
      <c r="AI877" s="4"/>
      <c r="AJ877" s="4"/>
      <c r="AK877" s="4"/>
    </row>
    <row r="878" spans="1:37" ht="70" customHeight="1" x14ac:dyDescent="0.2">
      <c r="A878" s="107"/>
      <c r="B878" s="4"/>
      <c r="C878" s="163"/>
      <c r="D878" s="4"/>
      <c r="E878" s="4"/>
      <c r="F878" s="4"/>
      <c r="G878" s="4"/>
      <c r="H878" s="4"/>
      <c r="I878" s="4"/>
      <c r="J878" s="4"/>
      <c r="K878" s="4"/>
      <c r="L878" s="4"/>
      <c r="M878" s="4"/>
      <c r="N878" s="4"/>
      <c r="O878" s="4"/>
      <c r="P878" s="4"/>
      <c r="Q878" s="4"/>
      <c r="R878" s="4"/>
      <c r="S878" s="4"/>
      <c r="T878" s="4"/>
      <c r="U878" s="4"/>
      <c r="V878" s="4"/>
      <c r="W878" s="4"/>
      <c r="X878" s="4"/>
      <c r="Y878" s="4"/>
      <c r="Z878" s="4"/>
      <c r="AA878" s="4"/>
      <c r="AB878" s="4"/>
      <c r="AC878" s="4"/>
      <c r="AD878" s="4"/>
      <c r="AE878" s="4"/>
      <c r="AF878" s="4"/>
      <c r="AG878" s="4"/>
      <c r="AH878" s="4"/>
      <c r="AI878" s="4"/>
      <c r="AJ878" s="4"/>
      <c r="AK878" s="4"/>
    </row>
    <row r="879" spans="1:37" ht="70" customHeight="1" x14ac:dyDescent="0.2">
      <c r="A879" s="107"/>
      <c r="B879" s="4"/>
      <c r="C879" s="163"/>
      <c r="D879" s="4"/>
      <c r="E879" s="4"/>
      <c r="F879" s="4"/>
      <c r="G879" s="4"/>
      <c r="H879" s="4"/>
      <c r="I879" s="4"/>
      <c r="J879" s="4"/>
      <c r="K879" s="4"/>
      <c r="L879" s="4"/>
      <c r="M879" s="4"/>
      <c r="N879" s="4"/>
      <c r="O879" s="4"/>
      <c r="P879" s="4"/>
      <c r="Q879" s="4"/>
      <c r="R879" s="4"/>
      <c r="S879" s="4"/>
      <c r="T879" s="4"/>
      <c r="U879" s="4"/>
      <c r="V879" s="4"/>
      <c r="W879" s="4"/>
      <c r="X879" s="4"/>
      <c r="Y879" s="4"/>
      <c r="Z879" s="4"/>
      <c r="AA879" s="4"/>
      <c r="AB879" s="4"/>
      <c r="AC879" s="4"/>
      <c r="AD879" s="4"/>
      <c r="AE879" s="4"/>
      <c r="AF879" s="4"/>
      <c r="AG879" s="4"/>
      <c r="AH879" s="4"/>
      <c r="AI879" s="4"/>
      <c r="AJ879" s="4"/>
      <c r="AK879" s="4"/>
    </row>
    <row r="880" spans="1:37" ht="70" customHeight="1" x14ac:dyDescent="0.2">
      <c r="A880" s="107"/>
      <c r="B880" s="4"/>
      <c r="C880" s="163"/>
      <c r="D880" s="4"/>
      <c r="E880" s="4"/>
      <c r="F880" s="4"/>
      <c r="G880" s="4"/>
      <c r="H880" s="4"/>
      <c r="I880" s="4"/>
      <c r="J880" s="4"/>
      <c r="K880" s="4"/>
      <c r="L880" s="4"/>
      <c r="M880" s="4"/>
      <c r="N880" s="4"/>
      <c r="O880" s="4"/>
      <c r="P880" s="4"/>
      <c r="Q880" s="4"/>
      <c r="R880" s="4"/>
      <c r="S880" s="4"/>
      <c r="T880" s="4"/>
      <c r="U880" s="4"/>
      <c r="V880" s="4"/>
      <c r="W880" s="4"/>
      <c r="X880" s="4"/>
      <c r="Y880" s="4"/>
      <c r="Z880" s="4"/>
      <c r="AA880" s="4"/>
      <c r="AB880" s="4"/>
      <c r="AC880" s="4"/>
      <c r="AD880" s="4"/>
      <c r="AE880" s="4"/>
      <c r="AF880" s="4"/>
      <c r="AG880" s="4"/>
      <c r="AH880" s="4"/>
      <c r="AI880" s="4"/>
      <c r="AJ880" s="4"/>
      <c r="AK880" s="4"/>
    </row>
    <row r="881" spans="1:37" ht="70" customHeight="1" x14ac:dyDescent="0.2">
      <c r="A881" s="107"/>
      <c r="B881" s="4"/>
      <c r="C881" s="163"/>
      <c r="D881" s="4"/>
      <c r="E881" s="4"/>
      <c r="F881" s="4"/>
      <c r="G881" s="4"/>
      <c r="H881" s="4"/>
      <c r="I881" s="4"/>
      <c r="J881" s="4"/>
      <c r="K881" s="4"/>
      <c r="L881" s="4"/>
      <c r="M881" s="4"/>
      <c r="N881" s="4"/>
      <c r="O881" s="4"/>
      <c r="P881" s="4"/>
      <c r="Q881" s="4"/>
      <c r="R881" s="4"/>
      <c r="S881" s="4"/>
      <c r="T881" s="4"/>
      <c r="U881" s="4"/>
      <c r="V881" s="4"/>
      <c r="W881" s="4"/>
      <c r="X881" s="4"/>
      <c r="Y881" s="4"/>
      <c r="Z881" s="4"/>
      <c r="AA881" s="4"/>
      <c r="AB881" s="4"/>
      <c r="AC881" s="4"/>
      <c r="AD881" s="4"/>
      <c r="AE881" s="4"/>
      <c r="AF881" s="4"/>
      <c r="AG881" s="4"/>
      <c r="AH881" s="4"/>
      <c r="AI881" s="4"/>
      <c r="AJ881" s="4"/>
      <c r="AK881" s="4"/>
    </row>
    <row r="882" spans="1:37" ht="70" customHeight="1" x14ac:dyDescent="0.2">
      <c r="A882" s="107"/>
      <c r="B882" s="4"/>
      <c r="C882" s="163"/>
      <c r="D882" s="4"/>
      <c r="E882" s="4"/>
      <c r="F882" s="4"/>
      <c r="G882" s="4"/>
      <c r="H882" s="4"/>
      <c r="I882" s="4"/>
      <c r="J882" s="4"/>
      <c r="K882" s="4"/>
      <c r="L882" s="4"/>
      <c r="M882" s="4"/>
      <c r="N882" s="4"/>
      <c r="O882" s="4"/>
      <c r="P882" s="4"/>
      <c r="Q882" s="4"/>
      <c r="R882" s="4"/>
      <c r="S882" s="4"/>
      <c r="T882" s="4"/>
      <c r="U882" s="4"/>
      <c r="V882" s="4"/>
      <c r="W882" s="4"/>
      <c r="X882" s="4"/>
      <c r="Y882" s="4"/>
      <c r="Z882" s="4"/>
      <c r="AA882" s="4"/>
      <c r="AB882" s="4"/>
      <c r="AC882" s="4"/>
      <c r="AD882" s="4"/>
      <c r="AE882" s="4"/>
      <c r="AF882" s="4"/>
      <c r="AG882" s="4"/>
      <c r="AH882" s="4"/>
      <c r="AI882" s="4"/>
      <c r="AJ882" s="4"/>
      <c r="AK882" s="4"/>
    </row>
    <row r="883" spans="1:37" ht="70" customHeight="1" x14ac:dyDescent="0.2">
      <c r="A883" s="107"/>
      <c r="B883" s="4"/>
      <c r="C883" s="163"/>
      <c r="D883" s="4"/>
      <c r="E883" s="4"/>
      <c r="F883" s="4"/>
      <c r="G883" s="4"/>
      <c r="H883" s="4"/>
      <c r="I883" s="4"/>
      <c r="J883" s="4"/>
      <c r="K883" s="4"/>
      <c r="L883" s="4"/>
      <c r="M883" s="4"/>
      <c r="N883" s="4"/>
      <c r="O883" s="4"/>
      <c r="P883" s="4"/>
      <c r="Q883" s="4"/>
      <c r="R883" s="4"/>
      <c r="S883" s="4"/>
      <c r="T883" s="4"/>
      <c r="U883" s="4"/>
      <c r="V883" s="4"/>
      <c r="W883" s="4"/>
      <c r="X883" s="4"/>
      <c r="Y883" s="4"/>
      <c r="Z883" s="4"/>
      <c r="AA883" s="4"/>
      <c r="AB883" s="4"/>
      <c r="AC883" s="4"/>
      <c r="AD883" s="4"/>
      <c r="AE883" s="4"/>
      <c r="AF883" s="4"/>
      <c r="AG883" s="4"/>
      <c r="AH883" s="4"/>
      <c r="AI883" s="4"/>
      <c r="AJ883" s="4"/>
      <c r="AK883" s="4"/>
    </row>
    <row r="884" spans="1:37" ht="70" customHeight="1" x14ac:dyDescent="0.2">
      <c r="A884" s="107"/>
      <c r="B884" s="4"/>
      <c r="C884" s="163"/>
      <c r="D884" s="4"/>
      <c r="E884" s="4"/>
      <c r="F884" s="4"/>
      <c r="G884" s="4"/>
      <c r="H884" s="4"/>
      <c r="I884" s="4"/>
      <c r="J884" s="4"/>
      <c r="K884" s="4"/>
      <c r="L884" s="4"/>
      <c r="M884" s="4"/>
      <c r="N884" s="4"/>
      <c r="O884" s="4"/>
      <c r="P884" s="4"/>
      <c r="Q884" s="4"/>
      <c r="R884" s="4"/>
      <c r="S884" s="4"/>
      <c r="T884" s="4"/>
      <c r="U884" s="4"/>
      <c r="V884" s="4"/>
      <c r="W884" s="4"/>
      <c r="X884" s="4"/>
      <c r="Y884" s="4"/>
      <c r="Z884" s="4"/>
      <c r="AA884" s="4"/>
      <c r="AB884" s="4"/>
      <c r="AC884" s="4"/>
      <c r="AD884" s="4"/>
      <c r="AE884" s="4"/>
      <c r="AF884" s="4"/>
      <c r="AG884" s="4"/>
      <c r="AH884" s="4"/>
      <c r="AI884" s="4"/>
      <c r="AJ884" s="4"/>
      <c r="AK884" s="4"/>
    </row>
    <row r="885" spans="1:37" ht="70" customHeight="1" x14ac:dyDescent="0.2">
      <c r="A885" s="107"/>
      <c r="B885" s="4"/>
      <c r="C885" s="163"/>
      <c r="D885" s="4"/>
      <c r="E885" s="4"/>
      <c r="F885" s="4"/>
      <c r="G885" s="4"/>
      <c r="H885" s="4"/>
      <c r="I885" s="4"/>
      <c r="J885" s="4"/>
      <c r="K885" s="4"/>
      <c r="L885" s="4"/>
      <c r="M885" s="4"/>
      <c r="N885" s="4"/>
      <c r="O885" s="4"/>
      <c r="P885" s="4"/>
      <c r="Q885" s="4"/>
      <c r="R885" s="4"/>
      <c r="S885" s="4"/>
      <c r="T885" s="4"/>
      <c r="U885" s="4"/>
      <c r="V885" s="4"/>
      <c r="W885" s="4"/>
      <c r="X885" s="4"/>
      <c r="Y885" s="4"/>
      <c r="Z885" s="4"/>
      <c r="AA885" s="4"/>
      <c r="AB885" s="4"/>
      <c r="AC885" s="4"/>
      <c r="AD885" s="4"/>
      <c r="AE885" s="4"/>
      <c r="AF885" s="4"/>
      <c r="AG885" s="4"/>
      <c r="AH885" s="4"/>
      <c r="AI885" s="4"/>
      <c r="AJ885" s="4"/>
      <c r="AK885" s="4"/>
    </row>
    <row r="886" spans="1:37" ht="70" customHeight="1" x14ac:dyDescent="0.2">
      <c r="A886" s="107"/>
      <c r="B886" s="4"/>
      <c r="C886" s="163"/>
      <c r="D886" s="4"/>
      <c r="E886" s="4"/>
      <c r="F886" s="4"/>
      <c r="G886" s="4"/>
      <c r="H886" s="4"/>
      <c r="I886" s="4"/>
      <c r="J886" s="4"/>
      <c r="K886" s="4"/>
      <c r="L886" s="4"/>
      <c r="M886" s="4"/>
      <c r="N886" s="4"/>
      <c r="O886" s="4"/>
      <c r="P886" s="4"/>
      <c r="Q886" s="4"/>
      <c r="R886" s="4"/>
      <c r="S886" s="4"/>
      <c r="T886" s="4"/>
      <c r="U886" s="4"/>
      <c r="V886" s="4"/>
      <c r="W886" s="4"/>
      <c r="X886" s="4"/>
      <c r="Y886" s="4"/>
      <c r="Z886" s="4"/>
      <c r="AA886" s="4"/>
      <c r="AB886" s="4"/>
      <c r="AC886" s="4"/>
      <c r="AD886" s="4"/>
      <c r="AE886" s="4"/>
      <c r="AF886" s="4"/>
      <c r="AG886" s="4"/>
      <c r="AH886" s="4"/>
      <c r="AI886" s="4"/>
      <c r="AJ886" s="4"/>
      <c r="AK886" s="4"/>
    </row>
    <row r="887" spans="1:37" ht="70" customHeight="1" x14ac:dyDescent="0.2">
      <c r="A887" s="107"/>
      <c r="B887" s="4"/>
      <c r="C887" s="163"/>
      <c r="D887" s="4"/>
      <c r="E887" s="4"/>
      <c r="F887" s="4"/>
      <c r="G887" s="4"/>
      <c r="H887" s="4"/>
      <c r="I887" s="4"/>
      <c r="J887" s="4"/>
      <c r="K887" s="4"/>
      <c r="L887" s="4"/>
      <c r="M887" s="4"/>
      <c r="N887" s="4"/>
      <c r="O887" s="4"/>
      <c r="P887" s="4"/>
      <c r="Q887" s="4"/>
      <c r="R887" s="4"/>
      <c r="S887" s="4"/>
      <c r="T887" s="4"/>
      <c r="U887" s="4"/>
      <c r="V887" s="4"/>
      <c r="W887" s="4"/>
      <c r="X887" s="4"/>
      <c r="Y887" s="4"/>
      <c r="Z887" s="4"/>
      <c r="AA887" s="4"/>
      <c r="AB887" s="4"/>
      <c r="AC887" s="4"/>
      <c r="AD887" s="4"/>
      <c r="AE887" s="4"/>
      <c r="AF887" s="4"/>
      <c r="AG887" s="4"/>
      <c r="AH887" s="4"/>
      <c r="AI887" s="4"/>
      <c r="AJ887" s="4"/>
      <c r="AK887" s="4"/>
    </row>
    <row r="888" spans="1:37" ht="70" customHeight="1" x14ac:dyDescent="0.2">
      <c r="A888" s="107"/>
      <c r="B888" s="4"/>
      <c r="C888" s="163"/>
      <c r="D888" s="4"/>
      <c r="E888" s="4"/>
      <c r="F888" s="4"/>
      <c r="G888" s="4"/>
      <c r="H888" s="4"/>
      <c r="I888" s="4"/>
      <c r="J888" s="4"/>
      <c r="K888" s="4"/>
      <c r="L888" s="4"/>
      <c r="M888" s="4"/>
      <c r="N888" s="4"/>
      <c r="O888" s="4"/>
      <c r="P888" s="4"/>
      <c r="Q888" s="4"/>
      <c r="R888" s="4"/>
      <c r="S888" s="4"/>
      <c r="T888" s="4"/>
      <c r="U888" s="4"/>
      <c r="V888" s="4"/>
      <c r="W888" s="4"/>
      <c r="X888" s="4"/>
      <c r="Y888" s="4"/>
      <c r="Z888" s="4"/>
      <c r="AA888" s="4"/>
      <c r="AB888" s="4"/>
      <c r="AC888" s="4"/>
      <c r="AD888" s="4"/>
      <c r="AE888" s="4"/>
      <c r="AF888" s="4"/>
      <c r="AG888" s="4"/>
      <c r="AH888" s="4"/>
      <c r="AI888" s="4"/>
      <c r="AJ888" s="4"/>
      <c r="AK888" s="4"/>
    </row>
    <row r="889" spans="1:37" ht="70" customHeight="1" x14ac:dyDescent="0.2">
      <c r="A889" s="107"/>
      <c r="B889" s="4"/>
      <c r="C889" s="163"/>
      <c r="D889" s="4"/>
      <c r="E889" s="4"/>
      <c r="F889" s="4"/>
      <c r="G889" s="4"/>
      <c r="H889" s="4"/>
      <c r="I889" s="4"/>
      <c r="J889" s="4"/>
      <c r="K889" s="4"/>
      <c r="L889" s="4"/>
      <c r="M889" s="4"/>
      <c r="N889" s="4"/>
      <c r="O889" s="4"/>
      <c r="P889" s="4"/>
      <c r="Q889" s="4"/>
      <c r="R889" s="4"/>
      <c r="S889" s="4"/>
      <c r="T889" s="4"/>
      <c r="U889" s="4"/>
      <c r="V889" s="4"/>
      <c r="W889" s="4"/>
      <c r="X889" s="4"/>
      <c r="Y889" s="4"/>
      <c r="Z889" s="4"/>
      <c r="AA889" s="4"/>
      <c r="AB889" s="4"/>
      <c r="AC889" s="4"/>
      <c r="AD889" s="4"/>
      <c r="AE889" s="4"/>
      <c r="AF889" s="4"/>
      <c r="AG889" s="4"/>
      <c r="AH889" s="4"/>
      <c r="AI889" s="4"/>
      <c r="AJ889" s="4"/>
      <c r="AK889" s="4"/>
    </row>
    <row r="890" spans="1:37" ht="70" customHeight="1" x14ac:dyDescent="0.2">
      <c r="A890" s="107"/>
      <c r="B890" s="4"/>
      <c r="C890" s="163"/>
      <c r="D890" s="4"/>
      <c r="E890" s="4"/>
      <c r="F890" s="4"/>
      <c r="G890" s="4"/>
      <c r="H890" s="4"/>
      <c r="I890" s="4"/>
      <c r="J890" s="4"/>
      <c r="K890" s="4"/>
      <c r="L890" s="4"/>
      <c r="M890" s="4"/>
      <c r="N890" s="4"/>
      <c r="O890" s="4"/>
      <c r="P890" s="4"/>
      <c r="Q890" s="4"/>
      <c r="R890" s="4"/>
      <c r="S890" s="4"/>
      <c r="T890" s="4"/>
      <c r="U890" s="4"/>
      <c r="V890" s="4"/>
      <c r="W890" s="4"/>
      <c r="X890" s="4"/>
      <c r="Y890" s="4"/>
      <c r="Z890" s="4"/>
      <c r="AA890" s="4"/>
      <c r="AB890" s="4"/>
      <c r="AC890" s="4"/>
      <c r="AD890" s="4"/>
      <c r="AE890" s="4"/>
      <c r="AF890" s="4"/>
      <c r="AG890" s="4"/>
      <c r="AH890" s="4"/>
      <c r="AI890" s="4"/>
      <c r="AJ890" s="4"/>
      <c r="AK890" s="4"/>
    </row>
    <row r="891" spans="1:37" ht="70" customHeight="1" x14ac:dyDescent="0.2">
      <c r="A891" s="107"/>
      <c r="B891" s="4"/>
      <c r="C891" s="163"/>
      <c r="D891" s="4"/>
      <c r="E891" s="4"/>
      <c r="F891" s="4"/>
      <c r="G891" s="4"/>
      <c r="H891" s="4"/>
      <c r="I891" s="4"/>
      <c r="J891" s="4"/>
      <c r="K891" s="4"/>
      <c r="L891" s="4"/>
      <c r="M891" s="4"/>
      <c r="N891" s="4"/>
      <c r="O891" s="4"/>
      <c r="P891" s="4"/>
      <c r="Q891" s="4"/>
      <c r="R891" s="4"/>
      <c r="S891" s="4"/>
      <c r="T891" s="4"/>
      <c r="U891" s="4"/>
      <c r="V891" s="4"/>
      <c r="W891" s="4"/>
      <c r="X891" s="4"/>
      <c r="Y891" s="4"/>
      <c r="Z891" s="4"/>
      <c r="AA891" s="4"/>
      <c r="AB891" s="4"/>
      <c r="AC891" s="4"/>
      <c r="AD891" s="4"/>
      <c r="AE891" s="4"/>
      <c r="AF891" s="4"/>
      <c r="AG891" s="4"/>
      <c r="AH891" s="4"/>
      <c r="AI891" s="4"/>
      <c r="AJ891" s="4"/>
      <c r="AK891" s="4"/>
    </row>
    <row r="892" spans="1:37" ht="70" customHeight="1" x14ac:dyDescent="0.2">
      <c r="A892" s="107"/>
      <c r="B892" s="4"/>
      <c r="C892" s="163"/>
      <c r="D892" s="4"/>
      <c r="E892" s="4"/>
      <c r="F892" s="4"/>
      <c r="G892" s="4"/>
      <c r="H892" s="4"/>
      <c r="I892" s="4"/>
      <c r="J892" s="4"/>
      <c r="K892" s="4"/>
      <c r="L892" s="4"/>
      <c r="M892" s="4"/>
      <c r="N892" s="4"/>
      <c r="O892" s="4"/>
      <c r="P892" s="4"/>
      <c r="Q892" s="4"/>
      <c r="R892" s="4"/>
      <c r="S892" s="4"/>
      <c r="T892" s="4"/>
      <c r="U892" s="4"/>
      <c r="V892" s="4"/>
      <c r="W892" s="4"/>
      <c r="X892" s="4"/>
      <c r="Y892" s="4"/>
      <c r="Z892" s="4"/>
      <c r="AA892" s="4"/>
      <c r="AB892" s="4"/>
      <c r="AC892" s="4"/>
      <c r="AD892" s="4"/>
      <c r="AE892" s="4"/>
      <c r="AF892" s="4"/>
      <c r="AG892" s="4"/>
      <c r="AH892" s="4"/>
      <c r="AI892" s="4"/>
      <c r="AJ892" s="4"/>
      <c r="AK892" s="4"/>
    </row>
    <row r="893" spans="1:37" ht="70" customHeight="1" x14ac:dyDescent="0.2">
      <c r="A893" s="107"/>
      <c r="B893" s="4"/>
      <c r="C893" s="163"/>
      <c r="D893" s="4"/>
      <c r="E893" s="4"/>
      <c r="F893" s="4"/>
      <c r="G893" s="4"/>
      <c r="H893" s="4"/>
      <c r="I893" s="4"/>
      <c r="J893" s="4"/>
      <c r="K893" s="4"/>
      <c r="L893" s="4"/>
      <c r="M893" s="4"/>
      <c r="N893" s="4"/>
      <c r="O893" s="4"/>
      <c r="P893" s="4"/>
      <c r="Q893" s="4"/>
      <c r="R893" s="4"/>
      <c r="S893" s="4"/>
      <c r="T893" s="4"/>
      <c r="U893" s="4"/>
      <c r="V893" s="4"/>
      <c r="W893" s="4"/>
      <c r="X893" s="4"/>
      <c r="Y893" s="4"/>
      <c r="Z893" s="4"/>
      <c r="AA893" s="4"/>
      <c r="AB893" s="4"/>
      <c r="AC893" s="4"/>
      <c r="AD893" s="4"/>
      <c r="AE893" s="4"/>
      <c r="AF893" s="4"/>
      <c r="AG893" s="4"/>
      <c r="AH893" s="4"/>
      <c r="AI893" s="4"/>
      <c r="AJ893" s="4"/>
      <c r="AK893" s="4"/>
    </row>
    <row r="894" spans="1:37" ht="70" customHeight="1" x14ac:dyDescent="0.2">
      <c r="A894" s="107"/>
      <c r="B894" s="4"/>
      <c r="C894" s="163"/>
      <c r="D894" s="4"/>
      <c r="E894" s="4"/>
      <c r="F894" s="4"/>
      <c r="G894" s="4"/>
      <c r="H894" s="4"/>
      <c r="I894" s="4"/>
      <c r="J894" s="4"/>
      <c r="K894" s="4"/>
      <c r="L894" s="4"/>
      <c r="M894" s="4"/>
      <c r="N894" s="4"/>
      <c r="O894" s="4"/>
      <c r="P894" s="4"/>
      <c r="Q894" s="4"/>
      <c r="R894" s="4"/>
      <c r="S894" s="4"/>
      <c r="T894" s="4"/>
      <c r="U894" s="4"/>
      <c r="V894" s="4"/>
      <c r="W894" s="4"/>
      <c r="X894" s="4"/>
      <c r="Y894" s="4"/>
      <c r="Z894" s="4"/>
      <c r="AA894" s="4"/>
      <c r="AB894" s="4"/>
      <c r="AC894" s="4"/>
      <c r="AD894" s="4"/>
      <c r="AE894" s="4"/>
      <c r="AF894" s="4"/>
      <c r="AG894" s="4"/>
      <c r="AH894" s="4"/>
      <c r="AI894" s="4"/>
      <c r="AJ894" s="4"/>
      <c r="AK894" s="4"/>
    </row>
    <row r="895" spans="1:37" ht="70" customHeight="1" x14ac:dyDescent="0.2">
      <c r="A895" s="107"/>
      <c r="B895" s="4"/>
      <c r="C895" s="163"/>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c r="AJ895" s="4"/>
      <c r="AK895" s="4"/>
    </row>
    <row r="896" spans="1:37" ht="70" customHeight="1" x14ac:dyDescent="0.2">
      <c r="A896" s="107"/>
      <c r="B896" s="4"/>
      <c r="C896" s="163"/>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c r="AJ896" s="4"/>
      <c r="AK896" s="4"/>
    </row>
    <row r="897" spans="1:37" ht="70" customHeight="1" x14ac:dyDescent="0.2">
      <c r="A897" s="107"/>
      <c r="B897" s="4"/>
      <c r="C897" s="163"/>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c r="AJ897" s="4"/>
      <c r="AK897" s="4"/>
    </row>
    <row r="898" spans="1:37" ht="70" customHeight="1" x14ac:dyDescent="0.2">
      <c r="A898" s="107"/>
      <c r="B898" s="4"/>
      <c r="C898" s="163"/>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c r="AJ898" s="4"/>
      <c r="AK898" s="4"/>
    </row>
    <row r="899" spans="1:37" ht="70" customHeight="1" x14ac:dyDescent="0.2">
      <c r="A899" s="107"/>
      <c r="B899" s="4"/>
      <c r="C899" s="163"/>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c r="AJ899" s="4"/>
      <c r="AK899" s="4"/>
    </row>
    <row r="900" spans="1:37" ht="70" customHeight="1" x14ac:dyDescent="0.2">
      <c r="A900" s="107"/>
      <c r="B900" s="4"/>
      <c r="C900" s="163"/>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c r="AJ900" s="4"/>
      <c r="AK900" s="4"/>
    </row>
    <row r="901" spans="1:37" ht="70" customHeight="1" x14ac:dyDescent="0.2">
      <c r="A901" s="107"/>
      <c r="B901" s="4"/>
      <c r="C901" s="163"/>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c r="AJ901" s="4"/>
      <c r="AK901" s="4"/>
    </row>
    <row r="902" spans="1:37" ht="70" customHeight="1" x14ac:dyDescent="0.2">
      <c r="A902" s="107"/>
      <c r="B902" s="4"/>
      <c r="C902" s="163"/>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row>
    <row r="903" spans="1:37" ht="70" customHeight="1" x14ac:dyDescent="0.2">
      <c r="A903" s="107"/>
      <c r="B903" s="4"/>
      <c r="C903" s="163"/>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c r="AJ903" s="4"/>
      <c r="AK903" s="4"/>
    </row>
    <row r="904" spans="1:37" ht="70" customHeight="1" x14ac:dyDescent="0.2">
      <c r="A904" s="107"/>
      <c r="B904" s="4"/>
      <c r="C904" s="163"/>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c r="AJ904" s="4"/>
      <c r="AK904" s="4"/>
    </row>
    <row r="905" spans="1:37" ht="70" customHeight="1" x14ac:dyDescent="0.2">
      <c r="A905" s="107"/>
      <c r="B905" s="4"/>
      <c r="C905" s="163"/>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c r="AJ905" s="4"/>
      <c r="AK905" s="4"/>
    </row>
    <row r="906" spans="1:37" ht="70" customHeight="1" x14ac:dyDescent="0.2">
      <c r="A906" s="107"/>
      <c r="B906" s="4"/>
      <c r="C906" s="163"/>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c r="AJ906" s="4"/>
      <c r="AK906" s="4"/>
    </row>
    <row r="907" spans="1:37" ht="70" customHeight="1" x14ac:dyDescent="0.2">
      <c r="A907" s="107"/>
      <c r="B907" s="4"/>
      <c r="C907" s="163"/>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c r="AJ907" s="4"/>
      <c r="AK907" s="4"/>
    </row>
    <row r="908" spans="1:37" ht="70" customHeight="1" x14ac:dyDescent="0.2">
      <c r="A908" s="107"/>
      <c r="B908" s="4"/>
      <c r="C908" s="163"/>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c r="AJ908" s="4"/>
      <c r="AK908" s="4"/>
    </row>
    <row r="909" spans="1:37" ht="70" customHeight="1" x14ac:dyDescent="0.2">
      <c r="A909" s="107"/>
      <c r="B909" s="4"/>
      <c r="C909" s="163"/>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c r="AI909" s="4"/>
      <c r="AJ909" s="4"/>
      <c r="AK909" s="4"/>
    </row>
    <row r="910" spans="1:37" ht="70" customHeight="1" x14ac:dyDescent="0.2">
      <c r="A910" s="107"/>
      <c r="B910" s="4"/>
      <c r="C910" s="163"/>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c r="AI910" s="4"/>
      <c r="AJ910" s="4"/>
      <c r="AK910" s="4"/>
    </row>
    <row r="911" spans="1:37" ht="70" customHeight="1" x14ac:dyDescent="0.2">
      <c r="A911" s="107"/>
      <c r="B911" s="4"/>
      <c r="C911" s="163"/>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c r="AI911" s="4"/>
      <c r="AJ911" s="4"/>
      <c r="AK911" s="4"/>
    </row>
    <row r="912" spans="1:37" ht="70" customHeight="1" x14ac:dyDescent="0.2">
      <c r="A912" s="107"/>
      <c r="B912" s="4"/>
      <c r="C912" s="163"/>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row>
    <row r="913" spans="1:37" ht="70" customHeight="1" x14ac:dyDescent="0.2">
      <c r="A913" s="107"/>
      <c r="B913" s="4"/>
      <c r="C913" s="163"/>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row>
    <row r="914" spans="1:37" ht="70" customHeight="1" x14ac:dyDescent="0.2">
      <c r="A914" s="107"/>
      <c r="B914" s="4"/>
      <c r="C914" s="163"/>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row>
    <row r="915" spans="1:37" ht="70" customHeight="1" x14ac:dyDescent="0.2">
      <c r="A915" s="107"/>
      <c r="B915" s="4"/>
      <c r="C915" s="163"/>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row>
    <row r="916" spans="1:37" ht="70" customHeight="1" x14ac:dyDescent="0.2">
      <c r="A916" s="107"/>
      <c r="B916" s="4"/>
      <c r="C916" s="163"/>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row>
    <row r="917" spans="1:37" ht="70" customHeight="1" x14ac:dyDescent="0.2">
      <c r="A917" s="107"/>
      <c r="B917" s="4"/>
      <c r="C917" s="163"/>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row>
    <row r="918" spans="1:37" ht="70" customHeight="1" x14ac:dyDescent="0.2">
      <c r="A918" s="107"/>
      <c r="B918" s="4"/>
      <c r="C918" s="163"/>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row>
    <row r="919" spans="1:37" ht="70" customHeight="1" x14ac:dyDescent="0.2">
      <c r="A919" s="107"/>
      <c r="B919" s="4"/>
      <c r="C919" s="163"/>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row>
    <row r="920" spans="1:37" ht="70" customHeight="1" x14ac:dyDescent="0.2">
      <c r="A920" s="107"/>
      <c r="B920" s="4"/>
      <c r="C920" s="163"/>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row>
    <row r="921" spans="1:37" ht="70" customHeight="1" x14ac:dyDescent="0.2">
      <c r="A921" s="107"/>
      <c r="B921" s="4"/>
      <c r="C921" s="163"/>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row>
    <row r="922" spans="1:37" ht="70" customHeight="1" x14ac:dyDescent="0.2">
      <c r="A922" s="107"/>
      <c r="B922" s="4"/>
      <c r="C922" s="163"/>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row>
    <row r="923" spans="1:37" ht="70" customHeight="1" x14ac:dyDescent="0.2">
      <c r="A923" s="107"/>
      <c r="B923" s="4"/>
      <c r="C923" s="163"/>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row>
    <row r="924" spans="1:37" ht="70" customHeight="1" x14ac:dyDescent="0.2">
      <c r="A924" s="107"/>
      <c r="B924" s="4"/>
      <c r="C924" s="163"/>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row>
    <row r="925" spans="1:37" ht="70" customHeight="1" x14ac:dyDescent="0.2">
      <c r="A925" s="107"/>
      <c r="B925" s="4"/>
      <c r="C925" s="163"/>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row>
    <row r="926" spans="1:37" ht="70" customHeight="1" x14ac:dyDescent="0.2">
      <c r="A926" s="107"/>
      <c r="B926" s="4"/>
      <c r="C926" s="163"/>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row>
    <row r="927" spans="1:37" ht="70" customHeight="1" x14ac:dyDescent="0.2">
      <c r="A927" s="107"/>
      <c r="B927" s="4"/>
      <c r="C927" s="163"/>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row>
    <row r="928" spans="1:37" ht="70" customHeight="1" x14ac:dyDescent="0.2">
      <c r="A928" s="107"/>
      <c r="B928" s="4"/>
      <c r="C928" s="163"/>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row>
    <row r="929" spans="1:37" ht="70" customHeight="1" x14ac:dyDescent="0.2">
      <c r="A929" s="107"/>
      <c r="B929" s="4"/>
      <c r="C929" s="163"/>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row>
    <row r="930" spans="1:37" ht="70" customHeight="1" x14ac:dyDescent="0.2">
      <c r="A930" s="107"/>
      <c r="B930" s="4"/>
      <c r="C930" s="163"/>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row>
    <row r="931" spans="1:37" ht="70" customHeight="1" x14ac:dyDescent="0.2">
      <c r="A931" s="107"/>
      <c r="B931" s="4"/>
      <c r="C931" s="163"/>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row>
    <row r="932" spans="1:37" ht="70" customHeight="1" x14ac:dyDescent="0.2">
      <c r="A932" s="107"/>
      <c r="B932" s="4"/>
      <c r="C932" s="163"/>
      <c r="D932" s="4"/>
      <c r="E932" s="4"/>
      <c r="F932" s="4"/>
      <c r="G932" s="4"/>
      <c r="H932" s="4"/>
      <c r="I932" s="4"/>
      <c r="J932" s="4"/>
      <c r="K932" s="4"/>
      <c r="L932" s="4"/>
      <c r="M932" s="4"/>
      <c r="N932" s="4"/>
      <c r="O932" s="4"/>
      <c r="P932" s="4"/>
      <c r="Q932" s="4"/>
      <c r="R932" s="4"/>
      <c r="S932" s="4"/>
      <c r="T932" s="4"/>
      <c r="U932" s="4"/>
      <c r="V932" s="4"/>
      <c r="W932" s="4"/>
      <c r="X932" s="4"/>
      <c r="Y932" s="4"/>
      <c r="Z932" s="4"/>
      <c r="AA932" s="4"/>
      <c r="AB932" s="4"/>
      <c r="AC932" s="4"/>
      <c r="AD932" s="4"/>
      <c r="AE932" s="4"/>
      <c r="AF932" s="4"/>
      <c r="AG932" s="4"/>
      <c r="AH932" s="4"/>
      <c r="AI932" s="4"/>
      <c r="AJ932" s="4"/>
      <c r="AK932" s="4"/>
    </row>
    <row r="933" spans="1:37" ht="70" customHeight="1" x14ac:dyDescent="0.2">
      <c r="A933" s="107"/>
      <c r="B933" s="4"/>
      <c r="C933" s="163"/>
      <c r="D933" s="4"/>
      <c r="E933" s="4"/>
      <c r="F933" s="4"/>
      <c r="G933" s="4"/>
      <c r="H933" s="4"/>
      <c r="I933" s="4"/>
      <c r="J933" s="4"/>
      <c r="K933" s="4"/>
      <c r="L933" s="4"/>
      <c r="M933" s="4"/>
      <c r="N933" s="4"/>
      <c r="O933" s="4"/>
      <c r="P933" s="4"/>
      <c r="Q933" s="4"/>
      <c r="R933" s="4"/>
      <c r="S933" s="4"/>
      <c r="T933" s="4"/>
      <c r="U933" s="4"/>
      <c r="V933" s="4"/>
      <c r="W933" s="4"/>
      <c r="X933" s="4"/>
      <c r="Y933" s="4"/>
      <c r="Z933" s="4"/>
      <c r="AA933" s="4"/>
      <c r="AB933" s="4"/>
      <c r="AC933" s="4"/>
      <c r="AD933" s="4"/>
      <c r="AE933" s="4"/>
      <c r="AF933" s="4"/>
      <c r="AG933" s="4"/>
      <c r="AH933" s="4"/>
      <c r="AI933" s="4"/>
      <c r="AJ933" s="4"/>
      <c r="AK933" s="4"/>
    </row>
    <row r="934" spans="1:37" ht="70" customHeight="1" x14ac:dyDescent="0.2">
      <c r="A934" s="107"/>
      <c r="B934" s="4"/>
      <c r="C934" s="163"/>
      <c r="D934" s="4"/>
      <c r="E934" s="4"/>
      <c r="F934" s="4"/>
      <c r="G934" s="4"/>
      <c r="H934" s="4"/>
      <c r="I934" s="4"/>
      <c r="J934" s="4"/>
      <c r="K934" s="4"/>
      <c r="L934" s="4"/>
      <c r="M934" s="4"/>
      <c r="N934" s="4"/>
      <c r="O934" s="4"/>
      <c r="P934" s="4"/>
      <c r="Q934" s="4"/>
      <c r="R934" s="4"/>
      <c r="S934" s="4"/>
      <c r="T934" s="4"/>
      <c r="U934" s="4"/>
      <c r="V934" s="4"/>
      <c r="W934" s="4"/>
      <c r="X934" s="4"/>
      <c r="Y934" s="4"/>
      <c r="Z934" s="4"/>
      <c r="AA934" s="4"/>
      <c r="AB934" s="4"/>
      <c r="AC934" s="4"/>
      <c r="AD934" s="4"/>
      <c r="AE934" s="4"/>
      <c r="AF934" s="4"/>
      <c r="AG934" s="4"/>
      <c r="AH934" s="4"/>
      <c r="AI934" s="4"/>
      <c r="AJ934" s="4"/>
      <c r="AK934" s="4"/>
    </row>
    <row r="935" spans="1:37" ht="70" customHeight="1" x14ac:dyDescent="0.2">
      <c r="A935" s="107"/>
      <c r="B935" s="4"/>
      <c r="C935" s="163"/>
      <c r="D935" s="4"/>
      <c r="E935" s="4"/>
      <c r="F935" s="4"/>
      <c r="G935" s="4"/>
      <c r="H935" s="4"/>
      <c r="I935" s="4"/>
      <c r="J935" s="4"/>
      <c r="K935" s="4"/>
      <c r="L935" s="4"/>
      <c r="M935" s="4"/>
      <c r="N935" s="4"/>
      <c r="O935" s="4"/>
      <c r="P935" s="4"/>
      <c r="Q935" s="4"/>
      <c r="R935" s="4"/>
      <c r="S935" s="4"/>
      <c r="T935" s="4"/>
      <c r="U935" s="4"/>
      <c r="V935" s="4"/>
      <c r="W935" s="4"/>
      <c r="X935" s="4"/>
      <c r="Y935" s="4"/>
      <c r="Z935" s="4"/>
      <c r="AA935" s="4"/>
      <c r="AB935" s="4"/>
      <c r="AC935" s="4"/>
      <c r="AD935" s="4"/>
      <c r="AE935" s="4"/>
      <c r="AF935" s="4"/>
      <c r="AG935" s="4"/>
      <c r="AH935" s="4"/>
      <c r="AI935" s="4"/>
      <c r="AJ935" s="4"/>
      <c r="AK935" s="4"/>
    </row>
    <row r="936" spans="1:37" ht="70" customHeight="1" x14ac:dyDescent="0.2">
      <c r="A936" s="107"/>
      <c r="B936" s="4"/>
      <c r="C936" s="163"/>
      <c r="D936" s="4"/>
      <c r="E936" s="4"/>
      <c r="F936" s="4"/>
      <c r="G936" s="4"/>
      <c r="H936" s="4"/>
      <c r="I936" s="4"/>
      <c r="J936" s="4"/>
      <c r="K936" s="4"/>
      <c r="L936" s="4"/>
      <c r="M936" s="4"/>
      <c r="N936" s="4"/>
      <c r="O936" s="4"/>
      <c r="P936" s="4"/>
      <c r="Q936" s="4"/>
      <c r="R936" s="4"/>
      <c r="S936" s="4"/>
      <c r="T936" s="4"/>
      <c r="U936" s="4"/>
      <c r="V936" s="4"/>
      <c r="W936" s="4"/>
      <c r="X936" s="4"/>
      <c r="Y936" s="4"/>
      <c r="Z936" s="4"/>
      <c r="AA936" s="4"/>
      <c r="AB936" s="4"/>
      <c r="AC936" s="4"/>
      <c r="AD936" s="4"/>
      <c r="AE936" s="4"/>
      <c r="AF936" s="4"/>
      <c r="AG936" s="4"/>
      <c r="AH936" s="4"/>
      <c r="AI936" s="4"/>
      <c r="AJ936" s="4"/>
      <c r="AK936" s="4"/>
    </row>
    <row r="937" spans="1:37" ht="70" customHeight="1" x14ac:dyDescent="0.2">
      <c r="A937" s="107"/>
      <c r="B937" s="4"/>
      <c r="C937" s="163"/>
      <c r="D937" s="4"/>
      <c r="E937" s="4"/>
      <c r="F937" s="4"/>
      <c r="G937" s="4"/>
      <c r="H937" s="4"/>
      <c r="I937" s="4"/>
      <c r="J937" s="4"/>
      <c r="K937" s="4"/>
      <c r="L937" s="4"/>
      <c r="M937" s="4"/>
      <c r="N937" s="4"/>
      <c r="O937" s="4"/>
      <c r="P937" s="4"/>
      <c r="Q937" s="4"/>
      <c r="R937" s="4"/>
      <c r="S937" s="4"/>
      <c r="T937" s="4"/>
      <c r="U937" s="4"/>
      <c r="V937" s="4"/>
      <c r="W937" s="4"/>
      <c r="X937" s="4"/>
      <c r="Y937" s="4"/>
      <c r="Z937" s="4"/>
      <c r="AA937" s="4"/>
      <c r="AB937" s="4"/>
      <c r="AC937" s="4"/>
      <c r="AD937" s="4"/>
      <c r="AE937" s="4"/>
      <c r="AF937" s="4"/>
      <c r="AG937" s="4"/>
      <c r="AH937" s="4"/>
      <c r="AI937" s="4"/>
      <c r="AJ937" s="4"/>
      <c r="AK937" s="4"/>
    </row>
    <row r="938" spans="1:37" ht="70" customHeight="1" x14ac:dyDescent="0.2">
      <c r="A938" s="107"/>
      <c r="B938" s="4"/>
      <c r="C938" s="163"/>
      <c r="D938" s="4"/>
      <c r="E938" s="4"/>
      <c r="F938" s="4"/>
      <c r="G938" s="4"/>
      <c r="H938" s="4"/>
      <c r="I938" s="4"/>
      <c r="J938" s="4"/>
      <c r="K938" s="4"/>
      <c r="L938" s="4"/>
      <c r="M938" s="4"/>
      <c r="N938" s="4"/>
      <c r="O938" s="4"/>
      <c r="P938" s="4"/>
      <c r="Q938" s="4"/>
      <c r="R938" s="4"/>
      <c r="S938" s="4"/>
      <c r="T938" s="4"/>
      <c r="U938" s="4"/>
      <c r="V938" s="4"/>
      <c r="W938" s="4"/>
      <c r="X938" s="4"/>
      <c r="Y938" s="4"/>
      <c r="Z938" s="4"/>
      <c r="AA938" s="4"/>
      <c r="AB938" s="4"/>
      <c r="AC938" s="4"/>
      <c r="AD938" s="4"/>
      <c r="AE938" s="4"/>
      <c r="AF938" s="4"/>
      <c r="AG938" s="4"/>
      <c r="AH938" s="4"/>
      <c r="AI938" s="4"/>
      <c r="AJ938" s="4"/>
      <c r="AK938" s="4"/>
    </row>
    <row r="939" spans="1:37" ht="70" customHeight="1" x14ac:dyDescent="0.2">
      <c r="A939" s="107"/>
      <c r="B939" s="4"/>
      <c r="C939" s="163"/>
      <c r="D939" s="4"/>
      <c r="E939" s="4"/>
      <c r="F939" s="4"/>
      <c r="G939" s="4"/>
      <c r="H939" s="4"/>
      <c r="I939" s="4"/>
      <c r="J939" s="4"/>
      <c r="K939" s="4"/>
      <c r="L939" s="4"/>
      <c r="M939" s="4"/>
      <c r="N939" s="4"/>
      <c r="O939" s="4"/>
      <c r="P939" s="4"/>
      <c r="Q939" s="4"/>
      <c r="R939" s="4"/>
      <c r="S939" s="4"/>
      <c r="T939" s="4"/>
      <c r="U939" s="4"/>
      <c r="V939" s="4"/>
      <c r="W939" s="4"/>
      <c r="X939" s="4"/>
      <c r="Y939" s="4"/>
      <c r="Z939" s="4"/>
      <c r="AA939" s="4"/>
      <c r="AB939" s="4"/>
      <c r="AC939" s="4"/>
      <c r="AD939" s="4"/>
      <c r="AE939" s="4"/>
      <c r="AF939" s="4"/>
      <c r="AG939" s="4"/>
      <c r="AH939" s="4"/>
      <c r="AI939" s="4"/>
      <c r="AJ939" s="4"/>
      <c r="AK939" s="4"/>
    </row>
    <row r="940" spans="1:37" ht="70" customHeight="1" x14ac:dyDescent="0.2">
      <c r="A940" s="107"/>
      <c r="B940" s="4"/>
      <c r="C940" s="163"/>
      <c r="D940" s="4"/>
      <c r="E940" s="4"/>
      <c r="F940" s="4"/>
      <c r="G940" s="4"/>
      <c r="H940" s="4"/>
      <c r="I940" s="4"/>
      <c r="J940" s="4"/>
      <c r="K940" s="4"/>
      <c r="L940" s="4"/>
      <c r="M940" s="4"/>
      <c r="N940" s="4"/>
      <c r="O940" s="4"/>
      <c r="P940" s="4"/>
      <c r="Q940" s="4"/>
      <c r="R940" s="4"/>
      <c r="S940" s="4"/>
      <c r="T940" s="4"/>
      <c r="U940" s="4"/>
      <c r="V940" s="4"/>
      <c r="W940" s="4"/>
      <c r="X940" s="4"/>
      <c r="Y940" s="4"/>
      <c r="Z940" s="4"/>
      <c r="AA940" s="4"/>
      <c r="AB940" s="4"/>
      <c r="AC940" s="4"/>
      <c r="AD940" s="4"/>
      <c r="AE940" s="4"/>
      <c r="AF940" s="4"/>
      <c r="AG940" s="4"/>
      <c r="AH940" s="4"/>
      <c r="AI940" s="4"/>
      <c r="AJ940" s="4"/>
      <c r="AK940" s="4"/>
    </row>
    <row r="941" spans="1:37" ht="70" customHeight="1" x14ac:dyDescent="0.2">
      <c r="A941" s="107"/>
      <c r="B941" s="4"/>
      <c r="C941" s="163"/>
      <c r="D941" s="4"/>
      <c r="E941" s="4"/>
      <c r="F941" s="4"/>
      <c r="G941" s="4"/>
      <c r="H941" s="4"/>
      <c r="I941" s="4"/>
      <c r="J941" s="4"/>
      <c r="K941" s="4"/>
      <c r="L941" s="4"/>
      <c r="M941" s="4"/>
      <c r="N941" s="4"/>
      <c r="O941" s="4"/>
      <c r="P941" s="4"/>
      <c r="Q941" s="4"/>
      <c r="R941" s="4"/>
      <c r="S941" s="4"/>
      <c r="T941" s="4"/>
      <c r="U941" s="4"/>
      <c r="V941" s="4"/>
      <c r="W941" s="4"/>
      <c r="X941" s="4"/>
      <c r="Y941" s="4"/>
      <c r="Z941" s="4"/>
      <c r="AA941" s="4"/>
      <c r="AB941" s="4"/>
      <c r="AC941" s="4"/>
      <c r="AD941" s="4"/>
      <c r="AE941" s="4"/>
      <c r="AF941" s="4"/>
      <c r="AG941" s="4"/>
      <c r="AH941" s="4"/>
      <c r="AI941" s="4"/>
      <c r="AJ941" s="4"/>
      <c r="AK941" s="4"/>
    </row>
    <row r="942" spans="1:37" ht="70" customHeight="1" x14ac:dyDescent="0.2">
      <c r="A942" s="107"/>
      <c r="B942" s="4"/>
      <c r="C942" s="163"/>
      <c r="D942" s="4"/>
      <c r="E942" s="4"/>
      <c r="F942" s="4"/>
      <c r="G942" s="4"/>
      <c r="H942" s="4"/>
      <c r="I942" s="4"/>
      <c r="J942" s="4"/>
      <c r="K942" s="4"/>
      <c r="L942" s="4"/>
      <c r="M942" s="4"/>
      <c r="N942" s="4"/>
      <c r="O942" s="4"/>
      <c r="P942" s="4"/>
      <c r="Q942" s="4"/>
      <c r="R942" s="4"/>
      <c r="S942" s="4"/>
      <c r="T942" s="4"/>
      <c r="U942" s="4"/>
      <c r="V942" s="4"/>
      <c r="W942" s="4"/>
      <c r="X942" s="4"/>
      <c r="Y942" s="4"/>
      <c r="Z942" s="4"/>
      <c r="AA942" s="4"/>
      <c r="AB942" s="4"/>
      <c r="AC942" s="4"/>
      <c r="AD942" s="4"/>
      <c r="AE942" s="4"/>
      <c r="AF942" s="4"/>
      <c r="AG942" s="4"/>
      <c r="AH942" s="4"/>
      <c r="AI942" s="4"/>
      <c r="AJ942" s="4"/>
      <c r="AK942" s="4"/>
    </row>
    <row r="943" spans="1:37" ht="70" customHeight="1" x14ac:dyDescent="0.2">
      <c r="A943" s="107"/>
      <c r="B943" s="4"/>
      <c r="C943" s="163"/>
      <c r="D943" s="4"/>
      <c r="E943" s="4"/>
      <c r="F943" s="4"/>
      <c r="G943" s="4"/>
      <c r="H943" s="4"/>
      <c r="I943" s="4"/>
      <c r="J943" s="4"/>
      <c r="K943" s="4"/>
      <c r="L943" s="4"/>
      <c r="M943" s="4"/>
      <c r="N943" s="4"/>
      <c r="O943" s="4"/>
      <c r="P943" s="4"/>
      <c r="Q943" s="4"/>
      <c r="R943" s="4"/>
      <c r="S943" s="4"/>
      <c r="T943" s="4"/>
      <c r="U943" s="4"/>
      <c r="V943" s="4"/>
      <c r="W943" s="4"/>
      <c r="X943" s="4"/>
      <c r="Y943" s="4"/>
      <c r="Z943" s="4"/>
      <c r="AA943" s="4"/>
      <c r="AB943" s="4"/>
      <c r="AC943" s="4"/>
      <c r="AD943" s="4"/>
      <c r="AE943" s="4"/>
      <c r="AF943" s="4"/>
      <c r="AG943" s="4"/>
      <c r="AH943" s="4"/>
      <c r="AI943" s="4"/>
      <c r="AJ943" s="4"/>
      <c r="AK943" s="4"/>
    </row>
    <row r="944" spans="1:37" ht="70" customHeight="1" x14ac:dyDescent="0.2">
      <c r="A944" s="107"/>
      <c r="B944" s="4"/>
      <c r="C944" s="163"/>
      <c r="D944" s="4"/>
      <c r="E944" s="4"/>
      <c r="F944" s="4"/>
      <c r="G944" s="4"/>
      <c r="H944" s="4"/>
      <c r="I944" s="4"/>
      <c r="J944" s="4"/>
      <c r="K944" s="4"/>
      <c r="L944" s="4"/>
      <c r="M944" s="4"/>
      <c r="N944" s="4"/>
      <c r="O944" s="4"/>
      <c r="P944" s="4"/>
      <c r="Q944" s="4"/>
      <c r="R944" s="4"/>
      <c r="S944" s="4"/>
      <c r="T944" s="4"/>
      <c r="U944" s="4"/>
      <c r="V944" s="4"/>
      <c r="W944" s="4"/>
      <c r="X944" s="4"/>
      <c r="Y944" s="4"/>
      <c r="Z944" s="4"/>
      <c r="AA944" s="4"/>
      <c r="AB944" s="4"/>
      <c r="AC944" s="4"/>
      <c r="AD944" s="4"/>
      <c r="AE944" s="4"/>
      <c r="AF944" s="4"/>
      <c r="AG944" s="4"/>
      <c r="AH944" s="4"/>
      <c r="AI944" s="4"/>
      <c r="AJ944" s="4"/>
      <c r="AK944" s="4"/>
    </row>
    <row r="945" spans="1:37" ht="70" customHeight="1" x14ac:dyDescent="0.2">
      <c r="A945" s="107"/>
      <c r="B945" s="4"/>
      <c r="C945" s="163"/>
      <c r="D945" s="4"/>
      <c r="E945" s="4"/>
      <c r="F945" s="4"/>
      <c r="G945" s="4"/>
      <c r="H945" s="4"/>
      <c r="I945" s="4"/>
      <c r="J945" s="4"/>
      <c r="K945" s="4"/>
      <c r="L945" s="4"/>
      <c r="M945" s="4"/>
      <c r="N945" s="4"/>
      <c r="O945" s="4"/>
      <c r="P945" s="4"/>
      <c r="Q945" s="4"/>
      <c r="R945" s="4"/>
      <c r="S945" s="4"/>
      <c r="T945" s="4"/>
      <c r="U945" s="4"/>
      <c r="V945" s="4"/>
      <c r="W945" s="4"/>
      <c r="X945" s="4"/>
      <c r="Y945" s="4"/>
      <c r="Z945" s="4"/>
      <c r="AA945" s="4"/>
      <c r="AB945" s="4"/>
      <c r="AC945" s="4"/>
      <c r="AD945" s="4"/>
      <c r="AE945" s="4"/>
      <c r="AF945" s="4"/>
      <c r="AG945" s="4"/>
      <c r="AH945" s="4"/>
      <c r="AI945" s="4"/>
      <c r="AJ945" s="4"/>
      <c r="AK945" s="4"/>
    </row>
    <row r="946" spans="1:37" ht="70" customHeight="1" x14ac:dyDescent="0.2">
      <c r="A946" s="107"/>
      <c r="B946" s="4"/>
      <c r="C946" s="163"/>
      <c r="D946" s="4"/>
      <c r="E946" s="4"/>
      <c r="F946" s="4"/>
      <c r="G946" s="4"/>
      <c r="H946" s="4"/>
      <c r="I946" s="4"/>
      <c r="J946" s="4"/>
      <c r="K946" s="4"/>
      <c r="L946" s="4"/>
      <c r="M946" s="4"/>
      <c r="N946" s="4"/>
      <c r="O946" s="4"/>
      <c r="P946" s="4"/>
      <c r="Q946" s="4"/>
      <c r="R946" s="4"/>
      <c r="S946" s="4"/>
      <c r="T946" s="4"/>
      <c r="U946" s="4"/>
      <c r="V946" s="4"/>
      <c r="W946" s="4"/>
      <c r="X946" s="4"/>
      <c r="Y946" s="4"/>
      <c r="Z946" s="4"/>
      <c r="AA946" s="4"/>
      <c r="AB946" s="4"/>
      <c r="AC946" s="4"/>
      <c r="AD946" s="4"/>
      <c r="AE946" s="4"/>
      <c r="AF946" s="4"/>
      <c r="AG946" s="4"/>
      <c r="AH946" s="4"/>
      <c r="AI946" s="4"/>
      <c r="AJ946" s="4"/>
      <c r="AK946" s="4"/>
    </row>
    <row r="947" spans="1:37" ht="70" customHeight="1" x14ac:dyDescent="0.2">
      <c r="A947" s="107"/>
      <c r="B947" s="4"/>
      <c r="C947" s="163"/>
      <c r="D947" s="4"/>
      <c r="E947" s="4"/>
      <c r="F947" s="4"/>
      <c r="G947" s="4"/>
      <c r="H947" s="4"/>
      <c r="I947" s="4"/>
      <c r="J947" s="4"/>
      <c r="K947" s="4"/>
      <c r="L947" s="4"/>
      <c r="M947" s="4"/>
      <c r="N947" s="4"/>
      <c r="O947" s="4"/>
      <c r="P947" s="4"/>
      <c r="Q947" s="4"/>
      <c r="R947" s="4"/>
      <c r="S947" s="4"/>
      <c r="T947" s="4"/>
      <c r="U947" s="4"/>
      <c r="V947" s="4"/>
      <c r="W947" s="4"/>
      <c r="X947" s="4"/>
      <c r="Y947" s="4"/>
      <c r="Z947" s="4"/>
      <c r="AA947" s="4"/>
      <c r="AB947" s="4"/>
      <c r="AC947" s="4"/>
      <c r="AD947" s="4"/>
      <c r="AE947" s="4"/>
      <c r="AF947" s="4"/>
      <c r="AG947" s="4"/>
      <c r="AH947" s="4"/>
      <c r="AI947" s="4"/>
      <c r="AJ947" s="4"/>
      <c r="AK947" s="4"/>
    </row>
    <row r="948" spans="1:37" ht="70" customHeight="1" x14ac:dyDescent="0.2">
      <c r="A948" s="107"/>
      <c r="B948" s="4"/>
      <c r="C948" s="163"/>
      <c r="D948" s="4"/>
      <c r="E948" s="4"/>
      <c r="F948" s="4"/>
      <c r="G948" s="4"/>
      <c r="H948" s="4"/>
      <c r="I948" s="4"/>
      <c r="J948" s="4"/>
      <c r="K948" s="4"/>
      <c r="L948" s="4"/>
      <c r="M948" s="4"/>
      <c r="N948" s="4"/>
      <c r="O948" s="4"/>
      <c r="P948" s="4"/>
      <c r="Q948" s="4"/>
      <c r="R948" s="4"/>
      <c r="S948" s="4"/>
      <c r="T948" s="4"/>
      <c r="U948" s="4"/>
      <c r="V948" s="4"/>
      <c r="W948" s="4"/>
      <c r="X948" s="4"/>
      <c r="Y948" s="4"/>
      <c r="Z948" s="4"/>
      <c r="AA948" s="4"/>
      <c r="AB948" s="4"/>
      <c r="AC948" s="4"/>
      <c r="AD948" s="4"/>
      <c r="AE948" s="4"/>
      <c r="AF948" s="4"/>
      <c r="AG948" s="4"/>
      <c r="AH948" s="4"/>
      <c r="AI948" s="4"/>
      <c r="AJ948" s="4"/>
      <c r="AK948" s="4"/>
    </row>
    <row r="949" spans="1:37" ht="70" customHeight="1" x14ac:dyDescent="0.2">
      <c r="A949" s="107"/>
      <c r="B949" s="4"/>
      <c r="C949" s="163"/>
      <c r="D949" s="4"/>
      <c r="E949" s="4"/>
      <c r="F949" s="4"/>
      <c r="G949" s="4"/>
      <c r="H949" s="4"/>
      <c r="I949" s="4"/>
      <c r="J949" s="4"/>
      <c r="K949" s="4"/>
      <c r="L949" s="4"/>
      <c r="M949" s="4"/>
      <c r="N949" s="4"/>
      <c r="O949" s="4"/>
      <c r="P949" s="4"/>
      <c r="Q949" s="4"/>
      <c r="R949" s="4"/>
      <c r="S949" s="4"/>
      <c r="T949" s="4"/>
      <c r="U949" s="4"/>
      <c r="V949" s="4"/>
      <c r="W949" s="4"/>
      <c r="X949" s="4"/>
      <c r="Y949" s="4"/>
      <c r="Z949" s="4"/>
      <c r="AA949" s="4"/>
      <c r="AB949" s="4"/>
      <c r="AC949" s="4"/>
      <c r="AD949" s="4"/>
      <c r="AE949" s="4"/>
      <c r="AF949" s="4"/>
      <c r="AG949" s="4"/>
      <c r="AH949" s="4"/>
      <c r="AI949" s="4"/>
      <c r="AJ949" s="4"/>
      <c r="AK949" s="4"/>
    </row>
    <row r="950" spans="1:37" ht="70" customHeight="1" x14ac:dyDescent="0.2">
      <c r="A950" s="107"/>
      <c r="B950" s="4"/>
      <c r="C950" s="163"/>
      <c r="D950" s="4"/>
      <c r="E950" s="4"/>
      <c r="F950" s="4"/>
      <c r="G950" s="4"/>
      <c r="H950" s="4"/>
      <c r="I950" s="4"/>
      <c r="J950" s="4"/>
      <c r="K950" s="4"/>
      <c r="L950" s="4"/>
      <c r="M950" s="4"/>
      <c r="N950" s="4"/>
      <c r="O950" s="4"/>
      <c r="P950" s="4"/>
      <c r="Q950" s="4"/>
      <c r="R950" s="4"/>
      <c r="S950" s="4"/>
      <c r="T950" s="4"/>
      <c r="U950" s="4"/>
      <c r="V950" s="4"/>
      <c r="W950" s="4"/>
      <c r="X950" s="4"/>
      <c r="Y950" s="4"/>
      <c r="Z950" s="4"/>
      <c r="AA950" s="4"/>
      <c r="AB950" s="4"/>
      <c r="AC950" s="4"/>
      <c r="AD950" s="4"/>
      <c r="AE950" s="4"/>
      <c r="AF950" s="4"/>
      <c r="AG950" s="4"/>
      <c r="AH950" s="4"/>
      <c r="AI950" s="4"/>
      <c r="AJ950" s="4"/>
      <c r="AK950" s="4"/>
    </row>
    <row r="951" spans="1:37" ht="70" customHeight="1" x14ac:dyDescent="0.2">
      <c r="A951" s="107"/>
      <c r="B951" s="4"/>
      <c r="C951" s="163"/>
      <c r="D951" s="4"/>
      <c r="E951" s="4"/>
      <c r="F951" s="4"/>
      <c r="G951" s="4"/>
      <c r="H951" s="4"/>
      <c r="I951" s="4"/>
      <c r="J951" s="4"/>
      <c r="K951" s="4"/>
      <c r="L951" s="4"/>
      <c r="M951" s="4"/>
      <c r="N951" s="4"/>
      <c r="O951" s="4"/>
      <c r="P951" s="4"/>
      <c r="Q951" s="4"/>
      <c r="R951" s="4"/>
      <c r="S951" s="4"/>
      <c r="T951" s="4"/>
      <c r="U951" s="4"/>
      <c r="V951" s="4"/>
      <c r="W951" s="4"/>
      <c r="X951" s="4"/>
      <c r="Y951" s="4"/>
      <c r="Z951" s="4"/>
      <c r="AA951" s="4"/>
      <c r="AB951" s="4"/>
      <c r="AC951" s="4"/>
      <c r="AD951" s="4"/>
      <c r="AE951" s="4"/>
      <c r="AF951" s="4"/>
      <c r="AG951" s="4"/>
      <c r="AH951" s="4"/>
      <c r="AI951" s="4"/>
      <c r="AJ951" s="4"/>
      <c r="AK951" s="4"/>
    </row>
    <row r="952" spans="1:37" ht="70" customHeight="1" x14ac:dyDescent="0.2">
      <c r="A952" s="107"/>
      <c r="B952" s="4"/>
      <c r="C952" s="163"/>
      <c r="D952" s="4"/>
      <c r="E952" s="4"/>
      <c r="F952" s="4"/>
      <c r="G952" s="4"/>
      <c r="H952" s="4"/>
      <c r="I952" s="4"/>
      <c r="J952" s="4"/>
      <c r="K952" s="4"/>
      <c r="L952" s="4"/>
      <c r="M952" s="4"/>
      <c r="N952" s="4"/>
      <c r="O952" s="4"/>
      <c r="P952" s="4"/>
      <c r="Q952" s="4"/>
      <c r="R952" s="4"/>
      <c r="S952" s="4"/>
      <c r="T952" s="4"/>
      <c r="U952" s="4"/>
      <c r="V952" s="4"/>
      <c r="W952" s="4"/>
      <c r="X952" s="4"/>
      <c r="Y952" s="4"/>
      <c r="Z952" s="4"/>
      <c r="AA952" s="4"/>
      <c r="AB952" s="4"/>
      <c r="AC952" s="4"/>
      <c r="AD952" s="4"/>
      <c r="AE952" s="4"/>
      <c r="AF952" s="4"/>
      <c r="AG952" s="4"/>
      <c r="AH952" s="4"/>
      <c r="AI952" s="4"/>
      <c r="AJ952" s="4"/>
      <c r="AK952" s="4"/>
    </row>
    <row r="953" spans="1:37" ht="70" customHeight="1" x14ac:dyDescent="0.2">
      <c r="A953" s="107"/>
      <c r="B953" s="4"/>
      <c r="C953" s="163"/>
      <c r="D953" s="4"/>
      <c r="E953" s="4"/>
      <c r="F953" s="4"/>
      <c r="G953" s="4"/>
      <c r="H953" s="4"/>
      <c r="I953" s="4"/>
      <c r="J953" s="4"/>
      <c r="K953" s="4"/>
      <c r="L953" s="4"/>
      <c r="M953" s="4"/>
      <c r="N953" s="4"/>
      <c r="O953" s="4"/>
      <c r="P953" s="4"/>
      <c r="Q953" s="4"/>
      <c r="R953" s="4"/>
      <c r="S953" s="4"/>
      <c r="T953" s="4"/>
      <c r="U953" s="4"/>
      <c r="V953" s="4"/>
      <c r="W953" s="4"/>
      <c r="X953" s="4"/>
      <c r="Y953" s="4"/>
      <c r="Z953" s="4"/>
      <c r="AA953" s="4"/>
      <c r="AB953" s="4"/>
      <c r="AC953" s="4"/>
      <c r="AD953" s="4"/>
      <c r="AE953" s="4"/>
      <c r="AF953" s="4"/>
      <c r="AG953" s="4"/>
      <c r="AH953" s="4"/>
      <c r="AI953" s="4"/>
      <c r="AJ953" s="4"/>
      <c r="AK953" s="4"/>
    </row>
    <row r="954" spans="1:37" ht="70" customHeight="1" x14ac:dyDescent="0.2">
      <c r="A954" s="107"/>
      <c r="B954" s="4"/>
      <c r="C954" s="163"/>
      <c r="D954" s="4"/>
      <c r="E954" s="4"/>
      <c r="F954" s="4"/>
      <c r="G954" s="4"/>
      <c r="H954" s="4"/>
      <c r="I954" s="4"/>
      <c r="J954" s="4"/>
      <c r="K954" s="4"/>
      <c r="L954" s="4"/>
      <c r="M954" s="4"/>
      <c r="N954" s="4"/>
      <c r="O954" s="4"/>
      <c r="P954" s="4"/>
      <c r="Q954" s="4"/>
      <c r="R954" s="4"/>
      <c r="S954" s="4"/>
      <c r="T954" s="4"/>
      <c r="U954" s="4"/>
      <c r="V954" s="4"/>
      <c r="W954" s="4"/>
      <c r="X954" s="4"/>
      <c r="Y954" s="4"/>
      <c r="Z954" s="4"/>
      <c r="AA954" s="4"/>
      <c r="AB954" s="4"/>
      <c r="AC954" s="4"/>
      <c r="AD954" s="4"/>
      <c r="AE954" s="4"/>
      <c r="AF954" s="4"/>
      <c r="AG954" s="4"/>
      <c r="AH954" s="4"/>
      <c r="AI954" s="4"/>
      <c r="AJ954" s="4"/>
      <c r="AK954" s="4"/>
    </row>
    <row r="955" spans="1:37" ht="70" customHeight="1" x14ac:dyDescent="0.2">
      <c r="A955" s="107"/>
      <c r="B955" s="4"/>
      <c r="C955" s="163"/>
      <c r="D955" s="4"/>
      <c r="E955" s="4"/>
      <c r="F955" s="4"/>
      <c r="G955" s="4"/>
      <c r="H955" s="4"/>
      <c r="I955" s="4"/>
      <c r="J955" s="4"/>
      <c r="K955" s="4"/>
      <c r="L955" s="4"/>
      <c r="M955" s="4"/>
      <c r="N955" s="4"/>
      <c r="O955" s="4"/>
      <c r="P955" s="4"/>
      <c r="Q955" s="4"/>
      <c r="R955" s="4"/>
      <c r="S955" s="4"/>
      <c r="T955" s="4"/>
      <c r="U955" s="4"/>
      <c r="V955" s="4"/>
      <c r="W955" s="4"/>
      <c r="X955" s="4"/>
      <c r="Y955" s="4"/>
      <c r="Z955" s="4"/>
      <c r="AA955" s="4"/>
      <c r="AB955" s="4"/>
      <c r="AC955" s="4"/>
      <c r="AD955" s="4"/>
      <c r="AE955" s="4"/>
      <c r="AF955" s="4"/>
      <c r="AG955" s="4"/>
      <c r="AH955" s="4"/>
      <c r="AI955" s="4"/>
      <c r="AJ955" s="4"/>
      <c r="AK955" s="4"/>
    </row>
    <row r="956" spans="1:37" ht="70" customHeight="1" x14ac:dyDescent="0.2">
      <c r="A956" s="107"/>
      <c r="B956" s="4"/>
      <c r="C956" s="163"/>
      <c r="D956" s="4"/>
      <c r="E956" s="4"/>
      <c r="F956" s="4"/>
      <c r="G956" s="4"/>
      <c r="H956" s="4"/>
      <c r="I956" s="4"/>
      <c r="J956" s="4"/>
      <c r="K956" s="4"/>
      <c r="L956" s="4"/>
      <c r="M956" s="4"/>
      <c r="N956" s="4"/>
      <c r="O956" s="4"/>
      <c r="P956" s="4"/>
      <c r="Q956" s="4"/>
      <c r="R956" s="4"/>
      <c r="S956" s="4"/>
      <c r="T956" s="4"/>
      <c r="U956" s="4"/>
      <c r="V956" s="4"/>
      <c r="W956" s="4"/>
      <c r="X956" s="4"/>
      <c r="Y956" s="4"/>
      <c r="Z956" s="4"/>
      <c r="AA956" s="4"/>
      <c r="AB956" s="4"/>
      <c r="AC956" s="4"/>
      <c r="AD956" s="4"/>
      <c r="AE956" s="4"/>
      <c r="AF956" s="4"/>
      <c r="AG956" s="4"/>
      <c r="AH956" s="4"/>
      <c r="AI956" s="4"/>
      <c r="AJ956" s="4"/>
      <c r="AK956" s="4"/>
    </row>
    <row r="957" spans="1:37" ht="70" customHeight="1" x14ac:dyDescent="0.2">
      <c r="A957" s="107"/>
      <c r="B957" s="4"/>
      <c r="C957" s="163"/>
      <c r="D957" s="4"/>
      <c r="E957" s="4"/>
      <c r="F957" s="4"/>
      <c r="G957" s="4"/>
      <c r="H957" s="4"/>
      <c r="I957" s="4"/>
      <c r="J957" s="4"/>
      <c r="K957" s="4"/>
      <c r="L957" s="4"/>
      <c r="M957" s="4"/>
      <c r="N957" s="4"/>
      <c r="O957" s="4"/>
      <c r="P957" s="4"/>
      <c r="Q957" s="4"/>
      <c r="R957" s="4"/>
      <c r="S957" s="4"/>
      <c r="T957" s="4"/>
      <c r="U957" s="4"/>
      <c r="V957" s="4"/>
      <c r="W957" s="4"/>
      <c r="X957" s="4"/>
      <c r="Y957" s="4"/>
      <c r="Z957" s="4"/>
      <c r="AA957" s="4"/>
      <c r="AB957" s="4"/>
      <c r="AC957" s="4"/>
      <c r="AD957" s="4"/>
      <c r="AE957" s="4"/>
      <c r="AF957" s="4"/>
      <c r="AG957" s="4"/>
      <c r="AH957" s="4"/>
      <c r="AI957" s="4"/>
      <c r="AJ957" s="4"/>
      <c r="AK957" s="4"/>
    </row>
    <row r="958" spans="1:37" ht="70" customHeight="1" x14ac:dyDescent="0.2">
      <c r="A958" s="107"/>
      <c r="B958" s="4"/>
      <c r="C958" s="163"/>
      <c r="D958" s="4"/>
      <c r="E958" s="4"/>
      <c r="F958" s="4"/>
      <c r="G958" s="4"/>
      <c r="H958" s="4"/>
      <c r="I958" s="4"/>
      <c r="J958" s="4"/>
      <c r="K958" s="4"/>
      <c r="L958" s="4"/>
      <c r="M958" s="4"/>
      <c r="N958" s="4"/>
      <c r="O958" s="4"/>
      <c r="P958" s="4"/>
      <c r="Q958" s="4"/>
      <c r="R958" s="4"/>
      <c r="S958" s="4"/>
      <c r="T958" s="4"/>
      <c r="U958" s="4"/>
      <c r="V958" s="4"/>
      <c r="W958" s="4"/>
      <c r="X958" s="4"/>
      <c r="Y958" s="4"/>
      <c r="Z958" s="4"/>
      <c r="AA958" s="4"/>
      <c r="AB958" s="4"/>
      <c r="AC958" s="4"/>
      <c r="AD958" s="4"/>
      <c r="AE958" s="4"/>
      <c r="AF958" s="4"/>
      <c r="AG958" s="4"/>
      <c r="AH958" s="4"/>
      <c r="AI958" s="4"/>
      <c r="AJ958" s="4"/>
      <c r="AK958" s="4"/>
    </row>
    <row r="959" spans="1:37" ht="70" customHeight="1" x14ac:dyDescent="0.2">
      <c r="A959" s="107"/>
      <c r="B959" s="4"/>
      <c r="C959" s="163"/>
      <c r="D959" s="4"/>
      <c r="E959" s="4"/>
      <c r="F959" s="4"/>
      <c r="G959" s="4"/>
      <c r="H959" s="4"/>
      <c r="I959" s="4"/>
      <c r="J959" s="4"/>
      <c r="K959" s="4"/>
      <c r="L959" s="4"/>
      <c r="M959" s="4"/>
      <c r="N959" s="4"/>
      <c r="O959" s="4"/>
      <c r="P959" s="4"/>
      <c r="Q959" s="4"/>
      <c r="R959" s="4"/>
      <c r="S959" s="4"/>
      <c r="T959" s="4"/>
      <c r="U959" s="4"/>
      <c r="V959" s="4"/>
      <c r="W959" s="4"/>
      <c r="X959" s="4"/>
      <c r="Y959" s="4"/>
      <c r="Z959" s="4"/>
      <c r="AA959" s="4"/>
      <c r="AB959" s="4"/>
      <c r="AC959" s="4"/>
      <c r="AD959" s="4"/>
      <c r="AE959" s="4"/>
      <c r="AF959" s="4"/>
      <c r="AG959" s="4"/>
      <c r="AH959" s="4"/>
      <c r="AI959" s="4"/>
      <c r="AJ959" s="4"/>
      <c r="AK959" s="4"/>
    </row>
    <row r="960" spans="1:37" ht="70" customHeight="1" x14ac:dyDescent="0.2">
      <c r="A960" s="107"/>
      <c r="B960" s="4"/>
      <c r="C960" s="163"/>
      <c r="D960" s="4"/>
      <c r="E960" s="4"/>
      <c r="F960" s="4"/>
      <c r="G960" s="4"/>
      <c r="H960" s="4"/>
      <c r="I960" s="4"/>
      <c r="J960" s="4"/>
      <c r="K960" s="4"/>
      <c r="L960" s="4"/>
      <c r="M960" s="4"/>
      <c r="N960" s="4"/>
      <c r="O960" s="4"/>
      <c r="P960" s="4"/>
      <c r="Q960" s="4"/>
      <c r="R960" s="4"/>
      <c r="S960" s="4"/>
      <c r="T960" s="4"/>
      <c r="U960" s="4"/>
      <c r="V960" s="4"/>
      <c r="W960" s="4"/>
      <c r="X960" s="4"/>
      <c r="Y960" s="4"/>
      <c r="Z960" s="4"/>
      <c r="AA960" s="4"/>
      <c r="AB960" s="4"/>
      <c r="AC960" s="4"/>
      <c r="AD960" s="4"/>
      <c r="AE960" s="4"/>
      <c r="AF960" s="4"/>
      <c r="AG960" s="4"/>
      <c r="AH960" s="4"/>
      <c r="AI960" s="4"/>
      <c r="AJ960" s="4"/>
      <c r="AK960" s="4"/>
    </row>
    <row r="961" spans="1:37" ht="70" customHeight="1" x14ac:dyDescent="0.2">
      <c r="A961" s="107"/>
      <c r="B961" s="4"/>
      <c r="C961" s="163"/>
      <c r="D961" s="4"/>
      <c r="E961" s="4"/>
      <c r="F961" s="4"/>
      <c r="G961" s="4"/>
      <c r="H961" s="4"/>
      <c r="I961" s="4"/>
      <c r="J961" s="4"/>
      <c r="K961" s="4"/>
      <c r="L961" s="4"/>
      <c r="M961" s="4"/>
      <c r="N961" s="4"/>
      <c r="O961" s="4"/>
      <c r="P961" s="4"/>
      <c r="Q961" s="4"/>
      <c r="R961" s="4"/>
      <c r="S961" s="4"/>
      <c r="T961" s="4"/>
      <c r="U961" s="4"/>
      <c r="V961" s="4"/>
      <c r="W961" s="4"/>
      <c r="X961" s="4"/>
      <c r="Y961" s="4"/>
      <c r="Z961" s="4"/>
      <c r="AA961" s="4"/>
      <c r="AB961" s="4"/>
      <c r="AC961" s="4"/>
      <c r="AD961" s="4"/>
      <c r="AE961" s="4"/>
      <c r="AF961" s="4"/>
      <c r="AG961" s="4"/>
      <c r="AH961" s="4"/>
      <c r="AI961" s="4"/>
      <c r="AJ961" s="4"/>
      <c r="AK961" s="4"/>
    </row>
    <row r="962" spans="1:37" ht="70" customHeight="1" x14ac:dyDescent="0.2">
      <c r="A962" s="107"/>
      <c r="B962" s="4"/>
      <c r="C962" s="163"/>
      <c r="D962" s="4"/>
      <c r="E962" s="4"/>
      <c r="F962" s="4"/>
      <c r="G962" s="4"/>
      <c r="H962" s="4"/>
      <c r="I962" s="4"/>
      <c r="J962" s="4"/>
      <c r="K962" s="4"/>
      <c r="L962" s="4"/>
      <c r="M962" s="4"/>
      <c r="N962" s="4"/>
      <c r="O962" s="4"/>
      <c r="P962" s="4"/>
      <c r="Q962" s="4"/>
      <c r="R962" s="4"/>
      <c r="S962" s="4"/>
      <c r="T962" s="4"/>
      <c r="U962" s="4"/>
      <c r="V962" s="4"/>
      <c r="W962" s="4"/>
      <c r="X962" s="4"/>
      <c r="Y962" s="4"/>
      <c r="Z962" s="4"/>
      <c r="AA962" s="4"/>
      <c r="AB962" s="4"/>
      <c r="AC962" s="4"/>
      <c r="AD962" s="4"/>
      <c r="AE962" s="4"/>
      <c r="AF962" s="4"/>
      <c r="AG962" s="4"/>
      <c r="AH962" s="4"/>
      <c r="AI962" s="4"/>
      <c r="AJ962" s="4"/>
      <c r="AK962" s="4"/>
    </row>
    <row r="963" spans="1:37" ht="70" customHeight="1" x14ac:dyDescent="0.2">
      <c r="A963" s="107"/>
      <c r="B963" s="4"/>
      <c r="C963" s="163"/>
      <c r="D963" s="4"/>
      <c r="E963" s="4"/>
      <c r="F963" s="4"/>
      <c r="G963" s="4"/>
      <c r="H963" s="4"/>
      <c r="I963" s="4"/>
      <c r="J963" s="4"/>
      <c r="K963" s="4"/>
      <c r="L963" s="4"/>
      <c r="M963" s="4"/>
      <c r="N963" s="4"/>
      <c r="O963" s="4"/>
      <c r="P963" s="4"/>
      <c r="Q963" s="4"/>
      <c r="R963" s="4"/>
      <c r="S963" s="4"/>
      <c r="T963" s="4"/>
      <c r="U963" s="4"/>
      <c r="V963" s="4"/>
      <c r="W963" s="4"/>
      <c r="X963" s="4"/>
      <c r="Y963" s="4"/>
      <c r="Z963" s="4"/>
      <c r="AA963" s="4"/>
      <c r="AB963" s="4"/>
      <c r="AC963" s="4"/>
      <c r="AD963" s="4"/>
      <c r="AE963" s="4"/>
      <c r="AF963" s="4"/>
      <c r="AG963" s="4"/>
      <c r="AH963" s="4"/>
      <c r="AI963" s="4"/>
      <c r="AJ963" s="4"/>
      <c r="AK963" s="4"/>
    </row>
    <row r="964" spans="1:37" ht="70" customHeight="1" x14ac:dyDescent="0.2">
      <c r="A964" s="107"/>
      <c r="B964" s="4"/>
      <c r="C964" s="163"/>
      <c r="D964" s="4"/>
      <c r="E964" s="4"/>
      <c r="F964" s="4"/>
      <c r="G964" s="4"/>
      <c r="H964" s="4"/>
      <c r="I964" s="4"/>
      <c r="J964" s="4"/>
      <c r="K964" s="4"/>
      <c r="L964" s="4"/>
      <c r="M964" s="4"/>
      <c r="N964" s="4"/>
      <c r="O964" s="4"/>
      <c r="P964" s="4"/>
      <c r="Q964" s="4"/>
      <c r="R964" s="4"/>
      <c r="S964" s="4"/>
      <c r="T964" s="4"/>
      <c r="U964" s="4"/>
      <c r="V964" s="4"/>
      <c r="W964" s="4"/>
      <c r="X964" s="4"/>
      <c r="Y964" s="4"/>
      <c r="Z964" s="4"/>
      <c r="AA964" s="4"/>
      <c r="AB964" s="4"/>
      <c r="AC964" s="4"/>
      <c r="AD964" s="4"/>
      <c r="AE964" s="4"/>
      <c r="AF964" s="4"/>
      <c r="AG964" s="4"/>
      <c r="AH964" s="4"/>
      <c r="AI964" s="4"/>
      <c r="AJ964" s="4"/>
      <c r="AK964" s="4"/>
    </row>
    <row r="965" spans="1:37" ht="70" customHeight="1" x14ac:dyDescent="0.2">
      <c r="A965" s="107"/>
      <c r="B965" s="4"/>
      <c r="C965" s="163"/>
      <c r="D965" s="4"/>
      <c r="E965" s="4"/>
      <c r="F965" s="4"/>
      <c r="G965" s="4"/>
      <c r="H965" s="4"/>
      <c r="I965" s="4"/>
      <c r="J965" s="4"/>
      <c r="K965" s="4"/>
      <c r="L965" s="4"/>
      <c r="M965" s="4"/>
      <c r="N965" s="4"/>
      <c r="O965" s="4"/>
      <c r="P965" s="4"/>
      <c r="Q965" s="4"/>
      <c r="R965" s="4"/>
      <c r="S965" s="4"/>
      <c r="T965" s="4"/>
      <c r="U965" s="4"/>
      <c r="V965" s="4"/>
      <c r="W965" s="4"/>
      <c r="X965" s="4"/>
      <c r="Y965" s="4"/>
      <c r="Z965" s="4"/>
      <c r="AA965" s="4"/>
      <c r="AB965" s="4"/>
      <c r="AC965" s="4"/>
      <c r="AD965" s="4"/>
      <c r="AE965" s="4"/>
      <c r="AF965" s="4"/>
      <c r="AG965" s="4"/>
      <c r="AH965" s="4"/>
      <c r="AI965" s="4"/>
      <c r="AJ965" s="4"/>
      <c r="AK965" s="4"/>
    </row>
    <row r="966" spans="1:37" ht="70" customHeight="1" x14ac:dyDescent="0.2">
      <c r="A966" s="107"/>
      <c r="B966" s="4"/>
      <c r="C966" s="163"/>
      <c r="D966" s="4"/>
      <c r="E966" s="4"/>
      <c r="F966" s="4"/>
      <c r="G966" s="4"/>
      <c r="H966" s="4"/>
      <c r="I966" s="4"/>
      <c r="J966" s="4"/>
      <c r="K966" s="4"/>
      <c r="L966" s="4"/>
      <c r="M966" s="4"/>
      <c r="N966" s="4"/>
      <c r="O966" s="4"/>
      <c r="P966" s="4"/>
      <c r="Q966" s="4"/>
      <c r="R966" s="4"/>
      <c r="S966" s="4"/>
      <c r="T966" s="4"/>
      <c r="U966" s="4"/>
      <c r="V966" s="4"/>
      <c r="W966" s="4"/>
      <c r="X966" s="4"/>
      <c r="Y966" s="4"/>
      <c r="Z966" s="4"/>
      <c r="AA966" s="4"/>
      <c r="AB966" s="4"/>
      <c r="AC966" s="4"/>
      <c r="AD966" s="4"/>
      <c r="AE966" s="4"/>
      <c r="AF966" s="4"/>
      <c r="AG966" s="4"/>
      <c r="AH966" s="4"/>
      <c r="AI966" s="4"/>
      <c r="AJ966" s="4"/>
      <c r="AK966" s="4"/>
    </row>
    <row r="967" spans="1:37" ht="70" customHeight="1" x14ac:dyDescent="0.2">
      <c r="A967" s="107"/>
      <c r="B967" s="4"/>
      <c r="C967" s="163"/>
      <c r="D967" s="4"/>
      <c r="E967" s="4"/>
      <c r="F967" s="4"/>
      <c r="G967" s="4"/>
      <c r="H967" s="4"/>
      <c r="I967" s="4"/>
      <c r="J967" s="4"/>
      <c r="K967" s="4"/>
      <c r="L967" s="4"/>
      <c r="M967" s="4"/>
      <c r="N967" s="4"/>
      <c r="O967" s="4"/>
      <c r="P967" s="4"/>
      <c r="Q967" s="4"/>
      <c r="R967" s="4"/>
      <c r="S967" s="4"/>
      <c r="T967" s="4"/>
      <c r="U967" s="4"/>
      <c r="V967" s="4"/>
      <c r="W967" s="4"/>
      <c r="X967" s="4"/>
      <c r="Y967" s="4"/>
      <c r="Z967" s="4"/>
      <c r="AA967" s="4"/>
      <c r="AB967" s="4"/>
      <c r="AC967" s="4"/>
      <c r="AD967" s="4"/>
      <c r="AE967" s="4"/>
      <c r="AF967" s="4"/>
      <c r="AG967" s="4"/>
      <c r="AH967" s="4"/>
      <c r="AI967" s="4"/>
      <c r="AJ967" s="4"/>
      <c r="AK967" s="4"/>
    </row>
    <row r="968" spans="1:37" ht="70" customHeight="1" x14ac:dyDescent="0.2">
      <c r="A968" s="107"/>
      <c r="B968" s="4"/>
      <c r="C968" s="163"/>
      <c r="D968" s="4"/>
      <c r="E968" s="4"/>
      <c r="F968" s="4"/>
      <c r="G968" s="4"/>
      <c r="H968" s="4"/>
      <c r="I968" s="4"/>
      <c r="J968" s="4"/>
      <c r="K968" s="4"/>
      <c r="L968" s="4"/>
      <c r="M968" s="4"/>
      <c r="N968" s="4"/>
      <c r="O968" s="4"/>
      <c r="P968" s="4"/>
      <c r="Q968" s="4"/>
      <c r="R968" s="4"/>
      <c r="S968" s="4"/>
      <c r="T968" s="4"/>
      <c r="U968" s="4"/>
      <c r="V968" s="4"/>
      <c r="W968" s="4"/>
      <c r="X968" s="4"/>
      <c r="Y968" s="4"/>
      <c r="Z968" s="4"/>
      <c r="AA968" s="4"/>
      <c r="AB968" s="4"/>
      <c r="AC968" s="4"/>
      <c r="AD968" s="4"/>
      <c r="AE968" s="4"/>
      <c r="AF968" s="4"/>
      <c r="AG968" s="4"/>
      <c r="AH968" s="4"/>
      <c r="AI968" s="4"/>
      <c r="AJ968" s="4"/>
      <c r="AK968" s="4"/>
    </row>
    <row r="969" spans="1:37" ht="70" customHeight="1" x14ac:dyDescent="0.2">
      <c r="A969" s="107"/>
      <c r="B969" s="4"/>
      <c r="C969" s="163"/>
      <c r="D969" s="4"/>
      <c r="E969" s="4"/>
      <c r="F969" s="4"/>
      <c r="G969" s="4"/>
      <c r="H969" s="4"/>
      <c r="I969" s="4"/>
      <c r="J969" s="4"/>
      <c r="K969" s="4"/>
      <c r="L969" s="4"/>
      <c r="M969" s="4"/>
      <c r="N969" s="4"/>
      <c r="O969" s="4"/>
      <c r="P969" s="4"/>
      <c r="Q969" s="4"/>
      <c r="R969" s="4"/>
      <c r="S969" s="4"/>
      <c r="T969" s="4"/>
      <c r="U969" s="4"/>
      <c r="V969" s="4"/>
      <c r="W969" s="4"/>
      <c r="X969" s="4"/>
      <c r="Y969" s="4"/>
      <c r="Z969" s="4"/>
      <c r="AA969" s="4"/>
      <c r="AB969" s="4"/>
      <c r="AC969" s="4"/>
      <c r="AD969" s="4"/>
      <c r="AE969" s="4"/>
      <c r="AF969" s="4"/>
      <c r="AG969" s="4"/>
      <c r="AH969" s="4"/>
      <c r="AI969" s="4"/>
      <c r="AJ969" s="4"/>
      <c r="AK969" s="4"/>
    </row>
    <row r="970" spans="1:37" ht="70" customHeight="1" x14ac:dyDescent="0.2">
      <c r="A970" s="107"/>
      <c r="B970" s="4"/>
      <c r="C970" s="163"/>
      <c r="D970" s="4"/>
      <c r="E970" s="4"/>
      <c r="F970" s="4"/>
      <c r="G970" s="4"/>
      <c r="H970" s="4"/>
      <c r="I970" s="4"/>
      <c r="J970" s="4"/>
      <c r="K970" s="4"/>
      <c r="L970" s="4"/>
      <c r="M970" s="4"/>
      <c r="N970" s="4"/>
      <c r="O970" s="4"/>
      <c r="P970" s="4"/>
      <c r="Q970" s="4"/>
      <c r="R970" s="4"/>
      <c r="S970" s="4"/>
      <c r="T970" s="4"/>
      <c r="U970" s="4"/>
      <c r="V970" s="4"/>
      <c r="W970" s="4"/>
      <c r="X970" s="4"/>
      <c r="Y970" s="4"/>
      <c r="Z970" s="4"/>
      <c r="AA970" s="4"/>
      <c r="AB970" s="4"/>
      <c r="AC970" s="4"/>
      <c r="AD970" s="4"/>
      <c r="AE970" s="4"/>
      <c r="AF970" s="4"/>
      <c r="AG970" s="4"/>
      <c r="AH970" s="4"/>
      <c r="AI970" s="4"/>
      <c r="AJ970" s="4"/>
      <c r="AK970" s="4"/>
    </row>
    <row r="971" spans="1:37" ht="70" customHeight="1" x14ac:dyDescent="0.2">
      <c r="A971" s="107"/>
      <c r="B971" s="4"/>
      <c r="C971" s="163"/>
      <c r="D971" s="4"/>
      <c r="E971" s="4"/>
      <c r="F971" s="4"/>
      <c r="G971" s="4"/>
      <c r="H971" s="4"/>
      <c r="I971" s="4"/>
      <c r="J971" s="4"/>
      <c r="K971" s="4"/>
      <c r="L971" s="4"/>
      <c r="M971" s="4"/>
      <c r="N971" s="4"/>
      <c r="O971" s="4"/>
      <c r="P971" s="4"/>
      <c r="Q971" s="4"/>
      <c r="R971" s="4"/>
      <c r="S971" s="4"/>
      <c r="T971" s="4"/>
      <c r="U971" s="4"/>
      <c r="V971" s="4"/>
      <c r="W971" s="4"/>
      <c r="X971" s="4"/>
      <c r="Y971" s="4"/>
      <c r="Z971" s="4"/>
      <c r="AA971" s="4"/>
      <c r="AB971" s="4"/>
      <c r="AC971" s="4"/>
      <c r="AD971" s="4"/>
      <c r="AE971" s="4"/>
      <c r="AF971" s="4"/>
      <c r="AG971" s="4"/>
      <c r="AH971" s="4"/>
      <c r="AI971" s="4"/>
      <c r="AJ971" s="4"/>
      <c r="AK971" s="4"/>
    </row>
    <row r="972" spans="1:37" ht="70" customHeight="1" x14ac:dyDescent="0.2">
      <c r="A972" s="107"/>
      <c r="B972" s="4"/>
      <c r="C972" s="163"/>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row>
    <row r="973" spans="1:37" ht="70" customHeight="1" x14ac:dyDescent="0.2">
      <c r="A973" s="107"/>
      <c r="B973" s="4"/>
      <c r="C973" s="163"/>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row>
    <row r="974" spans="1:37" ht="70" customHeight="1" x14ac:dyDescent="0.2">
      <c r="A974" s="107"/>
      <c r="B974" s="4"/>
      <c r="C974" s="163"/>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row>
    <row r="975" spans="1:37" ht="70" customHeight="1" x14ac:dyDescent="0.2">
      <c r="A975" s="107"/>
      <c r="B975" s="4"/>
      <c r="C975" s="163"/>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row>
    <row r="976" spans="1:37" ht="70" customHeight="1" x14ac:dyDescent="0.2">
      <c r="A976" s="107"/>
      <c r="B976" s="4"/>
      <c r="C976" s="163"/>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row>
    <row r="977" spans="1:37" ht="70" customHeight="1" x14ac:dyDescent="0.2">
      <c r="A977" s="107"/>
      <c r="B977" s="4"/>
      <c r="C977" s="163"/>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row>
    <row r="978" spans="1:37" ht="70" customHeight="1" x14ac:dyDescent="0.2">
      <c r="A978" s="107"/>
      <c r="B978" s="4"/>
      <c r="C978" s="163"/>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row>
    <row r="979" spans="1:37" ht="70" customHeight="1" x14ac:dyDescent="0.2">
      <c r="A979" s="107"/>
      <c r="B979" s="4"/>
      <c r="C979" s="163"/>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row>
    <row r="980" spans="1:37" ht="70" customHeight="1" x14ac:dyDescent="0.2">
      <c r="A980" s="107"/>
      <c r="B980" s="4"/>
      <c r="C980" s="163"/>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row>
    <row r="981" spans="1:37" ht="70" customHeight="1" x14ac:dyDescent="0.2">
      <c r="A981" s="107"/>
      <c r="B981" s="4"/>
      <c r="C981" s="163"/>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row>
    <row r="982" spans="1:37" ht="70" customHeight="1" x14ac:dyDescent="0.2">
      <c r="A982" s="107"/>
      <c r="B982" s="4"/>
      <c r="C982" s="163"/>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row>
    <row r="983" spans="1:37" ht="70" customHeight="1" x14ac:dyDescent="0.2">
      <c r="A983" s="107"/>
      <c r="B983" s="4"/>
      <c r="C983" s="163"/>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row>
    <row r="984" spans="1:37" ht="70" customHeight="1" x14ac:dyDescent="0.2">
      <c r="A984" s="107"/>
      <c r="B984" s="4"/>
      <c r="C984" s="163"/>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row>
    <row r="985" spans="1:37" ht="70" customHeight="1" x14ac:dyDescent="0.2">
      <c r="A985" s="107"/>
      <c r="B985" s="4"/>
      <c r="C985" s="163"/>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row>
    <row r="986" spans="1:37" ht="70" customHeight="1" x14ac:dyDescent="0.2">
      <c r="A986" s="107"/>
      <c r="B986" s="4"/>
      <c r="C986" s="163"/>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row>
    <row r="987" spans="1:37" ht="70" customHeight="1" x14ac:dyDescent="0.2">
      <c r="A987" s="107"/>
      <c r="B987" s="4"/>
      <c r="C987" s="163"/>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row>
    <row r="988" spans="1:37" ht="70" customHeight="1" x14ac:dyDescent="0.2">
      <c r="A988" s="107"/>
      <c r="B988" s="4"/>
      <c r="C988" s="163"/>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row>
    <row r="989" spans="1:37" ht="70" customHeight="1" x14ac:dyDescent="0.2">
      <c r="A989" s="107"/>
      <c r="B989" s="4"/>
      <c r="C989" s="163"/>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row>
    <row r="990" spans="1:37" ht="70" customHeight="1" x14ac:dyDescent="0.2">
      <c r="A990" s="107"/>
      <c r="B990" s="4"/>
      <c r="C990" s="163"/>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row>
    <row r="991" spans="1:37" ht="70" customHeight="1" x14ac:dyDescent="0.2">
      <c r="A991" s="107"/>
      <c r="B991" s="4"/>
      <c r="C991" s="163"/>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row>
    <row r="992" spans="1:37" ht="70" customHeight="1" x14ac:dyDescent="0.2">
      <c r="A992" s="107"/>
      <c r="B992" s="4"/>
      <c r="C992" s="163"/>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row>
    <row r="993" spans="1:37" ht="70" customHeight="1" x14ac:dyDescent="0.2">
      <c r="A993" s="107"/>
      <c r="B993" s="4"/>
      <c r="C993" s="163"/>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row>
    <row r="994" spans="1:37" ht="70" customHeight="1" x14ac:dyDescent="0.2">
      <c r="A994" s="107"/>
      <c r="B994" s="4"/>
      <c r="C994" s="163"/>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row>
    <row r="995" spans="1:37" ht="70" customHeight="1" x14ac:dyDescent="0.2">
      <c r="A995" s="107"/>
      <c r="B995" s="4"/>
      <c r="C995" s="163"/>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row>
    <row r="996" spans="1:37" ht="70" customHeight="1" x14ac:dyDescent="0.2">
      <c r="A996" s="107"/>
      <c r="B996" s="4"/>
      <c r="C996" s="163"/>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row>
    <row r="997" spans="1:37" ht="70" customHeight="1" x14ac:dyDescent="0.2">
      <c r="A997" s="107"/>
      <c r="B997" s="4"/>
      <c r="C997" s="163"/>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row>
    <row r="998" spans="1:37" ht="70" customHeight="1" x14ac:dyDescent="0.2">
      <c r="A998" s="107"/>
      <c r="B998" s="4"/>
      <c r="C998" s="163"/>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row>
    <row r="999" spans="1:37" ht="70" customHeight="1" x14ac:dyDescent="0.2">
      <c r="A999" s="107"/>
      <c r="B999" s="4"/>
      <c r="C999" s="163"/>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row>
    <row r="1000" spans="1:37" ht="70" customHeight="1" x14ac:dyDescent="0.2">
      <c r="A1000" s="107"/>
      <c r="B1000" s="4"/>
      <c r="C1000" s="163"/>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row>
    <row r="1001" spans="1:37" ht="70" customHeight="1" x14ac:dyDescent="0.2">
      <c r="A1001" s="107"/>
      <c r="B1001" s="4"/>
      <c r="C1001" s="163"/>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row>
    <row r="1002" spans="1:37" ht="70" customHeight="1" x14ac:dyDescent="0.2">
      <c r="A1002" s="107"/>
      <c r="B1002" s="4"/>
      <c r="C1002" s="163"/>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row>
    <row r="1003" spans="1:37" ht="70" customHeight="1" x14ac:dyDescent="0.2">
      <c r="A1003" s="107"/>
      <c r="B1003" s="4"/>
      <c r="C1003" s="163"/>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c r="AI1003" s="4"/>
      <c r="AJ1003" s="4"/>
      <c r="AK1003" s="4"/>
    </row>
    <row r="1004" spans="1:37" ht="70" customHeight="1" x14ac:dyDescent="0.2">
      <c r="A1004" s="107"/>
      <c r="B1004" s="4"/>
      <c r="C1004" s="163"/>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c r="AI1004" s="4"/>
      <c r="AJ1004" s="4"/>
      <c r="AK1004" s="4"/>
    </row>
    <row r="1005" spans="1:37" ht="70" customHeight="1" x14ac:dyDescent="0.2">
      <c r="A1005" s="107"/>
      <c r="B1005" s="4"/>
      <c r="C1005" s="163"/>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c r="AI1005" s="4"/>
      <c r="AJ1005" s="4"/>
      <c r="AK1005" s="4"/>
    </row>
    <row r="1006" spans="1:37" ht="70" customHeight="1" x14ac:dyDescent="0.2">
      <c r="A1006" s="107"/>
      <c r="B1006" s="4"/>
      <c r="C1006" s="163"/>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c r="AJ1006" s="4"/>
      <c r="AK1006" s="4"/>
    </row>
    <row r="1007" spans="1:37" ht="70" customHeight="1" x14ac:dyDescent="0.2">
      <c r="A1007" s="107"/>
      <c r="B1007" s="4"/>
      <c r="C1007" s="163"/>
      <c r="D1007" s="4"/>
      <c r="E1007" s="4"/>
      <c r="F1007" s="4"/>
      <c r="G1007" s="4"/>
      <c r="H1007" s="4"/>
      <c r="I1007" s="4"/>
      <c r="J1007" s="4"/>
      <c r="K1007" s="4"/>
      <c r="L1007" s="4"/>
      <c r="M1007" s="4"/>
      <c r="N1007" s="4"/>
      <c r="O1007" s="4"/>
      <c r="P1007" s="4"/>
      <c r="Q1007" s="4"/>
      <c r="R1007" s="4"/>
      <c r="S1007" s="4"/>
      <c r="T1007" s="4"/>
      <c r="U1007" s="4"/>
      <c r="V1007" s="4"/>
      <c r="W1007" s="4"/>
      <c r="X1007" s="4"/>
      <c r="Y1007" s="4"/>
      <c r="Z1007" s="4"/>
      <c r="AA1007" s="4"/>
      <c r="AB1007" s="4"/>
      <c r="AC1007" s="4"/>
      <c r="AD1007" s="4"/>
      <c r="AE1007" s="4"/>
      <c r="AF1007" s="4"/>
      <c r="AG1007" s="4"/>
      <c r="AH1007" s="4"/>
      <c r="AI1007" s="4"/>
      <c r="AJ1007" s="4"/>
      <c r="AK1007" s="4"/>
    </row>
    <row r="1008" spans="1:37" ht="70" customHeight="1" x14ac:dyDescent="0.2">
      <c r="A1008" s="107"/>
      <c r="B1008" s="4"/>
      <c r="C1008" s="163"/>
      <c r="D1008" s="4"/>
      <c r="E1008" s="4"/>
      <c r="F1008" s="4"/>
      <c r="G1008" s="4"/>
      <c r="H1008" s="4"/>
      <c r="I1008" s="4"/>
      <c r="J1008" s="4"/>
      <c r="K1008" s="4"/>
      <c r="L1008" s="4"/>
      <c r="M1008" s="4"/>
      <c r="N1008" s="4"/>
      <c r="O1008" s="4"/>
      <c r="P1008" s="4"/>
      <c r="Q1008" s="4"/>
      <c r="R1008" s="4"/>
      <c r="S1008" s="4"/>
      <c r="T1008" s="4"/>
      <c r="U1008" s="4"/>
      <c r="V1008" s="4"/>
      <c r="W1008" s="4"/>
      <c r="X1008" s="4"/>
      <c r="Y1008" s="4"/>
      <c r="Z1008" s="4"/>
      <c r="AA1008" s="4"/>
      <c r="AB1008" s="4"/>
      <c r="AC1008" s="4"/>
      <c r="AD1008" s="4"/>
      <c r="AE1008" s="4"/>
      <c r="AF1008" s="4"/>
      <c r="AG1008" s="4"/>
      <c r="AH1008" s="4"/>
      <c r="AI1008" s="4"/>
      <c r="AJ1008" s="4"/>
      <c r="AK1008" s="4"/>
    </row>
    <row r="1009" spans="1:37" ht="70" customHeight="1" x14ac:dyDescent="0.2">
      <c r="A1009" s="110"/>
      <c r="B1009" s="21"/>
      <c r="C1009" s="169"/>
      <c r="D1009" s="21"/>
      <c r="E1009" s="37"/>
      <c r="F1009" s="37"/>
      <c r="G1009" s="37"/>
      <c r="H1009" s="37"/>
      <c r="I1009" s="37"/>
      <c r="J1009" s="37"/>
      <c r="K1009" s="37"/>
      <c r="L1009" s="37"/>
      <c r="M1009" s="37"/>
      <c r="N1009" s="37"/>
      <c r="O1009" s="37"/>
      <c r="P1009" s="37"/>
      <c r="Q1009" s="37"/>
      <c r="R1009" s="21"/>
      <c r="S1009" s="37"/>
      <c r="T1009" s="4"/>
      <c r="U1009" s="37"/>
      <c r="V1009" s="37"/>
      <c r="W1009" s="37"/>
      <c r="X1009" s="37"/>
      <c r="Y1009" s="37"/>
      <c r="Z1009" s="37"/>
      <c r="AA1009" s="37"/>
      <c r="AB1009" s="37"/>
      <c r="AC1009" s="37"/>
      <c r="AD1009" s="37"/>
      <c r="AE1009" s="37"/>
      <c r="AF1009" s="37"/>
      <c r="AG1009" s="37"/>
      <c r="AH1009" s="37"/>
      <c r="AI1009" s="37"/>
      <c r="AJ1009" s="37"/>
      <c r="AK1009" s="37"/>
    </row>
    <row r="1010" spans="1:37" ht="70" customHeight="1" x14ac:dyDescent="0.2">
      <c r="A1010" s="110"/>
      <c r="B1010" s="21"/>
      <c r="C1010" s="169"/>
      <c r="D1010" s="21"/>
      <c r="E1010" s="37"/>
      <c r="F1010" s="37"/>
      <c r="G1010" s="37"/>
      <c r="H1010" s="37"/>
      <c r="I1010" s="37"/>
      <c r="J1010" s="37"/>
      <c r="K1010" s="37"/>
      <c r="L1010" s="37"/>
      <c r="M1010" s="37"/>
      <c r="N1010" s="37"/>
      <c r="O1010" s="37"/>
      <c r="P1010" s="37"/>
      <c r="Q1010" s="37"/>
      <c r="R1010" s="21"/>
      <c r="S1010" s="37"/>
      <c r="T1010" s="37"/>
      <c r="U1010" s="37"/>
      <c r="V1010" s="37"/>
      <c r="W1010" s="37"/>
      <c r="X1010" s="37"/>
      <c r="Y1010" s="37"/>
      <c r="Z1010" s="37"/>
      <c r="AA1010" s="37"/>
      <c r="AB1010" s="37"/>
      <c r="AC1010" s="37"/>
      <c r="AD1010" s="37"/>
      <c r="AE1010" s="37"/>
      <c r="AF1010" s="37"/>
      <c r="AG1010" s="37"/>
      <c r="AH1010" s="37"/>
      <c r="AI1010" s="37"/>
      <c r="AJ1010" s="37"/>
      <c r="AK1010" s="37"/>
    </row>
    <row r="1011" spans="1:37" ht="70" customHeight="1" x14ac:dyDescent="0.2">
      <c r="A1011" s="110"/>
      <c r="B1011" s="21"/>
      <c r="C1011" s="169"/>
      <c r="D1011" s="21"/>
      <c r="E1011" s="37"/>
      <c r="F1011" s="37"/>
      <c r="G1011" s="37"/>
      <c r="H1011" s="37"/>
      <c r="I1011" s="37"/>
      <c r="J1011" s="37"/>
      <c r="K1011" s="37"/>
      <c r="L1011" s="37"/>
      <c r="M1011" s="37"/>
      <c r="N1011" s="37"/>
      <c r="O1011" s="37"/>
      <c r="P1011" s="37"/>
      <c r="Q1011" s="37"/>
      <c r="R1011" s="21"/>
      <c r="S1011" s="37"/>
      <c r="T1011" s="37"/>
      <c r="U1011" s="37"/>
      <c r="V1011" s="37"/>
      <c r="W1011" s="37"/>
      <c r="X1011" s="37"/>
      <c r="Y1011" s="37"/>
      <c r="Z1011" s="37"/>
      <c r="AA1011" s="37"/>
      <c r="AB1011" s="37"/>
      <c r="AC1011" s="37"/>
      <c r="AD1011" s="37"/>
      <c r="AE1011" s="37"/>
      <c r="AF1011" s="37"/>
      <c r="AG1011" s="37"/>
      <c r="AH1011" s="37"/>
      <c r="AI1011" s="37"/>
      <c r="AJ1011" s="37"/>
      <c r="AK1011" s="37"/>
    </row>
    <row r="1012" spans="1:37" ht="70" customHeight="1" x14ac:dyDescent="0.2">
      <c r="A1012" s="110"/>
      <c r="B1012" s="21"/>
      <c r="C1012" s="169"/>
      <c r="D1012" s="21"/>
      <c r="E1012" s="37"/>
      <c r="F1012" s="37"/>
      <c r="G1012" s="37"/>
      <c r="H1012" s="37"/>
      <c r="I1012" s="37"/>
      <c r="J1012" s="37"/>
      <c r="K1012" s="37"/>
      <c r="L1012" s="37"/>
      <c r="M1012" s="37"/>
      <c r="N1012" s="37"/>
      <c r="O1012" s="37"/>
      <c r="P1012" s="37"/>
      <c r="Q1012" s="37"/>
      <c r="R1012" s="21"/>
      <c r="S1012" s="37"/>
      <c r="T1012" s="37"/>
      <c r="U1012" s="37"/>
      <c r="V1012" s="37"/>
      <c r="W1012" s="37"/>
      <c r="X1012" s="37"/>
      <c r="Y1012" s="37"/>
      <c r="Z1012" s="37"/>
      <c r="AA1012" s="37"/>
      <c r="AB1012" s="37"/>
      <c r="AC1012" s="37"/>
      <c r="AD1012" s="37"/>
      <c r="AE1012" s="37"/>
      <c r="AF1012" s="37"/>
      <c r="AG1012" s="37"/>
      <c r="AH1012" s="37"/>
      <c r="AI1012" s="37"/>
      <c r="AJ1012" s="37"/>
      <c r="AK1012" s="37"/>
    </row>
    <row r="1013" spans="1:37" ht="70" customHeight="1" x14ac:dyDescent="0.2">
      <c r="A1013" s="110"/>
      <c r="B1013" s="21"/>
      <c r="C1013" s="169"/>
      <c r="D1013" s="21"/>
      <c r="E1013" s="37"/>
      <c r="F1013" s="37"/>
      <c r="G1013" s="37"/>
      <c r="H1013" s="37"/>
      <c r="I1013" s="37"/>
      <c r="J1013" s="37"/>
      <c r="K1013" s="37"/>
      <c r="L1013" s="37"/>
      <c r="M1013" s="37"/>
      <c r="N1013" s="37"/>
      <c r="O1013" s="37"/>
      <c r="P1013" s="37"/>
      <c r="Q1013" s="37"/>
      <c r="R1013" s="21"/>
      <c r="S1013" s="37"/>
      <c r="T1013" s="37"/>
      <c r="U1013" s="37"/>
      <c r="V1013" s="37"/>
      <c r="W1013" s="37"/>
      <c r="X1013" s="37"/>
      <c r="Y1013" s="37"/>
      <c r="Z1013" s="37"/>
      <c r="AA1013" s="37"/>
      <c r="AB1013" s="37"/>
      <c r="AC1013" s="37"/>
      <c r="AD1013" s="37"/>
      <c r="AE1013" s="37"/>
      <c r="AF1013" s="37"/>
      <c r="AG1013" s="37"/>
      <c r="AH1013" s="37"/>
      <c r="AI1013" s="37"/>
      <c r="AJ1013" s="37"/>
      <c r="AK1013" s="37"/>
    </row>
    <row r="1014" spans="1:37" ht="70" customHeight="1" x14ac:dyDescent="0.2">
      <c r="A1014" s="110"/>
      <c r="B1014" s="21"/>
      <c r="C1014" s="169"/>
      <c r="D1014" s="21"/>
      <c r="E1014" s="37"/>
      <c r="F1014" s="37"/>
      <c r="G1014" s="37"/>
      <c r="H1014" s="37"/>
      <c r="I1014" s="37"/>
      <c r="J1014" s="37"/>
      <c r="K1014" s="37"/>
      <c r="L1014" s="37"/>
      <c r="M1014" s="37"/>
      <c r="N1014" s="37"/>
      <c r="O1014" s="37"/>
      <c r="P1014" s="37"/>
      <c r="Q1014" s="37"/>
      <c r="R1014" s="21"/>
      <c r="S1014" s="37"/>
      <c r="T1014" s="37"/>
      <c r="U1014" s="37"/>
      <c r="V1014" s="37"/>
      <c r="W1014" s="37"/>
      <c r="X1014" s="37"/>
      <c r="Y1014" s="37"/>
      <c r="Z1014" s="37"/>
      <c r="AA1014" s="37"/>
      <c r="AB1014" s="37"/>
      <c r="AC1014" s="37"/>
      <c r="AD1014" s="37"/>
      <c r="AE1014" s="37"/>
      <c r="AF1014" s="37"/>
      <c r="AG1014" s="37"/>
      <c r="AH1014" s="37"/>
      <c r="AI1014" s="37"/>
      <c r="AJ1014" s="37"/>
      <c r="AK1014" s="37"/>
    </row>
    <row r="1015" spans="1:37" ht="70" customHeight="1" x14ac:dyDescent="0.2">
      <c r="A1015" s="110"/>
      <c r="B1015" s="21"/>
      <c r="C1015" s="169"/>
      <c r="D1015" s="21"/>
      <c r="E1015" s="37"/>
      <c r="F1015" s="37"/>
      <c r="G1015" s="37"/>
      <c r="H1015" s="37"/>
      <c r="I1015" s="37"/>
      <c r="J1015" s="37"/>
      <c r="K1015" s="37"/>
      <c r="L1015" s="37"/>
      <c r="M1015" s="37"/>
      <c r="N1015" s="37"/>
      <c r="O1015" s="37"/>
      <c r="P1015" s="37"/>
      <c r="Q1015" s="37"/>
      <c r="R1015" s="21"/>
      <c r="S1015" s="37"/>
      <c r="T1015" s="37"/>
      <c r="U1015" s="37"/>
      <c r="V1015" s="37"/>
      <c r="W1015" s="37"/>
      <c r="X1015" s="37"/>
      <c r="Y1015" s="37"/>
      <c r="Z1015" s="37"/>
      <c r="AA1015" s="37"/>
      <c r="AB1015" s="37"/>
      <c r="AC1015" s="37"/>
      <c r="AD1015" s="37"/>
      <c r="AE1015" s="37"/>
      <c r="AF1015" s="37"/>
      <c r="AG1015" s="37"/>
      <c r="AH1015" s="37"/>
      <c r="AI1015" s="37"/>
      <c r="AJ1015" s="37"/>
      <c r="AK1015" s="37"/>
    </row>
    <row r="1016" spans="1:37" ht="70" customHeight="1" x14ac:dyDescent="0.2">
      <c r="A1016" s="110"/>
      <c r="B1016" s="21"/>
      <c r="C1016" s="169"/>
      <c r="D1016" s="21"/>
      <c r="E1016" s="37"/>
      <c r="F1016" s="37"/>
      <c r="G1016" s="37"/>
      <c r="H1016" s="37"/>
      <c r="I1016" s="37"/>
      <c r="J1016" s="37"/>
      <c r="K1016" s="37"/>
      <c r="L1016" s="37"/>
      <c r="M1016" s="37"/>
      <c r="N1016" s="37"/>
      <c r="O1016" s="37"/>
      <c r="P1016" s="37"/>
      <c r="Q1016" s="37"/>
      <c r="R1016" s="21"/>
      <c r="S1016" s="37"/>
      <c r="T1016" s="37"/>
      <c r="U1016" s="37"/>
      <c r="V1016" s="37"/>
      <c r="W1016" s="37"/>
      <c r="X1016" s="37"/>
      <c r="Y1016" s="37"/>
      <c r="Z1016" s="37"/>
      <c r="AA1016" s="37"/>
      <c r="AB1016" s="37"/>
      <c r="AC1016" s="37"/>
      <c r="AD1016" s="37"/>
      <c r="AE1016" s="37"/>
      <c r="AF1016" s="37"/>
      <c r="AG1016" s="37"/>
      <c r="AH1016" s="37"/>
      <c r="AI1016" s="37"/>
      <c r="AJ1016" s="37"/>
      <c r="AK1016" s="37"/>
    </row>
    <row r="1017" spans="1:37" ht="70" customHeight="1" x14ac:dyDescent="0.2">
      <c r="A1017" s="110"/>
      <c r="B1017" s="21"/>
      <c r="C1017" s="169"/>
      <c r="D1017" s="21"/>
      <c r="E1017" s="37"/>
      <c r="F1017" s="37"/>
      <c r="G1017" s="37"/>
      <c r="H1017" s="37"/>
      <c r="I1017" s="37"/>
      <c r="J1017" s="37"/>
      <c r="K1017" s="37"/>
      <c r="L1017" s="37"/>
      <c r="M1017" s="37"/>
      <c r="N1017" s="37"/>
      <c r="O1017" s="37"/>
      <c r="P1017" s="37"/>
      <c r="Q1017" s="37"/>
      <c r="R1017" s="21"/>
      <c r="S1017" s="37"/>
      <c r="T1017" s="37"/>
      <c r="U1017" s="37"/>
      <c r="V1017" s="37"/>
      <c r="W1017" s="37"/>
      <c r="X1017" s="37"/>
      <c r="Y1017" s="37"/>
      <c r="Z1017" s="37"/>
      <c r="AA1017" s="37"/>
      <c r="AB1017" s="37"/>
      <c r="AC1017" s="37"/>
      <c r="AD1017" s="37"/>
      <c r="AE1017" s="37"/>
      <c r="AF1017" s="37"/>
      <c r="AG1017" s="37"/>
      <c r="AH1017" s="37"/>
      <c r="AI1017" s="37"/>
      <c r="AJ1017" s="37"/>
      <c r="AK1017" s="37"/>
    </row>
    <row r="1018" spans="1:37" ht="70" customHeight="1" x14ac:dyDescent="0.2">
      <c r="A1018" s="110"/>
      <c r="B1018" s="21"/>
      <c r="C1018" s="169"/>
      <c r="D1018" s="21"/>
      <c r="E1018" s="37"/>
      <c r="F1018" s="37"/>
      <c r="G1018" s="37"/>
      <c r="H1018" s="37"/>
      <c r="I1018" s="37"/>
      <c r="J1018" s="37"/>
      <c r="K1018" s="37"/>
      <c r="L1018" s="37"/>
      <c r="M1018" s="37"/>
      <c r="N1018" s="37"/>
      <c r="O1018" s="37"/>
      <c r="P1018" s="37"/>
      <c r="Q1018" s="37"/>
      <c r="R1018" s="21"/>
      <c r="S1018" s="37"/>
      <c r="T1018" s="37"/>
      <c r="U1018" s="37"/>
      <c r="V1018" s="37"/>
      <c r="W1018" s="37"/>
      <c r="X1018" s="37"/>
      <c r="Y1018" s="37"/>
      <c r="Z1018" s="37"/>
      <c r="AA1018" s="37"/>
      <c r="AB1018" s="37"/>
      <c r="AC1018" s="37"/>
      <c r="AD1018" s="37"/>
      <c r="AE1018" s="37"/>
      <c r="AF1018" s="37"/>
      <c r="AG1018" s="37"/>
      <c r="AH1018" s="37"/>
      <c r="AI1018" s="37"/>
      <c r="AJ1018" s="37"/>
      <c r="AK1018" s="37"/>
    </row>
    <row r="1019" spans="1:37" ht="70" customHeight="1" x14ac:dyDescent="0.2">
      <c r="A1019" s="110"/>
      <c r="B1019" s="21"/>
      <c r="C1019" s="169"/>
      <c r="D1019" s="21"/>
      <c r="E1019" s="37"/>
      <c r="F1019" s="37"/>
      <c r="G1019" s="37"/>
      <c r="H1019" s="37"/>
      <c r="I1019" s="37"/>
      <c r="J1019" s="37"/>
      <c r="K1019" s="37"/>
      <c r="L1019" s="37"/>
      <c r="M1019" s="37"/>
      <c r="N1019" s="37"/>
      <c r="O1019" s="37"/>
      <c r="P1019" s="37"/>
      <c r="Q1019" s="37"/>
      <c r="R1019" s="21"/>
      <c r="S1019" s="37"/>
      <c r="T1019" s="37"/>
      <c r="U1019" s="37"/>
      <c r="V1019" s="37"/>
      <c r="W1019" s="37"/>
      <c r="X1019" s="37"/>
      <c r="Y1019" s="37"/>
      <c r="Z1019" s="37"/>
      <c r="AA1019" s="37"/>
      <c r="AB1019" s="37"/>
      <c r="AC1019" s="37"/>
      <c r="AD1019" s="37"/>
      <c r="AE1019" s="37"/>
      <c r="AF1019" s="37"/>
      <c r="AG1019" s="37"/>
      <c r="AH1019" s="37"/>
      <c r="AI1019" s="37"/>
      <c r="AJ1019" s="37"/>
      <c r="AK1019" s="37"/>
    </row>
    <row r="1020" spans="1:37" ht="70" customHeight="1" x14ac:dyDescent="0.2">
      <c r="A1020" s="110"/>
      <c r="B1020" s="21"/>
      <c r="C1020" s="169"/>
      <c r="D1020" s="21"/>
      <c r="E1020" s="37"/>
      <c r="F1020" s="37"/>
      <c r="G1020" s="37"/>
      <c r="H1020" s="37"/>
      <c r="I1020" s="37"/>
      <c r="J1020" s="37"/>
      <c r="K1020" s="37"/>
      <c r="L1020" s="37"/>
      <c r="M1020" s="37"/>
      <c r="N1020" s="37"/>
      <c r="O1020" s="37"/>
      <c r="P1020" s="37"/>
      <c r="Q1020" s="37"/>
      <c r="R1020" s="37"/>
      <c r="S1020" s="37"/>
      <c r="T1020" s="37"/>
      <c r="U1020" s="37"/>
      <c r="V1020" s="37"/>
      <c r="W1020" s="37"/>
      <c r="X1020" s="37"/>
      <c r="Y1020" s="37"/>
      <c r="Z1020" s="37"/>
      <c r="AA1020" s="37"/>
      <c r="AB1020" s="37"/>
      <c r="AC1020" s="37"/>
      <c r="AD1020" s="37"/>
      <c r="AE1020" s="37"/>
      <c r="AF1020" s="37"/>
      <c r="AG1020" s="37"/>
      <c r="AH1020" s="37"/>
      <c r="AI1020" s="37"/>
      <c r="AJ1020" s="37"/>
      <c r="AK1020" s="37"/>
    </row>
    <row r="1021" spans="1:37" ht="70" customHeight="1" x14ac:dyDescent="0.2">
      <c r="A1021" s="110"/>
      <c r="B1021" s="21"/>
      <c r="C1021" s="169"/>
      <c r="D1021" s="21"/>
      <c r="E1021" s="37"/>
      <c r="F1021" s="37"/>
      <c r="G1021" s="37"/>
      <c r="H1021" s="37"/>
      <c r="I1021" s="37"/>
      <c r="J1021" s="37"/>
      <c r="K1021" s="37"/>
      <c r="L1021" s="37"/>
      <c r="M1021" s="37"/>
      <c r="N1021" s="37"/>
      <c r="O1021" s="37"/>
      <c r="P1021" s="37"/>
      <c r="Q1021" s="37"/>
      <c r="R1021" s="37"/>
      <c r="S1021" s="37"/>
      <c r="T1021" s="37"/>
      <c r="U1021" s="37"/>
      <c r="V1021" s="37"/>
      <c r="W1021" s="37"/>
      <c r="X1021" s="37"/>
      <c r="Y1021" s="37"/>
      <c r="Z1021" s="37"/>
      <c r="AA1021" s="37"/>
      <c r="AB1021" s="37"/>
      <c r="AC1021" s="37"/>
      <c r="AD1021" s="37"/>
      <c r="AE1021" s="37"/>
      <c r="AF1021" s="37"/>
      <c r="AG1021" s="37"/>
      <c r="AH1021" s="37"/>
      <c r="AI1021" s="37"/>
      <c r="AJ1021" s="37"/>
      <c r="AK1021" s="37"/>
    </row>
    <row r="1022" spans="1:37" ht="70" customHeight="1" x14ac:dyDescent="0.2">
      <c r="A1022" s="110"/>
      <c r="B1022" s="21"/>
      <c r="C1022" s="169"/>
      <c r="D1022" s="21"/>
      <c r="E1022" s="37"/>
      <c r="F1022" s="37"/>
      <c r="G1022" s="37"/>
      <c r="H1022" s="37"/>
      <c r="I1022" s="37"/>
      <c r="J1022" s="37"/>
      <c r="K1022" s="37"/>
      <c r="L1022" s="37"/>
      <c r="M1022" s="37"/>
      <c r="N1022" s="37"/>
      <c r="O1022" s="37"/>
      <c r="P1022" s="37"/>
      <c r="Q1022" s="37"/>
      <c r="R1022" s="37"/>
      <c r="S1022" s="37"/>
      <c r="T1022" s="37"/>
      <c r="U1022" s="37"/>
      <c r="V1022" s="37"/>
      <c r="W1022" s="37"/>
      <c r="X1022" s="37"/>
      <c r="Y1022" s="37"/>
      <c r="Z1022" s="37"/>
      <c r="AA1022" s="37"/>
      <c r="AB1022" s="37"/>
      <c r="AC1022" s="37"/>
      <c r="AD1022" s="37"/>
      <c r="AE1022" s="37"/>
      <c r="AF1022" s="37"/>
      <c r="AG1022" s="37"/>
      <c r="AH1022" s="37"/>
      <c r="AI1022" s="37"/>
      <c r="AJ1022" s="37"/>
      <c r="AK1022" s="37"/>
    </row>
    <row r="1023" spans="1:37" ht="70" customHeight="1" x14ac:dyDescent="0.2">
      <c r="A1023" s="110"/>
      <c r="B1023" s="21"/>
      <c r="C1023" s="169"/>
      <c r="D1023" s="21"/>
      <c r="E1023" s="37"/>
      <c r="F1023" s="37"/>
      <c r="G1023" s="37"/>
      <c r="H1023" s="37"/>
      <c r="I1023" s="37"/>
      <c r="J1023" s="37"/>
      <c r="K1023" s="37"/>
      <c r="L1023" s="37"/>
      <c r="M1023" s="37"/>
      <c r="N1023" s="37"/>
      <c r="O1023" s="37"/>
      <c r="P1023" s="37"/>
      <c r="Q1023" s="37"/>
      <c r="R1023" s="37"/>
      <c r="S1023" s="37"/>
      <c r="T1023" s="37"/>
      <c r="U1023" s="37"/>
      <c r="V1023" s="37"/>
      <c r="W1023" s="37"/>
      <c r="X1023" s="37"/>
      <c r="Y1023" s="37"/>
      <c r="Z1023" s="37"/>
      <c r="AA1023" s="37"/>
      <c r="AB1023" s="37"/>
      <c r="AC1023" s="37"/>
      <c r="AD1023" s="37"/>
      <c r="AE1023" s="37"/>
      <c r="AF1023" s="37"/>
      <c r="AG1023" s="37"/>
      <c r="AH1023" s="37"/>
      <c r="AI1023" s="37"/>
      <c r="AJ1023" s="37"/>
      <c r="AK1023" s="37"/>
    </row>
    <row r="1024" spans="1:37" ht="70" customHeight="1" x14ac:dyDescent="0.2">
      <c r="A1024" s="110"/>
      <c r="B1024" s="21"/>
      <c r="C1024" s="169"/>
      <c r="D1024" s="21"/>
      <c r="E1024" s="37"/>
      <c r="F1024" s="37"/>
      <c r="G1024" s="37"/>
      <c r="H1024" s="37"/>
      <c r="I1024" s="37"/>
      <c r="J1024" s="37"/>
      <c r="K1024" s="37"/>
      <c r="L1024" s="37"/>
      <c r="M1024" s="37"/>
      <c r="N1024" s="37"/>
      <c r="O1024" s="37"/>
      <c r="P1024" s="37"/>
      <c r="Q1024" s="37"/>
      <c r="R1024" s="37"/>
      <c r="S1024" s="37"/>
      <c r="T1024" s="37"/>
      <c r="U1024" s="37"/>
      <c r="V1024" s="37"/>
      <c r="W1024" s="37"/>
      <c r="X1024" s="37"/>
      <c r="Y1024" s="37"/>
      <c r="Z1024" s="37"/>
      <c r="AA1024" s="37"/>
      <c r="AB1024" s="37"/>
      <c r="AC1024" s="37"/>
      <c r="AD1024" s="37"/>
      <c r="AE1024" s="37"/>
      <c r="AF1024" s="37"/>
      <c r="AG1024" s="37"/>
      <c r="AH1024" s="37"/>
      <c r="AI1024" s="37"/>
      <c r="AJ1024" s="37"/>
      <c r="AK1024" s="37"/>
    </row>
  </sheetData>
  <autoFilter ref="A1:AK164" xr:uid="{00000000-0009-0000-0000-000000000000}">
    <sortState xmlns:xlrd2="http://schemas.microsoft.com/office/spreadsheetml/2017/richdata2" ref="A44:AK163">
      <sortCondition ref="A1:A164"/>
    </sortState>
  </autoFilter>
  <hyperlinks>
    <hyperlink ref="R20" r:id="rId1" xr:uid="{00000000-0004-0000-0000-000000000000}"/>
    <hyperlink ref="S20" r:id="rId2" xr:uid="{00000000-0004-0000-0000-000001000000}"/>
    <hyperlink ref="R24" r:id="rId3" xr:uid="{00000000-0004-0000-0000-000002000000}"/>
    <hyperlink ref="S24" r:id="rId4" xr:uid="{00000000-0004-0000-0000-000003000000}"/>
    <hyperlink ref="R31" r:id="rId5" location=":~:text=China%20has%20ordered%20tour%20agencies,open%20provocation%20to%20Chinese%20tourists.%E2%80%9D" xr:uid="{00000000-0004-0000-0000-000004000000}"/>
    <hyperlink ref="S31" r:id="rId6" xr:uid="{00000000-0004-0000-0000-000005000000}"/>
    <hyperlink ref="R39" r:id="rId7" xr:uid="{00000000-0004-0000-0000-000006000000}"/>
    <hyperlink ref="S39" r:id="rId8" xr:uid="{00000000-0004-0000-0000-000007000000}"/>
    <hyperlink ref="R40" r:id="rId9" xr:uid="{00000000-0004-0000-0000-000008000000}"/>
    <hyperlink ref="S40" r:id="rId10" xr:uid="{00000000-0004-0000-0000-000009000000}"/>
    <hyperlink ref="T40" r:id="rId11" xr:uid="{00000000-0004-0000-0000-00000A000000}"/>
    <hyperlink ref="R41" r:id="rId12" location="audi-1" xr:uid="{00000000-0004-0000-0000-00000B000000}"/>
    <hyperlink ref="R42" r:id="rId13" xr:uid="{00000000-0004-0000-0000-00000C000000}"/>
    <hyperlink ref="R44" r:id="rId14" xr:uid="{00000000-0004-0000-0000-00000D000000}"/>
    <hyperlink ref="S44" r:id="rId15" xr:uid="{00000000-0004-0000-0000-00000E000000}"/>
    <hyperlink ref="T44" r:id="rId16" xr:uid="{00000000-0004-0000-0000-00000F000000}"/>
    <hyperlink ref="U44" r:id="rId17" xr:uid="{00000000-0004-0000-0000-000010000000}"/>
    <hyperlink ref="R45" r:id="rId18" xr:uid="{00000000-0004-0000-0000-000011000000}"/>
    <hyperlink ref="R47" r:id="rId19" xr:uid="{00000000-0004-0000-0000-000012000000}"/>
    <hyperlink ref="R48" r:id="rId20" xr:uid="{00000000-0004-0000-0000-000013000000}"/>
    <hyperlink ref="S48" r:id="rId21" xr:uid="{00000000-0004-0000-0000-000014000000}"/>
    <hyperlink ref="R50" r:id="rId22" xr:uid="{00000000-0004-0000-0000-000015000000}"/>
    <hyperlink ref="R51" r:id="rId23" xr:uid="{00000000-0004-0000-0000-000016000000}"/>
    <hyperlink ref="S51" r:id="rId24" location="_rnd1571782331108" xr:uid="{00000000-0004-0000-0000-000017000000}"/>
    <hyperlink ref="R52" r:id="rId25" xr:uid="{00000000-0004-0000-0000-000018000000}"/>
    <hyperlink ref="R54" r:id="rId26" xr:uid="{00000000-0004-0000-0000-000019000000}"/>
    <hyperlink ref="S54" r:id="rId27" xr:uid="{00000000-0004-0000-0000-00001A000000}"/>
    <hyperlink ref="R55" r:id="rId28" xr:uid="{00000000-0004-0000-0000-00001B000000}"/>
    <hyperlink ref="R56" r:id="rId29" xr:uid="{00000000-0004-0000-0000-00001C000000}"/>
    <hyperlink ref="S56" r:id="rId30" xr:uid="{00000000-0004-0000-0000-00001D000000}"/>
    <hyperlink ref="R59" r:id="rId31" xr:uid="{00000000-0004-0000-0000-00001E000000}"/>
    <hyperlink ref="R61" r:id="rId32" xr:uid="{00000000-0004-0000-0000-00001F000000}"/>
    <hyperlink ref="S61" r:id="rId33" xr:uid="{00000000-0004-0000-0000-000020000000}"/>
    <hyperlink ref="T61" r:id="rId34" xr:uid="{00000000-0004-0000-0000-000021000000}"/>
    <hyperlink ref="R62" r:id="rId35" xr:uid="{00000000-0004-0000-0000-000022000000}"/>
    <hyperlink ref="S62" r:id="rId36" location=":~:text=FedEx%20faces%20backlash%20in%20China%20%2D%20Global%20Times&amp;text=FedEx%20has%20vowed%20to%20handle,explicit%20explanation%20and%20strict%20rectification." xr:uid="{00000000-0004-0000-0000-000023000000}"/>
    <hyperlink ref="T62" r:id="rId37" xr:uid="{00000000-0004-0000-0000-000024000000}"/>
    <hyperlink ref="R64" r:id="rId38" xr:uid="{00000000-0004-0000-0000-000025000000}"/>
    <hyperlink ref="R66" r:id="rId39" xr:uid="{00000000-0004-0000-0000-000026000000}"/>
    <hyperlink ref="R67" r:id="rId40" xr:uid="{00000000-0004-0000-0000-000027000000}"/>
    <hyperlink ref="S67" r:id="rId41" xr:uid="{00000000-0004-0000-0000-000028000000}"/>
    <hyperlink ref="T67" r:id="rId42" xr:uid="{00000000-0004-0000-0000-000029000000}"/>
    <hyperlink ref="U67" r:id="rId43" xr:uid="{00000000-0004-0000-0000-00002A000000}"/>
    <hyperlink ref="R70" r:id="rId44" xr:uid="{00000000-0004-0000-0000-00002B000000}"/>
    <hyperlink ref="S70" r:id="rId45" xr:uid="{00000000-0004-0000-0000-00002C000000}"/>
    <hyperlink ref="T70" r:id="rId46" xr:uid="{00000000-0004-0000-0000-00002D000000}"/>
    <hyperlink ref="U70" r:id="rId47" xr:uid="{00000000-0004-0000-0000-00002E000000}"/>
    <hyperlink ref="R71" r:id="rId48" xr:uid="{00000000-0004-0000-0000-00002F000000}"/>
    <hyperlink ref="S71" r:id="rId49" xr:uid="{00000000-0004-0000-0000-000030000000}"/>
    <hyperlink ref="T71" r:id="rId50" xr:uid="{00000000-0004-0000-0000-000031000000}"/>
    <hyperlink ref="U71" r:id="rId51" xr:uid="{00000000-0004-0000-0000-000032000000}"/>
    <hyperlink ref="R72" r:id="rId52" xr:uid="{00000000-0004-0000-0000-000033000000}"/>
    <hyperlink ref="S72" r:id="rId53" xr:uid="{00000000-0004-0000-0000-000034000000}"/>
    <hyperlink ref="R73" r:id="rId54" xr:uid="{00000000-0004-0000-0000-000035000000}"/>
    <hyperlink ref="S73" r:id="rId55" xr:uid="{00000000-0004-0000-0000-000036000000}"/>
    <hyperlink ref="T73" r:id="rId56" xr:uid="{00000000-0004-0000-0000-000037000000}"/>
    <hyperlink ref="R74" r:id="rId57" xr:uid="{00000000-0004-0000-0000-000038000000}"/>
    <hyperlink ref="S74" r:id="rId58" xr:uid="{00000000-0004-0000-0000-000039000000}"/>
    <hyperlink ref="R75" r:id="rId59" location="on-october-6-the-nba-responded-and-called-the-tweet-regrettable-6" xr:uid="{00000000-0004-0000-0000-00003A000000}"/>
    <hyperlink ref="R76" r:id="rId60" xr:uid="{00000000-0004-0000-0000-00003B000000}"/>
    <hyperlink ref="R77" r:id="rId61" xr:uid="{00000000-0004-0000-0000-00003C000000}"/>
    <hyperlink ref="R78" r:id="rId62" xr:uid="{00000000-0004-0000-0000-00003D000000}"/>
    <hyperlink ref="S78" r:id="rId63" xr:uid="{00000000-0004-0000-0000-00003E000000}"/>
    <hyperlink ref="T78" r:id="rId64" xr:uid="{00000000-0004-0000-0000-00003F000000}"/>
    <hyperlink ref="R79" r:id="rId65" xr:uid="{00000000-0004-0000-0000-000040000000}"/>
    <hyperlink ref="R80" r:id="rId66" xr:uid="{00000000-0004-0000-0000-000041000000}"/>
    <hyperlink ref="R81" r:id="rId67" xr:uid="{00000000-0004-0000-0000-000042000000}"/>
    <hyperlink ref="S81" r:id="rId68" xr:uid="{00000000-0004-0000-0000-000043000000}"/>
    <hyperlink ref="R82" r:id="rId69" xr:uid="{00000000-0004-0000-0000-000044000000}"/>
    <hyperlink ref="S82" r:id="rId70" xr:uid="{00000000-0004-0000-0000-000045000000}"/>
    <hyperlink ref="T82" r:id="rId71" xr:uid="{00000000-0004-0000-0000-000046000000}"/>
    <hyperlink ref="U82" r:id="rId72" xr:uid="{00000000-0004-0000-0000-000047000000}"/>
    <hyperlink ref="R83" r:id="rId73" xr:uid="{00000000-0004-0000-0000-000048000000}"/>
    <hyperlink ref="S83" r:id="rId74" xr:uid="{00000000-0004-0000-0000-000049000000}"/>
    <hyperlink ref="R85" r:id="rId75" xr:uid="{00000000-0004-0000-0000-00004A000000}"/>
    <hyperlink ref="R86" r:id="rId76" xr:uid="{00000000-0004-0000-0000-00004B000000}"/>
    <hyperlink ref="R87" r:id="rId77" xr:uid="{00000000-0004-0000-0000-00004C000000}"/>
    <hyperlink ref="S87" r:id="rId78" xr:uid="{00000000-0004-0000-0000-00004D000000}"/>
    <hyperlink ref="R89" r:id="rId79" xr:uid="{00000000-0004-0000-0000-00004E000000}"/>
    <hyperlink ref="S89" r:id="rId80" xr:uid="{00000000-0004-0000-0000-00004F000000}"/>
    <hyperlink ref="R91" r:id="rId81" xr:uid="{00000000-0004-0000-0000-000050000000}"/>
    <hyperlink ref="S91" r:id="rId82" xr:uid="{00000000-0004-0000-0000-000051000000}"/>
    <hyperlink ref="R93" r:id="rId83" xr:uid="{00000000-0004-0000-0000-000052000000}"/>
    <hyperlink ref="S93" r:id="rId84" xr:uid="{00000000-0004-0000-0000-000053000000}"/>
    <hyperlink ref="T93" r:id="rId85" xr:uid="{00000000-0004-0000-0000-000054000000}"/>
    <hyperlink ref="U93" r:id="rId86" xr:uid="{00000000-0004-0000-0000-000055000000}"/>
    <hyperlink ref="V93" r:id="rId87" xr:uid="{00000000-0004-0000-0000-000056000000}"/>
    <hyperlink ref="R94" r:id="rId88" xr:uid="{00000000-0004-0000-0000-000057000000}"/>
    <hyperlink ref="S94" r:id="rId89" xr:uid="{00000000-0004-0000-0000-000058000000}"/>
    <hyperlink ref="R95" r:id="rId90" xr:uid="{00000000-0004-0000-0000-000059000000}"/>
    <hyperlink ref="R96" r:id="rId91" xr:uid="{00000000-0004-0000-0000-00005A000000}"/>
    <hyperlink ref="S96" r:id="rId92" xr:uid="{00000000-0004-0000-0000-00005B000000}"/>
    <hyperlink ref="R97" r:id="rId93" xr:uid="{00000000-0004-0000-0000-00005C000000}"/>
    <hyperlink ref="S97" r:id="rId94" xr:uid="{00000000-0004-0000-0000-00005D000000}"/>
    <hyperlink ref="R98" r:id="rId95" xr:uid="{00000000-0004-0000-0000-00005E000000}"/>
    <hyperlink ref="R102" r:id="rId96" xr:uid="{00000000-0004-0000-0000-00005F000000}"/>
    <hyperlink ref="R105" r:id="rId97" xr:uid="{00000000-0004-0000-0000-000060000000}"/>
    <hyperlink ref="S105" r:id="rId98" xr:uid="{00000000-0004-0000-0000-000061000000}"/>
    <hyperlink ref="R106" r:id="rId99" xr:uid="{00000000-0004-0000-0000-000062000000}"/>
    <hyperlink ref="S106" r:id="rId100" xr:uid="{00000000-0004-0000-0000-000063000000}"/>
    <hyperlink ref="T106" r:id="rId101" xr:uid="{00000000-0004-0000-0000-000064000000}"/>
    <hyperlink ref="R107" r:id="rId102" xr:uid="{00000000-0004-0000-0000-000065000000}"/>
    <hyperlink ref="R109" r:id="rId103" xr:uid="{00000000-0004-0000-0000-000066000000}"/>
    <hyperlink ref="R110" r:id="rId104" xr:uid="{00000000-0004-0000-0000-000067000000}"/>
    <hyperlink ref="R111" r:id="rId105" xr:uid="{00000000-0004-0000-0000-000068000000}"/>
    <hyperlink ref="R112" r:id="rId106" xr:uid="{00000000-0004-0000-0000-000069000000}"/>
    <hyperlink ref="R113" r:id="rId107" xr:uid="{00000000-0004-0000-0000-00006A000000}"/>
    <hyperlink ref="R114" r:id="rId108" xr:uid="{00000000-0004-0000-0000-00006B000000}"/>
    <hyperlink ref="R115" r:id="rId109" xr:uid="{00000000-0004-0000-0000-00006C000000}"/>
    <hyperlink ref="R116" r:id="rId110" xr:uid="{00000000-0004-0000-0000-00006D000000}"/>
    <hyperlink ref="R117" r:id="rId111" xr:uid="{00000000-0004-0000-0000-00006E000000}"/>
    <hyperlink ref="R118" r:id="rId112" xr:uid="{00000000-0004-0000-0000-00006F000000}"/>
    <hyperlink ref="S118" r:id="rId113" xr:uid="{00000000-0004-0000-0000-000070000000}"/>
    <hyperlink ref="R119" r:id="rId114" xr:uid="{00000000-0004-0000-0000-000071000000}"/>
    <hyperlink ref="R120" r:id="rId115" xr:uid="{00000000-0004-0000-0000-000072000000}"/>
    <hyperlink ref="R121" r:id="rId116" xr:uid="{00000000-0004-0000-0000-000073000000}"/>
    <hyperlink ref="R122" r:id="rId117" xr:uid="{00000000-0004-0000-0000-000074000000}"/>
    <hyperlink ref="R123" r:id="rId118" xr:uid="{00000000-0004-0000-0000-000075000000}"/>
    <hyperlink ref="S123" r:id="rId119" xr:uid="{00000000-0004-0000-0000-000076000000}"/>
    <hyperlink ref="T123" r:id="rId120" xr:uid="{00000000-0004-0000-0000-000077000000}"/>
    <hyperlink ref="R124" r:id="rId121" xr:uid="{00000000-0004-0000-0000-000078000000}"/>
    <hyperlink ref="S124" r:id="rId122" xr:uid="{00000000-0004-0000-0000-000079000000}"/>
    <hyperlink ref="R125" r:id="rId123" xr:uid="{00000000-0004-0000-0000-00007A000000}"/>
    <hyperlink ref="S125" r:id="rId124" xr:uid="{00000000-0004-0000-0000-00007B000000}"/>
    <hyperlink ref="T125" r:id="rId125" xr:uid="{00000000-0004-0000-0000-00007C000000}"/>
    <hyperlink ref="R126" r:id="rId126" xr:uid="{00000000-0004-0000-0000-00007D000000}"/>
    <hyperlink ref="S126" r:id="rId127" xr:uid="{00000000-0004-0000-0000-00007E000000}"/>
    <hyperlink ref="T126" r:id="rId128" xr:uid="{00000000-0004-0000-0000-00007F000000}"/>
    <hyperlink ref="R127" r:id="rId129" xr:uid="{00000000-0004-0000-0000-000080000000}"/>
    <hyperlink ref="S128" r:id="rId130" xr:uid="{00000000-0004-0000-0000-000081000000}"/>
    <hyperlink ref="R129" r:id="rId131" xr:uid="{00000000-0004-0000-0000-000082000000}"/>
    <hyperlink ref="S129" r:id="rId132" xr:uid="{00000000-0004-0000-0000-000083000000}"/>
    <hyperlink ref="T129" r:id="rId133" xr:uid="{00000000-0004-0000-0000-000084000000}"/>
    <hyperlink ref="R130" r:id="rId134" xr:uid="{00000000-0004-0000-0000-000085000000}"/>
    <hyperlink ref="R131" r:id="rId135" xr:uid="{00000000-0004-0000-0000-000086000000}"/>
    <hyperlink ref="R132" r:id="rId136" xr:uid="{00000000-0004-0000-0000-000087000000}"/>
    <hyperlink ref="S132" r:id="rId137" xr:uid="{00000000-0004-0000-0000-000088000000}"/>
    <hyperlink ref="R133" r:id="rId138" xr:uid="{00000000-0004-0000-0000-000089000000}"/>
    <hyperlink ref="S133" r:id="rId139" xr:uid="{00000000-0004-0000-0000-00008A000000}"/>
    <hyperlink ref="R134" r:id="rId140" xr:uid="{00000000-0004-0000-0000-00008B000000}"/>
    <hyperlink ref="R135" r:id="rId141" xr:uid="{00000000-0004-0000-0000-00008C000000}"/>
    <hyperlink ref="R136" r:id="rId142" xr:uid="{00000000-0004-0000-0000-00008D000000}"/>
    <hyperlink ref="R137" r:id="rId143" xr:uid="{00000000-0004-0000-0000-00008E000000}"/>
    <hyperlink ref="R138" r:id="rId144" xr:uid="{00000000-0004-0000-0000-00008F000000}"/>
    <hyperlink ref="R139" r:id="rId145" xr:uid="{00000000-0004-0000-0000-000090000000}"/>
    <hyperlink ref="R140" r:id="rId146" xr:uid="{00000000-0004-0000-0000-000091000000}"/>
    <hyperlink ref="R141" r:id="rId147" xr:uid="{00000000-0004-0000-0000-000092000000}"/>
    <hyperlink ref="R142" r:id="rId148" xr:uid="{00000000-0004-0000-0000-000093000000}"/>
    <hyperlink ref="S142" r:id="rId149" xr:uid="{00000000-0004-0000-0000-000094000000}"/>
    <hyperlink ref="T142" r:id="rId150" xr:uid="{00000000-0004-0000-0000-000095000000}"/>
    <hyperlink ref="R143" r:id="rId151" xr:uid="{00000000-0004-0000-0000-000096000000}"/>
    <hyperlink ref="R144" r:id="rId152" xr:uid="{00000000-0004-0000-0000-000097000000}"/>
    <hyperlink ref="S144" r:id="rId153" xr:uid="{00000000-0004-0000-0000-000098000000}"/>
    <hyperlink ref="R145" r:id="rId154" xr:uid="{00000000-0004-0000-0000-000099000000}"/>
    <hyperlink ref="R146" r:id="rId155" xr:uid="{00000000-0004-0000-0000-00009A000000}"/>
    <hyperlink ref="S146" r:id="rId156" xr:uid="{00000000-0004-0000-0000-00009B000000}"/>
    <hyperlink ref="R147" r:id="rId157" xr:uid="{00000000-0004-0000-0000-00009C000000}"/>
    <hyperlink ref="S147" r:id="rId158" xr:uid="{00000000-0004-0000-0000-00009D000000}"/>
    <hyperlink ref="T147" r:id="rId159" xr:uid="{00000000-0004-0000-0000-00009E000000}"/>
    <hyperlink ref="R148" r:id="rId160" xr:uid="{00000000-0004-0000-0000-00009F000000}"/>
    <hyperlink ref="S148" r:id="rId161" xr:uid="{00000000-0004-0000-0000-0000A0000000}"/>
    <hyperlink ref="R149" r:id="rId162" xr:uid="{00000000-0004-0000-0000-0000A1000000}"/>
    <hyperlink ref="S149" r:id="rId163" xr:uid="{00000000-0004-0000-0000-0000A2000000}"/>
    <hyperlink ref="T149" r:id="rId164" xr:uid="{00000000-0004-0000-0000-0000A3000000}"/>
    <hyperlink ref="U149" r:id="rId165" xr:uid="{00000000-0004-0000-0000-0000A4000000}"/>
    <hyperlink ref="R150" r:id="rId166" xr:uid="{00000000-0004-0000-0000-0000A5000000}"/>
    <hyperlink ref="S150" r:id="rId167" xr:uid="{00000000-0004-0000-0000-0000A6000000}"/>
    <hyperlink ref="T150" r:id="rId168" xr:uid="{00000000-0004-0000-0000-0000A7000000}"/>
    <hyperlink ref="R151" r:id="rId169" xr:uid="{00000000-0004-0000-0000-0000A8000000}"/>
    <hyperlink ref="R152" r:id="rId170" xr:uid="{00000000-0004-0000-0000-0000A9000000}"/>
    <hyperlink ref="S152" r:id="rId171" xr:uid="{00000000-0004-0000-0000-0000AA000000}"/>
    <hyperlink ref="R153" r:id="rId172" xr:uid="{00000000-0004-0000-0000-0000AB000000}"/>
    <hyperlink ref="S153" r:id="rId173" location=":~:text=shall%20be%20frozen.-,All%20organizations%20and%20individuals%20within%20China%20shall%20be%20prohibited%20from,as%20of%20December%205%2C%202024." xr:uid="{00000000-0004-0000-0000-0000AC000000}"/>
    <hyperlink ref="R154" r:id="rId174" xr:uid="{00000000-0004-0000-0000-0000AD000000}"/>
    <hyperlink ref="S154" r:id="rId175" xr:uid="{00000000-0004-0000-0000-0000AE000000}"/>
    <hyperlink ref="T154" r:id="rId176" xr:uid="{00000000-0004-0000-0000-0000AF000000}"/>
    <hyperlink ref="R155" r:id="rId177" xr:uid="{00000000-0004-0000-0000-0000B0000000}"/>
    <hyperlink ref="R156" r:id="rId178" xr:uid="{00000000-0004-0000-0000-0000B1000000}"/>
    <hyperlink ref="S156" r:id="rId179" xr:uid="{00000000-0004-0000-0000-0000B2000000}"/>
    <hyperlink ref="T156" r:id="rId180" xr:uid="{00000000-0004-0000-0000-0000B3000000}"/>
    <hyperlink ref="R157" r:id="rId181" xr:uid="{00000000-0004-0000-0000-0000B4000000}"/>
    <hyperlink ref="S157" r:id="rId182" xr:uid="{00000000-0004-0000-0000-0000B5000000}"/>
    <hyperlink ref="T157" r:id="rId183" xr:uid="{00000000-0004-0000-0000-0000B6000000}"/>
    <hyperlink ref="R158" r:id="rId184" xr:uid="{00000000-0004-0000-0000-0000B7000000}"/>
    <hyperlink ref="S158" r:id="rId185" xr:uid="{00000000-0004-0000-0000-0000B8000000}"/>
    <hyperlink ref="T158" r:id="rId186" xr:uid="{00000000-0004-0000-0000-0000B9000000}"/>
    <hyperlink ref="R159" r:id="rId187" xr:uid="{00000000-0004-0000-0000-0000BA000000}"/>
    <hyperlink ref="S159" r:id="rId188" xr:uid="{00000000-0004-0000-0000-0000BB000000}"/>
    <hyperlink ref="R160" r:id="rId189" xr:uid="{00000000-0004-0000-0000-0000BC000000}"/>
    <hyperlink ref="S160" r:id="rId190" xr:uid="{00000000-0004-0000-0000-0000BD000000}"/>
    <hyperlink ref="R161" r:id="rId191" xr:uid="{00000000-0004-0000-0000-0000BE000000}"/>
    <hyperlink ref="S161" r:id="rId192" xr:uid="{00000000-0004-0000-0000-0000BF000000}"/>
    <hyperlink ref="U161" r:id="rId193" xr:uid="{00000000-0004-0000-0000-0000C0000000}"/>
    <hyperlink ref="V161" r:id="rId194" xr:uid="{00000000-0004-0000-0000-0000C1000000}"/>
    <hyperlink ref="R162" r:id="rId195" xr:uid="{00000000-0004-0000-0000-0000C2000000}"/>
    <hyperlink ref="S162" r:id="rId196" xr:uid="{00000000-0004-0000-0000-0000C3000000}"/>
    <hyperlink ref="T162" r:id="rId197" xr:uid="{00000000-0004-0000-0000-0000C4000000}"/>
    <hyperlink ref="V162" r:id="rId198" xr:uid="{00000000-0004-0000-0000-0000C5000000}"/>
    <hyperlink ref="W162" r:id="rId199" xr:uid="{00000000-0004-0000-0000-0000C6000000}"/>
    <hyperlink ref="X162" r:id="rId200" xr:uid="{00000000-0004-0000-0000-0000C7000000}"/>
    <hyperlink ref="R163" r:id="rId201" xr:uid="{00000000-0004-0000-0000-0000C8000000}"/>
    <hyperlink ref="S163" r:id="rId202" xr:uid="{00000000-0004-0000-0000-0000C9000000}"/>
    <hyperlink ref="T163" r:id="rId203" xr:uid="{00000000-0004-0000-0000-0000CA000000}"/>
    <hyperlink ref="U163" r:id="rId204" xr:uid="{00000000-0004-0000-0000-0000CB000000}"/>
    <hyperlink ref="V163" r:id="rId205" xr:uid="{00000000-0004-0000-0000-0000CC000000}"/>
    <hyperlink ref="U162" r:id="rId206" xr:uid="{7D5174F9-22B7-334C-A68A-8494A109B2C0}"/>
    <hyperlink ref="T161" r:id="rId207" xr:uid="{F0C448B7-D2BC-5E47-B3AC-D45AF4C1D0D6}"/>
    <hyperlink ref="R164" r:id="rId208" xr:uid="{024A7987-C435-E945-82CD-BBC4A727AE42}"/>
    <hyperlink ref="T152" r:id="rId209" xr:uid="{BBCC82CD-44B6-054D-A8A5-85074BFF2C67}"/>
    <hyperlink ref="T91" r:id="rId210" xr:uid="{87DDBB7E-DEDD-8A42-AAD4-C1A77787119F}"/>
    <hyperlink ref="S139" r:id="rId211" xr:uid="{5BB02674-4C6A-E446-BD11-FF97A5CD9D26}"/>
    <hyperlink ref="S155" r:id="rId212" xr:uid="{04D6A985-BC1A-B24A-A194-B43BAF08922F}"/>
    <hyperlink ref="S145" r:id="rId213" xr:uid="{93A50679-52C4-6A43-A712-FA0CB627933A}"/>
    <hyperlink ref="R90" r:id="rId214" xr:uid="{8A6F12E5-F99E-914D-B9A2-8FBC6767D685}"/>
    <hyperlink ref="R169" r:id="rId215" xr:uid="{4D5BDA6F-F7A2-D846-BF51-B98FE2F06F67}"/>
    <hyperlink ref="W161" r:id="rId216" xr:uid="{44787012-C431-0F4B-AA4F-A221D8B2AEF5}"/>
    <hyperlink ref="S165" r:id="rId217" xr:uid="{D4EC799A-2C33-AD41-9B10-5D9A9D3DA3D8}"/>
    <hyperlink ref="S166" r:id="rId218" xr:uid="{82865674-9F16-B943-B2B6-C0D2C2E6CC35}"/>
    <hyperlink ref="S167" r:id="rId219" xr:uid="{5A554702-D29A-1C49-BFE4-1D814C20E2C9}"/>
    <hyperlink ref="S168" r:id="rId220" xr:uid="{D8B44A98-4683-C145-BCD5-CE8734748ED5}"/>
    <hyperlink ref="S169" r:id="rId221" xr:uid="{C0013BE5-D4A9-6F45-A3CE-5BA6DC0A752D}"/>
    <hyperlink ref="R165" r:id="rId222" xr:uid="{7B13FE8F-ABB3-5B4D-A3B0-0A81391B3074}"/>
    <hyperlink ref="R166" r:id="rId223" xr:uid="{77DCF698-0286-5F4C-AC5A-3E93DA70A26C}"/>
    <hyperlink ref="R167" r:id="rId224" xr:uid="{48FF65FA-BE50-544F-9F7B-11F935AA5FF2}"/>
    <hyperlink ref="R168" r:id="rId225" xr:uid="{6DEECEBC-F930-DF48-8113-66CA85D82E27}"/>
    <hyperlink ref="R170" r:id="rId226" xr:uid="{2D5EB2B2-9919-8346-B1A6-65C95369912D}"/>
    <hyperlink ref="R171" r:id="rId227" xr:uid="{B7E11061-E627-8A4A-8BC0-87BA24136518}"/>
    <hyperlink ref="T166" r:id="rId228" xr:uid="{0494B6CF-6DF6-5F4A-B45D-9528C72C30D1}"/>
    <hyperlink ref="T167" r:id="rId229" xr:uid="{BACC0233-912E-A04D-8DA0-11F7E65E8C09}"/>
    <hyperlink ref="T172" r:id="rId230" xr:uid="{8623A626-78F9-AE4A-9648-53C2D8F6BC58}"/>
    <hyperlink ref="S172" r:id="rId231" xr:uid="{38DCE978-2ACA-F642-A7AD-67CFAEB4361A}"/>
    <hyperlink ref="R172" r:id="rId232" xr:uid="{AA27062F-0C05-F342-BFE8-2C4FD62C2E44}"/>
    <hyperlink ref="U172" r:id="rId233" xr:uid="{B68B4B85-981D-F846-A6B8-B7A8937F7285}"/>
    <hyperlink ref="V172" r:id="rId234" xr:uid="{72BB2FB4-635E-BD44-9C92-B25011D42E9D}"/>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7">
        <x14:dataValidation type="list" allowBlank="1" showErrorMessage="1" xr:uid="{00000000-0002-0000-0000-000000000000}">
          <x14:formula1>
            <xm:f>Dropdowns!$G$4:$G$5</xm:f>
          </x14:formula1>
          <xm:sqref>H2:H30 G31:H31 H32:H1008</xm:sqref>
        </x14:dataValidation>
        <x14:dataValidation type="list" allowBlank="1" showErrorMessage="1" xr:uid="{00000000-0002-0000-0000-000002000000}">
          <x14:formula1>
            <xm:f>Dropdowns!$F$4:$F$8</xm:f>
          </x14:formula1>
          <xm:sqref>G2:G30 G32:G1019</xm:sqref>
        </x14:dataValidation>
        <x14:dataValidation type="list" allowBlank="1" showErrorMessage="1" xr:uid="{00000000-0002-0000-0000-000004000000}">
          <x14:formula1>
            <xm:f>Dropdowns!$B$4:$B$9</xm:f>
          </x14:formula1>
          <xm:sqref>E2:E1024</xm:sqref>
        </x14:dataValidation>
        <x14:dataValidation type="list" allowBlank="1" showErrorMessage="1" xr:uid="{07D46D02-9337-4743-AF12-B73A9A673032}">
          <x14:formula1>
            <xm:f>Dropdowns!$K$4:$K$205</xm:f>
          </x14:formula1>
          <xm:sqref>L2:L1048576</xm:sqref>
        </x14:dataValidation>
        <x14:dataValidation type="list" allowBlank="1" showInputMessage="1" showErrorMessage="1" xr:uid="{C949F03C-48D1-0345-9F15-EF22BE7D4C9B}">
          <x14:formula1>
            <xm:f>Dropdowns!$E$4:$E$14</xm:f>
          </x14:formula1>
          <xm:sqref>D2:D1048576</xm:sqref>
        </x14:dataValidation>
        <x14:dataValidation type="list" allowBlank="1" showErrorMessage="1" xr:uid="{00000000-0002-0000-0000-000001000000}">
          <x14:formula1>
            <xm:f>Dropdowns!$L$4:$L$25</xm:f>
          </x14:formula1>
          <xm:sqref>M2:M1024</xm:sqref>
        </x14:dataValidation>
        <x14:dataValidation type="list" allowBlank="1" showInputMessage="1" showErrorMessage="1" xr:uid="{06E62A6A-BEA5-1F41-BF2F-6BB9BE258311}">
          <x14:formula1>
            <xm:f>Dropdowns!$D$4:$D$6</xm:f>
          </x14:formula1>
          <xm:sqref>C2:C1048576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9A774A-A0B1-8540-9320-09DE80AC669E}">
  <sheetPr codeName="Sheet5"/>
  <dimension ref="A1:FI444"/>
  <sheetViews>
    <sheetView topLeftCell="D301" zoomScale="94" zoomScaleNormal="111" workbookViewId="0">
      <selection activeCell="G441" sqref="G441"/>
    </sheetView>
  </sheetViews>
  <sheetFormatPr baseColWidth="10" defaultRowHeight="16" x14ac:dyDescent="0.2"/>
  <cols>
    <col min="1" max="1" width="15.33203125" style="98" customWidth="1"/>
    <col min="2" max="2" width="37.33203125" style="98" customWidth="1"/>
    <col min="3" max="3" width="7" style="98" customWidth="1"/>
    <col min="4" max="4" width="46.1640625" style="98" customWidth="1"/>
    <col min="5" max="10" width="10.83203125" style="98" customWidth="1"/>
    <col min="11" max="11" width="15.1640625" style="98" bestFit="1" customWidth="1"/>
    <col min="12" max="12" width="20.83203125" style="98" customWidth="1"/>
    <col min="13" max="13" width="14.5" style="98" bestFit="1" customWidth="1"/>
    <col min="14" max="14" width="15.1640625" style="98" bestFit="1" customWidth="1"/>
    <col min="15" max="15" width="12.83203125" style="98" bestFit="1" customWidth="1"/>
    <col min="16" max="17" width="10.83203125" style="98"/>
    <col min="18" max="18" width="11.33203125" style="98" customWidth="1"/>
    <col min="19" max="19" width="10.83203125" style="98"/>
    <col min="20" max="20" width="14.83203125" style="98" customWidth="1"/>
    <col min="21" max="21" width="16.33203125" style="98" customWidth="1"/>
    <col min="22" max="22" width="15.5" style="98" bestFit="1" customWidth="1"/>
    <col min="23" max="23" width="15.1640625" style="98" bestFit="1" customWidth="1"/>
    <col min="24" max="24" width="11.6640625" style="98" bestFit="1" customWidth="1"/>
    <col min="25" max="25" width="14.5" style="98" bestFit="1" customWidth="1"/>
    <col min="26" max="26" width="15.1640625" style="98" bestFit="1" customWidth="1"/>
    <col min="27" max="27" width="12.83203125" style="98" bestFit="1" customWidth="1"/>
    <col min="28" max="28" width="14.33203125" style="98" bestFit="1" customWidth="1"/>
    <col min="29" max="29" width="17" style="98" bestFit="1" customWidth="1"/>
    <col min="30" max="30" width="15.33203125" style="98" bestFit="1" customWidth="1"/>
    <col min="31" max="31" width="4.83203125" style="98" bestFit="1" customWidth="1"/>
    <col min="32" max="32" width="11.6640625" style="98" bestFit="1" customWidth="1"/>
    <col min="33" max="33" width="15.5" style="98" bestFit="1" customWidth="1"/>
    <col min="34" max="34" width="15.33203125" style="98" bestFit="1" customWidth="1"/>
    <col min="35" max="35" width="12.83203125" style="98" bestFit="1" customWidth="1"/>
    <col min="36" max="36" width="11" style="98" bestFit="1" customWidth="1"/>
    <col min="37" max="37" width="13.5" style="98" bestFit="1" customWidth="1"/>
    <col min="38" max="38" width="9.33203125" style="98" bestFit="1" customWidth="1"/>
    <col min="39" max="39" width="11.6640625" style="98" bestFit="1" customWidth="1"/>
    <col min="40" max="40" width="17.33203125" style="98" bestFit="1" customWidth="1"/>
    <col min="41" max="41" width="13.6640625" style="98" bestFit="1" customWidth="1"/>
    <col min="42" max="42" width="36.33203125" style="98" bestFit="1" customWidth="1"/>
    <col min="43" max="43" width="27.33203125" style="98" bestFit="1" customWidth="1"/>
    <col min="44" max="44" width="20.1640625" style="98" bestFit="1" customWidth="1"/>
    <col min="45" max="45" width="17.33203125" style="98" bestFit="1" customWidth="1"/>
    <col min="46" max="46" width="13.5" style="98" bestFit="1" customWidth="1"/>
    <col min="47" max="47" width="13.6640625" style="98" bestFit="1" customWidth="1"/>
    <col min="48" max="48" width="36.33203125" style="98" bestFit="1" customWidth="1"/>
    <col min="49" max="49" width="27.33203125" style="98" bestFit="1" customWidth="1"/>
    <col min="50" max="50" width="20" style="98" bestFit="1" customWidth="1"/>
    <col min="51" max="51" width="12.83203125" style="98" bestFit="1" customWidth="1"/>
    <col min="52" max="52" width="11" style="98" bestFit="1" customWidth="1"/>
    <col min="53" max="53" width="24.33203125" style="98" bestFit="1" customWidth="1"/>
    <col min="54" max="54" width="34.6640625" style="98" bestFit="1" customWidth="1"/>
    <col min="55" max="55" width="50" style="98" bestFit="1" customWidth="1"/>
    <col min="56" max="56" width="18.83203125" style="98" bestFit="1" customWidth="1"/>
    <col min="57" max="57" width="10.6640625" style="98" bestFit="1" customWidth="1"/>
    <col min="58" max="58" width="16.33203125" style="98" bestFit="1" customWidth="1"/>
    <col min="59" max="59" width="6.33203125" style="98" bestFit="1" customWidth="1"/>
    <col min="60" max="60" width="26.33203125" style="98" bestFit="1" customWidth="1"/>
    <col min="61" max="61" width="16.6640625" style="98" bestFit="1" customWidth="1"/>
    <col min="62" max="62" width="33.33203125" style="98" bestFit="1" customWidth="1"/>
    <col min="63" max="63" width="15.5" style="98" bestFit="1" customWidth="1"/>
    <col min="64" max="64" width="41.83203125" style="98" bestFit="1" customWidth="1"/>
    <col min="65" max="65" width="8" style="98" bestFit="1" customWidth="1"/>
    <col min="66" max="66" width="20" style="98" bestFit="1" customWidth="1"/>
    <col min="67" max="67" width="12.83203125" style="98" bestFit="1" customWidth="1"/>
    <col min="68" max="68" width="11" style="98" bestFit="1" customWidth="1"/>
    <col min="69" max="164" width="17" style="98" bestFit="1" customWidth="1"/>
    <col min="165" max="165" width="11" style="98" bestFit="1" customWidth="1"/>
    <col min="166" max="16384" width="10.83203125" style="98"/>
  </cols>
  <sheetData>
    <row r="1" spans="2:165" x14ac:dyDescent="0.2">
      <c r="H1"/>
      <c r="AB1"/>
      <c r="AC1"/>
    </row>
    <row r="2" spans="2:165" x14ac:dyDescent="0.2">
      <c r="E2" s="175" t="s">
        <v>1239</v>
      </c>
      <c r="F2" s="176"/>
      <c r="G2" s="173" t="s">
        <v>1240</v>
      </c>
      <c r="H2" s="174"/>
      <c r="I2" s="171" t="s">
        <v>1241</v>
      </c>
      <c r="J2" s="17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row>
    <row r="3" spans="2:165" x14ac:dyDescent="0.2">
      <c r="H3"/>
      <c r="J3"/>
      <c r="AB3" s="152" t="s">
        <v>1294</v>
      </c>
      <c r="AC3" s="152" t="s">
        <v>1291</v>
      </c>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row>
    <row r="4" spans="2:165" x14ac:dyDescent="0.2">
      <c r="AB4"/>
      <c r="AC4" t="s">
        <v>208</v>
      </c>
      <c r="AD4"/>
      <c r="AE4"/>
      <c r="AF4" t="s">
        <v>1295</v>
      </c>
      <c r="AG4" t="s">
        <v>27</v>
      </c>
      <c r="AH4"/>
      <c r="AI4" t="s">
        <v>1296</v>
      </c>
      <c r="AJ4" t="s">
        <v>1292</v>
      </c>
      <c r="AK4"/>
      <c r="AL4"/>
      <c r="AM4"/>
      <c r="AN4"/>
      <c r="AO4"/>
      <c r="AP4"/>
      <c r="AQ4"/>
      <c r="AR4"/>
      <c r="AS4"/>
      <c r="AT4"/>
      <c r="AU4"/>
      <c r="AV4"/>
      <c r="AW4"/>
      <c r="AX4"/>
      <c r="AY4"/>
      <c r="AZ4"/>
      <c r="BA4"/>
      <c r="BB4"/>
      <c r="BC4"/>
      <c r="BD4"/>
      <c r="BE4"/>
      <c r="BF4"/>
      <c r="BG4"/>
      <c r="BH4"/>
      <c r="BI4"/>
      <c r="BJ4"/>
      <c r="BK4"/>
      <c r="BL4"/>
      <c r="BM4"/>
      <c r="BN4"/>
      <c r="BO4"/>
      <c r="BP4"/>
    </row>
    <row r="5" spans="2:165" x14ac:dyDescent="0.2">
      <c r="B5" s="99" t="s">
        <v>1213</v>
      </c>
      <c r="D5" s="118" t="s">
        <v>1188</v>
      </c>
      <c r="E5" s="98">
        <f>COUNTA('Master Sheet'!A:A)-1</f>
        <v>171</v>
      </c>
      <c r="U5"/>
      <c r="V5"/>
      <c r="W5"/>
      <c r="X5"/>
      <c r="Y5"/>
      <c r="Z5"/>
      <c r="AA5"/>
      <c r="AB5" s="152" t="s">
        <v>1293</v>
      </c>
      <c r="AC5" t="s">
        <v>1118</v>
      </c>
      <c r="AD5" t="s">
        <v>1156</v>
      </c>
      <c r="AE5" t="s">
        <v>28</v>
      </c>
      <c r="AF5"/>
      <c r="AG5" t="s">
        <v>1118</v>
      </c>
      <c r="AH5" t="s">
        <v>1156</v>
      </c>
      <c r="AI5"/>
      <c r="AJ5"/>
      <c r="AK5"/>
      <c r="AL5"/>
      <c r="AM5"/>
      <c r="AN5"/>
      <c r="AO5"/>
      <c r="AP5"/>
      <c r="AQ5"/>
      <c r="AR5"/>
      <c r="AS5"/>
      <c r="AT5"/>
      <c r="AU5"/>
      <c r="AV5"/>
      <c r="AW5"/>
      <c r="AX5"/>
      <c r="AY5"/>
      <c r="AZ5"/>
      <c r="BA5"/>
      <c r="BB5"/>
      <c r="BC5"/>
      <c r="BD5"/>
      <c r="BE5"/>
      <c r="BF5"/>
      <c r="BG5"/>
      <c r="BH5"/>
      <c r="BI5"/>
      <c r="BJ5"/>
      <c r="BK5"/>
      <c r="BL5"/>
      <c r="BM5"/>
      <c r="BN5"/>
      <c r="BO5"/>
      <c r="BP5"/>
    </row>
    <row r="6" spans="2:165" x14ac:dyDescent="0.2">
      <c r="U6"/>
      <c r="V6"/>
      <c r="W6"/>
      <c r="X6"/>
      <c r="Y6"/>
      <c r="Z6"/>
      <c r="AA6"/>
      <c r="AB6" s="153" t="s">
        <v>1194</v>
      </c>
      <c r="AC6"/>
      <c r="AD6"/>
      <c r="AE6"/>
      <c r="AF6"/>
      <c r="AG6"/>
      <c r="AH6">
        <v>3</v>
      </c>
      <c r="AI6">
        <v>3</v>
      </c>
      <c r="AJ6">
        <v>3</v>
      </c>
      <c r="AK6"/>
      <c r="AL6"/>
      <c r="AM6"/>
      <c r="AN6"/>
      <c r="AO6"/>
      <c r="AP6"/>
      <c r="AQ6"/>
      <c r="AR6"/>
      <c r="AS6"/>
      <c r="AT6"/>
      <c r="AU6"/>
      <c r="AV6"/>
      <c r="AW6"/>
      <c r="AX6"/>
      <c r="AY6"/>
      <c r="AZ6"/>
      <c r="BA6"/>
      <c r="BB6"/>
      <c r="BC6"/>
      <c r="BD6"/>
      <c r="BE6"/>
      <c r="BF6"/>
      <c r="BG6"/>
      <c r="BH6"/>
      <c r="BI6"/>
      <c r="BJ6"/>
      <c r="BK6"/>
      <c r="BL6"/>
      <c r="BM6"/>
      <c r="BN6"/>
      <c r="BO6"/>
      <c r="BP6"/>
    </row>
    <row r="7" spans="2:165" x14ac:dyDescent="0.2">
      <c r="D7" s="118" t="s">
        <v>1184</v>
      </c>
      <c r="E7" s="118" t="s">
        <v>1187</v>
      </c>
      <c r="F7" s="118" t="s">
        <v>1186</v>
      </c>
      <c r="G7" s="117" t="s">
        <v>1187</v>
      </c>
      <c r="H7" s="117" t="s">
        <v>1186</v>
      </c>
      <c r="I7" s="103" t="s">
        <v>1187</v>
      </c>
      <c r="J7" s="103" t="s">
        <v>1186</v>
      </c>
      <c r="U7"/>
      <c r="V7"/>
      <c r="W7"/>
      <c r="X7"/>
      <c r="Y7"/>
      <c r="Z7"/>
      <c r="AA7"/>
      <c r="AB7" s="153" t="s">
        <v>1195</v>
      </c>
      <c r="AC7"/>
      <c r="AD7"/>
      <c r="AE7"/>
      <c r="AF7"/>
      <c r="AG7"/>
      <c r="AH7">
        <v>1</v>
      </c>
      <c r="AI7">
        <v>1</v>
      </c>
      <c r="AJ7">
        <v>1</v>
      </c>
      <c r="AK7"/>
      <c r="AL7"/>
      <c r="AM7"/>
      <c r="AN7"/>
      <c r="AO7"/>
      <c r="AP7"/>
      <c r="AQ7"/>
      <c r="AR7"/>
      <c r="AS7"/>
      <c r="AT7"/>
      <c r="AU7"/>
      <c r="AV7"/>
      <c r="AW7"/>
      <c r="AX7"/>
      <c r="AY7"/>
      <c r="AZ7"/>
      <c r="BA7"/>
      <c r="BB7"/>
      <c r="BC7"/>
      <c r="BD7"/>
      <c r="BE7"/>
      <c r="BF7"/>
      <c r="BG7"/>
      <c r="BH7"/>
      <c r="BI7"/>
      <c r="BJ7"/>
      <c r="BK7"/>
      <c r="BL7"/>
      <c r="BM7"/>
      <c r="BN7"/>
      <c r="BO7"/>
      <c r="BP7"/>
    </row>
    <row r="8" spans="2:165" x14ac:dyDescent="0.2">
      <c r="B8" s="98" t="s">
        <v>1156</v>
      </c>
      <c r="D8" s="98" t="s">
        <v>1180</v>
      </c>
      <c r="E8" s="98">
        <f>COUNTIF('Master Sheet'!C:C, "*" &amp; B8 &amp; "*")</f>
        <v>114</v>
      </c>
      <c r="F8" s="100">
        <f>E8/(E8+E9)</f>
        <v>0.6785714285714286</v>
      </c>
      <c r="G8" s="98">
        <f>COUNTIFS('Master Sheet'!C:C, "*" &amp; B8 &amp; "*", 'Master Sheet'!H:H, "Formal")</f>
        <v>24</v>
      </c>
      <c r="H8" s="100">
        <f>G8/(G8+G9)</f>
        <v>0.39344262295081966</v>
      </c>
      <c r="I8" s="98">
        <f>COUNTIFS('Master Sheet'!C:C, "*" &amp; B8 &amp; "*", 'Master Sheet'!H:H, "Informal")</f>
        <v>90</v>
      </c>
      <c r="J8" s="100">
        <f>I8/(I8+I9)</f>
        <v>0.84112149532710279</v>
      </c>
      <c r="U8"/>
      <c r="V8"/>
      <c r="W8"/>
      <c r="X8"/>
      <c r="Y8"/>
      <c r="Z8"/>
      <c r="AA8"/>
      <c r="AB8" s="153" t="s">
        <v>1196</v>
      </c>
      <c r="AC8"/>
      <c r="AD8"/>
      <c r="AE8"/>
      <c r="AF8"/>
      <c r="AG8"/>
      <c r="AH8">
        <v>7</v>
      </c>
      <c r="AI8">
        <v>7</v>
      </c>
      <c r="AJ8">
        <v>7</v>
      </c>
      <c r="AK8"/>
      <c r="AL8"/>
      <c r="AM8"/>
      <c r="AN8"/>
      <c r="AO8"/>
      <c r="AP8"/>
      <c r="AQ8"/>
      <c r="AR8"/>
      <c r="AS8"/>
      <c r="AT8"/>
      <c r="AU8"/>
      <c r="AV8"/>
      <c r="AW8"/>
      <c r="AX8"/>
      <c r="AY8"/>
      <c r="AZ8"/>
      <c r="BA8"/>
      <c r="BB8"/>
      <c r="BC8"/>
      <c r="BD8"/>
      <c r="BE8"/>
      <c r="BF8"/>
      <c r="BG8"/>
      <c r="BH8"/>
      <c r="BI8"/>
      <c r="BJ8"/>
      <c r="BK8"/>
      <c r="BL8"/>
      <c r="BM8"/>
      <c r="BN8"/>
      <c r="BO8"/>
      <c r="BP8"/>
    </row>
    <row r="9" spans="2:165" x14ac:dyDescent="0.2">
      <c r="B9" s="98" t="s">
        <v>1118</v>
      </c>
      <c r="D9" s="98" t="s">
        <v>1181</v>
      </c>
      <c r="E9" s="98">
        <f>COUNTIF('Master Sheet'!C:C, "*" &amp; B9 &amp; "*")</f>
        <v>54</v>
      </c>
      <c r="F9" s="100">
        <f>E9/(E8+E9)</f>
        <v>0.32142857142857145</v>
      </c>
      <c r="G9" s="98">
        <f>COUNTIFS('Master Sheet'!C:C, "*" &amp; B9 &amp; "*", 'Master Sheet'!H:H, "Formal")</f>
        <v>37</v>
      </c>
      <c r="H9" s="100">
        <f>G9/(G8+G9)</f>
        <v>0.60655737704918034</v>
      </c>
      <c r="I9" s="98">
        <f>COUNTIFS('Master Sheet'!C:C, "*" &amp; B9 &amp; "*", 'Master Sheet'!H:H, "Informal")</f>
        <v>17</v>
      </c>
      <c r="J9" s="100">
        <f>I9/(I8+I9)</f>
        <v>0.15887850467289719</v>
      </c>
      <c r="U9"/>
      <c r="V9"/>
      <c r="W9"/>
      <c r="X9"/>
      <c r="Y9"/>
      <c r="Z9"/>
      <c r="AA9"/>
      <c r="AB9" s="153" t="s">
        <v>1197</v>
      </c>
      <c r="AC9"/>
      <c r="AD9"/>
      <c r="AE9"/>
      <c r="AF9"/>
      <c r="AG9"/>
      <c r="AH9">
        <v>2</v>
      </c>
      <c r="AI9">
        <v>2</v>
      </c>
      <c r="AJ9">
        <v>2</v>
      </c>
      <c r="AK9"/>
      <c r="AL9"/>
      <c r="AM9"/>
      <c r="AN9"/>
      <c r="AO9"/>
      <c r="AP9"/>
      <c r="AQ9"/>
      <c r="AR9"/>
      <c r="AS9"/>
      <c r="AT9"/>
      <c r="AU9"/>
      <c r="AV9"/>
      <c r="AW9"/>
      <c r="AX9"/>
      <c r="AY9"/>
      <c r="AZ9"/>
      <c r="BA9"/>
      <c r="BB9"/>
      <c r="BC9"/>
      <c r="BD9"/>
      <c r="BE9"/>
      <c r="BF9"/>
      <c r="BG9"/>
      <c r="BH9"/>
      <c r="BI9"/>
      <c r="BJ9"/>
      <c r="BK9"/>
      <c r="BL9"/>
      <c r="BM9"/>
      <c r="BN9"/>
      <c r="BO9"/>
      <c r="BP9"/>
    </row>
    <row r="10" spans="2:165" x14ac:dyDescent="0.2">
      <c r="D10" s="99" t="s">
        <v>1182</v>
      </c>
      <c r="E10" s="99">
        <f>SUM(E8:E9)</f>
        <v>168</v>
      </c>
      <c r="F10" s="100"/>
      <c r="G10" s="99">
        <f>SUM(G8:G9)</f>
        <v>61</v>
      </c>
      <c r="I10" s="99">
        <f>SUM(I8:I9)</f>
        <v>107</v>
      </c>
      <c r="U10"/>
      <c r="V10"/>
      <c r="W10"/>
      <c r="X10"/>
      <c r="Y10"/>
      <c r="Z10"/>
      <c r="AA10"/>
      <c r="AB10" s="153" t="s">
        <v>1198</v>
      </c>
      <c r="AC10"/>
      <c r="AD10"/>
      <c r="AE10"/>
      <c r="AF10"/>
      <c r="AG10">
        <v>1</v>
      </c>
      <c r="AH10">
        <v>4</v>
      </c>
      <c r="AI10">
        <v>5</v>
      </c>
      <c r="AJ10">
        <v>5</v>
      </c>
      <c r="AK10"/>
      <c r="AL10"/>
      <c r="AM10"/>
      <c r="AN10"/>
      <c r="AO10"/>
      <c r="AP10"/>
      <c r="AQ10"/>
      <c r="AR10"/>
      <c r="AS10"/>
      <c r="AT10"/>
      <c r="AU10"/>
      <c r="AV10"/>
      <c r="AW10"/>
      <c r="AX10"/>
      <c r="AY10"/>
      <c r="AZ10"/>
      <c r="BA10"/>
      <c r="BB10"/>
      <c r="BC10"/>
      <c r="BD10"/>
      <c r="BE10"/>
      <c r="BF10"/>
      <c r="BG10"/>
      <c r="BH10"/>
      <c r="BI10"/>
      <c r="BJ10"/>
      <c r="BK10"/>
      <c r="BL10"/>
      <c r="BM10"/>
      <c r="BN10"/>
      <c r="BO10"/>
      <c r="BP10"/>
    </row>
    <row r="11" spans="2:165" x14ac:dyDescent="0.2">
      <c r="U11"/>
      <c r="V11"/>
      <c r="W11"/>
      <c r="X11"/>
      <c r="Y11"/>
      <c r="Z11"/>
      <c r="AA11"/>
      <c r="AB11" s="153" t="s">
        <v>1200</v>
      </c>
      <c r="AC11"/>
      <c r="AD11"/>
      <c r="AE11"/>
      <c r="AF11"/>
      <c r="AG11"/>
      <c r="AH11">
        <v>10</v>
      </c>
      <c r="AI11">
        <v>10</v>
      </c>
      <c r="AJ11">
        <v>10</v>
      </c>
      <c r="AK11"/>
      <c r="AL11"/>
      <c r="AM11"/>
      <c r="AN11"/>
      <c r="AO11"/>
      <c r="AP11"/>
      <c r="AQ11"/>
      <c r="AR11"/>
      <c r="AS11"/>
      <c r="AT11"/>
      <c r="AU11"/>
      <c r="AV11"/>
      <c r="AW11"/>
      <c r="AX11"/>
      <c r="AY11"/>
      <c r="AZ11"/>
      <c r="BA11"/>
      <c r="BB11"/>
      <c r="BC11"/>
      <c r="BD11"/>
      <c r="BE11"/>
      <c r="BF11"/>
      <c r="BG11"/>
      <c r="BH11"/>
      <c r="BI11"/>
      <c r="BJ11"/>
      <c r="BK11"/>
      <c r="BL11"/>
      <c r="BM11"/>
      <c r="BN11"/>
      <c r="BO11"/>
      <c r="BP11"/>
    </row>
    <row r="12" spans="2:165" x14ac:dyDescent="0.2">
      <c r="U12"/>
      <c r="V12"/>
      <c r="W12"/>
      <c r="X12"/>
      <c r="Y12"/>
      <c r="Z12"/>
      <c r="AA12"/>
      <c r="AB12" s="153" t="s">
        <v>1201</v>
      </c>
      <c r="AC12"/>
      <c r="AD12"/>
      <c r="AE12"/>
      <c r="AF12"/>
      <c r="AG12"/>
      <c r="AH12">
        <v>9</v>
      </c>
      <c r="AI12">
        <v>9</v>
      </c>
      <c r="AJ12">
        <v>9</v>
      </c>
      <c r="AK12"/>
      <c r="AL12"/>
      <c r="AM12"/>
      <c r="AN12"/>
      <c r="AO12"/>
      <c r="AP12"/>
      <c r="AQ12"/>
      <c r="AR12"/>
      <c r="AS12"/>
      <c r="AT12"/>
      <c r="AU12"/>
      <c r="AV12"/>
      <c r="AW12"/>
      <c r="AX12"/>
      <c r="AY12"/>
      <c r="AZ12"/>
      <c r="BA12"/>
      <c r="BB12"/>
      <c r="BC12"/>
      <c r="BD12"/>
      <c r="BE12"/>
      <c r="BF12"/>
      <c r="BG12"/>
      <c r="BH12"/>
      <c r="BI12"/>
      <c r="BJ12"/>
      <c r="BK12"/>
      <c r="BL12"/>
      <c r="BM12"/>
      <c r="BN12"/>
      <c r="BO12"/>
      <c r="BP12"/>
    </row>
    <row r="13" spans="2:165" x14ac:dyDescent="0.2">
      <c r="D13" s="118" t="s">
        <v>1191</v>
      </c>
      <c r="E13" s="118" t="s">
        <v>1187</v>
      </c>
      <c r="F13" s="118" t="s">
        <v>1189</v>
      </c>
      <c r="G13" s="117" t="s">
        <v>1187</v>
      </c>
      <c r="H13" s="117" t="s">
        <v>1189</v>
      </c>
      <c r="I13" s="103" t="s">
        <v>1187</v>
      </c>
      <c r="J13" s="103" t="s">
        <v>1189</v>
      </c>
      <c r="U13"/>
      <c r="V13"/>
      <c r="W13"/>
      <c r="X13"/>
      <c r="Y13"/>
      <c r="Z13"/>
      <c r="AA13"/>
      <c r="AB13" s="153" t="s">
        <v>1202</v>
      </c>
      <c r="AC13">
        <v>4</v>
      </c>
      <c r="AD13"/>
      <c r="AE13"/>
      <c r="AF13">
        <v>4</v>
      </c>
      <c r="AG13">
        <v>2</v>
      </c>
      <c r="AH13">
        <v>11</v>
      </c>
      <c r="AI13">
        <v>13</v>
      </c>
      <c r="AJ13">
        <v>17</v>
      </c>
      <c r="AK13"/>
      <c r="AL13"/>
      <c r="AM13"/>
      <c r="AN13"/>
      <c r="AO13"/>
      <c r="AP13"/>
      <c r="AQ13"/>
      <c r="AR13"/>
      <c r="AS13"/>
      <c r="AT13"/>
      <c r="AU13"/>
      <c r="AV13"/>
      <c r="AW13"/>
      <c r="AX13"/>
      <c r="AY13"/>
      <c r="AZ13"/>
      <c r="BA13"/>
      <c r="BB13"/>
      <c r="BC13"/>
      <c r="BD13"/>
      <c r="BE13"/>
      <c r="BF13"/>
      <c r="BG13"/>
      <c r="BH13"/>
      <c r="BI13"/>
      <c r="BJ13"/>
      <c r="BK13"/>
      <c r="BL13"/>
      <c r="BM13"/>
      <c r="BN13"/>
      <c r="BO13"/>
      <c r="BP13"/>
    </row>
    <row r="14" spans="2:165" x14ac:dyDescent="0.2">
      <c r="B14" s="74" t="s">
        <v>1171</v>
      </c>
      <c r="D14" s="74" t="s">
        <v>1171</v>
      </c>
      <c r="E14" s="98">
        <f>COUNTIF('Master Sheet'!D:D, "*" &amp; B14 &amp; "*")</f>
        <v>14</v>
      </c>
      <c r="F14" s="101" cm="1">
        <f t="array" ref="F14:F24">E14:E24/E5</f>
        <v>8.1871345029239762E-2</v>
      </c>
      <c r="G14" s="98">
        <f>COUNTIFS('Master Sheet'!D:D, "*" &amp; B14 &amp; "*", 'Master Sheet'!H:H, "Formal")</f>
        <v>3</v>
      </c>
      <c r="H14" s="101" cm="1">
        <f t="array" ref="H14:H24">G14:G24/G10</f>
        <v>4.9180327868852458E-2</v>
      </c>
      <c r="I14" s="98">
        <f>COUNTIFS('Master Sheet'!D:D, "*" &amp; B14 &amp; "*", 'Master Sheet'!H:H, "Informal")</f>
        <v>11</v>
      </c>
      <c r="J14" s="101" cm="1">
        <f t="array" ref="J14:J24">I14:I24/I10</f>
        <v>0.10280373831775701</v>
      </c>
      <c r="U14"/>
      <c r="V14"/>
      <c r="W14"/>
      <c r="X14"/>
      <c r="Y14"/>
      <c r="Z14"/>
      <c r="AA14"/>
      <c r="AB14" s="153" t="s">
        <v>1203</v>
      </c>
      <c r="AC14">
        <v>2</v>
      </c>
      <c r="AD14"/>
      <c r="AE14"/>
      <c r="AF14">
        <v>2</v>
      </c>
      <c r="AG14">
        <v>4</v>
      </c>
      <c r="AH14">
        <v>19</v>
      </c>
      <c r="AI14">
        <v>23</v>
      </c>
      <c r="AJ14">
        <v>25</v>
      </c>
      <c r="AK14"/>
      <c r="AL14"/>
      <c r="AM14"/>
      <c r="AN14"/>
      <c r="AO14"/>
      <c r="AP14"/>
      <c r="AQ14"/>
      <c r="AR14"/>
      <c r="AS14"/>
      <c r="AT14"/>
      <c r="AU14"/>
      <c r="AV14"/>
      <c r="AW14"/>
      <c r="AX14"/>
      <c r="AY14"/>
      <c r="AZ14"/>
      <c r="BA14"/>
      <c r="BB14"/>
      <c r="BC14"/>
      <c r="BD14"/>
      <c r="BE14"/>
      <c r="BF14"/>
      <c r="BG14"/>
      <c r="BH14"/>
      <c r="BI14"/>
      <c r="BJ14"/>
      <c r="BK14"/>
      <c r="BL14"/>
      <c r="BM14"/>
      <c r="BN14"/>
      <c r="BO14"/>
      <c r="BP14"/>
    </row>
    <row r="15" spans="2:165" x14ac:dyDescent="0.2">
      <c r="B15" s="74" t="s">
        <v>1168</v>
      </c>
      <c r="D15" s="74" t="s">
        <v>1168</v>
      </c>
      <c r="E15" s="98">
        <f>COUNTIF('Master Sheet'!D:D, "*" &amp; B15 &amp; "*")</f>
        <v>17</v>
      </c>
      <c r="F15" s="101">
        <v>9.9415204678362568E-2</v>
      </c>
      <c r="G15" s="98">
        <f>COUNTIFS('Master Sheet'!D:D, "*" &amp; B15 &amp; "*", 'Master Sheet'!H:H, "Formal")</f>
        <v>17</v>
      </c>
      <c r="H15" s="101">
        <v>0.27868852459016391</v>
      </c>
      <c r="I15" s="98">
        <f>COUNTIFS('Master Sheet'!D:D, "*" &amp; B15 &amp; "*", 'Master Sheet'!H:H, "Informal")</f>
        <v>0</v>
      </c>
      <c r="J15" s="101">
        <v>0</v>
      </c>
      <c r="K15"/>
      <c r="L15"/>
      <c r="M15"/>
      <c r="N15"/>
      <c r="O15"/>
      <c r="P15"/>
      <c r="U15"/>
      <c r="V15"/>
      <c r="W15"/>
      <c r="X15"/>
      <c r="Y15"/>
      <c r="Z15"/>
      <c r="AA15"/>
      <c r="AB15" s="153" t="s">
        <v>1204</v>
      </c>
      <c r="AC15">
        <v>3</v>
      </c>
      <c r="AD15"/>
      <c r="AE15"/>
      <c r="AF15">
        <v>3</v>
      </c>
      <c r="AG15">
        <v>1</v>
      </c>
      <c r="AH15">
        <v>6</v>
      </c>
      <c r="AI15">
        <v>7</v>
      </c>
      <c r="AJ15">
        <v>10</v>
      </c>
      <c r="AK15"/>
      <c r="AL15"/>
      <c r="AM15"/>
      <c r="AN15"/>
      <c r="AO15"/>
      <c r="AP15"/>
      <c r="AQ15"/>
      <c r="AR15"/>
      <c r="AS15"/>
      <c r="AT15"/>
      <c r="AU15"/>
      <c r="AV15"/>
      <c r="AW15"/>
      <c r="AX15"/>
      <c r="AY15"/>
      <c r="AZ15"/>
      <c r="BA15"/>
      <c r="BB15"/>
      <c r="BC15"/>
      <c r="BD15"/>
      <c r="BE15"/>
      <c r="BF15"/>
      <c r="BG15"/>
      <c r="BH15"/>
      <c r="BI15"/>
      <c r="BJ15"/>
      <c r="BK15"/>
      <c r="BL15"/>
      <c r="BM15"/>
      <c r="BN15"/>
      <c r="BO15"/>
      <c r="BP15"/>
    </row>
    <row r="16" spans="2:165" x14ac:dyDescent="0.2">
      <c r="B16" s="74" t="s">
        <v>1169</v>
      </c>
      <c r="D16" s="74" t="s">
        <v>1169</v>
      </c>
      <c r="E16" s="98">
        <f>COUNTIF('Master Sheet'!D:D, "*" &amp; B16 &amp; "*")</f>
        <v>29</v>
      </c>
      <c r="F16" s="101">
        <v>0.16959064327485379</v>
      </c>
      <c r="G16" s="98">
        <f>COUNTIFS('Master Sheet'!D:D, "*" &amp; B16 &amp; "*", 'Master Sheet'!H:H, "Formal")</f>
        <v>7</v>
      </c>
      <c r="H16" s="101">
        <v>0.11475409836065574</v>
      </c>
      <c r="I16" s="98">
        <f>COUNTIFS('Master Sheet'!D:D, "*" &amp; B16 &amp; "*", 'Master Sheet'!H:H, "Informal")</f>
        <v>22</v>
      </c>
      <c r="J16" s="101">
        <v>0.20560747663551401</v>
      </c>
      <c r="K16"/>
      <c r="L16"/>
      <c r="M16"/>
      <c r="N16"/>
      <c r="O16"/>
      <c r="P16"/>
      <c r="U16"/>
      <c r="V16"/>
      <c r="W16"/>
      <c r="X16"/>
      <c r="Y16"/>
      <c r="Z16"/>
      <c r="AA16"/>
      <c r="AB16" s="153" t="s">
        <v>1205</v>
      </c>
      <c r="AC16">
        <v>7</v>
      </c>
      <c r="AD16">
        <v>1</v>
      </c>
      <c r="AE16"/>
      <c r="AF16">
        <v>8</v>
      </c>
      <c r="AG16">
        <v>2</v>
      </c>
      <c r="AH16">
        <v>7</v>
      </c>
      <c r="AI16">
        <v>9</v>
      </c>
      <c r="AJ16">
        <v>17</v>
      </c>
      <c r="AK16"/>
      <c r="AL16"/>
      <c r="AM16"/>
      <c r="AN16"/>
      <c r="AO16"/>
      <c r="AP16"/>
      <c r="AQ16"/>
      <c r="AR16"/>
      <c r="AS16"/>
      <c r="AT16"/>
      <c r="AU16"/>
      <c r="AV16"/>
      <c r="AW16"/>
      <c r="AX16"/>
      <c r="AY16"/>
      <c r="AZ16"/>
      <c r="BA16"/>
      <c r="BB16"/>
      <c r="BC16"/>
      <c r="BD16"/>
      <c r="BE16"/>
      <c r="BF16"/>
      <c r="BG16"/>
      <c r="BH16"/>
      <c r="BI16"/>
      <c r="BJ16"/>
      <c r="BK16"/>
      <c r="BL16"/>
      <c r="BM16"/>
      <c r="BN16"/>
      <c r="BO16"/>
      <c r="BP16"/>
    </row>
    <row r="17" spans="2:68" x14ac:dyDescent="0.2">
      <c r="B17" s="74" t="s">
        <v>1164</v>
      </c>
      <c r="D17" s="74" t="s">
        <v>1164</v>
      </c>
      <c r="E17" s="98">
        <f>COUNTIF('Master Sheet'!D:D, "*" &amp; B17 &amp; "*")</f>
        <v>15</v>
      </c>
      <c r="F17" s="101">
        <v>8.771929824561403E-2</v>
      </c>
      <c r="G17" s="98">
        <f>COUNTIFS('Master Sheet'!D:D, "*" &amp; B17 &amp; "*", 'Master Sheet'!H:H, "Formal")</f>
        <v>4</v>
      </c>
      <c r="H17" s="101">
        <v>6.5573770491803282E-2</v>
      </c>
      <c r="I17" s="98">
        <f>COUNTIFS('Master Sheet'!D:D, "*" &amp; B17 &amp; "*", 'Master Sheet'!H:H, "Informal")</f>
        <v>11</v>
      </c>
      <c r="J17" s="101">
        <v>0.10280373831775701</v>
      </c>
      <c r="K17"/>
      <c r="L17"/>
      <c r="M17"/>
      <c r="N17"/>
      <c r="O17"/>
      <c r="P17"/>
      <c r="U17"/>
      <c r="V17"/>
      <c r="W17"/>
      <c r="X17"/>
      <c r="Y17"/>
      <c r="Z17"/>
      <c r="AA17"/>
      <c r="AB17" s="153" t="s">
        <v>1206</v>
      </c>
      <c r="AC17">
        <v>1</v>
      </c>
      <c r="AD17">
        <v>4</v>
      </c>
      <c r="AE17"/>
      <c r="AF17">
        <v>5</v>
      </c>
      <c r="AG17"/>
      <c r="AH17">
        <v>3</v>
      </c>
      <c r="AI17">
        <v>3</v>
      </c>
      <c r="AJ17">
        <v>8</v>
      </c>
      <c r="AK17"/>
      <c r="AL17"/>
      <c r="AM17"/>
      <c r="AN17"/>
      <c r="AO17"/>
      <c r="AP17"/>
      <c r="AQ17"/>
      <c r="AR17"/>
      <c r="AS17"/>
      <c r="AT17"/>
      <c r="AU17"/>
      <c r="AV17"/>
      <c r="AW17"/>
      <c r="AX17"/>
      <c r="AY17"/>
      <c r="AZ17"/>
      <c r="BA17"/>
      <c r="BB17"/>
      <c r="BC17"/>
      <c r="BD17"/>
      <c r="BE17"/>
      <c r="BF17"/>
      <c r="BG17"/>
      <c r="BH17"/>
      <c r="BI17"/>
      <c r="BJ17"/>
      <c r="BK17"/>
      <c r="BL17"/>
      <c r="BM17"/>
      <c r="BN17"/>
      <c r="BO17"/>
      <c r="BP17"/>
    </row>
    <row r="18" spans="2:68" x14ac:dyDescent="0.2">
      <c r="B18" s="74" t="s">
        <v>1119</v>
      </c>
      <c r="D18" s="74" t="s">
        <v>1119</v>
      </c>
      <c r="E18" s="98">
        <f>COUNTIF('Master Sheet'!D:D, "*" &amp; B18 &amp; "*")</f>
        <v>12</v>
      </c>
      <c r="F18" s="101">
        <v>7.0175438596491224E-2</v>
      </c>
      <c r="G18" s="98">
        <f>COUNTIFS('Master Sheet'!D:D, "*" &amp; B18 &amp; "*", 'Master Sheet'!H:H, "Formal")</f>
        <v>7</v>
      </c>
      <c r="H18" s="101">
        <v>0.11475409836065574</v>
      </c>
      <c r="I18" s="98">
        <f>COUNTIFS('Master Sheet'!D:D, "*" &amp; B18 &amp; "*", 'Master Sheet'!H:H, "Informal")</f>
        <v>5</v>
      </c>
      <c r="J18" s="101">
        <v>4.6728971962616821E-2</v>
      </c>
      <c r="K18"/>
      <c r="L18"/>
      <c r="M18"/>
      <c r="N18"/>
      <c r="O18"/>
      <c r="P18"/>
      <c r="U18"/>
      <c r="V18"/>
      <c r="W18"/>
      <c r="X18"/>
      <c r="Y18"/>
      <c r="Z18"/>
      <c r="AA18"/>
      <c r="AB18" s="153" t="s">
        <v>1207</v>
      </c>
      <c r="AC18">
        <v>4</v>
      </c>
      <c r="AD18">
        <v>7</v>
      </c>
      <c r="AE18">
        <v>2</v>
      </c>
      <c r="AF18">
        <v>13</v>
      </c>
      <c r="AG18"/>
      <c r="AH18">
        <v>6</v>
      </c>
      <c r="AI18">
        <v>6</v>
      </c>
      <c r="AJ18">
        <v>19</v>
      </c>
      <c r="AK18"/>
      <c r="AL18"/>
      <c r="AM18"/>
      <c r="AN18"/>
      <c r="AO18"/>
      <c r="AP18"/>
      <c r="AQ18"/>
      <c r="AR18"/>
      <c r="AS18"/>
      <c r="AT18"/>
      <c r="AU18"/>
      <c r="AV18"/>
      <c r="AW18"/>
      <c r="AX18"/>
      <c r="AY18"/>
      <c r="AZ18"/>
      <c r="BA18"/>
      <c r="BB18"/>
      <c r="BC18"/>
      <c r="BD18"/>
      <c r="BE18"/>
      <c r="BF18"/>
      <c r="BG18"/>
      <c r="BH18"/>
      <c r="BI18"/>
      <c r="BJ18"/>
      <c r="BK18"/>
      <c r="BL18"/>
      <c r="BM18"/>
      <c r="BN18"/>
      <c r="BO18"/>
      <c r="BP18"/>
    </row>
    <row r="19" spans="2:68" x14ac:dyDescent="0.2">
      <c r="B19" s="74" t="s">
        <v>1170</v>
      </c>
      <c r="D19" s="74" t="s">
        <v>1170</v>
      </c>
      <c r="E19" s="98">
        <f>COUNTIF('Master Sheet'!D:D, "*" &amp; B19 &amp; "*")</f>
        <v>9</v>
      </c>
      <c r="F19" s="101">
        <v>5.2631578947368418E-2</v>
      </c>
      <c r="G19" s="98">
        <f>COUNTIFS('Master Sheet'!D:D, "*" &amp; B19 &amp; "*", 'Master Sheet'!H:H, "Formal")</f>
        <v>3</v>
      </c>
      <c r="H19" s="101">
        <v>4.9180327868852458E-2</v>
      </c>
      <c r="I19" s="98">
        <f>COUNTIFS('Master Sheet'!D:D, "*" &amp; B19 &amp; "*", 'Master Sheet'!H:H, "Informal")</f>
        <v>6</v>
      </c>
      <c r="J19" s="101">
        <v>5.6074766355140186E-2</v>
      </c>
      <c r="K19"/>
      <c r="L19"/>
      <c r="M19"/>
      <c r="N19"/>
      <c r="O19"/>
      <c r="P19"/>
      <c r="U19"/>
      <c r="V19"/>
      <c r="W19"/>
      <c r="X19"/>
      <c r="Y19"/>
      <c r="Z19"/>
      <c r="AA19"/>
      <c r="AB19" s="153" t="s">
        <v>1208</v>
      </c>
      <c r="AC19">
        <v>6</v>
      </c>
      <c r="AD19">
        <v>10</v>
      </c>
      <c r="AE19">
        <v>1</v>
      </c>
      <c r="AF19">
        <v>17</v>
      </c>
      <c r="AG19">
        <v>3</v>
      </c>
      <c r="AH19">
        <v>1</v>
      </c>
      <c r="AI19">
        <v>4</v>
      </c>
      <c r="AJ19">
        <v>21</v>
      </c>
      <c r="AK19"/>
      <c r="AL19"/>
      <c r="AM19"/>
      <c r="AN19"/>
      <c r="AO19"/>
      <c r="AP19"/>
      <c r="AQ19"/>
      <c r="AR19"/>
      <c r="AS19"/>
      <c r="AT19"/>
      <c r="AU19"/>
      <c r="AV19"/>
      <c r="AW19"/>
      <c r="AX19"/>
      <c r="AY19"/>
      <c r="AZ19"/>
      <c r="BA19"/>
      <c r="BB19"/>
      <c r="BC19"/>
      <c r="BD19"/>
      <c r="BE19"/>
      <c r="BF19"/>
      <c r="BG19"/>
      <c r="BH19"/>
      <c r="BI19"/>
      <c r="BJ19"/>
      <c r="BK19"/>
      <c r="BL19"/>
      <c r="BM19"/>
      <c r="BN19"/>
      <c r="BO19"/>
      <c r="BP19"/>
    </row>
    <row r="20" spans="2:68" x14ac:dyDescent="0.2">
      <c r="B20" s="115" t="s">
        <v>1231</v>
      </c>
      <c r="D20" s="115" t="s">
        <v>1231</v>
      </c>
      <c r="E20" s="98">
        <f>COUNTIF('Master Sheet'!D:D, "*" &amp; B20 &amp; "*")</f>
        <v>6</v>
      </c>
      <c r="F20" s="101">
        <v>3.5087719298245612E-2</v>
      </c>
      <c r="G20" s="98">
        <f>COUNTIFS('Master Sheet'!D:D, "*" &amp; B20 &amp; "*", 'Master Sheet'!H:H, "Formal")</f>
        <v>2</v>
      </c>
      <c r="H20" s="101">
        <v>3.2786885245901641E-2</v>
      </c>
      <c r="I20" s="98">
        <f>COUNTIFS('Master Sheet'!D:D, "*" &amp; B20 &amp; "*", 'Master Sheet'!H:H, "Informal")</f>
        <v>4</v>
      </c>
      <c r="J20" s="101">
        <v>3.7383177570093455E-2</v>
      </c>
      <c r="K20"/>
      <c r="L20"/>
      <c r="M20"/>
      <c r="N20"/>
      <c r="O20"/>
      <c r="P20"/>
      <c r="U20"/>
      <c r="V20"/>
      <c r="W20"/>
      <c r="X20"/>
      <c r="Y20"/>
      <c r="Z20"/>
      <c r="AA20"/>
      <c r="AB20" s="153" t="s">
        <v>1209</v>
      </c>
      <c r="AC20">
        <v>5</v>
      </c>
      <c r="AD20">
        <v>2</v>
      </c>
      <c r="AE20"/>
      <c r="AF20">
        <v>7</v>
      </c>
      <c r="AG20">
        <v>1</v>
      </c>
      <c r="AH20">
        <v>1</v>
      </c>
      <c r="AI20">
        <v>2</v>
      </c>
      <c r="AJ20">
        <v>9</v>
      </c>
      <c r="AK20"/>
      <c r="AL20"/>
      <c r="AM20"/>
      <c r="AN20"/>
      <c r="AO20"/>
      <c r="AP20"/>
      <c r="AQ20"/>
      <c r="AR20"/>
      <c r="AS20"/>
      <c r="AT20"/>
      <c r="AU20"/>
      <c r="AV20"/>
      <c r="AW20"/>
      <c r="AX20"/>
      <c r="AY20"/>
      <c r="AZ20"/>
      <c r="BA20"/>
      <c r="BB20"/>
      <c r="BC20"/>
      <c r="BD20"/>
      <c r="BE20"/>
      <c r="BF20"/>
      <c r="BG20"/>
      <c r="BH20"/>
      <c r="BI20"/>
      <c r="BJ20"/>
      <c r="BK20"/>
      <c r="BL20"/>
      <c r="BM20"/>
      <c r="BN20"/>
      <c r="BO20"/>
      <c r="BP20"/>
    </row>
    <row r="21" spans="2:68" x14ac:dyDescent="0.2">
      <c r="B21" s="74" t="s">
        <v>1166</v>
      </c>
      <c r="D21" s="74" t="s">
        <v>1166</v>
      </c>
      <c r="E21" s="98">
        <f>COUNTIF('Master Sheet'!D:D, "*" &amp; B21 &amp; "*")</f>
        <v>18</v>
      </c>
      <c r="F21" s="101">
        <v>0.10526315789473684</v>
      </c>
      <c r="G21" s="98">
        <f>COUNTIFS('Master Sheet'!D:D, "*" &amp; B21 &amp; "*", 'Master Sheet'!H:H, "Formal")</f>
        <v>0</v>
      </c>
      <c r="H21" s="101">
        <v>0</v>
      </c>
      <c r="I21" s="98">
        <f>COUNTIFS('Master Sheet'!D:D, "*" &amp; B21 &amp; "*", 'Master Sheet'!H:H, "Informal")</f>
        <v>18</v>
      </c>
      <c r="J21" s="101">
        <v>0.16822429906542055</v>
      </c>
      <c r="K21"/>
      <c r="L21"/>
      <c r="M21"/>
      <c r="N21"/>
      <c r="O21"/>
      <c r="P21"/>
      <c r="U21"/>
      <c r="V21"/>
      <c r="W21"/>
      <c r="X21"/>
      <c r="Y21"/>
      <c r="Z21"/>
      <c r="AA21"/>
      <c r="AB21" s="153" t="s">
        <v>1292</v>
      </c>
      <c r="AC21">
        <v>32</v>
      </c>
      <c r="AD21">
        <v>24</v>
      </c>
      <c r="AE21">
        <v>3</v>
      </c>
      <c r="AF21">
        <v>59</v>
      </c>
      <c r="AG21">
        <v>14</v>
      </c>
      <c r="AH21">
        <v>90</v>
      </c>
      <c r="AI21">
        <v>104</v>
      </c>
      <c r="AJ21">
        <v>163</v>
      </c>
      <c r="AK21"/>
      <c r="AL21"/>
      <c r="AM21"/>
      <c r="AN21"/>
      <c r="AO21"/>
      <c r="AP21"/>
      <c r="AQ21"/>
      <c r="AR21"/>
      <c r="AS21"/>
      <c r="AT21"/>
      <c r="AU21"/>
      <c r="AV21"/>
      <c r="AW21"/>
      <c r="AX21"/>
      <c r="AY21"/>
      <c r="AZ21"/>
      <c r="BA21"/>
      <c r="BB21"/>
      <c r="BC21"/>
      <c r="BD21"/>
      <c r="BE21"/>
      <c r="BF21"/>
      <c r="BG21"/>
      <c r="BH21"/>
      <c r="BI21"/>
      <c r="BJ21"/>
      <c r="BK21"/>
      <c r="BL21"/>
      <c r="BM21"/>
      <c r="BN21"/>
      <c r="BO21"/>
      <c r="BP21"/>
    </row>
    <row r="22" spans="2:68" x14ac:dyDescent="0.2">
      <c r="B22" s="74" t="s">
        <v>1165</v>
      </c>
      <c r="D22" s="74" t="s">
        <v>1165</v>
      </c>
      <c r="E22" s="98">
        <f>COUNTIF('Master Sheet'!D:D, "*" &amp; B22 &amp; "*")</f>
        <v>37</v>
      </c>
      <c r="F22" s="101">
        <v>0.21637426900584794</v>
      </c>
      <c r="G22" s="98">
        <f>COUNTIFS('Master Sheet'!D:D, "*" &amp; B22 &amp; "*", 'Master Sheet'!H:H, "Formal")</f>
        <v>12</v>
      </c>
      <c r="H22" s="101">
        <v>0.19672131147540983</v>
      </c>
      <c r="I22" s="98">
        <f>COUNTIFS('Master Sheet'!D:D, "*" &amp; B22 &amp; "*", 'Master Sheet'!H:H, "Informal")</f>
        <v>25</v>
      </c>
      <c r="J22" s="101">
        <v>0.23364485981308411</v>
      </c>
      <c r="K22"/>
      <c r="L22"/>
      <c r="M22"/>
      <c r="N22"/>
      <c r="O22"/>
      <c r="P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row>
    <row r="23" spans="2:68" x14ac:dyDescent="0.2">
      <c r="B23" s="95" t="s">
        <v>1167</v>
      </c>
      <c r="D23" s="95" t="s">
        <v>1167</v>
      </c>
      <c r="E23" s="98">
        <f>COUNTIF('Master Sheet'!D:D, "*" &amp; B23 &amp; "*")</f>
        <v>22</v>
      </c>
      <c r="F23" s="101">
        <v>0.12865497076023391</v>
      </c>
      <c r="G23" s="98">
        <f>COUNTIFS('Master Sheet'!D:D, "*" &amp; B23 &amp; "*", 'Master Sheet'!H:H, "Formal")</f>
        <v>13</v>
      </c>
      <c r="H23" s="101">
        <v>0.21311475409836064</v>
      </c>
      <c r="I23" s="98">
        <f>COUNTIFS('Master Sheet'!D:D, "*" &amp; B23 &amp; "*", 'Master Sheet'!H:H, "Informal")</f>
        <v>9</v>
      </c>
      <c r="J23" s="101">
        <v>8.4112149532710276E-2</v>
      </c>
      <c r="K23"/>
      <c r="L23"/>
      <c r="M23"/>
      <c r="N23"/>
      <c r="O23"/>
      <c r="P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row>
    <row r="24" spans="2:68" x14ac:dyDescent="0.2">
      <c r="B24" s="95" t="s">
        <v>291</v>
      </c>
      <c r="D24" s="95" t="s">
        <v>291</v>
      </c>
      <c r="E24" s="98">
        <f>COUNTIF('Master Sheet'!D:D, "*" &amp; B24 &amp; "*")</f>
        <v>12</v>
      </c>
      <c r="F24" s="101">
        <v>7.0175438596491224E-2</v>
      </c>
      <c r="G24" s="98">
        <f>COUNTIFS('Master Sheet'!D:D, "*" &amp; B24 &amp; "*", 'Master Sheet'!H:H, "Formal")</f>
        <v>2</v>
      </c>
      <c r="H24" s="101">
        <v>3.2786885245901641E-2</v>
      </c>
      <c r="I24" s="98">
        <f>COUNTIFS('Master Sheet'!D:D, "*" &amp; B24 &amp; "*", 'Master Sheet'!H:H, "Informal")</f>
        <v>10</v>
      </c>
      <c r="J24" s="101">
        <v>9.3457943925233641E-2</v>
      </c>
      <c r="K24"/>
      <c r="L24"/>
      <c r="M24"/>
      <c r="N24"/>
      <c r="O24"/>
      <c r="P24"/>
      <c r="U24"/>
      <c r="V24"/>
      <c r="W24"/>
      <c r="X24"/>
      <c r="Y24"/>
      <c r="Z24"/>
      <c r="AA24"/>
      <c r="AB24"/>
    </row>
    <row r="25" spans="2:68" x14ac:dyDescent="0.2">
      <c r="D25" s="99" t="s">
        <v>1182</v>
      </c>
      <c r="E25" s="99">
        <f>SUM(E14:E24)</f>
        <v>191</v>
      </c>
      <c r="F25" s="100"/>
      <c r="G25" s="99">
        <f>SUM(G14:G24)</f>
        <v>70</v>
      </c>
      <c r="I25" s="99">
        <f>SUM(I14:I24)</f>
        <v>121</v>
      </c>
      <c r="K25"/>
      <c r="L25"/>
      <c r="M25"/>
      <c r="N25"/>
      <c r="O25"/>
      <c r="P25"/>
      <c r="U25"/>
      <c r="V25"/>
      <c r="W25"/>
      <c r="X25"/>
      <c r="Y25"/>
      <c r="Z25"/>
      <c r="AA25"/>
      <c r="AB25"/>
      <c r="AC25" s="98" t="s">
        <v>1118</v>
      </c>
      <c r="AD25" s="98" t="s">
        <v>1307</v>
      </c>
    </row>
    <row r="26" spans="2:68" x14ac:dyDescent="0.2">
      <c r="K26"/>
      <c r="L26"/>
      <c r="M26"/>
      <c r="N26"/>
      <c r="O26"/>
      <c r="P26"/>
      <c r="U26"/>
      <c r="V26"/>
      <c r="W26"/>
      <c r="X26"/>
      <c r="Y26"/>
      <c r="Z26"/>
      <c r="AA26"/>
      <c r="AB26" s="153" t="s">
        <v>1202</v>
      </c>
      <c r="AC26" s="154">
        <v>4</v>
      </c>
      <c r="AD26">
        <v>0</v>
      </c>
    </row>
    <row r="27" spans="2:68" x14ac:dyDescent="0.2">
      <c r="D27" s="118" t="s">
        <v>2</v>
      </c>
      <c r="E27" s="118" t="s">
        <v>1187</v>
      </c>
      <c r="F27" s="118" t="s">
        <v>1189</v>
      </c>
      <c r="G27" s="117" t="s">
        <v>1187</v>
      </c>
      <c r="H27" s="117" t="s">
        <v>1189</v>
      </c>
      <c r="I27" s="103" t="s">
        <v>1187</v>
      </c>
      <c r="J27" s="103" t="s">
        <v>1189</v>
      </c>
      <c r="K27"/>
      <c r="L27"/>
      <c r="M27"/>
      <c r="N27"/>
      <c r="O27"/>
      <c r="P27"/>
      <c r="U27"/>
      <c r="V27"/>
      <c r="W27"/>
      <c r="X27"/>
      <c r="Y27"/>
      <c r="Z27"/>
      <c r="AA27"/>
      <c r="AB27" s="153" t="s">
        <v>1203</v>
      </c>
      <c r="AC27" s="154">
        <v>2</v>
      </c>
      <c r="AD27">
        <v>0</v>
      </c>
    </row>
    <row r="28" spans="2:68" x14ac:dyDescent="0.2">
      <c r="B28" s="98" t="s">
        <v>370</v>
      </c>
      <c r="D28" s="98" t="s">
        <v>370</v>
      </c>
      <c r="E28" s="98">
        <f>COUNTIF('Master Sheet'!E:E, B28)</f>
        <v>42</v>
      </c>
      <c r="F28" s="101" cm="1">
        <f t="array" ref="F28:F33">E28:E33/E34</f>
        <v>0.24561403508771928</v>
      </c>
      <c r="G28" s="98">
        <f>COUNTIFS('Master Sheet'!E:E, B28, 'Master Sheet'!H:H, "Formal")</f>
        <v>42</v>
      </c>
      <c r="H28" s="101" cm="1">
        <f t="array" ref="H28:H33">G28:G33/G10</f>
        <v>0.68852459016393441</v>
      </c>
      <c r="I28" s="98">
        <f>COUNTIFS('Master Sheet'!E:E, B28, 'Master Sheet'!H:H, "Informal")</f>
        <v>0</v>
      </c>
      <c r="J28" s="101" cm="1">
        <f t="array" ref="J28:J33">I28:I33/I10</f>
        <v>0</v>
      </c>
      <c r="K28"/>
      <c r="L28"/>
      <c r="M28"/>
      <c r="N28"/>
      <c r="O28"/>
      <c r="P28"/>
      <c r="U28"/>
      <c r="V28"/>
      <c r="W28"/>
      <c r="X28"/>
      <c r="Y28"/>
      <c r="Z28"/>
      <c r="AA28"/>
      <c r="AB28" s="153" t="s">
        <v>1204</v>
      </c>
      <c r="AC28" s="154">
        <v>3</v>
      </c>
      <c r="AD28">
        <v>0</v>
      </c>
    </row>
    <row r="29" spans="2:68" x14ac:dyDescent="0.2">
      <c r="B29" s="98" t="s">
        <v>37</v>
      </c>
      <c r="D29" s="98" t="s">
        <v>37</v>
      </c>
      <c r="E29" s="98">
        <f>COUNTIF('Master Sheet'!E:E, B29)</f>
        <v>44</v>
      </c>
      <c r="F29" s="101">
        <v>0.25730994152046782</v>
      </c>
      <c r="G29" s="98">
        <f>COUNTIFS('Master Sheet'!E:E, B29, 'Master Sheet'!H:H, "Formal")</f>
        <v>8</v>
      </c>
      <c r="H29" s="101">
        <v>0.13114754098360656</v>
      </c>
      <c r="I29" s="98">
        <f>COUNTIFS('Master Sheet'!E:E, B29, 'Master Sheet'!H:H, "Informal")</f>
        <v>36</v>
      </c>
      <c r="J29" s="101">
        <v>0.3364485981308411</v>
      </c>
      <c r="K29"/>
      <c r="L29"/>
      <c r="M29"/>
      <c r="N29"/>
      <c r="O29"/>
      <c r="P29"/>
      <c r="U29"/>
      <c r="V29"/>
      <c r="W29"/>
      <c r="X29"/>
      <c r="Y29"/>
      <c r="Z29"/>
      <c r="AA29"/>
      <c r="AB29" s="153" t="s">
        <v>1205</v>
      </c>
      <c r="AC29" s="154">
        <v>7</v>
      </c>
      <c r="AD29" s="155">
        <v>1</v>
      </c>
    </row>
    <row r="30" spans="2:68" x14ac:dyDescent="0.2">
      <c r="B30" s="98" t="s">
        <v>70</v>
      </c>
      <c r="D30" s="98" t="s">
        <v>70</v>
      </c>
      <c r="E30" s="98">
        <f>COUNTIF('Master Sheet'!E:E, B30)</f>
        <v>37</v>
      </c>
      <c r="F30" s="101">
        <v>0.21637426900584794</v>
      </c>
      <c r="G30" s="98">
        <f>COUNTIFS('Master Sheet'!E:E, B30, 'Master Sheet'!H:H, "Formal")</f>
        <v>0</v>
      </c>
      <c r="H30" s="101">
        <v>0</v>
      </c>
      <c r="I30" s="98">
        <f>COUNTIFS('Master Sheet'!E:E, B30, 'Master Sheet'!H:H, "Informal")</f>
        <v>37</v>
      </c>
      <c r="J30" s="101">
        <v>0.34579439252336447</v>
      </c>
      <c r="K30"/>
      <c r="L30"/>
      <c r="M30"/>
      <c r="N30"/>
      <c r="O30"/>
      <c r="P30"/>
      <c r="U30"/>
      <c r="V30"/>
      <c r="W30"/>
      <c r="X30"/>
      <c r="Y30"/>
      <c r="Z30"/>
      <c r="AA30"/>
      <c r="AB30" s="153" t="s">
        <v>1206</v>
      </c>
      <c r="AC30" s="154">
        <v>1</v>
      </c>
      <c r="AD30" s="155">
        <v>4</v>
      </c>
    </row>
    <row r="31" spans="2:68" x14ac:dyDescent="0.2">
      <c r="B31" s="98" t="s">
        <v>24</v>
      </c>
      <c r="D31" s="98" t="s">
        <v>24</v>
      </c>
      <c r="E31" s="98">
        <f>COUNTIF('Master Sheet'!E:E, B31)</f>
        <v>20</v>
      </c>
      <c r="F31" s="101">
        <v>0.11695906432748537</v>
      </c>
      <c r="G31" s="98">
        <f>COUNTIFS('Master Sheet'!E:E, B31, 'Master Sheet'!H:H, "Formal")</f>
        <v>12</v>
      </c>
      <c r="H31" s="101">
        <v>0.19672131147540983</v>
      </c>
      <c r="I31" s="98">
        <f>COUNTIFS('Master Sheet'!E:E, B31, 'Master Sheet'!H:H, "Informal")</f>
        <v>8</v>
      </c>
      <c r="J31" s="101">
        <v>7.476635514018691E-2</v>
      </c>
      <c r="K31"/>
      <c r="L31"/>
      <c r="M31"/>
      <c r="N31"/>
      <c r="O31"/>
      <c r="P31"/>
      <c r="U31"/>
      <c r="V31"/>
      <c r="W31"/>
      <c r="X31"/>
      <c r="Y31"/>
      <c r="Z31"/>
      <c r="AA31"/>
      <c r="AB31" s="153" t="s">
        <v>1207</v>
      </c>
      <c r="AC31" s="154">
        <v>4</v>
      </c>
      <c r="AD31" s="155">
        <v>7</v>
      </c>
    </row>
    <row r="32" spans="2:68" x14ac:dyDescent="0.2">
      <c r="B32" s="98" t="s">
        <v>53</v>
      </c>
      <c r="D32" s="98" t="s">
        <v>53</v>
      </c>
      <c r="E32" s="98">
        <f>COUNTIF('Master Sheet'!E:E, B32)</f>
        <v>16</v>
      </c>
      <c r="F32" s="101">
        <v>9.3567251461988299E-2</v>
      </c>
      <c r="G32" s="98">
        <f>COUNTIFS('Master Sheet'!E:E, B32, 'Master Sheet'!H:H, "Formal")</f>
        <v>0</v>
      </c>
      <c r="H32" s="101">
        <v>0</v>
      </c>
      <c r="I32" s="98">
        <f>COUNTIFS('Master Sheet'!E:E, B32, 'Master Sheet'!H:H, "Informal")</f>
        <v>16</v>
      </c>
      <c r="J32" s="101">
        <v>0.14953271028037382</v>
      </c>
      <c r="K32"/>
      <c r="L32"/>
      <c r="M32"/>
      <c r="N32"/>
      <c r="O32"/>
      <c r="P32"/>
      <c r="U32"/>
      <c r="V32"/>
      <c r="W32"/>
      <c r="X32"/>
      <c r="Y32"/>
      <c r="Z32"/>
      <c r="AA32"/>
      <c r="AB32" s="153" t="s">
        <v>1208</v>
      </c>
      <c r="AC32" s="154">
        <v>6</v>
      </c>
      <c r="AD32" s="155">
        <v>10</v>
      </c>
    </row>
    <row r="33" spans="2:28" x14ac:dyDescent="0.2">
      <c r="B33" s="98" t="s">
        <v>61</v>
      </c>
      <c r="D33" s="98" t="s">
        <v>61</v>
      </c>
      <c r="E33" s="98">
        <f>COUNTIF('Master Sheet'!E:E, B33)</f>
        <v>12</v>
      </c>
      <c r="F33" s="101">
        <v>7.0175438596491224E-2</v>
      </c>
      <c r="G33" s="98">
        <f>COUNTIFS('Master Sheet'!E:E, B33, 'Master Sheet'!H:H, "Formal")</f>
        <v>2</v>
      </c>
      <c r="H33" s="101">
        <v>3.2786885245901641E-2</v>
      </c>
      <c r="I33" s="98">
        <f>COUNTIFS('Master Sheet'!E:E, B33, 'Master Sheet'!H:H, "Informal")</f>
        <v>10</v>
      </c>
      <c r="J33" s="101">
        <v>9.3457943925233641E-2</v>
      </c>
      <c r="K33"/>
      <c r="L33"/>
      <c r="M33"/>
      <c r="N33"/>
      <c r="O33"/>
      <c r="P33"/>
      <c r="U33"/>
      <c r="V33"/>
      <c r="W33"/>
      <c r="X33"/>
      <c r="Y33"/>
      <c r="Z33"/>
      <c r="AA33"/>
      <c r="AB33"/>
    </row>
    <row r="34" spans="2:28" x14ac:dyDescent="0.2">
      <c r="D34" s="99" t="s">
        <v>1182</v>
      </c>
      <c r="E34" s="99">
        <f>SUM(E28:E33)</f>
        <v>171</v>
      </c>
      <c r="F34" s="120"/>
      <c r="G34" s="99">
        <f>SUM(G28:G33)</f>
        <v>64</v>
      </c>
      <c r="H34" s="99"/>
      <c r="I34" s="99">
        <f>SUM(I28:I33)</f>
        <v>107</v>
      </c>
      <c r="K34"/>
      <c r="L34"/>
      <c r="M34"/>
      <c r="N34"/>
      <c r="O34"/>
      <c r="P34"/>
      <c r="U34"/>
      <c r="V34"/>
      <c r="W34"/>
      <c r="X34"/>
      <c r="Y34"/>
      <c r="Z34"/>
      <c r="AA34"/>
      <c r="AB34"/>
    </row>
    <row r="35" spans="2:28" x14ac:dyDescent="0.2">
      <c r="K35"/>
      <c r="L35"/>
      <c r="M35"/>
      <c r="N35"/>
      <c r="O35"/>
      <c r="P35"/>
      <c r="U35"/>
      <c r="V35"/>
      <c r="W35"/>
      <c r="X35"/>
      <c r="Y35"/>
      <c r="Z35"/>
      <c r="AA35"/>
      <c r="AB35"/>
    </row>
    <row r="36" spans="2:28" x14ac:dyDescent="0.2">
      <c r="D36" s="118" t="s">
        <v>1192</v>
      </c>
      <c r="E36" s="118" t="s">
        <v>1187</v>
      </c>
      <c r="F36" s="118" t="s">
        <v>1189</v>
      </c>
      <c r="G36" s="116"/>
      <c r="H36" s="116"/>
      <c r="I36" s="116"/>
      <c r="J36" s="116"/>
      <c r="K36"/>
      <c r="L36"/>
      <c r="M36"/>
      <c r="N36"/>
      <c r="O36"/>
      <c r="P36"/>
      <c r="U36"/>
      <c r="V36"/>
      <c r="W36"/>
      <c r="X36"/>
      <c r="Y36"/>
      <c r="Z36"/>
      <c r="AA36"/>
      <c r="AB36"/>
    </row>
    <row r="37" spans="2:28" x14ac:dyDescent="0.2">
      <c r="B37" s="98" t="s">
        <v>208</v>
      </c>
      <c r="D37" s="98" t="s">
        <v>208</v>
      </c>
      <c r="E37" s="98">
        <f>COUNTIF('Master Sheet'!G:G, "*" &amp; B37 &amp; "*")</f>
        <v>64</v>
      </c>
      <c r="F37" s="100" cm="1">
        <f t="array" ref="F37:F41">E37:E41/E5</f>
        <v>0.3742690058479532</v>
      </c>
      <c r="K37"/>
      <c r="L37"/>
      <c r="M37"/>
      <c r="N37"/>
      <c r="O37"/>
      <c r="P37"/>
      <c r="U37"/>
      <c r="V37"/>
      <c r="W37"/>
      <c r="X37"/>
      <c r="Y37"/>
      <c r="Z37"/>
      <c r="AA37"/>
      <c r="AB37"/>
    </row>
    <row r="38" spans="2:28" x14ac:dyDescent="0.2">
      <c r="B38" s="98" t="s">
        <v>26</v>
      </c>
      <c r="D38" s="98" t="s">
        <v>26</v>
      </c>
      <c r="E38" s="98">
        <f>COUNTIF('Master Sheet'!G:G, "*" &amp; B38 &amp; "*")</f>
        <v>22</v>
      </c>
      <c r="F38" s="100">
        <v>0.12865497076023391</v>
      </c>
      <c r="K38"/>
      <c r="L38"/>
      <c r="M38"/>
      <c r="N38"/>
      <c r="O38"/>
      <c r="P38"/>
      <c r="U38"/>
      <c r="V38"/>
      <c r="W38"/>
      <c r="X38"/>
      <c r="Y38"/>
      <c r="Z38"/>
      <c r="AA38"/>
      <c r="AB38"/>
    </row>
    <row r="39" spans="2:28" x14ac:dyDescent="0.2">
      <c r="B39" s="98" t="s">
        <v>49</v>
      </c>
      <c r="D39" s="98" t="s">
        <v>49</v>
      </c>
      <c r="E39" s="98">
        <f>COUNTIF('Master Sheet'!G:G, "*" &amp; B39 &amp; "*")</f>
        <v>32</v>
      </c>
      <c r="F39" s="100">
        <v>0.1871345029239766</v>
      </c>
      <c r="K39"/>
      <c r="L39"/>
      <c r="M39"/>
      <c r="N39"/>
      <c r="O39"/>
      <c r="P39"/>
      <c r="U39"/>
      <c r="V39"/>
      <c r="W39"/>
      <c r="X39"/>
      <c r="Y39"/>
      <c r="Z39"/>
      <c r="AA39"/>
      <c r="AB39"/>
    </row>
    <row r="40" spans="2:28" x14ac:dyDescent="0.2">
      <c r="B40" s="98" t="s">
        <v>35</v>
      </c>
      <c r="D40" s="98" t="s">
        <v>35</v>
      </c>
      <c r="E40" s="98">
        <f>COUNTIF('Master Sheet'!G:G, "*" &amp; B40 &amp; "*")</f>
        <v>15</v>
      </c>
      <c r="F40" s="100">
        <v>8.771929824561403E-2</v>
      </c>
      <c r="K40"/>
      <c r="L40"/>
      <c r="M40"/>
      <c r="N40"/>
      <c r="O40"/>
      <c r="P40"/>
      <c r="U40"/>
      <c r="V40"/>
      <c r="W40"/>
      <c r="X40"/>
      <c r="Y40"/>
      <c r="Z40"/>
      <c r="AA40"/>
      <c r="AB40"/>
    </row>
    <row r="41" spans="2:28" x14ac:dyDescent="0.2">
      <c r="B41" s="98" t="s">
        <v>72</v>
      </c>
      <c r="D41" s="98" t="s">
        <v>72</v>
      </c>
      <c r="E41" s="98">
        <f>COUNTIF('Master Sheet'!G:G, "*" &amp; B41 &amp; "*")</f>
        <v>46</v>
      </c>
      <c r="F41" s="100">
        <v>0.26900584795321636</v>
      </c>
      <c r="K41"/>
      <c r="L41"/>
      <c r="M41"/>
      <c r="N41"/>
      <c r="O41"/>
      <c r="P41"/>
      <c r="U41"/>
      <c r="V41"/>
      <c r="W41"/>
      <c r="X41"/>
      <c r="Y41"/>
      <c r="Z41"/>
      <c r="AA41"/>
      <c r="AB41"/>
    </row>
    <row r="42" spans="2:28" x14ac:dyDescent="0.2">
      <c r="D42" s="99" t="s">
        <v>1182</v>
      </c>
      <c r="E42" s="98">
        <f>SUM(E37:E41)</f>
        <v>179</v>
      </c>
      <c r="F42" s="100"/>
      <c r="K42"/>
      <c r="L42"/>
      <c r="M42"/>
      <c r="N42"/>
      <c r="O42"/>
      <c r="P42"/>
      <c r="U42"/>
      <c r="V42"/>
      <c r="W42"/>
      <c r="X42"/>
      <c r="Y42"/>
      <c r="Z42"/>
      <c r="AA42"/>
      <c r="AB42"/>
    </row>
    <row r="43" spans="2:28" x14ac:dyDescent="0.2">
      <c r="K43"/>
      <c r="L43"/>
      <c r="M43"/>
      <c r="N43"/>
      <c r="O43"/>
      <c r="P43"/>
      <c r="U43"/>
      <c r="V43"/>
      <c r="W43"/>
      <c r="X43"/>
      <c r="Y43"/>
      <c r="Z43"/>
      <c r="AA43"/>
      <c r="AB43"/>
    </row>
    <row r="44" spans="2:28" x14ac:dyDescent="0.2">
      <c r="D44" s="118" t="s">
        <v>1190</v>
      </c>
      <c r="E44" s="118" t="s">
        <v>1187</v>
      </c>
      <c r="F44" s="118" t="s">
        <v>1189</v>
      </c>
      <c r="G44" s="116"/>
      <c r="H44" s="116"/>
      <c r="I44" s="116"/>
      <c r="J44" s="116"/>
      <c r="K44"/>
      <c r="L44"/>
      <c r="M44"/>
      <c r="N44"/>
      <c r="O44"/>
      <c r="P44"/>
      <c r="U44"/>
      <c r="V44"/>
      <c r="W44"/>
      <c r="X44"/>
      <c r="Y44"/>
      <c r="Z44"/>
      <c r="AA44"/>
      <c r="AB44"/>
    </row>
    <row r="45" spans="2:28" x14ac:dyDescent="0.2">
      <c r="B45" s="98" t="s">
        <v>208</v>
      </c>
      <c r="D45" s="98" t="s">
        <v>208</v>
      </c>
      <c r="E45" s="98">
        <f>COUNTIF('Master Sheet'!H:H, B45)</f>
        <v>64</v>
      </c>
      <c r="F45" s="100" cm="1">
        <f t="array" ref="F45:F46">E45:E46/E47</f>
        <v>0.3742690058479532</v>
      </c>
      <c r="K45"/>
      <c r="L45"/>
      <c r="M45"/>
      <c r="N45"/>
      <c r="O45"/>
      <c r="P45"/>
      <c r="U45"/>
      <c r="V45"/>
      <c r="W45"/>
      <c r="X45"/>
      <c r="Y45"/>
      <c r="Z45"/>
      <c r="AA45"/>
      <c r="AB45"/>
    </row>
    <row r="46" spans="2:28" x14ac:dyDescent="0.2">
      <c r="B46" s="98" t="s">
        <v>27</v>
      </c>
      <c r="D46" s="98" t="s">
        <v>27</v>
      </c>
      <c r="E46" s="98">
        <f>COUNTIF('Master Sheet'!H:H, B46)</f>
        <v>107</v>
      </c>
      <c r="F46" s="100">
        <v>0.6257309941520468</v>
      </c>
      <c r="K46"/>
      <c r="L46"/>
      <c r="M46"/>
      <c r="N46"/>
      <c r="O46"/>
      <c r="P46"/>
      <c r="U46"/>
      <c r="V46"/>
      <c r="W46"/>
      <c r="X46"/>
      <c r="Y46"/>
      <c r="Z46"/>
      <c r="AA46"/>
      <c r="AB46"/>
    </row>
    <row r="47" spans="2:28" x14ac:dyDescent="0.2">
      <c r="D47" s="99" t="s">
        <v>1182</v>
      </c>
      <c r="E47" s="98">
        <f>SUM(E45:E46)</f>
        <v>171</v>
      </c>
      <c r="K47"/>
      <c r="L47"/>
      <c r="M47"/>
      <c r="N47"/>
      <c r="O47"/>
      <c r="P47"/>
      <c r="U47"/>
      <c r="V47"/>
      <c r="W47"/>
      <c r="X47"/>
      <c r="Y47"/>
      <c r="Z47"/>
      <c r="AA47"/>
      <c r="AB47"/>
    </row>
    <row r="48" spans="2:28" x14ac:dyDescent="0.2">
      <c r="K48"/>
      <c r="L48"/>
      <c r="M48"/>
      <c r="N48"/>
      <c r="O48"/>
      <c r="P48"/>
      <c r="U48"/>
      <c r="V48"/>
      <c r="W48"/>
      <c r="X48"/>
      <c r="Y48"/>
      <c r="Z48"/>
      <c r="AA48"/>
      <c r="AB48"/>
    </row>
    <row r="49" spans="2:28" x14ac:dyDescent="0.2">
      <c r="D49" s="118" t="s">
        <v>10</v>
      </c>
      <c r="E49" s="118" t="s">
        <v>1187</v>
      </c>
      <c r="F49" s="118" t="s">
        <v>1189</v>
      </c>
      <c r="G49" s="117" t="s">
        <v>1187</v>
      </c>
      <c r="H49" s="117" t="s">
        <v>1189</v>
      </c>
      <c r="I49" s="103" t="s">
        <v>1187</v>
      </c>
      <c r="J49" s="103" t="s">
        <v>1189</v>
      </c>
      <c r="K49"/>
      <c r="L49"/>
      <c r="M49"/>
      <c r="N49"/>
      <c r="O49"/>
      <c r="P49"/>
      <c r="U49"/>
      <c r="V49"/>
      <c r="W49"/>
      <c r="X49"/>
      <c r="Y49"/>
      <c r="Z49"/>
      <c r="AA49"/>
      <c r="AB49"/>
    </row>
    <row r="50" spans="2:28" x14ac:dyDescent="0.2">
      <c r="B50" s="98" t="s">
        <v>407</v>
      </c>
      <c r="D50" s="98" t="s">
        <v>407</v>
      </c>
      <c r="E50" s="98">
        <f>COUNTIF('Master Sheet'!M:M, "*" &amp; B50 &amp; "*")</f>
        <v>15</v>
      </c>
      <c r="F50" s="101" cm="1">
        <f t="array" ref="F50:F71">E50:E71/E5</f>
        <v>8.771929824561403E-2</v>
      </c>
      <c r="G50" s="98">
        <f>COUNTIFS('Master Sheet'!M:M, "*" &amp; B50 &amp; "*", 'Master Sheet'!H:H, "Formal")</f>
        <v>15</v>
      </c>
      <c r="H50" s="101" cm="1">
        <f t="array" ref="H50:H71">G50:G71/G10</f>
        <v>0.24590163934426229</v>
      </c>
      <c r="I50" s="98">
        <f>COUNTIFS('Master Sheet'!M:M, "*" &amp; B50 &amp; "*", 'Master Sheet'!H:H, "Informal")</f>
        <v>0</v>
      </c>
      <c r="J50" s="101" cm="1">
        <f t="array" ref="J50:J71">I50:I71/I10</f>
        <v>0</v>
      </c>
      <c r="K50"/>
      <c r="L50"/>
      <c r="M50"/>
      <c r="N50"/>
      <c r="O50"/>
      <c r="P50"/>
      <c r="U50"/>
      <c r="V50"/>
      <c r="W50"/>
      <c r="X50"/>
      <c r="Y50"/>
      <c r="Z50"/>
      <c r="AA50"/>
      <c r="AB50"/>
    </row>
    <row r="51" spans="2:28" x14ac:dyDescent="0.2">
      <c r="B51" s="98" t="s">
        <v>372</v>
      </c>
      <c r="D51" s="98" t="s">
        <v>372</v>
      </c>
      <c r="E51" s="98">
        <f>COUNTIF('Master Sheet'!M:M, "*" &amp; B51 &amp; "*")</f>
        <v>12</v>
      </c>
      <c r="F51" s="101">
        <v>7.0175438596491224E-2</v>
      </c>
      <c r="G51" s="98">
        <f>COUNTIFS('Master Sheet'!M:M, "*" &amp; B51 &amp; "*", 'Master Sheet'!H:H, "Formal")</f>
        <v>12</v>
      </c>
      <c r="H51" s="101">
        <v>0.19672131147540983</v>
      </c>
      <c r="I51" s="98">
        <f>COUNTIFS('Master Sheet'!M:M, "*" &amp; B51 &amp; "*", 'Master Sheet'!H:H, "Informal")</f>
        <v>0</v>
      </c>
      <c r="J51" s="101">
        <v>0</v>
      </c>
      <c r="K51"/>
      <c r="L51"/>
      <c r="M51"/>
      <c r="N51"/>
      <c r="O51"/>
      <c r="P51"/>
      <c r="U51"/>
      <c r="V51"/>
      <c r="W51"/>
      <c r="X51"/>
      <c r="Y51"/>
      <c r="Z51"/>
      <c r="AA51"/>
      <c r="AB51"/>
    </row>
    <row r="52" spans="2:28" x14ac:dyDescent="0.2">
      <c r="B52" s="98" t="s">
        <v>29</v>
      </c>
      <c r="D52" s="98" t="s">
        <v>29</v>
      </c>
      <c r="E52" s="98">
        <f>COUNTIF('Master Sheet'!M:M, "*" &amp; B52 &amp; "*")</f>
        <v>15</v>
      </c>
      <c r="F52" s="101">
        <v>8.771929824561403E-2</v>
      </c>
      <c r="G52" s="98">
        <f>COUNTIFS('Master Sheet'!M:M, "*" &amp; B52 &amp; "*", 'Master Sheet'!H:H, "Formal")</f>
        <v>6</v>
      </c>
      <c r="H52" s="101">
        <v>9.8360655737704916E-2</v>
      </c>
      <c r="I52" s="98">
        <f>COUNTIFS('Master Sheet'!M:M, "*" &amp; B52 &amp; "*", 'Master Sheet'!H:H, "Informal")</f>
        <v>9</v>
      </c>
      <c r="J52" s="101">
        <v>8.4112149532710276E-2</v>
      </c>
      <c r="K52"/>
      <c r="L52"/>
      <c r="M52"/>
      <c r="N52"/>
      <c r="O52"/>
      <c r="P52"/>
      <c r="U52"/>
      <c r="V52"/>
      <c r="W52"/>
      <c r="X52"/>
      <c r="Y52"/>
      <c r="Z52"/>
      <c r="AA52"/>
      <c r="AB52"/>
    </row>
    <row r="53" spans="2:28" x14ac:dyDescent="0.2">
      <c r="B53" s="98" t="s">
        <v>238</v>
      </c>
      <c r="D53" s="98" t="s">
        <v>238</v>
      </c>
      <c r="E53" s="98">
        <f>COUNTIF('Master Sheet'!M:M, "*" &amp; B53 &amp; "*")</f>
        <v>6</v>
      </c>
      <c r="F53" s="101">
        <v>3.5087719298245612E-2</v>
      </c>
      <c r="G53" s="98">
        <f>COUNTIFS('Master Sheet'!M:M, "*" &amp; B53 &amp; "*", 'Master Sheet'!H:H, "Formal")</f>
        <v>1</v>
      </c>
      <c r="H53" s="101">
        <v>1.6393442622950821E-2</v>
      </c>
      <c r="I53" s="98">
        <f>COUNTIFS('Master Sheet'!M:M, "*" &amp; B53 &amp; "*", 'Master Sheet'!H:H, "Informal")</f>
        <v>5</v>
      </c>
      <c r="J53" s="101">
        <v>4.6728971962616821E-2</v>
      </c>
      <c r="K53"/>
      <c r="L53"/>
      <c r="M53"/>
      <c r="N53"/>
      <c r="O53"/>
      <c r="P53"/>
      <c r="U53"/>
      <c r="V53"/>
      <c r="W53"/>
      <c r="X53"/>
      <c r="Y53"/>
      <c r="Z53"/>
      <c r="AA53"/>
      <c r="AB53"/>
    </row>
    <row r="54" spans="2:28" x14ac:dyDescent="0.2">
      <c r="B54" s="98" t="s">
        <v>558</v>
      </c>
      <c r="D54" s="98" t="s">
        <v>558</v>
      </c>
      <c r="E54" s="98">
        <f>COUNTIF('Master Sheet'!M:M, "*" &amp; B54 &amp; "*")</f>
        <v>21</v>
      </c>
      <c r="F54" s="101">
        <v>0.12280701754385964</v>
      </c>
      <c r="G54" s="98">
        <f>COUNTIFS('Master Sheet'!M:M, "*" &amp; B54 &amp; "*", 'Master Sheet'!H:H, "Formal")</f>
        <v>21</v>
      </c>
      <c r="H54" s="101">
        <v>0.34426229508196721</v>
      </c>
      <c r="I54" s="98">
        <f>COUNTIFS('Master Sheet'!M:M, "*" &amp; B54 &amp; "*", 'Master Sheet'!H:H, "Informal")</f>
        <v>0</v>
      </c>
      <c r="J54" s="101">
        <v>0</v>
      </c>
      <c r="K54"/>
      <c r="L54"/>
      <c r="M54"/>
      <c r="N54"/>
      <c r="O54"/>
      <c r="P54"/>
      <c r="U54"/>
      <c r="V54"/>
      <c r="W54"/>
      <c r="X54"/>
      <c r="Y54"/>
      <c r="Z54"/>
      <c r="AA54"/>
      <c r="AB54"/>
    </row>
    <row r="55" spans="2:28" x14ac:dyDescent="0.2">
      <c r="B55" s="98" t="s">
        <v>600</v>
      </c>
      <c r="D55" s="98" t="s">
        <v>600</v>
      </c>
      <c r="E55" s="98">
        <f>COUNTIF('Master Sheet'!M:M, "*" &amp; B55 &amp; "*")</f>
        <v>5</v>
      </c>
      <c r="F55" s="101">
        <v>2.9239766081871343E-2</v>
      </c>
      <c r="G55" s="98">
        <f>COUNTIFS('Master Sheet'!M:M, "*" &amp; B55 &amp; "*", 'Master Sheet'!H:H, "Formal")</f>
        <v>5</v>
      </c>
      <c r="H55" s="101">
        <v>8.1967213114754092E-2</v>
      </c>
      <c r="I55" s="98">
        <f>COUNTIFS('Master Sheet'!M:M, "*" &amp; B55 &amp; "*", 'Master Sheet'!H:H, "Informal")</f>
        <v>0</v>
      </c>
      <c r="J55" s="101">
        <v>0</v>
      </c>
      <c r="K55"/>
      <c r="L55"/>
      <c r="M55"/>
      <c r="N55"/>
      <c r="O55"/>
      <c r="P55"/>
      <c r="U55"/>
      <c r="V55"/>
      <c r="W55"/>
      <c r="X55"/>
      <c r="Y55"/>
      <c r="Z55"/>
      <c r="AA55"/>
      <c r="AB55"/>
    </row>
    <row r="56" spans="2:28" x14ac:dyDescent="0.2">
      <c r="B56" s="98" t="s">
        <v>901</v>
      </c>
      <c r="D56" s="98" t="s">
        <v>901</v>
      </c>
      <c r="E56" s="98">
        <f>COUNTIF('Master Sheet'!M:M, "*" &amp; B56 &amp; "*")</f>
        <v>0</v>
      </c>
      <c r="F56" s="101">
        <v>0</v>
      </c>
      <c r="G56" s="98">
        <f>COUNTIFS('Master Sheet'!M:M, "*" &amp; B56 &amp; "*", 'Master Sheet'!H:H, "Formal")</f>
        <v>0</v>
      </c>
      <c r="H56" s="101">
        <v>0</v>
      </c>
      <c r="I56" s="98">
        <f>COUNTIFS('Master Sheet'!M:M, "*" &amp; B56 &amp; "*", 'Master Sheet'!H:H, "Informal")</f>
        <v>0</v>
      </c>
      <c r="J56" s="101">
        <v>0</v>
      </c>
      <c r="K56"/>
      <c r="L56"/>
      <c r="M56"/>
      <c r="N56"/>
      <c r="O56"/>
      <c r="P56"/>
      <c r="U56"/>
      <c r="V56"/>
      <c r="W56"/>
      <c r="X56"/>
      <c r="Y56"/>
      <c r="Z56"/>
      <c r="AA56"/>
      <c r="AB56"/>
    </row>
    <row r="57" spans="2:28" x14ac:dyDescent="0.2">
      <c r="B57" s="98" t="s">
        <v>903</v>
      </c>
      <c r="D57" s="98" t="s">
        <v>903</v>
      </c>
      <c r="E57" s="98">
        <f>COUNTIF('Master Sheet'!M:M, "*" &amp; B57 &amp; "*")</f>
        <v>2</v>
      </c>
      <c r="F57" s="101">
        <v>1.1695906432748537E-2</v>
      </c>
      <c r="G57" s="98">
        <f>COUNTIFS('Master Sheet'!M:M, "*" &amp; B57 &amp; "*", 'Master Sheet'!H:H, "Formal")</f>
        <v>0</v>
      </c>
      <c r="H57" s="101">
        <v>0</v>
      </c>
      <c r="I57" s="98">
        <f>COUNTIFS('Master Sheet'!M:M, "*" &amp; B57 &amp; "*", 'Master Sheet'!H:H, "Informal")</f>
        <v>2</v>
      </c>
      <c r="J57" s="101">
        <v>1.8691588785046728E-2</v>
      </c>
      <c r="K57"/>
      <c r="L57"/>
      <c r="M57"/>
      <c r="N57"/>
      <c r="O57"/>
      <c r="P57"/>
      <c r="U57"/>
      <c r="V57"/>
      <c r="W57"/>
      <c r="X57"/>
      <c r="Y57"/>
      <c r="Z57"/>
      <c r="AA57"/>
      <c r="AB57"/>
    </row>
    <row r="58" spans="2:28" x14ac:dyDescent="0.2">
      <c r="B58" s="98" t="s">
        <v>905</v>
      </c>
      <c r="D58" s="98" t="s">
        <v>905</v>
      </c>
      <c r="E58" s="98">
        <f>COUNTIF('Master Sheet'!M:M, "*" &amp; B58 &amp; "*")</f>
        <v>5</v>
      </c>
      <c r="F58" s="101">
        <v>2.9239766081871343E-2</v>
      </c>
      <c r="G58" s="98">
        <f>COUNTIFS('Master Sheet'!M:M, "*" &amp; B58 &amp; "*", 'Master Sheet'!H:H, "Formal")</f>
        <v>1</v>
      </c>
      <c r="H58" s="101">
        <v>1.6393442622950821E-2</v>
      </c>
      <c r="I58" s="98">
        <f>COUNTIFS('Master Sheet'!M:M, "*" &amp; B58 &amp; "*", 'Master Sheet'!H:H, "Informal")</f>
        <v>4</v>
      </c>
      <c r="J58" s="101">
        <v>3.7383177570093455E-2</v>
      </c>
      <c r="K58"/>
      <c r="L58"/>
      <c r="M58"/>
      <c r="N58"/>
      <c r="O58"/>
      <c r="P58"/>
      <c r="U58"/>
      <c r="V58"/>
      <c r="W58"/>
      <c r="X58"/>
      <c r="Y58"/>
      <c r="Z58"/>
      <c r="AA58"/>
      <c r="AB58"/>
    </row>
    <row r="59" spans="2:28" x14ac:dyDescent="0.2">
      <c r="B59" s="98" t="s">
        <v>67</v>
      </c>
      <c r="D59" s="98" t="s">
        <v>67</v>
      </c>
      <c r="E59" s="98">
        <f>COUNTIF('Master Sheet'!M:M, "*" &amp; B59 &amp; "*")</f>
        <v>8</v>
      </c>
      <c r="F59" s="101">
        <v>4.6783625730994149E-2</v>
      </c>
      <c r="G59" s="98">
        <f>COUNTIFS('Master Sheet'!M:M, "*" &amp; B59 &amp; "*", 'Master Sheet'!H:H, "Formal")</f>
        <v>3</v>
      </c>
      <c r="H59" s="101">
        <v>4.9180327868852458E-2</v>
      </c>
      <c r="I59" s="98">
        <f>COUNTIFS('Master Sheet'!M:M, "*" &amp; B59 &amp; "*", 'Master Sheet'!H:H, "Informal")</f>
        <v>5</v>
      </c>
      <c r="J59" s="101">
        <v>4.6728971962616821E-2</v>
      </c>
      <c r="K59"/>
      <c r="L59"/>
      <c r="M59"/>
      <c r="N59"/>
      <c r="O59"/>
      <c r="P59"/>
      <c r="U59"/>
      <c r="V59"/>
      <c r="W59"/>
      <c r="X59"/>
      <c r="Y59"/>
      <c r="Z59"/>
      <c r="AA59"/>
      <c r="AB59"/>
    </row>
    <row r="60" spans="2:28" x14ac:dyDescent="0.2">
      <c r="B60" s="98" t="s">
        <v>356</v>
      </c>
      <c r="D60" s="98" t="s">
        <v>356</v>
      </c>
      <c r="E60" s="98">
        <f>COUNTIF('Master Sheet'!M:M, "*" &amp; B60 &amp; "*")</f>
        <v>9</v>
      </c>
      <c r="F60" s="101">
        <v>5.2631578947368418E-2</v>
      </c>
      <c r="G60" s="98">
        <f>COUNTIFS('Master Sheet'!M:M, "*" &amp; B60 &amp; "*", 'Master Sheet'!H:H, "Formal")</f>
        <v>2</v>
      </c>
      <c r="H60" s="101">
        <v>3.2786885245901641E-2</v>
      </c>
      <c r="I60" s="98">
        <f>COUNTIFS('Master Sheet'!M:M, "*" &amp; B60 &amp; "*", 'Master Sheet'!H:H, "Informal")</f>
        <v>7</v>
      </c>
      <c r="J60" s="101">
        <v>6.5420560747663545E-2</v>
      </c>
      <c r="K60"/>
      <c r="L60"/>
      <c r="M60"/>
      <c r="N60"/>
      <c r="O60"/>
      <c r="P60"/>
      <c r="U60"/>
      <c r="V60"/>
      <c r="W60"/>
      <c r="X60"/>
      <c r="Y60"/>
      <c r="Z60"/>
      <c r="AA60"/>
      <c r="AB60"/>
    </row>
    <row r="61" spans="2:28" x14ac:dyDescent="0.2">
      <c r="B61" s="98" t="s">
        <v>40</v>
      </c>
      <c r="D61" s="98" t="s">
        <v>40</v>
      </c>
      <c r="E61" s="98">
        <f>COUNTIF('Master Sheet'!M:M, "*" &amp; B61 &amp; "*")</f>
        <v>32</v>
      </c>
      <c r="F61" s="101">
        <v>0.1871345029239766</v>
      </c>
      <c r="G61" s="98">
        <f>COUNTIFS('Master Sheet'!M:M, "*" &amp; B61 &amp; "*", 'Master Sheet'!H:H, "Formal")</f>
        <v>3</v>
      </c>
      <c r="H61" s="101">
        <v>4.9180327868852458E-2</v>
      </c>
      <c r="I61" s="98">
        <f>COUNTIFS('Master Sheet'!M:M, "*" &amp; B61 &amp; "*", 'Master Sheet'!H:H, "Informal")</f>
        <v>29</v>
      </c>
      <c r="J61" s="101">
        <v>0.27102803738317754</v>
      </c>
      <c r="K61"/>
      <c r="L61"/>
      <c r="M61"/>
      <c r="N61"/>
      <c r="O61"/>
      <c r="P61"/>
      <c r="U61"/>
      <c r="V61"/>
      <c r="W61"/>
      <c r="X61"/>
      <c r="Y61"/>
      <c r="Z61"/>
      <c r="AA61"/>
      <c r="AB61"/>
    </row>
    <row r="62" spans="2:28" x14ac:dyDescent="0.2">
      <c r="B62" s="98" t="s">
        <v>55</v>
      </c>
      <c r="D62" s="98" t="s">
        <v>55</v>
      </c>
      <c r="E62" s="98">
        <f>COUNTIF('Master Sheet'!M:M, "*" &amp; B62 &amp; "*")</f>
        <v>21</v>
      </c>
      <c r="F62" s="101">
        <v>0.12280701754385964</v>
      </c>
      <c r="G62" s="98">
        <f>COUNTIFS('Master Sheet'!M:M, "*" &amp; B62 &amp; "*", 'Master Sheet'!H:H, "Formal")</f>
        <v>0</v>
      </c>
      <c r="H62" s="101">
        <v>0</v>
      </c>
      <c r="I62" s="98">
        <f>COUNTIFS('Master Sheet'!M:M, "*" &amp; B62 &amp; "*", 'Master Sheet'!H:H, "Informal")</f>
        <v>21</v>
      </c>
      <c r="J62" s="101">
        <v>0.19626168224299065</v>
      </c>
      <c r="K62"/>
      <c r="L62"/>
      <c r="M62"/>
      <c r="N62"/>
      <c r="O62"/>
      <c r="P62"/>
      <c r="U62"/>
      <c r="V62"/>
      <c r="W62"/>
      <c r="X62"/>
      <c r="Y62"/>
      <c r="Z62"/>
      <c r="AA62"/>
      <c r="AB62"/>
    </row>
    <row r="63" spans="2:28" x14ac:dyDescent="0.2">
      <c r="B63" s="98" t="s">
        <v>217</v>
      </c>
      <c r="D63" s="98" t="s">
        <v>217</v>
      </c>
      <c r="E63" s="98">
        <f>COUNTIF('Master Sheet'!M:M, "*" &amp; B63 &amp; "*")</f>
        <v>26</v>
      </c>
      <c r="F63" s="101">
        <v>0.15204678362573099</v>
      </c>
      <c r="G63" s="98">
        <f>COUNTIFS('Master Sheet'!M:M, "*" &amp; B63 &amp; "*", 'Master Sheet'!H:H, "Formal")</f>
        <v>1</v>
      </c>
      <c r="H63" s="101">
        <v>1.6393442622950821E-2</v>
      </c>
      <c r="I63" s="98">
        <f>COUNTIFS('Master Sheet'!M:M, "*" &amp; B63 &amp; "*", 'Master Sheet'!H:H, "Informal")</f>
        <v>25</v>
      </c>
      <c r="J63" s="101">
        <v>0.23364485981308411</v>
      </c>
      <c r="K63"/>
      <c r="L63"/>
      <c r="M63"/>
      <c r="N63"/>
      <c r="O63"/>
      <c r="P63"/>
      <c r="U63"/>
      <c r="V63"/>
      <c r="W63"/>
      <c r="X63"/>
      <c r="Y63"/>
      <c r="Z63"/>
      <c r="AA63"/>
      <c r="AB63"/>
    </row>
    <row r="64" spans="2:28" x14ac:dyDescent="0.2">
      <c r="B64" s="98" t="s">
        <v>105</v>
      </c>
      <c r="D64" s="98" t="s">
        <v>105</v>
      </c>
      <c r="E64" s="98">
        <f>COUNTIF('Master Sheet'!M:M, "*" &amp; B64 &amp; "*")</f>
        <v>10</v>
      </c>
      <c r="F64" s="101">
        <v>5.8479532163742687E-2</v>
      </c>
      <c r="G64" s="98">
        <f>COUNTIFS('Master Sheet'!M:M, "*" &amp; B64 &amp; "*", 'Master Sheet'!H:H, "Formal")</f>
        <v>0</v>
      </c>
      <c r="H64" s="101">
        <v>0</v>
      </c>
      <c r="I64" s="98">
        <f>COUNTIFS('Master Sheet'!M:M, "*" &amp; B64 &amp; "*", 'Master Sheet'!H:H, "Informal")</f>
        <v>10</v>
      </c>
      <c r="J64" s="101">
        <v>9.3457943925233641E-2</v>
      </c>
      <c r="K64"/>
      <c r="L64"/>
      <c r="M64"/>
      <c r="N64"/>
      <c r="O64"/>
      <c r="P64"/>
      <c r="U64"/>
      <c r="V64"/>
      <c r="W64"/>
      <c r="X64"/>
      <c r="Y64"/>
      <c r="Z64"/>
      <c r="AA64"/>
      <c r="AB64"/>
    </row>
    <row r="65" spans="2:32" x14ac:dyDescent="0.2">
      <c r="B65" s="98" t="s">
        <v>914</v>
      </c>
      <c r="D65" s="98" t="s">
        <v>914</v>
      </c>
      <c r="E65" s="98">
        <f>COUNTIF('Master Sheet'!M:M, "*" &amp; B65 &amp; "*")</f>
        <v>5</v>
      </c>
      <c r="F65" s="101">
        <v>2.9239766081871343E-2</v>
      </c>
      <c r="G65" s="98">
        <f>COUNTIFS('Master Sheet'!M:M, "*" &amp; B65 &amp; "*", 'Master Sheet'!H:H, "Formal")</f>
        <v>5</v>
      </c>
      <c r="H65" s="101">
        <v>8.1967213114754092E-2</v>
      </c>
      <c r="I65" s="98">
        <f>COUNTIFS('Master Sheet'!M:M, "*" &amp; B65 &amp; "*", 'Master Sheet'!H:H, "Informal")</f>
        <v>0</v>
      </c>
      <c r="J65" s="101">
        <v>0</v>
      </c>
      <c r="K65"/>
      <c r="L65"/>
      <c r="M65"/>
      <c r="N65"/>
      <c r="O65"/>
      <c r="P65"/>
      <c r="U65"/>
      <c r="V65"/>
      <c r="W65"/>
      <c r="X65"/>
      <c r="Y65"/>
      <c r="Z65"/>
      <c r="AA65"/>
      <c r="AB65"/>
    </row>
    <row r="66" spans="2:32" x14ac:dyDescent="0.2">
      <c r="B66" s="98" t="s">
        <v>79</v>
      </c>
      <c r="D66" s="98" t="s">
        <v>79</v>
      </c>
      <c r="E66" s="98">
        <f>COUNTIF('Master Sheet'!M:M, "*" &amp; B66 &amp; "*")</f>
        <v>8</v>
      </c>
      <c r="F66" s="101">
        <v>4.6783625730994149E-2</v>
      </c>
      <c r="G66" s="98">
        <f>COUNTIFS('Master Sheet'!M:M, "*" &amp; B66 &amp; "*", 'Master Sheet'!H:H, "Formal")</f>
        <v>6</v>
      </c>
      <c r="H66" s="101">
        <v>9.8360655737704916E-2</v>
      </c>
      <c r="I66" s="98">
        <f>COUNTIFS('Master Sheet'!M:M, "*" &amp; B66 &amp; "*", 'Master Sheet'!H:H, "Informal")</f>
        <v>2</v>
      </c>
      <c r="J66" s="101">
        <v>1.8691588785046728E-2</v>
      </c>
      <c r="K66"/>
      <c r="L66"/>
      <c r="M66"/>
      <c r="N66"/>
      <c r="O66"/>
      <c r="P66"/>
      <c r="U66"/>
      <c r="V66"/>
      <c r="W66"/>
      <c r="X66"/>
      <c r="Y66"/>
      <c r="Z66"/>
      <c r="AA66"/>
      <c r="AB66"/>
    </row>
    <row r="67" spans="2:32" x14ac:dyDescent="0.2">
      <c r="B67" s="98" t="s">
        <v>165</v>
      </c>
      <c r="D67" s="98" t="s">
        <v>165</v>
      </c>
      <c r="E67" s="98">
        <f>COUNTIF('Master Sheet'!M:M, "*" &amp; B67 &amp; "*")</f>
        <v>13</v>
      </c>
      <c r="F67" s="101">
        <v>7.6023391812865493E-2</v>
      </c>
      <c r="G67" s="98">
        <f>COUNTIFS('Master Sheet'!M:M, "*" &amp; B67 &amp; "*", 'Master Sheet'!H:H, "Formal")</f>
        <v>5</v>
      </c>
      <c r="H67" s="101">
        <v>8.1967213114754092E-2</v>
      </c>
      <c r="I67" s="98">
        <f>COUNTIFS('Master Sheet'!M:M, "*" &amp; B67 &amp; "*", 'Master Sheet'!H:H, "Informal")</f>
        <v>8</v>
      </c>
      <c r="J67" s="101">
        <v>7.476635514018691E-2</v>
      </c>
      <c r="K67"/>
      <c r="L67"/>
      <c r="M67"/>
      <c r="N67"/>
      <c r="O67"/>
      <c r="P67"/>
      <c r="U67"/>
      <c r="V67"/>
      <c r="W67"/>
      <c r="X67"/>
      <c r="Y67"/>
      <c r="Z67"/>
      <c r="AA67"/>
      <c r="AB67"/>
    </row>
    <row r="68" spans="2:32" x14ac:dyDescent="0.2">
      <c r="B68" s="98" t="s">
        <v>616</v>
      </c>
      <c r="D68" s="98" t="s">
        <v>616</v>
      </c>
      <c r="E68" s="98">
        <f>COUNTIF('Master Sheet'!M:M, "*" &amp; B68 &amp; "*")</f>
        <v>19</v>
      </c>
      <c r="F68" s="101">
        <v>0.1111111111111111</v>
      </c>
      <c r="G68" s="98">
        <f>COUNTIFS('Master Sheet'!M:M, "*" &amp; B68 &amp; "*", 'Master Sheet'!H:H, "Formal")</f>
        <v>7</v>
      </c>
      <c r="H68" s="101">
        <v>0.11475409836065574</v>
      </c>
      <c r="I68" s="98">
        <f>COUNTIFS('Master Sheet'!M:M, "*" &amp; B68 &amp; "*", 'Master Sheet'!H:H, "Informal")</f>
        <v>12</v>
      </c>
      <c r="J68" s="101">
        <v>0.11214953271028037</v>
      </c>
      <c r="K68"/>
      <c r="L68"/>
      <c r="M68"/>
      <c r="N68"/>
      <c r="O68"/>
      <c r="P68"/>
      <c r="U68"/>
      <c r="V68"/>
      <c r="W68"/>
      <c r="X68"/>
      <c r="Y68"/>
      <c r="Z68"/>
      <c r="AA68"/>
      <c r="AB68"/>
    </row>
    <row r="69" spans="2:32" x14ac:dyDescent="0.2">
      <c r="B69" s="98" t="s">
        <v>919</v>
      </c>
      <c r="D69" s="98" t="s">
        <v>919</v>
      </c>
      <c r="E69" s="98">
        <f>COUNTIF('Master Sheet'!M:M, "*" &amp; B69 &amp; "*")</f>
        <v>2</v>
      </c>
      <c r="F69" s="101">
        <v>1.1695906432748537E-2</v>
      </c>
      <c r="G69" s="98">
        <f>COUNTIFS('Master Sheet'!M:M, "*" &amp; B69 &amp; "*", 'Master Sheet'!H:H, "Formal")</f>
        <v>2</v>
      </c>
      <c r="H69" s="101">
        <v>3.2786885245901641E-2</v>
      </c>
      <c r="I69" s="98">
        <f>COUNTIFS('Master Sheet'!M:M, "*" &amp; B69 &amp; "*", 'Master Sheet'!H:H, "Informal")</f>
        <v>0</v>
      </c>
      <c r="J69" s="101">
        <v>0</v>
      </c>
      <c r="K69"/>
      <c r="L69"/>
      <c r="M69"/>
      <c r="N69"/>
      <c r="O69"/>
      <c r="P69"/>
      <c r="U69"/>
      <c r="V69"/>
      <c r="W69"/>
      <c r="X69"/>
      <c r="Y69"/>
      <c r="Z69"/>
      <c r="AA69"/>
      <c r="AB69"/>
    </row>
    <row r="70" spans="2:32" x14ac:dyDescent="0.2">
      <c r="B70" s="98" t="s">
        <v>291</v>
      </c>
      <c r="D70" s="98" t="s">
        <v>291</v>
      </c>
      <c r="E70" s="98">
        <f>COUNTIF('Master Sheet'!M:M, "*" &amp; B70 &amp; "*")</f>
        <v>10</v>
      </c>
      <c r="F70" s="101">
        <v>5.8479532163742687E-2</v>
      </c>
      <c r="G70" s="98">
        <f>COUNTIFS('Master Sheet'!M:M, "*" &amp; B70 &amp; "*", 'Master Sheet'!H:H, "Formal")</f>
        <v>2</v>
      </c>
      <c r="H70" s="101">
        <v>3.2786885245901641E-2</v>
      </c>
      <c r="I70" s="98">
        <f>COUNTIFS('Master Sheet'!M:M, "*" &amp; B70 &amp; "*", 'Master Sheet'!H:H, "Informal")</f>
        <v>8</v>
      </c>
      <c r="J70" s="101">
        <v>7.476635514018691E-2</v>
      </c>
      <c r="K70"/>
      <c r="L70"/>
      <c r="M70"/>
      <c r="N70"/>
      <c r="O70"/>
      <c r="P70"/>
      <c r="U70"/>
      <c r="V70"/>
      <c r="W70"/>
      <c r="X70"/>
      <c r="Y70"/>
      <c r="Z70"/>
      <c r="AA70"/>
      <c r="AB70"/>
    </row>
    <row r="71" spans="2:32" x14ac:dyDescent="0.2">
      <c r="B71" s="98" t="s">
        <v>28</v>
      </c>
      <c r="D71" s="98" t="s">
        <v>28</v>
      </c>
      <c r="E71" s="98">
        <f>COUNTIF('Master Sheet'!M:M, "*" &amp; B71 &amp; "*")</f>
        <v>5</v>
      </c>
      <c r="F71" s="101">
        <v>2.9239766081871343E-2</v>
      </c>
      <c r="G71" s="98">
        <f>COUNTIFS('Master Sheet'!M:M, "*" &amp; B71 &amp; "*", 'Master Sheet'!H:H, "Formal")</f>
        <v>1</v>
      </c>
      <c r="H71" s="101">
        <v>1.6393442622950821E-2</v>
      </c>
      <c r="I71" s="98">
        <f>COUNTIFS('Master Sheet'!M:M, "*" &amp; B71 &amp; "*", 'Master Sheet'!H:H, "Informal")</f>
        <v>4</v>
      </c>
      <c r="J71" s="101">
        <v>3.7383177570093455E-2</v>
      </c>
      <c r="K71"/>
      <c r="L71"/>
      <c r="M71"/>
      <c r="N71"/>
      <c r="O71"/>
      <c r="P71"/>
      <c r="U71"/>
      <c r="V71"/>
      <c r="W71"/>
      <c r="X71"/>
      <c r="Y71"/>
      <c r="Z71"/>
      <c r="AA71"/>
      <c r="AB71"/>
    </row>
    <row r="72" spans="2:32" x14ac:dyDescent="0.2">
      <c r="D72" s="99" t="s">
        <v>1182</v>
      </c>
      <c r="E72" s="98">
        <f>SUM(E50:E71)</f>
        <v>249</v>
      </c>
      <c r="K72"/>
      <c r="L72"/>
      <c r="M72"/>
      <c r="N72"/>
      <c r="O72"/>
      <c r="P72"/>
      <c r="U72"/>
      <c r="V72"/>
      <c r="W72"/>
      <c r="X72"/>
      <c r="Y72"/>
      <c r="Z72"/>
      <c r="AA72"/>
      <c r="AB72"/>
    </row>
    <row r="73" spans="2:32" x14ac:dyDescent="0.2">
      <c r="D73" s="99"/>
      <c r="K73"/>
      <c r="L73"/>
      <c r="M73"/>
      <c r="N73"/>
      <c r="O73"/>
      <c r="P73"/>
      <c r="U73"/>
      <c r="V73"/>
      <c r="W73"/>
      <c r="X73"/>
      <c r="Y73"/>
      <c r="Z73"/>
      <c r="AA73"/>
      <c r="AB73"/>
    </row>
    <row r="74" spans="2:32" ht="16" customHeight="1" x14ac:dyDescent="0.2">
      <c r="K74"/>
      <c r="L74" s="137" t="s">
        <v>1246</v>
      </c>
      <c r="M74" s="175" t="s">
        <v>1239</v>
      </c>
      <c r="N74" s="176"/>
      <c r="O74" s="173" t="s">
        <v>1240</v>
      </c>
      <c r="P74" s="174"/>
      <c r="Q74" s="171" t="s">
        <v>1241</v>
      </c>
      <c r="R74" s="172"/>
      <c r="T74" s="140" t="s">
        <v>1246</v>
      </c>
      <c r="U74" s="143"/>
      <c r="V74" s="144" t="s">
        <v>1239</v>
      </c>
      <c r="W74" s="145"/>
      <c r="X74" s="99"/>
      <c r="Y74" s="146" t="s">
        <v>1240</v>
      </c>
      <c r="Z74" s="147"/>
      <c r="AA74" s="148"/>
      <c r="AB74" s="98" t="s">
        <v>1287</v>
      </c>
      <c r="AC74" s="99"/>
      <c r="AD74" s="149" t="s">
        <v>1241</v>
      </c>
      <c r="AE74" s="150"/>
      <c r="AF74" s="151"/>
    </row>
    <row r="75" spans="2:32" x14ac:dyDescent="0.2">
      <c r="D75" s="118" t="s">
        <v>9</v>
      </c>
      <c r="E75" s="118" t="s">
        <v>1187</v>
      </c>
      <c r="F75" s="118" t="s">
        <v>1189</v>
      </c>
      <c r="G75" s="119" t="s">
        <v>1187</v>
      </c>
      <c r="H75" s="119" t="s">
        <v>1186</v>
      </c>
      <c r="I75" s="103" t="s">
        <v>1187</v>
      </c>
      <c r="J75" s="103" t="s">
        <v>1189</v>
      </c>
      <c r="K75"/>
      <c r="L75" s="135" t="s">
        <v>9</v>
      </c>
      <c r="M75" s="135" t="s">
        <v>1187</v>
      </c>
      <c r="N75" s="135" t="s">
        <v>1186</v>
      </c>
      <c r="O75" s="135" t="s">
        <v>1242</v>
      </c>
      <c r="P75" s="135" t="s">
        <v>1244</v>
      </c>
      <c r="Q75" s="135" t="s">
        <v>1243</v>
      </c>
      <c r="R75" s="98" t="s">
        <v>1245</v>
      </c>
      <c r="U75" s="135" t="s">
        <v>1247</v>
      </c>
      <c r="V75" s="98" t="s">
        <v>1248</v>
      </c>
      <c r="W75" s="98">
        <v>61</v>
      </c>
      <c r="Y75" s="98" t="s">
        <v>1247</v>
      </c>
      <c r="Z75" s="98" t="s">
        <v>1248</v>
      </c>
      <c r="AA75" s="142">
        <v>40</v>
      </c>
      <c r="AB75" s="101"/>
      <c r="AD75" s="98" t="s">
        <v>1247</v>
      </c>
      <c r="AE75" s="98" t="s">
        <v>1248</v>
      </c>
      <c r="AF75" s="142">
        <v>21</v>
      </c>
    </row>
    <row r="76" spans="2:32" ht="17" x14ac:dyDescent="0.2">
      <c r="B76" s="73" t="s">
        <v>28</v>
      </c>
      <c r="D76" s="73" t="s">
        <v>28</v>
      </c>
      <c r="E76" s="98">
        <f>COUNTIF('Master Sheet'!L:L, "*" &amp; B76 &amp; "*")</f>
        <v>6</v>
      </c>
      <c r="F76" s="100" cm="1">
        <f t="array" ref="F76:F276">E76:E276/E5</f>
        <v>3.5087719298245612E-2</v>
      </c>
      <c r="G76" s="98">
        <f>COUNTIFS('Master Sheet'!L:L, "*" &amp; B76 &amp; "*", 'Master Sheet'!H:H, "Formal")</f>
        <v>6</v>
      </c>
      <c r="H76" s="101" cm="1">
        <f t="array" ref="H76:H276">G76:G276/G10</f>
        <v>9.8360655737704916E-2</v>
      </c>
      <c r="I76" s="98">
        <f>COUNTIFS('Master Sheet'!L:L, "*" &amp; B76 &amp; "*", 'Master Sheet'!H:H, "Informal")</f>
        <v>0</v>
      </c>
      <c r="J76" s="101" cm="1">
        <f t="array" ref="J76:J276">I76:I276/I10</f>
        <v>0</v>
      </c>
      <c r="K76"/>
      <c r="L76" s="98" t="s">
        <v>96</v>
      </c>
      <c r="M76" s="98">
        <v>61</v>
      </c>
      <c r="N76" s="101">
        <v>0.37423312883435583</v>
      </c>
      <c r="O76" s="98">
        <v>40</v>
      </c>
      <c r="P76" s="101">
        <v>0.67796610169491522</v>
      </c>
      <c r="Q76" s="98">
        <v>21</v>
      </c>
      <c r="R76" s="101">
        <v>0.20192307692307693</v>
      </c>
      <c r="U76" t="s">
        <v>1247</v>
      </c>
      <c r="V76" s="98" t="s">
        <v>1259</v>
      </c>
      <c r="W76" s="98">
        <v>5</v>
      </c>
      <c r="Y76" s="98" t="s">
        <v>1247</v>
      </c>
      <c r="Z76" s="98" t="s">
        <v>1259</v>
      </c>
      <c r="AA76" s="139">
        <v>2</v>
      </c>
      <c r="AD76" s="98" t="s">
        <v>1247</v>
      </c>
      <c r="AE76" s="98" t="s">
        <v>1259</v>
      </c>
      <c r="AF76" s="139">
        <v>3</v>
      </c>
    </row>
    <row r="77" spans="2:32" x14ac:dyDescent="0.2">
      <c r="B77" s="41" t="s">
        <v>1041</v>
      </c>
      <c r="D77" s="41" t="s">
        <v>1041</v>
      </c>
      <c r="E77" s="98">
        <f>COUNTIF('Master Sheet'!L:L, "*" &amp; B77 &amp; "*")</f>
        <v>0</v>
      </c>
      <c r="F77" s="100">
        <v>0</v>
      </c>
      <c r="G77" s="98">
        <f>COUNTIFS('Master Sheet'!L:L, "*" &amp; B77 &amp; "*", 'Master Sheet'!H:H, "Formal")</f>
        <v>0</v>
      </c>
      <c r="H77" s="101">
        <v>0</v>
      </c>
      <c r="I77" s="98">
        <f>COUNTIFS('Master Sheet'!L:L, "*" &amp; B77 &amp; "*", 'Master Sheet'!H:H, "Informal")</f>
        <v>0</v>
      </c>
      <c r="J77" s="101">
        <v>0</v>
      </c>
      <c r="K77"/>
      <c r="L77" s="98" t="s">
        <v>1080</v>
      </c>
      <c r="M77" s="98">
        <v>24</v>
      </c>
      <c r="N77" s="101">
        <v>0.14723926380368099</v>
      </c>
      <c r="O77" s="98">
        <v>5</v>
      </c>
      <c r="P77" s="101">
        <v>8.4745762711864403E-2</v>
      </c>
      <c r="Q77" s="98">
        <v>19</v>
      </c>
      <c r="R77" s="101">
        <v>0.18269230769230768</v>
      </c>
      <c r="U77" t="s">
        <v>1250</v>
      </c>
      <c r="V77" s="98" t="s">
        <v>1249</v>
      </c>
      <c r="W77" s="98">
        <v>24</v>
      </c>
      <c r="Y77" s="98" t="s">
        <v>1250</v>
      </c>
      <c r="Z77" s="98" t="s">
        <v>1249</v>
      </c>
      <c r="AA77" s="139">
        <v>5</v>
      </c>
      <c r="AD77" s="98" t="s">
        <v>1250</v>
      </c>
      <c r="AE77" s="98" t="s">
        <v>1249</v>
      </c>
      <c r="AF77" s="139">
        <v>19</v>
      </c>
    </row>
    <row r="78" spans="2:32" x14ac:dyDescent="0.2">
      <c r="B78" s="80" t="s">
        <v>895</v>
      </c>
      <c r="D78" s="80" t="s">
        <v>895</v>
      </c>
      <c r="E78" s="98">
        <f>COUNTIF('Master Sheet'!L:L, "*" &amp; B78 &amp; "*")</f>
        <v>0</v>
      </c>
      <c r="F78" s="100">
        <v>0</v>
      </c>
      <c r="G78" s="98">
        <f>COUNTIFS('Master Sheet'!L:L, "*" &amp; B78 &amp; "*", 'Master Sheet'!H:H, "Formal")</f>
        <v>0</v>
      </c>
      <c r="H78" s="101">
        <v>0</v>
      </c>
      <c r="I78" s="98">
        <f>COUNTIFS('Master Sheet'!L:L, "*" &amp; B78 &amp; "*", 'Master Sheet'!H:H, "Informal")</f>
        <v>0</v>
      </c>
      <c r="J78" s="101">
        <v>0</v>
      </c>
      <c r="K78"/>
      <c r="L78" s="98" t="s">
        <v>1057</v>
      </c>
      <c r="M78" s="98">
        <v>16</v>
      </c>
      <c r="N78" s="101">
        <v>9.815950920245399E-2</v>
      </c>
      <c r="O78" s="98">
        <v>0</v>
      </c>
      <c r="P78" s="101">
        <v>0</v>
      </c>
      <c r="Q78" s="98">
        <v>16</v>
      </c>
      <c r="R78" s="101">
        <v>0.15384615384615385</v>
      </c>
      <c r="U78" t="s">
        <v>1250</v>
      </c>
      <c r="V78" s="98" t="s">
        <v>1251</v>
      </c>
      <c r="W78" s="98">
        <v>16</v>
      </c>
      <c r="Y78" s="98" t="s">
        <v>1250</v>
      </c>
      <c r="Z78" s="98" t="s">
        <v>1263</v>
      </c>
      <c r="AA78" s="139">
        <v>3</v>
      </c>
      <c r="AD78" s="98" t="s">
        <v>1250</v>
      </c>
      <c r="AE78" s="98" t="s">
        <v>1251</v>
      </c>
      <c r="AF78" s="138">
        <v>16</v>
      </c>
    </row>
    <row r="79" spans="2:32" x14ac:dyDescent="0.2">
      <c r="B79" s="80" t="s">
        <v>897</v>
      </c>
      <c r="D79" s="80" t="s">
        <v>897</v>
      </c>
      <c r="E79" s="98">
        <f>COUNTIF('Master Sheet'!L:L, "*" &amp; B79 &amp; "*")</f>
        <v>0</v>
      </c>
      <c r="F79" s="100">
        <v>0</v>
      </c>
      <c r="G79" s="98">
        <f>COUNTIFS('Master Sheet'!L:L, "*" &amp; B79 &amp; "*", 'Master Sheet'!H:H, "Formal")</f>
        <v>0</v>
      </c>
      <c r="H79" s="101">
        <v>0</v>
      </c>
      <c r="I79" s="98">
        <f>COUNTIFS('Master Sheet'!L:L, "*" &amp; B79 &amp; "*", 'Master Sheet'!H:H, "Informal")</f>
        <v>0</v>
      </c>
      <c r="J79" s="101">
        <v>0</v>
      </c>
      <c r="K79"/>
      <c r="L79" s="98" t="s">
        <v>1077</v>
      </c>
      <c r="M79" s="98">
        <v>9</v>
      </c>
      <c r="N79" s="101">
        <v>5.5214723926380369E-2</v>
      </c>
      <c r="O79" s="98">
        <v>0</v>
      </c>
      <c r="P79" s="101">
        <v>0</v>
      </c>
      <c r="Q79" s="98">
        <v>9</v>
      </c>
      <c r="R79" s="101">
        <v>8.6538461538461536E-2</v>
      </c>
      <c r="U79" t="s">
        <v>1250</v>
      </c>
      <c r="V79" s="98" t="s">
        <v>1252</v>
      </c>
      <c r="W79" s="98">
        <v>9</v>
      </c>
      <c r="Y79" s="98" t="s">
        <v>1268</v>
      </c>
      <c r="Z79" s="98" t="s">
        <v>1256</v>
      </c>
      <c r="AA79" s="138">
        <v>2</v>
      </c>
      <c r="AD79" s="98" t="s">
        <v>1250</v>
      </c>
      <c r="AE79" s="98" t="s">
        <v>1252</v>
      </c>
      <c r="AF79" s="139">
        <v>9</v>
      </c>
    </row>
    <row r="80" spans="2:32" x14ac:dyDescent="0.2">
      <c r="B80" s="80" t="s">
        <v>898</v>
      </c>
      <c r="D80" s="80" t="s">
        <v>898</v>
      </c>
      <c r="E80" s="98">
        <f>COUNTIF('Master Sheet'!L:L, "*" &amp; B80 &amp; "*")</f>
        <v>0</v>
      </c>
      <c r="F80" s="100">
        <v>0</v>
      </c>
      <c r="G80" s="98">
        <f>COUNTIFS('Master Sheet'!L:L, "*" &amp; B80 &amp; "*", 'Master Sheet'!H:H, "Formal")</f>
        <v>0</v>
      </c>
      <c r="H80" s="101">
        <v>0</v>
      </c>
      <c r="I80" s="98">
        <f>COUNTIFS('Master Sheet'!L:L, "*" &amp; B80 &amp; "*", 'Master Sheet'!H:H, "Informal")</f>
        <v>0</v>
      </c>
      <c r="J80" s="101">
        <v>0</v>
      </c>
      <c r="K80"/>
      <c r="L80" s="98" t="s">
        <v>362</v>
      </c>
      <c r="M80" s="98">
        <v>7</v>
      </c>
      <c r="N80" s="101">
        <v>4.2944785276073622E-2</v>
      </c>
      <c r="O80" s="98">
        <v>1</v>
      </c>
      <c r="P80" s="101">
        <v>1.6949152542372881E-2</v>
      </c>
      <c r="Q80" s="98">
        <v>6</v>
      </c>
      <c r="R80" s="101">
        <v>5.7692307692307696E-2</v>
      </c>
      <c r="U80" t="s">
        <v>1250</v>
      </c>
      <c r="V80" s="98" t="s">
        <v>1257</v>
      </c>
      <c r="W80" s="98">
        <v>6</v>
      </c>
      <c r="Y80" s="98" t="s">
        <v>1268</v>
      </c>
      <c r="Z80" s="98" t="s">
        <v>1253</v>
      </c>
      <c r="AA80" s="138">
        <v>1</v>
      </c>
      <c r="AD80" s="98" t="s">
        <v>1250</v>
      </c>
      <c r="AE80" s="98" t="s">
        <v>1257</v>
      </c>
      <c r="AF80" s="139">
        <v>6</v>
      </c>
    </row>
    <row r="81" spans="2:32" x14ac:dyDescent="0.2">
      <c r="B81" s="80" t="s">
        <v>899</v>
      </c>
      <c r="D81" s="80" t="s">
        <v>899</v>
      </c>
      <c r="E81" s="98">
        <f>COUNTIF('Master Sheet'!L:L, "*" &amp; B81 &amp; "*")</f>
        <v>0</v>
      </c>
      <c r="F81" s="100">
        <v>0</v>
      </c>
      <c r="G81" s="98">
        <f>COUNTIFS('Master Sheet'!L:L, "*" &amp; B81 &amp; "*", 'Master Sheet'!H:H, "Formal")</f>
        <v>0</v>
      </c>
      <c r="H81" s="101">
        <v>0</v>
      </c>
      <c r="I81" s="98">
        <f>COUNTIFS('Master Sheet'!L:L, "*" &amp; B81 &amp; "*", 'Master Sheet'!H:H, "Informal")</f>
        <v>0</v>
      </c>
      <c r="J81" s="101">
        <v>0</v>
      </c>
      <c r="K81"/>
      <c r="L81" s="98" t="s">
        <v>242</v>
      </c>
      <c r="M81" s="98">
        <v>7</v>
      </c>
      <c r="N81" s="101">
        <v>4.2944785276073622E-2</v>
      </c>
      <c r="O81" s="98">
        <v>1</v>
      </c>
      <c r="P81" s="101">
        <v>1.6949152542372881E-2</v>
      </c>
      <c r="Q81" s="98">
        <v>6</v>
      </c>
      <c r="R81" s="101">
        <v>5.7692307692307696E-2</v>
      </c>
      <c r="U81" t="s">
        <v>1250</v>
      </c>
      <c r="V81" s="98" t="s">
        <v>1258</v>
      </c>
      <c r="W81" s="98">
        <v>5</v>
      </c>
      <c r="Y81" s="141" t="s">
        <v>1268</v>
      </c>
      <c r="Z81" s="141" t="s">
        <v>1254</v>
      </c>
      <c r="AA81" s="139">
        <v>1</v>
      </c>
      <c r="AD81" s="98" t="s">
        <v>1250</v>
      </c>
      <c r="AE81" s="98" t="s">
        <v>1258</v>
      </c>
      <c r="AF81" s="138">
        <v>5</v>
      </c>
    </row>
    <row r="82" spans="2:32" x14ac:dyDescent="0.2">
      <c r="B82" s="80" t="s">
        <v>900</v>
      </c>
      <c r="D82" s="80" t="s">
        <v>900</v>
      </c>
      <c r="E82" s="98">
        <f>COUNTIF('Master Sheet'!L:L, "*" &amp; B82 &amp; "*")</f>
        <v>0</v>
      </c>
      <c r="F82" s="100">
        <v>0</v>
      </c>
      <c r="G82" s="98">
        <f>COUNTIFS('Master Sheet'!L:L, "*" &amp; B82 &amp; "*", 'Master Sheet'!H:H, "Formal")</f>
        <v>0</v>
      </c>
      <c r="H82" s="101">
        <v>0</v>
      </c>
      <c r="I82" s="98">
        <f>COUNTIFS('Master Sheet'!L:L, "*" &amp; B82 &amp; "*", 'Master Sheet'!H:H, "Informal")</f>
        <v>0</v>
      </c>
      <c r="J82" s="123">
        <v>0</v>
      </c>
      <c r="K82"/>
      <c r="L82" t="s">
        <v>28</v>
      </c>
      <c r="M82">
        <v>6</v>
      </c>
      <c r="N82" s="123">
        <v>3.6809815950920248E-2</v>
      </c>
      <c r="O82">
        <v>6</v>
      </c>
      <c r="P82" s="123">
        <v>0.10169491525423729</v>
      </c>
      <c r="Q82" s="98">
        <v>0</v>
      </c>
      <c r="R82" s="101">
        <v>0</v>
      </c>
      <c r="U82" t="s">
        <v>1250</v>
      </c>
      <c r="V82" s="98" t="s">
        <v>1260</v>
      </c>
      <c r="W82" s="98">
        <v>4</v>
      </c>
      <c r="Y82" s="98" t="s">
        <v>1268</v>
      </c>
      <c r="Z82" s="98" t="s">
        <v>1255</v>
      </c>
      <c r="AA82" s="139">
        <v>1</v>
      </c>
      <c r="AD82" s="98" t="s">
        <v>1250</v>
      </c>
      <c r="AE82" s="98" t="s">
        <v>1260</v>
      </c>
      <c r="AF82" s="138">
        <v>4</v>
      </c>
    </row>
    <row r="83" spans="2:32" x14ac:dyDescent="0.2">
      <c r="B83" s="80" t="s">
        <v>902</v>
      </c>
      <c r="D83" s="80" t="s">
        <v>902</v>
      </c>
      <c r="E83" s="98">
        <f>COUNTIF('Master Sheet'!L:L, "*" &amp; B83 &amp; "*")</f>
        <v>0</v>
      </c>
      <c r="F83" s="100">
        <v>0</v>
      </c>
      <c r="G83" s="98">
        <f>COUNTIFS('Master Sheet'!L:L, "*" &amp; B83 &amp; "*", 'Master Sheet'!H:H, "Formal")</f>
        <v>0</v>
      </c>
      <c r="H83" s="101">
        <v>0</v>
      </c>
      <c r="I83" s="98">
        <f>COUNTIFS('Master Sheet'!L:L, "*" &amp; B83 &amp; "*", 'Master Sheet'!H:H, "Informal")</f>
        <v>0</v>
      </c>
      <c r="J83" s="123">
        <v>0</v>
      </c>
      <c r="K83"/>
      <c r="L83" s="98" t="s">
        <v>188</v>
      </c>
      <c r="M83" s="98">
        <v>6</v>
      </c>
      <c r="N83" s="101">
        <v>3.6809815950920248E-2</v>
      </c>
      <c r="O83" s="98">
        <v>1</v>
      </c>
      <c r="P83" s="101">
        <v>1.6949152542372881E-2</v>
      </c>
      <c r="Q83" s="98">
        <v>5</v>
      </c>
      <c r="R83" s="101">
        <v>4.807692307692308E-2</v>
      </c>
      <c r="U83" t="s">
        <v>1250</v>
      </c>
      <c r="V83" s="98" t="s">
        <v>1263</v>
      </c>
      <c r="W83" s="98">
        <v>3</v>
      </c>
      <c r="Y83" s="98" t="s">
        <v>1268</v>
      </c>
      <c r="Z83" s="98" t="s">
        <v>1261</v>
      </c>
      <c r="AA83" s="139">
        <v>1</v>
      </c>
      <c r="AD83" s="98" t="s">
        <v>1250</v>
      </c>
      <c r="AE83" s="98" t="s">
        <v>1265</v>
      </c>
      <c r="AF83" s="139">
        <v>2</v>
      </c>
    </row>
    <row r="84" spans="2:32" x14ac:dyDescent="0.2">
      <c r="B84" s="80" t="s">
        <v>904</v>
      </c>
      <c r="D84" s="80" t="s">
        <v>904</v>
      </c>
      <c r="E84" s="98">
        <f>COUNTIF('Master Sheet'!L:L, "*" &amp; B84 &amp; "*")</f>
        <v>0</v>
      </c>
      <c r="F84" s="100">
        <v>0</v>
      </c>
      <c r="G84" s="98">
        <f>COUNTIFS('Master Sheet'!L:L, "*" &amp; B84 &amp; "*", 'Master Sheet'!H:H, "Formal")</f>
        <v>0</v>
      </c>
      <c r="H84" s="101">
        <v>0</v>
      </c>
      <c r="I84" s="98">
        <f>COUNTIFS('Master Sheet'!L:L, "*" &amp; B84 &amp; "*", 'Master Sheet'!H:H, "Informal")</f>
        <v>0</v>
      </c>
      <c r="J84" s="123">
        <v>0</v>
      </c>
      <c r="K84"/>
      <c r="L84" s="98" t="s">
        <v>483</v>
      </c>
      <c r="M84" s="98">
        <v>6</v>
      </c>
      <c r="N84" s="101">
        <v>3.6809815950920248E-2</v>
      </c>
      <c r="O84" s="98">
        <v>2</v>
      </c>
      <c r="P84" s="101">
        <v>3.3898305084745763E-2</v>
      </c>
      <c r="Q84" s="98">
        <v>4</v>
      </c>
      <c r="R84" s="101">
        <v>3.8461538461538464E-2</v>
      </c>
      <c r="U84" t="s">
        <v>1250</v>
      </c>
      <c r="V84" s="98" t="s">
        <v>1265</v>
      </c>
      <c r="W84" s="98">
        <v>2</v>
      </c>
      <c r="Y84" s="98" t="s">
        <v>1268</v>
      </c>
      <c r="Z84" s="98" t="s">
        <v>1264</v>
      </c>
      <c r="AA84" s="138">
        <v>1</v>
      </c>
      <c r="AD84" s="98" t="s">
        <v>1250</v>
      </c>
      <c r="AE84" s="98" t="s">
        <v>1266</v>
      </c>
      <c r="AF84" s="138">
        <v>2</v>
      </c>
    </row>
    <row r="85" spans="2:32" x14ac:dyDescent="0.2">
      <c r="B85" s="80" t="s">
        <v>906</v>
      </c>
      <c r="D85" s="80" t="s">
        <v>906</v>
      </c>
      <c r="E85" s="98">
        <f>COUNTIF('Master Sheet'!L:L, "*" &amp; B85 &amp; "*")</f>
        <v>0</v>
      </c>
      <c r="F85" s="100">
        <v>0</v>
      </c>
      <c r="G85" s="98">
        <f>COUNTIFS('Master Sheet'!L:L, "*" &amp; B85 &amp; "*", 'Master Sheet'!H:H, "Formal")</f>
        <v>0</v>
      </c>
      <c r="H85" s="101">
        <v>0</v>
      </c>
      <c r="I85" s="98">
        <f>COUNTIFS('Master Sheet'!L:L, "*" &amp; B85 &amp; "*", 'Master Sheet'!H:H, "Informal")</f>
        <v>0</v>
      </c>
      <c r="J85" s="123">
        <v>0</v>
      </c>
      <c r="K85"/>
      <c r="L85" s="98" t="s">
        <v>1091</v>
      </c>
      <c r="M85" s="98">
        <v>6</v>
      </c>
      <c r="N85" s="101">
        <v>3.6809815950920248E-2</v>
      </c>
      <c r="O85" s="98">
        <v>0</v>
      </c>
      <c r="P85" s="101">
        <v>0</v>
      </c>
      <c r="Q85" s="98">
        <v>6</v>
      </c>
      <c r="R85" s="101">
        <v>5.7692307692307696E-2</v>
      </c>
      <c r="U85" t="s">
        <v>1250</v>
      </c>
      <c r="V85" s="98" t="s">
        <v>1266</v>
      </c>
      <c r="W85" s="98">
        <v>2</v>
      </c>
      <c r="Y85" s="98" t="s">
        <v>1268</v>
      </c>
      <c r="Z85" s="98" t="s">
        <v>1274</v>
      </c>
      <c r="AA85" s="138">
        <v>1</v>
      </c>
      <c r="AD85" s="98" t="s">
        <v>1250</v>
      </c>
      <c r="AE85" s="98" t="s">
        <v>1270</v>
      </c>
      <c r="AF85" s="138">
        <v>1</v>
      </c>
    </row>
    <row r="86" spans="2:32" x14ac:dyDescent="0.2">
      <c r="B86" s="80" t="s">
        <v>907</v>
      </c>
      <c r="D86" s="80" t="s">
        <v>907</v>
      </c>
      <c r="E86" s="98">
        <f>COUNTIF('Master Sheet'!L:L, "*" &amp; B86 &amp; "*")</f>
        <v>0</v>
      </c>
      <c r="F86" s="100">
        <v>0</v>
      </c>
      <c r="G86" s="98">
        <f>COUNTIFS('Master Sheet'!L:L, "*" &amp; B86 &amp; "*", 'Master Sheet'!H:H, "Formal")</f>
        <v>0</v>
      </c>
      <c r="H86" s="101">
        <v>0</v>
      </c>
      <c r="I86" s="98">
        <f>COUNTIFS('Master Sheet'!L:L, "*" &amp; B86 &amp; "*", 'Master Sheet'!H:H, "Informal")</f>
        <v>0</v>
      </c>
      <c r="J86" s="123">
        <v>0</v>
      </c>
      <c r="K86"/>
      <c r="L86" s="98" t="s">
        <v>1073</v>
      </c>
      <c r="M86" s="98">
        <v>5</v>
      </c>
      <c r="N86" s="101">
        <v>3.0674846625766871E-2</v>
      </c>
      <c r="O86" s="98">
        <v>0</v>
      </c>
      <c r="P86" s="101">
        <v>0</v>
      </c>
      <c r="Q86" s="98">
        <v>5</v>
      </c>
      <c r="R86" s="101">
        <v>4.807692307692308E-2</v>
      </c>
      <c r="U86" t="s">
        <v>1250</v>
      </c>
      <c r="V86" s="98" t="s">
        <v>1270</v>
      </c>
      <c r="W86" s="98">
        <v>1</v>
      </c>
      <c r="Y86" s="98" t="s">
        <v>1268</v>
      </c>
      <c r="Z86" s="98" t="s">
        <v>1275</v>
      </c>
      <c r="AA86" s="139">
        <v>1</v>
      </c>
      <c r="AD86" s="98" t="s">
        <v>1250</v>
      </c>
      <c r="AE86" s="98" t="s">
        <v>1271</v>
      </c>
      <c r="AF86" s="139">
        <v>1</v>
      </c>
    </row>
    <row r="87" spans="2:32" x14ac:dyDescent="0.2">
      <c r="B87" s="80" t="s">
        <v>908</v>
      </c>
      <c r="D87" s="80" t="s">
        <v>908</v>
      </c>
      <c r="E87" s="98">
        <f>COUNTIF('Master Sheet'!L:L, "*" &amp; B87 &amp; "*")</f>
        <v>0</v>
      </c>
      <c r="F87" s="100">
        <v>0</v>
      </c>
      <c r="G87" s="98">
        <f>COUNTIFS('Master Sheet'!L:L, "*" &amp; B87 &amp; "*", 'Master Sheet'!H:H, "Formal")</f>
        <v>0</v>
      </c>
      <c r="H87" s="101">
        <v>0</v>
      </c>
      <c r="I87" s="98">
        <f>COUNTIFS('Master Sheet'!L:L, "*" &amp; B87 &amp; "*", 'Master Sheet'!H:H, "Informal")</f>
        <v>0</v>
      </c>
      <c r="J87" s="123">
        <v>0</v>
      </c>
      <c r="K87"/>
      <c r="L87" s="98" t="s">
        <v>262</v>
      </c>
      <c r="M87" s="98">
        <v>5</v>
      </c>
      <c r="N87" s="101">
        <v>3.0674846625766871E-2</v>
      </c>
      <c r="O87" s="98">
        <v>2</v>
      </c>
      <c r="P87" s="101">
        <v>3.3898305084745763E-2</v>
      </c>
      <c r="Q87" s="98">
        <v>3</v>
      </c>
      <c r="R87" s="101">
        <v>2.8846153846153848E-2</v>
      </c>
      <c r="U87" t="s">
        <v>1250</v>
      </c>
      <c r="V87" s="98" t="s">
        <v>1271</v>
      </c>
      <c r="W87" s="98">
        <v>1</v>
      </c>
      <c r="Y87" s="98" t="s">
        <v>1268</v>
      </c>
      <c r="Z87" s="98" t="s">
        <v>1277</v>
      </c>
      <c r="AA87" s="139">
        <v>1</v>
      </c>
      <c r="AD87" s="98" t="s">
        <v>1250</v>
      </c>
      <c r="AE87" s="98" t="s">
        <v>1272</v>
      </c>
      <c r="AF87" s="138">
        <v>1</v>
      </c>
    </row>
    <row r="88" spans="2:32" x14ac:dyDescent="0.2">
      <c r="B88" s="80" t="s">
        <v>909</v>
      </c>
      <c r="D88" s="80" t="s">
        <v>909</v>
      </c>
      <c r="E88" s="98">
        <f>COUNTIF('Master Sheet'!L:L, "*" &amp; B88 &amp; "*")</f>
        <v>0</v>
      </c>
      <c r="F88" s="100">
        <v>0</v>
      </c>
      <c r="G88" s="98">
        <f>COUNTIFS('Master Sheet'!L:L, "*" &amp; B88 &amp; "*", 'Master Sheet'!H:H, "Formal")</f>
        <v>0</v>
      </c>
      <c r="H88" s="101">
        <v>0</v>
      </c>
      <c r="I88" s="98">
        <f>COUNTIFS('Master Sheet'!L:L, "*" &amp; B88 &amp; "*", 'Master Sheet'!H:H, "Informal")</f>
        <v>0</v>
      </c>
      <c r="J88" s="123">
        <v>0</v>
      </c>
      <c r="K88"/>
      <c r="L88" s="98" t="s">
        <v>1069</v>
      </c>
      <c r="M88" s="98">
        <v>4</v>
      </c>
      <c r="N88" s="101">
        <v>2.4539877300613498E-2</v>
      </c>
      <c r="O88" s="98">
        <v>0</v>
      </c>
      <c r="P88" s="101">
        <v>0</v>
      </c>
      <c r="Q88" s="98">
        <v>4</v>
      </c>
      <c r="R88" s="101">
        <v>3.8461538461538464E-2</v>
      </c>
      <c r="U88" t="s">
        <v>1250</v>
      </c>
      <c r="V88" s="98" t="s">
        <v>1272</v>
      </c>
      <c r="W88" s="98">
        <v>1</v>
      </c>
      <c r="Y88" s="98" t="s">
        <v>1268</v>
      </c>
      <c r="Z88" s="98" t="s">
        <v>1279</v>
      </c>
      <c r="AA88" s="139">
        <v>1</v>
      </c>
      <c r="AD88" s="98" t="s">
        <v>1250</v>
      </c>
      <c r="AE88" s="98" t="s">
        <v>1284</v>
      </c>
      <c r="AF88" s="138">
        <v>1</v>
      </c>
    </row>
    <row r="89" spans="2:32" x14ac:dyDescent="0.2">
      <c r="B89" s="80" t="s">
        <v>910</v>
      </c>
      <c r="D89" s="80" t="s">
        <v>910</v>
      </c>
      <c r="E89" s="98">
        <f>COUNTIF('Master Sheet'!L:L, "*" &amp; B89 &amp; "*")</f>
        <v>0</v>
      </c>
      <c r="F89" s="100">
        <v>0</v>
      </c>
      <c r="G89" s="98">
        <f>COUNTIFS('Master Sheet'!L:L, "*" &amp; B89 &amp; "*", 'Master Sheet'!H:H, "Formal")</f>
        <v>0</v>
      </c>
      <c r="H89" s="101">
        <v>0</v>
      </c>
      <c r="I89" s="98">
        <f>COUNTIFS('Master Sheet'!L:L, "*" &amp; B89 &amp; "*", 'Master Sheet'!H:H, "Informal")</f>
        <v>0</v>
      </c>
      <c r="J89" s="123">
        <v>0</v>
      </c>
      <c r="K89"/>
      <c r="L89" s="98" t="s">
        <v>804</v>
      </c>
      <c r="M89" s="98">
        <v>3</v>
      </c>
      <c r="N89" s="101">
        <v>1.8404907975460124E-2</v>
      </c>
      <c r="O89" s="98">
        <v>1</v>
      </c>
      <c r="P89" s="101">
        <v>1.6949152542372881E-2</v>
      </c>
      <c r="Q89" s="98">
        <v>2</v>
      </c>
      <c r="R89" s="101">
        <v>1.9230769230769232E-2</v>
      </c>
      <c r="U89" t="s">
        <v>1250</v>
      </c>
      <c r="V89" s="98" t="s">
        <v>1284</v>
      </c>
      <c r="W89" s="98">
        <v>1</v>
      </c>
      <c r="Y89" s="98" t="s">
        <v>1268</v>
      </c>
      <c r="Z89" s="98" t="s">
        <v>1280</v>
      </c>
      <c r="AA89" s="138">
        <v>1</v>
      </c>
      <c r="AD89" s="98" t="s">
        <v>1250</v>
      </c>
      <c r="AE89" s="98" t="s">
        <v>1285</v>
      </c>
      <c r="AF89" s="139">
        <v>1</v>
      </c>
    </row>
    <row r="90" spans="2:32" x14ac:dyDescent="0.2">
      <c r="B90" s="80" t="s">
        <v>911</v>
      </c>
      <c r="D90" s="80" t="s">
        <v>911</v>
      </c>
      <c r="E90" s="98">
        <f>COUNTIF('Master Sheet'!L:L, "*" &amp; B90 &amp; "*")</f>
        <v>0</v>
      </c>
      <c r="F90" s="100">
        <v>0</v>
      </c>
      <c r="G90" s="98">
        <f>COUNTIFS('Master Sheet'!L:L, "*" &amp; B90 &amp; "*", 'Master Sheet'!H:H, "Formal")</f>
        <v>0</v>
      </c>
      <c r="H90" s="101">
        <v>0</v>
      </c>
      <c r="I90" s="98">
        <f>COUNTIFS('Master Sheet'!L:L, "*" &amp; B90 &amp; "*", 'Master Sheet'!H:H, "Informal")</f>
        <v>0</v>
      </c>
      <c r="J90" s="123">
        <v>0</v>
      </c>
      <c r="K90"/>
      <c r="L90" s="98" t="s">
        <v>596</v>
      </c>
      <c r="M90" s="98">
        <v>3</v>
      </c>
      <c r="N90" s="101">
        <v>1.8404907975460124E-2</v>
      </c>
      <c r="O90" s="98">
        <v>0</v>
      </c>
      <c r="P90" s="101">
        <v>0</v>
      </c>
      <c r="Q90" s="98">
        <v>3</v>
      </c>
      <c r="R90" s="101">
        <v>2.8846153846153848E-2</v>
      </c>
      <c r="U90" t="s">
        <v>1250</v>
      </c>
      <c r="V90" s="98" t="s">
        <v>1285</v>
      </c>
      <c r="W90" s="98">
        <v>1</v>
      </c>
      <c r="Y90" s="98" t="s">
        <v>1268</v>
      </c>
      <c r="Z90" s="98" t="s">
        <v>1282</v>
      </c>
      <c r="AA90" s="138">
        <v>1</v>
      </c>
      <c r="AD90" s="98" t="s">
        <v>1268</v>
      </c>
      <c r="AE90" s="98" t="s">
        <v>1253</v>
      </c>
      <c r="AF90" s="138">
        <v>6</v>
      </c>
    </row>
    <row r="91" spans="2:32" x14ac:dyDescent="0.2">
      <c r="B91" s="80" t="s">
        <v>912</v>
      </c>
      <c r="D91" s="80" t="s">
        <v>912</v>
      </c>
      <c r="E91" s="98">
        <f>COUNTIF('Master Sheet'!L:L, "*" &amp; B91 &amp; "*")</f>
        <v>0</v>
      </c>
      <c r="F91" s="100">
        <v>0</v>
      </c>
      <c r="G91" s="98">
        <f>COUNTIFS('Master Sheet'!L:L, "*" &amp; B91 &amp; "*", 'Master Sheet'!H:H, "Formal")</f>
        <v>0</v>
      </c>
      <c r="H91" s="101">
        <v>0</v>
      </c>
      <c r="I91" s="98">
        <f>COUNTIFS('Master Sheet'!L:L, "*" &amp; B91 &amp; "*", 'Master Sheet'!H:H, "Informal")</f>
        <v>0</v>
      </c>
      <c r="J91" s="123">
        <v>0</v>
      </c>
      <c r="K91"/>
      <c r="L91" s="98" t="s">
        <v>1090</v>
      </c>
      <c r="M91" s="98">
        <v>3</v>
      </c>
      <c r="N91" s="101">
        <v>1.8404907975460124E-2</v>
      </c>
      <c r="O91" s="98">
        <v>3</v>
      </c>
      <c r="P91" s="101">
        <v>5.0847457627118647E-2</v>
      </c>
      <c r="Q91" s="98">
        <v>0</v>
      </c>
      <c r="R91" s="101">
        <v>0</v>
      </c>
      <c r="U91" t="s">
        <v>1268</v>
      </c>
      <c r="V91" s="98" t="s">
        <v>1253</v>
      </c>
      <c r="W91" s="98">
        <v>7</v>
      </c>
      <c r="Y91" s="135" t="s">
        <v>1286</v>
      </c>
      <c r="AA91" s="136">
        <v>6</v>
      </c>
      <c r="AD91" s="98" t="s">
        <v>1268</v>
      </c>
      <c r="AE91" s="98" t="s">
        <v>1254</v>
      </c>
      <c r="AF91" s="139">
        <v>6</v>
      </c>
    </row>
    <row r="92" spans="2:32" x14ac:dyDescent="0.2">
      <c r="B92" s="80" t="s">
        <v>913</v>
      </c>
      <c r="D92" s="80" t="s">
        <v>913</v>
      </c>
      <c r="E92" s="98">
        <f>COUNTIF('Master Sheet'!L:L, "*" &amp; B92 &amp; "*")</f>
        <v>0</v>
      </c>
      <c r="F92" s="100">
        <v>0</v>
      </c>
      <c r="G92" s="98">
        <f>COUNTIFS('Master Sheet'!L:L, "*" &amp; B92 &amp; "*", 'Master Sheet'!H:H, "Formal")</f>
        <v>0</v>
      </c>
      <c r="H92" s="101">
        <v>0</v>
      </c>
      <c r="I92" s="98">
        <f>COUNTIFS('Master Sheet'!L:L, "*" &amp; B92 &amp; "*", 'Master Sheet'!H:H, "Informal")</f>
        <v>0</v>
      </c>
      <c r="J92" s="123">
        <v>0</v>
      </c>
      <c r="K92"/>
      <c r="L92" s="98" t="s">
        <v>378</v>
      </c>
      <c r="M92" s="98">
        <v>3</v>
      </c>
      <c r="N92" s="101">
        <v>1.8404907975460124E-2</v>
      </c>
      <c r="O92" s="98">
        <v>1</v>
      </c>
      <c r="P92" s="101">
        <v>1.6949152542372881E-2</v>
      </c>
      <c r="Q92" s="98">
        <v>2</v>
      </c>
      <c r="R92" s="101">
        <v>1.9230769230769232E-2</v>
      </c>
      <c r="U92" t="s">
        <v>1268</v>
      </c>
      <c r="V92" s="98" t="s">
        <v>1254</v>
      </c>
      <c r="W92" s="98">
        <v>7</v>
      </c>
      <c r="Y92" s="98" t="s">
        <v>1250</v>
      </c>
      <c r="Z92" s="98" t="s">
        <v>1251</v>
      </c>
      <c r="AA92" s="138">
        <v>0</v>
      </c>
      <c r="AD92" s="98" t="s">
        <v>1268</v>
      </c>
      <c r="AE92" s="98" t="s">
        <v>1255</v>
      </c>
      <c r="AF92" s="139">
        <v>5</v>
      </c>
    </row>
    <row r="93" spans="2:32" x14ac:dyDescent="0.2">
      <c r="B93" s="80" t="s">
        <v>915</v>
      </c>
      <c r="D93" s="80" t="s">
        <v>915</v>
      </c>
      <c r="E93" s="98">
        <f>COUNTIF('Master Sheet'!L:L, "*" &amp; B93 &amp; "*")</f>
        <v>0</v>
      </c>
      <c r="F93" s="100">
        <v>0</v>
      </c>
      <c r="G93" s="98">
        <f>COUNTIFS('Master Sheet'!L:L, "*" &amp; B93 &amp; "*", 'Master Sheet'!H:H, "Formal")</f>
        <v>0</v>
      </c>
      <c r="H93" s="101">
        <v>0</v>
      </c>
      <c r="I93" s="98">
        <f>COUNTIFS('Master Sheet'!L:L, "*" &amp; B93 &amp; "*", 'Master Sheet'!H:H, "Informal")</f>
        <v>0</v>
      </c>
      <c r="J93" s="123">
        <v>0</v>
      </c>
      <c r="K93"/>
      <c r="L93" s="98" t="s">
        <v>1066</v>
      </c>
      <c r="M93" s="98">
        <v>2</v>
      </c>
      <c r="N93" s="101">
        <v>1.2269938650306749E-2</v>
      </c>
      <c r="O93" s="98">
        <v>0</v>
      </c>
      <c r="P93" s="101">
        <v>0</v>
      </c>
      <c r="Q93" s="98">
        <v>2</v>
      </c>
      <c r="R93" s="101">
        <v>1.9230769230769232E-2</v>
      </c>
      <c r="U93" t="s">
        <v>1268</v>
      </c>
      <c r="V93" s="98" t="s">
        <v>1255</v>
      </c>
      <c r="W93" s="98">
        <v>6</v>
      </c>
      <c r="Y93" s="98" t="s">
        <v>1250</v>
      </c>
      <c r="Z93" s="98" t="s">
        <v>1252</v>
      </c>
      <c r="AA93" s="139">
        <v>0</v>
      </c>
      <c r="AD93" s="98" t="s">
        <v>1268</v>
      </c>
      <c r="AE93" s="98" t="s">
        <v>1256</v>
      </c>
      <c r="AF93" s="138">
        <v>4</v>
      </c>
    </row>
    <row r="94" spans="2:32" x14ac:dyDescent="0.2">
      <c r="B94" s="80" t="s">
        <v>916</v>
      </c>
      <c r="D94" s="80" t="s">
        <v>916</v>
      </c>
      <c r="E94" s="98">
        <f>COUNTIF('Master Sheet'!L:L, "*" &amp; B94 &amp; "*")</f>
        <v>0</v>
      </c>
      <c r="F94" s="100">
        <v>0</v>
      </c>
      <c r="G94" s="98">
        <f>COUNTIFS('Master Sheet'!L:L, "*" &amp; B94 &amp; "*", 'Master Sheet'!H:H, "Formal")</f>
        <v>0</v>
      </c>
      <c r="H94" s="101">
        <v>0</v>
      </c>
      <c r="I94" s="98">
        <f>COUNTIFS('Master Sheet'!L:L, "*" &amp; B94 &amp; "*", 'Master Sheet'!H:H, "Informal")</f>
        <v>0</v>
      </c>
      <c r="J94" s="123">
        <v>0</v>
      </c>
      <c r="K94"/>
      <c r="L94" s="98" t="s">
        <v>1088</v>
      </c>
      <c r="M94" s="98">
        <v>2</v>
      </c>
      <c r="N94" s="101">
        <v>1.2269938650306749E-2</v>
      </c>
      <c r="O94" s="98">
        <v>0</v>
      </c>
      <c r="P94" s="101">
        <v>0</v>
      </c>
      <c r="Q94" s="98">
        <v>2</v>
      </c>
      <c r="R94" s="101">
        <v>1.9230769230769232E-2</v>
      </c>
      <c r="U94" t="s">
        <v>1268</v>
      </c>
      <c r="V94" s="98" t="s">
        <v>1256</v>
      </c>
      <c r="W94" s="98">
        <v>6</v>
      </c>
      <c r="Y94" s="98" t="s">
        <v>1250</v>
      </c>
      <c r="Z94" s="98" t="s">
        <v>1257</v>
      </c>
      <c r="AA94" s="139">
        <v>0</v>
      </c>
      <c r="AD94" s="98" t="s">
        <v>1268</v>
      </c>
      <c r="AE94" s="98" t="s">
        <v>1261</v>
      </c>
      <c r="AF94" s="139">
        <v>2</v>
      </c>
    </row>
    <row r="95" spans="2:32" x14ac:dyDescent="0.2">
      <c r="B95" s="80" t="s">
        <v>917</v>
      </c>
      <c r="D95" s="80" t="s">
        <v>917</v>
      </c>
      <c r="E95" s="98">
        <f>COUNTIF('Master Sheet'!L:L, "*" &amp; B95 &amp; "*")</f>
        <v>0</v>
      </c>
      <c r="F95" s="100">
        <v>0</v>
      </c>
      <c r="G95" s="98">
        <f>COUNTIFS('Master Sheet'!L:L, "*" &amp; B95 &amp; "*", 'Master Sheet'!H:H, "Formal")</f>
        <v>0</v>
      </c>
      <c r="H95" s="101">
        <v>0</v>
      </c>
      <c r="I95" s="98">
        <f>COUNTIFS('Master Sheet'!L:L, "*" &amp; B95 &amp; "*", 'Master Sheet'!H:H, "Informal")</f>
        <v>0</v>
      </c>
      <c r="J95" s="123">
        <v>0</v>
      </c>
      <c r="K95"/>
      <c r="L95" s="98" t="s">
        <v>985</v>
      </c>
      <c r="M95" s="98">
        <v>2</v>
      </c>
      <c r="N95" s="101">
        <v>1.2269938650306749E-2</v>
      </c>
      <c r="O95" s="98">
        <v>0</v>
      </c>
      <c r="P95" s="101">
        <v>0</v>
      </c>
      <c r="Q95" s="98">
        <v>2</v>
      </c>
      <c r="R95" s="101">
        <v>1.9230769230769232E-2</v>
      </c>
      <c r="U95" t="s">
        <v>1268</v>
      </c>
      <c r="V95" s="98" t="s">
        <v>1261</v>
      </c>
      <c r="W95" s="98">
        <v>3</v>
      </c>
      <c r="X95"/>
      <c r="Y95" s="98" t="s">
        <v>1250</v>
      </c>
      <c r="Z95" s="98" t="s">
        <v>1258</v>
      </c>
      <c r="AA95" s="138">
        <v>0</v>
      </c>
      <c r="AD95" s="98" t="s">
        <v>1268</v>
      </c>
      <c r="AE95" s="98" t="s">
        <v>1262</v>
      </c>
      <c r="AF95" s="138">
        <v>3</v>
      </c>
    </row>
    <row r="96" spans="2:32" x14ac:dyDescent="0.2">
      <c r="B96" s="80" t="s">
        <v>918</v>
      </c>
      <c r="D96" s="80" t="s">
        <v>918</v>
      </c>
      <c r="E96" s="98">
        <f>COUNTIF('Master Sheet'!L:L, "*" &amp; B96 &amp; "*")</f>
        <v>0</v>
      </c>
      <c r="F96" s="100">
        <v>0</v>
      </c>
      <c r="G96" s="98">
        <f>COUNTIFS('Master Sheet'!L:L, "*" &amp; B96 &amp; "*", 'Master Sheet'!H:H, "Formal")</f>
        <v>0</v>
      </c>
      <c r="H96" s="101">
        <v>0</v>
      </c>
      <c r="I96" s="98">
        <f>COUNTIFS('Master Sheet'!L:L, "*" &amp; B96 &amp; "*", 'Master Sheet'!H:H, "Informal")</f>
        <v>0</v>
      </c>
      <c r="J96" s="123">
        <v>0</v>
      </c>
      <c r="K96"/>
      <c r="L96" s="98" t="s">
        <v>1052</v>
      </c>
      <c r="M96" s="98">
        <v>1</v>
      </c>
      <c r="N96" s="101">
        <v>6.1349693251533744E-3</v>
      </c>
      <c r="O96" s="98">
        <v>0</v>
      </c>
      <c r="P96" s="101">
        <v>0</v>
      </c>
      <c r="Q96" s="98">
        <v>1</v>
      </c>
      <c r="R96" s="101">
        <v>9.6153846153846159E-3</v>
      </c>
      <c r="U96" t="s">
        <v>1268</v>
      </c>
      <c r="V96" s="98" t="s">
        <v>1262</v>
      </c>
      <c r="W96" s="98">
        <v>3</v>
      </c>
      <c r="X96"/>
      <c r="Y96" s="98" t="s">
        <v>1250</v>
      </c>
      <c r="Z96" s="98" t="s">
        <v>1260</v>
      </c>
      <c r="AA96" s="138">
        <v>0</v>
      </c>
      <c r="AD96" s="98" t="s">
        <v>1268</v>
      </c>
      <c r="AE96" s="98" t="s">
        <v>1264</v>
      </c>
      <c r="AF96" s="138">
        <v>2</v>
      </c>
    </row>
    <row r="97" spans="2:32" x14ac:dyDescent="0.2">
      <c r="B97" s="80" t="s">
        <v>920</v>
      </c>
      <c r="D97" s="80" t="s">
        <v>920</v>
      </c>
      <c r="E97" s="98">
        <f>COUNTIF('Master Sheet'!L:L, "*" &amp; B97 &amp; "*")</f>
        <v>0</v>
      </c>
      <c r="F97" s="100">
        <v>0</v>
      </c>
      <c r="G97" s="98">
        <f>COUNTIFS('Master Sheet'!L:L, "*" &amp; B97 &amp; "*", 'Master Sheet'!H:H, "Formal")</f>
        <v>0</v>
      </c>
      <c r="H97" s="101">
        <v>0</v>
      </c>
      <c r="I97" s="98">
        <f>COUNTIFS('Master Sheet'!L:L, "*" &amp; B97 &amp; "*", 'Master Sheet'!H:H, "Informal")</f>
        <v>0</v>
      </c>
      <c r="J97" s="123">
        <v>0</v>
      </c>
      <c r="K97"/>
      <c r="L97" s="98" t="s">
        <v>1082</v>
      </c>
      <c r="M97" s="98">
        <v>1</v>
      </c>
      <c r="N97" s="101">
        <v>6.1349693251533744E-3</v>
      </c>
      <c r="O97" s="98">
        <v>0</v>
      </c>
      <c r="P97" s="101">
        <v>0</v>
      </c>
      <c r="Q97" s="98">
        <v>1</v>
      </c>
      <c r="R97" s="101">
        <v>9.6153846153846159E-3</v>
      </c>
      <c r="U97" t="s">
        <v>1268</v>
      </c>
      <c r="V97" s="98" t="s">
        <v>1264</v>
      </c>
      <c r="W97" s="98">
        <v>3</v>
      </c>
      <c r="Y97" s="98" t="s">
        <v>1268</v>
      </c>
      <c r="Z97" s="98" t="s">
        <v>1262</v>
      </c>
      <c r="AA97" s="138">
        <v>0</v>
      </c>
      <c r="AD97" s="98" t="s">
        <v>1268</v>
      </c>
      <c r="AE97" s="98" t="s">
        <v>1267</v>
      </c>
      <c r="AF97" s="139">
        <v>2</v>
      </c>
    </row>
    <row r="98" spans="2:32" x14ac:dyDescent="0.2">
      <c r="B98" s="80" t="s">
        <v>921</v>
      </c>
      <c r="D98" s="80" t="s">
        <v>921</v>
      </c>
      <c r="E98" s="98">
        <f>COUNTIF('Master Sheet'!L:L, "*" &amp; B98 &amp; "*")</f>
        <v>0</v>
      </c>
      <c r="F98" s="100">
        <v>0</v>
      </c>
      <c r="G98" s="98">
        <f>COUNTIFS('Master Sheet'!L:L, "*" &amp; B98 &amp; "*", 'Master Sheet'!H:H, "Formal")</f>
        <v>0</v>
      </c>
      <c r="H98" s="101">
        <v>0</v>
      </c>
      <c r="I98" s="98">
        <f>COUNTIFS('Master Sheet'!L:L, "*" &amp; B98 &amp; "*", 'Master Sheet'!H:H, "Informal")</f>
        <v>0</v>
      </c>
      <c r="J98" s="123">
        <v>0</v>
      </c>
      <c r="K98"/>
      <c r="L98" s="98" t="s">
        <v>1084</v>
      </c>
      <c r="M98" s="98">
        <v>1</v>
      </c>
      <c r="N98" s="101">
        <v>6.1349693251533744E-3</v>
      </c>
      <c r="O98" s="98">
        <v>0</v>
      </c>
      <c r="P98" s="101">
        <v>0</v>
      </c>
      <c r="Q98" s="98">
        <v>1</v>
      </c>
      <c r="R98" s="101">
        <v>9.6153846153846159E-3</v>
      </c>
      <c r="U98" t="s">
        <v>1268</v>
      </c>
      <c r="V98" s="98" t="s">
        <v>1267</v>
      </c>
      <c r="W98" s="98">
        <v>2</v>
      </c>
      <c r="Y98" s="98" t="s">
        <v>1250</v>
      </c>
      <c r="Z98" s="98" t="s">
        <v>1265</v>
      </c>
      <c r="AA98" s="139">
        <v>0</v>
      </c>
      <c r="AD98" s="98" t="s">
        <v>1268</v>
      </c>
      <c r="AE98" s="98" t="s">
        <v>1273</v>
      </c>
      <c r="AF98" s="139">
        <v>1</v>
      </c>
    </row>
    <row r="99" spans="2:32" x14ac:dyDescent="0.2">
      <c r="B99" s="80" t="s">
        <v>922</v>
      </c>
      <c r="D99" s="80" t="s">
        <v>922</v>
      </c>
      <c r="E99" s="98">
        <f>COUNTIF('Master Sheet'!L:L, "*" &amp; B99 &amp; "*")</f>
        <v>0</v>
      </c>
      <c r="F99" s="100">
        <v>0</v>
      </c>
      <c r="G99" s="98">
        <f>COUNTIFS('Master Sheet'!L:L, "*" &amp; B99 &amp; "*", 'Master Sheet'!H:H, "Formal")</f>
        <v>0</v>
      </c>
      <c r="H99" s="101">
        <v>0</v>
      </c>
      <c r="I99" s="98">
        <f>COUNTIFS('Master Sheet'!L:L, "*" &amp; B99 &amp; "*", 'Master Sheet'!H:H, "Informal")</f>
        <v>0</v>
      </c>
      <c r="J99" s="123">
        <v>0</v>
      </c>
      <c r="K99"/>
      <c r="L99" s="98" t="s">
        <v>957</v>
      </c>
      <c r="M99" s="98">
        <v>1</v>
      </c>
      <c r="N99" s="101">
        <v>6.1349693251533744E-3</v>
      </c>
      <c r="O99" s="98">
        <v>0</v>
      </c>
      <c r="P99" s="101">
        <v>0</v>
      </c>
      <c r="Q99" s="98">
        <v>1</v>
      </c>
      <c r="R99" s="101">
        <v>9.6153846153846159E-3</v>
      </c>
      <c r="U99" t="s">
        <v>1268</v>
      </c>
      <c r="V99" s="98" t="s">
        <v>1273</v>
      </c>
      <c r="W99" s="98">
        <v>1</v>
      </c>
      <c r="Y99" s="98" t="s">
        <v>1250</v>
      </c>
      <c r="Z99" s="98" t="s">
        <v>1266</v>
      </c>
      <c r="AA99" s="138">
        <v>0</v>
      </c>
      <c r="AD99" s="98" t="s">
        <v>1268</v>
      </c>
      <c r="AE99" s="98" t="s">
        <v>1276</v>
      </c>
      <c r="AF99" s="138">
        <v>1</v>
      </c>
    </row>
    <row r="100" spans="2:32" x14ac:dyDescent="0.2">
      <c r="B100" s="80" t="s">
        <v>923</v>
      </c>
      <c r="D100" s="80" t="s">
        <v>923</v>
      </c>
      <c r="E100" s="98">
        <f>COUNTIF('Master Sheet'!L:L, "*" &amp; B100 &amp; "*")</f>
        <v>0</v>
      </c>
      <c r="F100" s="100">
        <v>0</v>
      </c>
      <c r="G100" s="98">
        <f>COUNTIFS('Master Sheet'!L:L, "*" &amp; B100 &amp; "*", 'Master Sheet'!H:H, "Formal")</f>
        <v>0</v>
      </c>
      <c r="H100" s="101">
        <v>0</v>
      </c>
      <c r="I100" s="98">
        <f>COUNTIFS('Master Sheet'!L:L, "*" &amp; B100 &amp; "*", 'Master Sheet'!H:H, "Informal")</f>
        <v>0</v>
      </c>
      <c r="J100" s="123">
        <v>0</v>
      </c>
      <c r="K100"/>
      <c r="L100" s="98" t="s">
        <v>959</v>
      </c>
      <c r="M100" s="98">
        <v>1</v>
      </c>
      <c r="N100" s="101">
        <v>6.1349693251533744E-3</v>
      </c>
      <c r="O100" s="98">
        <v>1</v>
      </c>
      <c r="P100" s="101">
        <v>1.6949152542372881E-2</v>
      </c>
      <c r="Q100" s="98">
        <v>0</v>
      </c>
      <c r="R100" s="101">
        <v>0</v>
      </c>
      <c r="U100" t="s">
        <v>1268</v>
      </c>
      <c r="V100" s="98" t="s">
        <v>1274</v>
      </c>
      <c r="W100" s="98">
        <v>1</v>
      </c>
      <c r="Y100" s="98" t="s">
        <v>1268</v>
      </c>
      <c r="Z100" s="98" t="s">
        <v>1267</v>
      </c>
      <c r="AA100" s="139">
        <v>0</v>
      </c>
      <c r="AD100" s="98" t="s">
        <v>1268</v>
      </c>
      <c r="AE100" s="98" t="s">
        <v>1278</v>
      </c>
      <c r="AF100" s="138">
        <v>1</v>
      </c>
    </row>
    <row r="101" spans="2:32" x14ac:dyDescent="0.2">
      <c r="B101" s="80" t="s">
        <v>924</v>
      </c>
      <c r="D101" s="80" t="s">
        <v>924</v>
      </c>
      <c r="E101" s="98">
        <f>COUNTIF('Master Sheet'!L:L, "*" &amp; B101 &amp; "*")</f>
        <v>0</v>
      </c>
      <c r="F101" s="100">
        <v>0</v>
      </c>
      <c r="G101" s="98">
        <f>COUNTIFS('Master Sheet'!L:L, "*" &amp; B101 &amp; "*", 'Master Sheet'!H:H, "Formal")</f>
        <v>0</v>
      </c>
      <c r="H101" s="101">
        <v>0</v>
      </c>
      <c r="I101" s="98">
        <f>COUNTIFS('Master Sheet'!L:L, "*" &amp; B101 &amp; "*", 'Master Sheet'!H:H, "Informal")</f>
        <v>0</v>
      </c>
      <c r="J101" s="123">
        <v>0</v>
      </c>
      <c r="K101"/>
      <c r="L101" s="98" t="s">
        <v>961</v>
      </c>
      <c r="M101" s="98">
        <v>1</v>
      </c>
      <c r="N101" s="101">
        <v>6.1349693251533744E-3</v>
      </c>
      <c r="O101" s="98">
        <v>1</v>
      </c>
      <c r="P101" s="101">
        <v>1.6949152542372881E-2</v>
      </c>
      <c r="Q101" s="98">
        <v>0</v>
      </c>
      <c r="R101" s="101">
        <v>0</v>
      </c>
      <c r="U101" t="s">
        <v>1268</v>
      </c>
      <c r="V101" s="98" t="s">
        <v>1275</v>
      </c>
      <c r="W101" s="98">
        <v>1</v>
      </c>
      <c r="Y101" s="98" t="s">
        <v>1250</v>
      </c>
      <c r="Z101" s="98" t="s">
        <v>1270</v>
      </c>
      <c r="AA101" s="138">
        <v>0</v>
      </c>
      <c r="AD101" s="98" t="s">
        <v>1268</v>
      </c>
      <c r="AE101" s="98" t="s">
        <v>1281</v>
      </c>
      <c r="AF101" s="139">
        <v>1</v>
      </c>
    </row>
    <row r="102" spans="2:32" x14ac:dyDescent="0.2">
      <c r="B102" s="80" t="s">
        <v>925</v>
      </c>
      <c r="D102" s="80" t="s">
        <v>925</v>
      </c>
      <c r="E102" s="98">
        <f>COUNTIF('Master Sheet'!L:L, "*" &amp; B102 &amp; "*")</f>
        <v>0</v>
      </c>
      <c r="F102" s="100">
        <v>0</v>
      </c>
      <c r="G102" s="98">
        <f>COUNTIFS('Master Sheet'!L:L, "*" &amp; B102 &amp; "*", 'Master Sheet'!H:H, "Formal")</f>
        <v>0</v>
      </c>
      <c r="H102" s="101">
        <v>0</v>
      </c>
      <c r="I102" s="98">
        <f>COUNTIFS('Master Sheet'!L:L, "*" &amp; B102 &amp; "*", 'Master Sheet'!H:H, "Informal")</f>
        <v>0</v>
      </c>
      <c r="J102" s="123">
        <v>0</v>
      </c>
      <c r="K102"/>
      <c r="L102" s="98" t="s">
        <v>431</v>
      </c>
      <c r="M102" s="98">
        <v>1</v>
      </c>
      <c r="N102" s="101">
        <v>6.1349693251533744E-3</v>
      </c>
      <c r="O102" s="98">
        <v>0</v>
      </c>
      <c r="P102" s="101">
        <v>0</v>
      </c>
      <c r="Q102" s="98">
        <v>1</v>
      </c>
      <c r="R102" s="101">
        <v>9.6153846153846159E-3</v>
      </c>
      <c r="U102" t="s">
        <v>1268</v>
      </c>
      <c r="V102" s="98" t="s">
        <v>1276</v>
      </c>
      <c r="W102" s="98">
        <v>1</v>
      </c>
      <c r="X102"/>
      <c r="Y102" s="98" t="s">
        <v>1250</v>
      </c>
      <c r="Z102" s="98" t="s">
        <v>1271</v>
      </c>
      <c r="AA102" s="139">
        <v>0</v>
      </c>
      <c r="AD102" s="98" t="s">
        <v>1268</v>
      </c>
      <c r="AE102" s="98" t="s">
        <v>1283</v>
      </c>
      <c r="AF102" s="139">
        <v>1</v>
      </c>
    </row>
    <row r="103" spans="2:32" x14ac:dyDescent="0.2">
      <c r="B103" s="80" t="s">
        <v>926</v>
      </c>
      <c r="D103" s="80" t="s">
        <v>926</v>
      </c>
      <c r="E103" s="98">
        <f>COUNTIF('Master Sheet'!L:L, "*" &amp; B103 &amp; "*")</f>
        <v>0</v>
      </c>
      <c r="F103" s="100">
        <v>0</v>
      </c>
      <c r="G103" s="98">
        <f>COUNTIFS('Master Sheet'!L:L, "*" &amp; B103 &amp; "*", 'Master Sheet'!H:H, "Formal")</f>
        <v>0</v>
      </c>
      <c r="H103" s="101">
        <v>0</v>
      </c>
      <c r="I103" s="98">
        <f>COUNTIFS('Master Sheet'!L:L, "*" &amp; B103 &amp; "*", 'Master Sheet'!H:H, "Informal")</f>
        <v>0</v>
      </c>
      <c r="J103" s="123">
        <v>0</v>
      </c>
      <c r="K103"/>
      <c r="L103" s="98" t="s">
        <v>963</v>
      </c>
      <c r="M103" s="98">
        <v>1</v>
      </c>
      <c r="N103" s="101">
        <v>6.1349693251533744E-3</v>
      </c>
      <c r="O103" s="98">
        <v>1</v>
      </c>
      <c r="P103" s="101">
        <v>1.6949152542372881E-2</v>
      </c>
      <c r="Q103" s="98">
        <v>0</v>
      </c>
      <c r="R103" s="101">
        <v>0</v>
      </c>
      <c r="U103" t="s">
        <v>1268</v>
      </c>
      <c r="V103" s="98" t="s">
        <v>1277</v>
      </c>
      <c r="W103" s="98">
        <v>1</v>
      </c>
      <c r="X103"/>
      <c r="Y103" s="98" t="s">
        <v>1250</v>
      </c>
      <c r="Z103" s="98" t="s">
        <v>1272</v>
      </c>
      <c r="AA103" s="138">
        <v>0</v>
      </c>
      <c r="AD103" s="98" t="s">
        <v>1268</v>
      </c>
      <c r="AE103" s="98" t="s">
        <v>1274</v>
      </c>
      <c r="AF103" s="138">
        <v>0</v>
      </c>
    </row>
    <row r="104" spans="2:32" x14ac:dyDescent="0.2">
      <c r="B104" s="80" t="s">
        <v>927</v>
      </c>
      <c r="D104" s="80" t="s">
        <v>927</v>
      </c>
      <c r="E104" s="98">
        <f>COUNTIF('Master Sheet'!L:L, "*" &amp; B104 &amp; "*")</f>
        <v>0</v>
      </c>
      <c r="F104" s="100">
        <v>0</v>
      </c>
      <c r="G104" s="98">
        <f>COUNTIFS('Master Sheet'!L:L, "*" &amp; B104 &amp; "*", 'Master Sheet'!H:H, "Formal")</f>
        <v>0</v>
      </c>
      <c r="H104" s="101">
        <v>0</v>
      </c>
      <c r="I104" s="98">
        <f>COUNTIFS('Master Sheet'!L:L, "*" &amp; B104 &amp; "*", 'Master Sheet'!H:H, "Informal")</f>
        <v>0</v>
      </c>
      <c r="J104" s="123">
        <v>0</v>
      </c>
      <c r="K104"/>
      <c r="L104" s="98" t="s">
        <v>45</v>
      </c>
      <c r="M104" s="98">
        <v>1</v>
      </c>
      <c r="N104" s="101">
        <v>6.1349693251533744E-3</v>
      </c>
      <c r="O104" s="98">
        <v>0</v>
      </c>
      <c r="P104" s="101">
        <v>0</v>
      </c>
      <c r="Q104" s="98">
        <v>1</v>
      </c>
      <c r="R104" s="101">
        <v>9.6153846153846159E-3</v>
      </c>
      <c r="U104" t="s">
        <v>1268</v>
      </c>
      <c r="V104" s="98" t="s">
        <v>1278</v>
      </c>
      <c r="W104" s="98">
        <v>1</v>
      </c>
      <c r="X104"/>
      <c r="Y104" s="98" t="s">
        <v>1268</v>
      </c>
      <c r="Z104" s="98" t="s">
        <v>1273</v>
      </c>
      <c r="AA104" s="139">
        <v>0</v>
      </c>
      <c r="AD104" s="98" t="s">
        <v>1268</v>
      </c>
      <c r="AE104" s="98" t="s">
        <v>1275</v>
      </c>
      <c r="AF104" s="139">
        <v>0</v>
      </c>
    </row>
    <row r="105" spans="2:32" x14ac:dyDescent="0.2">
      <c r="B105" s="80" t="s">
        <v>928</v>
      </c>
      <c r="D105" s="80" t="s">
        <v>928</v>
      </c>
      <c r="E105" s="98">
        <f>COUNTIF('Master Sheet'!L:L, "*" &amp; B105 &amp; "*")</f>
        <v>0</v>
      </c>
      <c r="F105" s="100">
        <v>0</v>
      </c>
      <c r="G105" s="98">
        <f>COUNTIFS('Master Sheet'!L:L, "*" &amp; B105 &amp; "*", 'Master Sheet'!H:H, "Formal")</f>
        <v>0</v>
      </c>
      <c r="H105" s="101">
        <v>0</v>
      </c>
      <c r="I105" s="98">
        <f>COUNTIFS('Master Sheet'!L:L, "*" &amp; B105 &amp; "*", 'Master Sheet'!H:H, "Informal")</f>
        <v>0</v>
      </c>
      <c r="J105" s="123">
        <v>0</v>
      </c>
      <c r="K105"/>
      <c r="L105" s="98" t="s">
        <v>471</v>
      </c>
      <c r="M105" s="98">
        <v>1</v>
      </c>
      <c r="N105" s="101">
        <v>6.1349693251533744E-3</v>
      </c>
      <c r="O105" s="98">
        <v>1</v>
      </c>
      <c r="P105" s="101">
        <v>1.6949152542372881E-2</v>
      </c>
      <c r="Q105" s="98">
        <v>0</v>
      </c>
      <c r="R105" s="101">
        <v>0</v>
      </c>
      <c r="U105" t="s">
        <v>1268</v>
      </c>
      <c r="V105" s="98" t="s">
        <v>1279</v>
      </c>
      <c r="W105" s="98">
        <v>1</v>
      </c>
      <c r="Y105" s="98" t="s">
        <v>1268</v>
      </c>
      <c r="Z105" s="98" t="s">
        <v>1276</v>
      </c>
      <c r="AA105" s="138">
        <v>0</v>
      </c>
      <c r="AD105" s="98" t="s">
        <v>1268</v>
      </c>
      <c r="AE105" s="98" t="s">
        <v>1277</v>
      </c>
      <c r="AF105" s="139">
        <v>0</v>
      </c>
    </row>
    <row r="106" spans="2:32" x14ac:dyDescent="0.2">
      <c r="B106" s="80" t="s">
        <v>929</v>
      </c>
      <c r="D106" s="80" t="s">
        <v>929</v>
      </c>
      <c r="E106" s="98">
        <f>COUNTIF('Master Sheet'!L:L, "*" &amp; B106 &amp; "*")</f>
        <v>0</v>
      </c>
      <c r="F106" s="100">
        <v>0</v>
      </c>
      <c r="G106" s="98">
        <f>COUNTIFS('Master Sheet'!L:L, "*" &amp; B106 &amp; "*", 'Master Sheet'!H:H, "Formal")</f>
        <v>0</v>
      </c>
      <c r="H106" s="101">
        <v>0</v>
      </c>
      <c r="I106" s="98">
        <f>COUNTIFS('Master Sheet'!L:L, "*" &amp; B106 &amp; "*", 'Master Sheet'!H:H, "Informal")</f>
        <v>0</v>
      </c>
      <c r="J106" s="123">
        <v>0</v>
      </c>
      <c r="K106"/>
      <c r="L106" s="98" t="s">
        <v>977</v>
      </c>
      <c r="M106" s="98">
        <v>1</v>
      </c>
      <c r="N106" s="101">
        <v>6.1349693251533744E-3</v>
      </c>
      <c r="O106" s="98">
        <v>1</v>
      </c>
      <c r="P106" s="101">
        <v>1.6949152542372881E-2</v>
      </c>
      <c r="Q106" s="98">
        <v>0</v>
      </c>
      <c r="R106" s="101">
        <v>0</v>
      </c>
      <c r="U106" t="s">
        <v>1268</v>
      </c>
      <c r="V106" s="98" t="s">
        <v>1280</v>
      </c>
      <c r="W106" s="98">
        <v>1</v>
      </c>
      <c r="Y106" s="98" t="s">
        <v>1268</v>
      </c>
      <c r="Z106" s="98" t="s">
        <v>1278</v>
      </c>
      <c r="AA106" s="138">
        <v>0</v>
      </c>
      <c r="AD106" s="98" t="s">
        <v>1268</v>
      </c>
      <c r="AE106" s="98" t="s">
        <v>1279</v>
      </c>
      <c r="AF106" s="139">
        <v>0</v>
      </c>
    </row>
    <row r="107" spans="2:32" x14ac:dyDescent="0.2">
      <c r="B107" s="80" t="s">
        <v>930</v>
      </c>
      <c r="D107" s="80" t="s">
        <v>930</v>
      </c>
      <c r="E107" s="98">
        <f>COUNTIF('Master Sheet'!L:L, "*" &amp; B107 &amp; "*")</f>
        <v>0</v>
      </c>
      <c r="F107" s="100">
        <v>0</v>
      </c>
      <c r="G107" s="98">
        <f>COUNTIFS('Master Sheet'!L:L, "*" &amp; B107 &amp; "*", 'Master Sheet'!H:H, "Formal")</f>
        <v>0</v>
      </c>
      <c r="H107" s="101">
        <v>0</v>
      </c>
      <c r="I107" s="98">
        <f>COUNTIFS('Master Sheet'!L:L, "*" &amp; B107 &amp; "*", 'Master Sheet'!H:H, "Informal")</f>
        <v>0</v>
      </c>
      <c r="J107" s="123">
        <v>0</v>
      </c>
      <c r="K107"/>
      <c r="L107" s="98" t="s">
        <v>39</v>
      </c>
      <c r="M107" s="98">
        <v>1</v>
      </c>
      <c r="N107" s="101">
        <v>6.1349693251533744E-3</v>
      </c>
      <c r="O107" s="98">
        <v>0</v>
      </c>
      <c r="P107" s="101">
        <v>0</v>
      </c>
      <c r="Q107" s="98">
        <v>1</v>
      </c>
      <c r="R107" s="101">
        <v>9.6153846153846159E-3</v>
      </c>
      <c r="U107" t="s">
        <v>1268</v>
      </c>
      <c r="V107" s="98" t="s">
        <v>1281</v>
      </c>
      <c r="W107" s="98">
        <v>1</v>
      </c>
      <c r="Y107" s="98" t="s">
        <v>1268</v>
      </c>
      <c r="Z107" s="98" t="s">
        <v>1281</v>
      </c>
      <c r="AA107" s="139">
        <v>0</v>
      </c>
      <c r="AD107" s="98" t="s">
        <v>1268</v>
      </c>
      <c r="AE107" s="98" t="s">
        <v>1280</v>
      </c>
      <c r="AF107" s="138">
        <v>0</v>
      </c>
    </row>
    <row r="108" spans="2:32" x14ac:dyDescent="0.2">
      <c r="B108" s="80" t="s">
        <v>931</v>
      </c>
      <c r="D108" s="80" t="s">
        <v>931</v>
      </c>
      <c r="E108" s="98">
        <f>COUNTIF('Master Sheet'!L:L, "*" &amp; B108 &amp; "*")</f>
        <v>0</v>
      </c>
      <c r="F108" s="100">
        <v>0</v>
      </c>
      <c r="G108" s="98">
        <f>COUNTIFS('Master Sheet'!L:L, "*" &amp; B108 &amp; "*", 'Master Sheet'!H:H, "Formal")</f>
        <v>0</v>
      </c>
      <c r="H108" s="101">
        <v>0</v>
      </c>
      <c r="I108" s="98">
        <f>COUNTIFS('Master Sheet'!L:L, "*" &amp; B108 &amp; "*", 'Master Sheet'!H:H, "Informal")</f>
        <v>0</v>
      </c>
      <c r="J108" s="123">
        <v>0</v>
      </c>
      <c r="K108"/>
      <c r="L108" s="98" t="s">
        <v>983</v>
      </c>
      <c r="M108" s="98">
        <v>1</v>
      </c>
      <c r="N108" s="101">
        <v>6.1349693251533744E-3</v>
      </c>
      <c r="O108" s="98">
        <v>1</v>
      </c>
      <c r="P108" s="101">
        <v>1.6949152542372881E-2</v>
      </c>
      <c r="Q108" s="98">
        <v>0</v>
      </c>
      <c r="R108" s="101">
        <v>0</v>
      </c>
      <c r="U108" t="s">
        <v>1268</v>
      </c>
      <c r="V108" s="98" t="s">
        <v>1282</v>
      </c>
      <c r="W108" s="98">
        <v>1</v>
      </c>
      <c r="Y108" s="98" t="s">
        <v>1268</v>
      </c>
      <c r="Z108" s="98" t="s">
        <v>1283</v>
      </c>
      <c r="AA108" s="139">
        <v>0</v>
      </c>
      <c r="AD108" s="98" t="s">
        <v>1268</v>
      </c>
      <c r="AE108" s="98" t="s">
        <v>1282</v>
      </c>
      <c r="AF108" s="138">
        <v>0</v>
      </c>
    </row>
    <row r="109" spans="2:32" x14ac:dyDescent="0.2">
      <c r="B109" s="80" t="s">
        <v>932</v>
      </c>
      <c r="D109" s="80" t="s">
        <v>932</v>
      </c>
      <c r="E109" s="98">
        <f>COUNTIF('Master Sheet'!L:L, "*" &amp; B109 &amp; "*")</f>
        <v>0</v>
      </c>
      <c r="F109" s="100">
        <v>0</v>
      </c>
      <c r="G109" s="98">
        <f>COUNTIFS('Master Sheet'!L:L, "*" &amp; B109 &amp; "*", 'Master Sheet'!H:H, "Formal")</f>
        <v>0</v>
      </c>
      <c r="H109" s="101">
        <v>0</v>
      </c>
      <c r="I109" s="98">
        <f>COUNTIFS('Master Sheet'!L:L, "*" &amp; B109 &amp; "*", 'Master Sheet'!H:H, "Informal")</f>
        <v>0</v>
      </c>
      <c r="J109" s="123">
        <v>0</v>
      </c>
      <c r="K109"/>
      <c r="L109" s="98" t="s">
        <v>986</v>
      </c>
      <c r="M109" s="98">
        <v>1</v>
      </c>
      <c r="N109" s="101">
        <v>6.1349693251533744E-3</v>
      </c>
      <c r="O109" s="98">
        <v>0</v>
      </c>
      <c r="P109" s="101">
        <v>0</v>
      </c>
      <c r="Q109" s="98">
        <v>1</v>
      </c>
      <c r="R109" s="101">
        <v>9.6153846153846159E-3</v>
      </c>
      <c r="U109" t="s">
        <v>1268</v>
      </c>
      <c r="V109" s="98" t="s">
        <v>1283</v>
      </c>
      <c r="W109" s="98">
        <v>1</v>
      </c>
      <c r="X109"/>
      <c r="Y109" s="98" t="s">
        <v>1250</v>
      </c>
      <c r="Z109" s="98" t="s">
        <v>1284</v>
      </c>
      <c r="AA109" s="138">
        <v>0</v>
      </c>
      <c r="AD109" s="135" t="s">
        <v>1286</v>
      </c>
      <c r="AF109" s="138">
        <v>0</v>
      </c>
    </row>
    <row r="110" spans="2:32" x14ac:dyDescent="0.2">
      <c r="B110" s="80" t="s">
        <v>933</v>
      </c>
      <c r="D110" s="80" t="s">
        <v>933</v>
      </c>
      <c r="E110" s="98">
        <f>COUNTIF('Master Sheet'!L:L, "*" &amp; B110 &amp; "*")</f>
        <v>0</v>
      </c>
      <c r="F110" s="100">
        <v>0</v>
      </c>
      <c r="G110" s="98">
        <f>COUNTIFS('Master Sheet'!L:L, "*" &amp; B110 &amp; "*", 'Master Sheet'!H:H, "Formal")</f>
        <v>0</v>
      </c>
      <c r="H110" s="101">
        <v>0</v>
      </c>
      <c r="I110" s="98">
        <f>COUNTIFS('Master Sheet'!L:L, "*" &amp; B110 &amp; "*", 'Master Sheet'!H:H, "Informal")</f>
        <v>0</v>
      </c>
      <c r="J110" s="123">
        <v>0</v>
      </c>
      <c r="K110"/>
      <c r="L110" s="98" t="s">
        <v>1097</v>
      </c>
      <c r="M110" s="98">
        <v>1</v>
      </c>
      <c r="N110" s="101">
        <v>6.1349693251533744E-3</v>
      </c>
      <c r="O110" s="98">
        <v>0</v>
      </c>
      <c r="P110" s="101">
        <v>0</v>
      </c>
      <c r="Q110" s="98">
        <v>1</v>
      </c>
      <c r="R110" s="101">
        <v>9.6153846153846159E-3</v>
      </c>
      <c r="T110" s="135"/>
      <c r="U110" s="135" t="s">
        <v>1286</v>
      </c>
      <c r="V110" s="135"/>
      <c r="W110" s="135">
        <v>6</v>
      </c>
      <c r="X110"/>
      <c r="Y110" s="98" t="s">
        <v>1250</v>
      </c>
      <c r="Z110" s="98" t="s">
        <v>1285</v>
      </c>
      <c r="AA110" s="139">
        <v>0</v>
      </c>
      <c r="AD110" s="98" t="s">
        <v>1250</v>
      </c>
      <c r="AE110" s="98" t="s">
        <v>1263</v>
      </c>
      <c r="AF110" s="139">
        <v>0</v>
      </c>
    </row>
    <row r="111" spans="2:32" x14ac:dyDescent="0.2">
      <c r="B111" s="80" t="s">
        <v>934</v>
      </c>
      <c r="D111" s="80" t="s">
        <v>934</v>
      </c>
      <c r="E111" s="98">
        <f>COUNTIF('Master Sheet'!L:L, "*" &amp; B111 &amp; "*")</f>
        <v>0</v>
      </c>
      <c r="F111" s="100">
        <v>0</v>
      </c>
      <c r="G111" s="98">
        <f>COUNTIFS('Master Sheet'!L:L, "*" &amp; B111 &amp; "*", 'Master Sheet'!H:H, "Formal")</f>
        <v>0</v>
      </c>
      <c r="H111" s="101">
        <v>0</v>
      </c>
      <c r="I111" s="98">
        <f>COUNTIFS('Master Sheet'!L:L, "*" &amp; B111 &amp; "*", 'Master Sheet'!H:H, "Informal")</f>
        <v>0</v>
      </c>
      <c r="J111" s="123">
        <v>0</v>
      </c>
      <c r="K111"/>
      <c r="L111" s="98" t="s">
        <v>1098</v>
      </c>
      <c r="M111" s="98">
        <v>1</v>
      </c>
      <c r="N111" s="101">
        <v>6.1349693251533744E-3</v>
      </c>
      <c r="O111" s="98">
        <v>0</v>
      </c>
      <c r="P111" s="101">
        <v>0</v>
      </c>
      <c r="Q111" s="98">
        <v>1</v>
      </c>
      <c r="R111" s="101">
        <v>9.6153846153846159E-3</v>
      </c>
      <c r="U111"/>
      <c r="V111"/>
      <c r="W111"/>
      <c r="X111"/>
      <c r="Y111"/>
      <c r="Z111"/>
      <c r="AA111"/>
      <c r="AB111"/>
    </row>
    <row r="112" spans="2:32" x14ac:dyDescent="0.2">
      <c r="B112" s="80" t="s">
        <v>935</v>
      </c>
      <c r="D112" s="80" t="s">
        <v>935</v>
      </c>
      <c r="E112" s="98">
        <f>COUNTIF('Master Sheet'!L:L, "*" &amp; B112 &amp; "*")</f>
        <v>0</v>
      </c>
      <c r="F112" s="100">
        <v>0</v>
      </c>
      <c r="G112" s="98">
        <f>COUNTIFS('Master Sheet'!L:L, "*" &amp; B112 &amp; "*", 'Master Sheet'!H:H, "Formal")</f>
        <v>0</v>
      </c>
      <c r="H112" s="101">
        <v>0</v>
      </c>
      <c r="I112" s="98">
        <f>COUNTIFS('Master Sheet'!L:L, "*" &amp; B112 &amp; "*", 'Master Sheet'!H:H, "Informal")</f>
        <v>0</v>
      </c>
      <c r="J112" s="123">
        <v>0</v>
      </c>
      <c r="K112"/>
      <c r="L112" t="s">
        <v>1041</v>
      </c>
      <c r="M112">
        <v>0</v>
      </c>
      <c r="N112" s="123">
        <v>0</v>
      </c>
      <c r="O112">
        <v>0</v>
      </c>
      <c r="P112" s="123">
        <v>0</v>
      </c>
      <c r="Q112" s="98">
        <v>0</v>
      </c>
      <c r="R112" s="101">
        <v>0</v>
      </c>
      <c r="U112"/>
      <c r="V112"/>
      <c r="W112"/>
      <c r="X112"/>
      <c r="Y112"/>
      <c r="Z112"/>
      <c r="AA112"/>
      <c r="AB112"/>
    </row>
    <row r="113" spans="2:32" x14ac:dyDescent="0.2">
      <c r="B113" s="80" t="s">
        <v>936</v>
      </c>
      <c r="D113" s="80" t="s">
        <v>936</v>
      </c>
      <c r="E113" s="98">
        <f>COUNTIF('Master Sheet'!L:L, "*" &amp; B113 &amp; "*")</f>
        <v>0</v>
      </c>
      <c r="F113" s="100">
        <v>0</v>
      </c>
      <c r="G113" s="98">
        <f>COUNTIFS('Master Sheet'!L:L, "*" &amp; B113 &amp; "*", 'Master Sheet'!H:H, "Formal")</f>
        <v>0</v>
      </c>
      <c r="H113" s="101">
        <v>0</v>
      </c>
      <c r="I113" s="98">
        <f>COUNTIFS('Master Sheet'!L:L, "*" &amp; B113 &amp; "*", 'Master Sheet'!H:H, "Informal")</f>
        <v>0</v>
      </c>
      <c r="J113" s="123">
        <v>0</v>
      </c>
      <c r="K113"/>
      <c r="L113" t="s">
        <v>895</v>
      </c>
      <c r="M113">
        <v>0</v>
      </c>
      <c r="N113" s="123">
        <v>0</v>
      </c>
      <c r="O113">
        <v>0</v>
      </c>
      <c r="P113" s="123">
        <v>0</v>
      </c>
      <c r="Q113" s="98">
        <v>0</v>
      </c>
      <c r="R113" s="101">
        <v>0</v>
      </c>
      <c r="T113" s="99" t="s">
        <v>1269</v>
      </c>
      <c r="U113"/>
      <c r="V113">
        <f>E277</f>
        <v>204</v>
      </c>
      <c r="W113"/>
      <c r="Y113"/>
      <c r="AA113">
        <f>G277</f>
        <v>74</v>
      </c>
      <c r="AB113"/>
      <c r="AF113">
        <f>I277</f>
        <v>130</v>
      </c>
    </row>
    <row r="114" spans="2:32" x14ac:dyDescent="0.2">
      <c r="B114" s="80" t="s">
        <v>937</v>
      </c>
      <c r="D114" s="80" t="s">
        <v>937</v>
      </c>
      <c r="E114" s="98">
        <f>COUNTIF('Master Sheet'!L:L, "*" &amp; B114 &amp; "*")</f>
        <v>0</v>
      </c>
      <c r="F114" s="100">
        <v>0</v>
      </c>
      <c r="G114" s="98">
        <f>COUNTIFS('Master Sheet'!L:L, "*" &amp; B114 &amp; "*", 'Master Sheet'!H:H, "Formal")</f>
        <v>0</v>
      </c>
      <c r="H114" s="101">
        <v>0</v>
      </c>
      <c r="I114" s="98">
        <f>COUNTIFS('Master Sheet'!L:L, "*" &amp; B114 &amp; "*", 'Master Sheet'!H:H, "Informal")</f>
        <v>0</v>
      </c>
      <c r="J114" s="123">
        <v>0</v>
      </c>
      <c r="K114"/>
      <c r="L114" t="s">
        <v>897</v>
      </c>
      <c r="M114">
        <v>0</v>
      </c>
      <c r="N114" s="123">
        <v>0</v>
      </c>
      <c r="O114">
        <v>0</v>
      </c>
      <c r="P114" s="123">
        <v>0</v>
      </c>
      <c r="Q114" s="98">
        <v>0</v>
      </c>
      <c r="R114" s="101">
        <v>0</v>
      </c>
      <c r="U114"/>
      <c r="V114"/>
      <c r="W114"/>
      <c r="X114"/>
      <c r="Y114"/>
      <c r="Z114"/>
      <c r="AA114"/>
      <c r="AB114"/>
    </row>
    <row r="115" spans="2:32" x14ac:dyDescent="0.2">
      <c r="B115" s="80" t="s">
        <v>938</v>
      </c>
      <c r="D115" s="80" t="s">
        <v>938</v>
      </c>
      <c r="E115" s="98">
        <f>COUNTIF('Master Sheet'!L:L, "*" &amp; B115 &amp; "*")</f>
        <v>0</v>
      </c>
      <c r="F115" s="100">
        <v>0</v>
      </c>
      <c r="G115" s="98">
        <f>COUNTIFS('Master Sheet'!L:L, "*" &amp; B115 &amp; "*", 'Master Sheet'!H:H, "Formal")</f>
        <v>0</v>
      </c>
      <c r="H115" s="101">
        <v>0</v>
      </c>
      <c r="I115" s="98">
        <f>COUNTIFS('Master Sheet'!L:L, "*" &amp; B115 &amp; "*", 'Master Sheet'!H:H, "Informal")</f>
        <v>0</v>
      </c>
      <c r="J115" s="123">
        <v>0</v>
      </c>
      <c r="K115"/>
      <c r="L115" t="s">
        <v>898</v>
      </c>
      <c r="M115">
        <v>0</v>
      </c>
      <c r="N115" s="123">
        <v>0</v>
      </c>
      <c r="O115">
        <v>0</v>
      </c>
      <c r="P115" s="123">
        <v>0</v>
      </c>
      <c r="Q115" s="98">
        <v>0</v>
      </c>
      <c r="R115" s="101">
        <v>0</v>
      </c>
      <c r="U115"/>
      <c r="V115"/>
      <c r="W115"/>
      <c r="X115"/>
      <c r="Y115" s="135" t="s">
        <v>1290</v>
      </c>
      <c r="Z115"/>
      <c r="AA115"/>
      <c r="AB115"/>
    </row>
    <row r="116" spans="2:32" x14ac:dyDescent="0.2">
      <c r="B116" s="80" t="s">
        <v>939</v>
      </c>
      <c r="D116" s="80" t="s">
        <v>939</v>
      </c>
      <c r="E116" s="98">
        <f>COUNTIF('Master Sheet'!L:L, "*" &amp; B116 &amp; "*")</f>
        <v>0</v>
      </c>
      <c r="F116" s="100">
        <v>0</v>
      </c>
      <c r="G116" s="98">
        <f>COUNTIFS('Master Sheet'!L:L, "*" &amp; B116 &amp; "*", 'Master Sheet'!H:H, "Formal")</f>
        <v>0</v>
      </c>
      <c r="H116" s="101">
        <v>0</v>
      </c>
      <c r="I116" s="98">
        <f>COUNTIFS('Master Sheet'!L:L, "*" &amp; B116 &amp; "*", 'Master Sheet'!H:H, "Informal")</f>
        <v>0</v>
      </c>
      <c r="J116" s="123">
        <v>0</v>
      </c>
      <c r="K116"/>
      <c r="L116" t="s">
        <v>899</v>
      </c>
      <c r="M116">
        <v>0</v>
      </c>
      <c r="N116" s="123">
        <v>0</v>
      </c>
      <c r="O116">
        <v>0</v>
      </c>
      <c r="P116" s="123">
        <v>0</v>
      </c>
      <c r="Q116" s="98">
        <v>0</v>
      </c>
      <c r="R116" s="101">
        <v>0</v>
      </c>
      <c r="U116"/>
      <c r="V116"/>
      <c r="W116"/>
      <c r="X116"/>
      <c r="Y116" s="135" t="s">
        <v>1288</v>
      </c>
      <c r="Z116" s="123">
        <f>AA75/G34</f>
        <v>0.625</v>
      </c>
      <c r="AA116"/>
      <c r="AB116"/>
    </row>
    <row r="117" spans="2:32" x14ac:dyDescent="0.2">
      <c r="B117" s="80" t="s">
        <v>940</v>
      </c>
      <c r="D117" s="80" t="s">
        <v>940</v>
      </c>
      <c r="E117" s="98">
        <f>COUNTIF('Master Sheet'!L:L, "*" &amp; B117 &amp; "*")</f>
        <v>0</v>
      </c>
      <c r="F117" s="100">
        <v>0</v>
      </c>
      <c r="G117" s="98">
        <f>COUNTIFS('Master Sheet'!L:L, "*" &amp; B117 &amp; "*", 'Master Sheet'!H:H, "Formal")</f>
        <v>0</v>
      </c>
      <c r="H117" s="101">
        <v>0</v>
      </c>
      <c r="I117" s="98">
        <f>COUNTIFS('Master Sheet'!L:L, "*" &amp; B117 &amp; "*", 'Master Sheet'!H:H, "Informal")</f>
        <v>0</v>
      </c>
      <c r="J117" s="123">
        <v>0</v>
      </c>
      <c r="K117"/>
      <c r="L117" t="s">
        <v>900</v>
      </c>
      <c r="M117">
        <v>0</v>
      </c>
      <c r="N117" s="123">
        <v>0</v>
      </c>
      <c r="O117">
        <v>0</v>
      </c>
      <c r="P117" s="123">
        <v>0</v>
      </c>
      <c r="Q117" s="98">
        <v>0</v>
      </c>
      <c r="R117" s="101">
        <v>0</v>
      </c>
      <c r="U117"/>
      <c r="V117"/>
      <c r="W117"/>
      <c r="X117"/>
      <c r="Y117" s="135" t="s">
        <v>1289</v>
      </c>
      <c r="Z117" s="123">
        <f>(SUM(AA77:AA78))/G10</f>
        <v>0.13114754098360656</v>
      </c>
      <c r="AA117"/>
      <c r="AB117"/>
    </row>
    <row r="118" spans="2:32" x14ac:dyDescent="0.2">
      <c r="B118" s="80" t="s">
        <v>941</v>
      </c>
      <c r="D118" s="80" t="s">
        <v>941</v>
      </c>
      <c r="E118" s="98">
        <f>COUNTIF('Master Sheet'!L:L, "*" &amp; B118 &amp; "*")</f>
        <v>0</v>
      </c>
      <c r="F118" s="100">
        <v>0</v>
      </c>
      <c r="G118" s="98">
        <f>COUNTIFS('Master Sheet'!L:L, "*" &amp; B118 &amp; "*", 'Master Sheet'!H:H, "Formal")</f>
        <v>0</v>
      </c>
      <c r="H118" s="101">
        <v>0</v>
      </c>
      <c r="I118" s="98">
        <f>COUNTIFS('Master Sheet'!L:L, "*" &amp; B118 &amp; "*", 'Master Sheet'!H:H, "Informal")</f>
        <v>0</v>
      </c>
      <c r="J118" s="123">
        <v>0</v>
      </c>
      <c r="K118"/>
      <c r="L118" t="s">
        <v>902</v>
      </c>
      <c r="M118">
        <v>0</v>
      </c>
      <c r="N118" s="123">
        <v>0</v>
      </c>
      <c r="O118">
        <v>0</v>
      </c>
      <c r="P118" s="123">
        <v>0</v>
      </c>
      <c r="Q118" s="98">
        <v>0</v>
      </c>
      <c r="R118" s="101">
        <v>0</v>
      </c>
      <c r="U118"/>
      <c r="V118"/>
      <c r="W118"/>
      <c r="X118"/>
      <c r="Y118" s="135" t="s">
        <v>1268</v>
      </c>
      <c r="Z118" s="123">
        <f>(SUM(AA79:AA90))/G10</f>
        <v>0.21311475409836064</v>
      </c>
      <c r="AA118"/>
      <c r="AB118"/>
    </row>
    <row r="119" spans="2:32" x14ac:dyDescent="0.2">
      <c r="B119" s="80" t="s">
        <v>942</v>
      </c>
      <c r="D119" s="80" t="s">
        <v>942</v>
      </c>
      <c r="E119" s="98">
        <f>COUNTIF('Master Sheet'!L:L, "*" &amp; B119 &amp; "*")</f>
        <v>0</v>
      </c>
      <c r="F119" s="100">
        <v>0</v>
      </c>
      <c r="G119" s="98">
        <f>COUNTIFS('Master Sheet'!L:L, "*" &amp; B119 &amp; "*", 'Master Sheet'!H:H, "Formal")</f>
        <v>0</v>
      </c>
      <c r="H119" s="101">
        <v>0</v>
      </c>
      <c r="I119" s="98">
        <f>COUNTIFS('Master Sheet'!L:L, "*" &amp; B119 &amp; "*", 'Master Sheet'!H:H, "Informal")</f>
        <v>0</v>
      </c>
      <c r="J119" s="123">
        <v>0</v>
      </c>
      <c r="K119"/>
      <c r="L119" t="s">
        <v>904</v>
      </c>
      <c r="M119">
        <v>0</v>
      </c>
      <c r="N119" s="123">
        <v>0</v>
      </c>
      <c r="O119">
        <v>0</v>
      </c>
      <c r="P119" s="123">
        <v>0</v>
      </c>
      <c r="Q119" s="98">
        <v>0</v>
      </c>
      <c r="R119" s="101">
        <v>0</v>
      </c>
      <c r="U119"/>
      <c r="V119"/>
      <c r="W119"/>
      <c r="X119"/>
      <c r="Y119"/>
      <c r="Z119"/>
      <c r="AA119"/>
      <c r="AB119"/>
    </row>
    <row r="120" spans="2:32" x14ac:dyDescent="0.2">
      <c r="B120" s="80" t="s">
        <v>943</v>
      </c>
      <c r="D120" s="80" t="s">
        <v>943</v>
      </c>
      <c r="E120" s="98">
        <f>COUNTIF('Master Sheet'!L:L, "*" &amp; B120 &amp; "*")</f>
        <v>0</v>
      </c>
      <c r="F120" s="100">
        <v>0</v>
      </c>
      <c r="G120" s="98">
        <f>COUNTIFS('Master Sheet'!L:L, "*" &amp; B120 &amp; "*", 'Master Sheet'!H:H, "Formal")</f>
        <v>0</v>
      </c>
      <c r="H120" s="101">
        <v>0</v>
      </c>
      <c r="I120" s="98">
        <f>COUNTIFS('Master Sheet'!L:L, "*" &amp; B120 &amp; "*", 'Master Sheet'!H:H, "Informal")</f>
        <v>0</v>
      </c>
      <c r="J120" s="101">
        <v>0</v>
      </c>
      <c r="K120"/>
      <c r="L120" t="s">
        <v>906</v>
      </c>
      <c r="M120">
        <v>0</v>
      </c>
      <c r="N120" s="123">
        <v>0</v>
      </c>
      <c r="O120">
        <v>0</v>
      </c>
      <c r="P120" s="123">
        <v>0</v>
      </c>
      <c r="Q120" s="98">
        <v>0</v>
      </c>
      <c r="R120" s="101">
        <v>0</v>
      </c>
      <c r="U120"/>
      <c r="V120"/>
      <c r="W120"/>
      <c r="X120"/>
      <c r="Y120"/>
      <c r="Z120"/>
      <c r="AA120"/>
      <c r="AB120"/>
    </row>
    <row r="121" spans="2:32" x14ac:dyDescent="0.2">
      <c r="B121" s="80" t="s">
        <v>944</v>
      </c>
      <c r="D121" s="80" t="s">
        <v>944</v>
      </c>
      <c r="E121" s="98">
        <f>COUNTIF('Master Sheet'!L:L, "*" &amp; B121 &amp; "*")</f>
        <v>0</v>
      </c>
      <c r="F121" s="100">
        <v>0</v>
      </c>
      <c r="G121" s="98">
        <f>COUNTIFS('Master Sheet'!L:L, "*" &amp; B121 &amp; "*", 'Master Sheet'!H:H, "Formal")</f>
        <v>0</v>
      </c>
      <c r="H121" s="101">
        <v>0</v>
      </c>
      <c r="I121" s="98">
        <f>COUNTIFS('Master Sheet'!L:L, "*" &amp; B121 &amp; "*", 'Master Sheet'!H:H, "Informal")</f>
        <v>0</v>
      </c>
      <c r="J121" s="101">
        <v>0</v>
      </c>
      <c r="L121" t="s">
        <v>907</v>
      </c>
      <c r="M121">
        <v>0</v>
      </c>
      <c r="N121" s="123">
        <v>0</v>
      </c>
      <c r="O121">
        <v>0</v>
      </c>
      <c r="P121" s="123">
        <v>0</v>
      </c>
      <c r="Q121" s="98">
        <v>0</v>
      </c>
      <c r="R121" s="101">
        <v>0</v>
      </c>
    </row>
    <row r="122" spans="2:32" x14ac:dyDescent="0.2">
      <c r="B122" s="80" t="s">
        <v>945</v>
      </c>
      <c r="D122" s="80" t="s">
        <v>945</v>
      </c>
      <c r="E122" s="98">
        <f>COUNTIF('Master Sheet'!L:L, "*" &amp; B122 &amp; "*")</f>
        <v>0</v>
      </c>
      <c r="F122" s="100">
        <v>0</v>
      </c>
      <c r="G122" s="98">
        <f>COUNTIFS('Master Sheet'!L:L, "*" &amp; B122 &amp; "*", 'Master Sheet'!H:H, "Formal")</f>
        <v>0</v>
      </c>
      <c r="H122" s="101">
        <v>0</v>
      </c>
      <c r="I122" s="98">
        <f>COUNTIFS('Master Sheet'!L:L, "*" &amp; B122 &amp; "*", 'Master Sheet'!H:H, "Informal")</f>
        <v>0</v>
      </c>
      <c r="J122" s="101">
        <v>0</v>
      </c>
      <c r="L122" t="s">
        <v>908</v>
      </c>
      <c r="M122">
        <v>0</v>
      </c>
      <c r="N122" s="123">
        <v>0</v>
      </c>
      <c r="O122">
        <v>0</v>
      </c>
      <c r="P122" s="123">
        <v>0</v>
      </c>
      <c r="Q122" s="98">
        <v>0</v>
      </c>
      <c r="R122" s="101">
        <v>0</v>
      </c>
    </row>
    <row r="123" spans="2:32" x14ac:dyDescent="0.2">
      <c r="B123" s="80" t="s">
        <v>946</v>
      </c>
      <c r="D123" s="80" t="s">
        <v>946</v>
      </c>
      <c r="E123" s="98">
        <f>COUNTIF('Master Sheet'!L:L, "*" &amp; B123 &amp; "*")</f>
        <v>0</v>
      </c>
      <c r="F123" s="100">
        <v>0</v>
      </c>
      <c r="G123" s="98">
        <f>COUNTIFS('Master Sheet'!L:L, "*" &amp; B123 &amp; "*", 'Master Sheet'!H:H, "Formal")</f>
        <v>0</v>
      </c>
      <c r="H123" s="101">
        <v>0</v>
      </c>
      <c r="I123" s="98">
        <f>COUNTIFS('Master Sheet'!L:L, "*" &amp; B123 &amp; "*", 'Master Sheet'!H:H, "Informal")</f>
        <v>0</v>
      </c>
      <c r="J123" s="101">
        <v>0</v>
      </c>
      <c r="L123" t="s">
        <v>909</v>
      </c>
      <c r="M123">
        <v>0</v>
      </c>
      <c r="N123" s="123">
        <v>0</v>
      </c>
      <c r="O123">
        <v>0</v>
      </c>
      <c r="P123" s="123">
        <v>0</v>
      </c>
      <c r="Q123" s="98">
        <v>0</v>
      </c>
      <c r="R123" s="101">
        <v>0</v>
      </c>
    </row>
    <row r="124" spans="2:32" x14ac:dyDescent="0.2">
      <c r="B124" s="80" t="s">
        <v>947</v>
      </c>
      <c r="D124" s="80" t="s">
        <v>947</v>
      </c>
      <c r="E124" s="98">
        <f>COUNTIF('Master Sheet'!L:L, "*" &amp; B124 &amp; "*")</f>
        <v>0</v>
      </c>
      <c r="F124" s="100">
        <v>0</v>
      </c>
      <c r="G124" s="98">
        <f>COUNTIFS('Master Sheet'!L:L, "*" &amp; B124 &amp; "*", 'Master Sheet'!H:H, "Formal")</f>
        <v>0</v>
      </c>
      <c r="H124" s="101">
        <v>0</v>
      </c>
      <c r="I124" s="98">
        <f>COUNTIFS('Master Sheet'!L:L, "*" &amp; B124 &amp; "*", 'Master Sheet'!H:H, "Informal")</f>
        <v>0</v>
      </c>
      <c r="J124" s="101">
        <v>0</v>
      </c>
      <c r="L124" t="s">
        <v>910</v>
      </c>
      <c r="M124">
        <v>0</v>
      </c>
      <c r="N124" s="123">
        <v>0</v>
      </c>
      <c r="O124">
        <v>0</v>
      </c>
      <c r="P124" s="123">
        <v>0</v>
      </c>
      <c r="Q124" s="98">
        <v>0</v>
      </c>
      <c r="R124" s="101">
        <v>0</v>
      </c>
    </row>
    <row r="125" spans="2:32" x14ac:dyDescent="0.2">
      <c r="B125" s="80" t="s">
        <v>948</v>
      </c>
      <c r="D125" s="80" t="s">
        <v>948</v>
      </c>
      <c r="E125" s="98">
        <f>COUNTIF('Master Sheet'!L:L, "*" &amp; B125 &amp; "*")</f>
        <v>0</v>
      </c>
      <c r="F125" s="100">
        <v>0</v>
      </c>
      <c r="G125" s="98">
        <f>COUNTIFS('Master Sheet'!L:L, "*" &amp; B125 &amp; "*", 'Master Sheet'!H:H, "Formal")</f>
        <v>0</v>
      </c>
      <c r="H125" s="101">
        <v>0</v>
      </c>
      <c r="I125" s="98">
        <f>COUNTIFS('Master Sheet'!L:L, "*" &amp; B125 &amp; "*", 'Master Sheet'!H:H, "Informal")</f>
        <v>0</v>
      </c>
      <c r="J125" s="101">
        <v>0</v>
      </c>
      <c r="L125" t="s">
        <v>911</v>
      </c>
      <c r="M125">
        <v>0</v>
      </c>
      <c r="N125" s="123">
        <v>0</v>
      </c>
      <c r="O125">
        <v>0</v>
      </c>
      <c r="P125" s="123">
        <v>0</v>
      </c>
      <c r="Q125" s="98">
        <v>0</v>
      </c>
      <c r="R125" s="101">
        <v>0</v>
      </c>
    </row>
    <row r="126" spans="2:32" x14ac:dyDescent="0.2">
      <c r="B126" s="80" t="s">
        <v>949</v>
      </c>
      <c r="D126" s="80" t="s">
        <v>949</v>
      </c>
      <c r="E126" s="98">
        <f>COUNTIF('Master Sheet'!L:L, "*" &amp; B126 &amp; "*")</f>
        <v>0</v>
      </c>
      <c r="F126" s="100">
        <v>0</v>
      </c>
      <c r="G126" s="98">
        <f>COUNTIFS('Master Sheet'!L:L, "*" &amp; B126 &amp; "*", 'Master Sheet'!H:H, "Formal")</f>
        <v>0</v>
      </c>
      <c r="H126" s="101">
        <v>0</v>
      </c>
      <c r="I126" s="98">
        <f>COUNTIFS('Master Sheet'!L:L, "*" &amp; B126 &amp; "*", 'Master Sheet'!H:H, "Informal")</f>
        <v>0</v>
      </c>
      <c r="J126" s="101">
        <v>0</v>
      </c>
      <c r="L126" t="s">
        <v>912</v>
      </c>
      <c r="M126">
        <v>0</v>
      </c>
      <c r="N126" s="123">
        <v>0</v>
      </c>
      <c r="O126">
        <v>0</v>
      </c>
      <c r="P126" s="123">
        <v>0</v>
      </c>
      <c r="Q126" s="98">
        <v>0</v>
      </c>
      <c r="R126" s="101">
        <v>0</v>
      </c>
    </row>
    <row r="127" spans="2:32" x14ac:dyDescent="0.2">
      <c r="B127" s="80" t="s">
        <v>950</v>
      </c>
      <c r="D127" s="80" t="s">
        <v>950</v>
      </c>
      <c r="E127" s="98">
        <f>COUNTIF('Master Sheet'!L:L, "*" &amp; B127 &amp; "*")</f>
        <v>0</v>
      </c>
      <c r="F127" s="100">
        <v>0</v>
      </c>
      <c r="G127" s="98">
        <f>COUNTIFS('Master Sheet'!L:L, "*" &amp; B127 &amp; "*", 'Master Sheet'!H:H, "Formal")</f>
        <v>0</v>
      </c>
      <c r="H127" s="101">
        <v>0</v>
      </c>
      <c r="I127" s="98">
        <f>COUNTIFS('Master Sheet'!L:L, "*" &amp; B127 &amp; "*", 'Master Sheet'!H:H, "Informal")</f>
        <v>0</v>
      </c>
      <c r="J127" s="101">
        <v>0</v>
      </c>
      <c r="L127" t="s">
        <v>913</v>
      </c>
      <c r="M127">
        <v>0</v>
      </c>
      <c r="N127" s="123">
        <v>0</v>
      </c>
      <c r="O127">
        <v>0</v>
      </c>
      <c r="P127" s="123">
        <v>0</v>
      </c>
      <c r="Q127" s="98">
        <v>0</v>
      </c>
      <c r="R127" s="101">
        <v>0</v>
      </c>
    </row>
    <row r="128" spans="2:32" x14ac:dyDescent="0.2">
      <c r="B128" s="80" t="s">
        <v>951</v>
      </c>
      <c r="D128" s="80" t="s">
        <v>951</v>
      </c>
      <c r="E128" s="98">
        <f>COUNTIF('Master Sheet'!L:L, "*" &amp; B128 &amp; "*")</f>
        <v>0</v>
      </c>
      <c r="F128" s="100">
        <v>0</v>
      </c>
      <c r="G128" s="98">
        <f>COUNTIFS('Master Sheet'!L:L, "*" &amp; B128 &amp; "*", 'Master Sheet'!H:H, "Formal")</f>
        <v>0</v>
      </c>
      <c r="H128" s="101">
        <v>0</v>
      </c>
      <c r="I128" s="98">
        <f>COUNTIFS('Master Sheet'!L:L, "*" &amp; B128 &amp; "*", 'Master Sheet'!H:H, "Informal")</f>
        <v>0</v>
      </c>
      <c r="J128" s="101">
        <v>0</v>
      </c>
      <c r="L128" t="s">
        <v>915</v>
      </c>
      <c r="M128">
        <v>0</v>
      </c>
      <c r="N128" s="123">
        <v>0</v>
      </c>
      <c r="O128">
        <v>0</v>
      </c>
      <c r="P128" s="123">
        <v>0</v>
      </c>
      <c r="Q128" s="98">
        <v>0</v>
      </c>
      <c r="R128" s="101">
        <v>0</v>
      </c>
    </row>
    <row r="129" spans="2:18" x14ac:dyDescent="0.2">
      <c r="B129" s="80" t="s">
        <v>952</v>
      </c>
      <c r="D129" s="80" t="s">
        <v>952</v>
      </c>
      <c r="E129" s="98">
        <f>COUNTIF('Master Sheet'!L:L, "*" &amp; B129 &amp; "*")</f>
        <v>0</v>
      </c>
      <c r="F129" s="100">
        <v>0</v>
      </c>
      <c r="G129" s="98">
        <f>COUNTIFS('Master Sheet'!L:L, "*" &amp; B129 &amp; "*", 'Master Sheet'!H:H, "Formal")</f>
        <v>0</v>
      </c>
      <c r="H129" s="101">
        <v>0</v>
      </c>
      <c r="I129" s="98">
        <f>COUNTIFS('Master Sheet'!L:L, "*" &amp; B129 &amp; "*", 'Master Sheet'!H:H, "Informal")</f>
        <v>0</v>
      </c>
      <c r="J129" s="101">
        <v>0</v>
      </c>
      <c r="L129" t="s">
        <v>916</v>
      </c>
      <c r="M129">
        <v>0</v>
      </c>
      <c r="N129" s="123">
        <v>0</v>
      </c>
      <c r="O129">
        <v>0</v>
      </c>
      <c r="P129" s="123">
        <v>0</v>
      </c>
      <c r="Q129" s="98">
        <v>0</v>
      </c>
      <c r="R129" s="101">
        <v>0</v>
      </c>
    </row>
    <row r="130" spans="2:18" x14ac:dyDescent="0.2">
      <c r="B130" s="80" t="s">
        <v>953</v>
      </c>
      <c r="D130" s="80" t="s">
        <v>953</v>
      </c>
      <c r="E130" s="98">
        <f>COUNTIF('Master Sheet'!L:L, "*" &amp; B130 &amp; "*")</f>
        <v>0</v>
      </c>
      <c r="F130" s="100">
        <v>0</v>
      </c>
      <c r="G130" s="98">
        <f>COUNTIFS('Master Sheet'!L:L, "*" &amp; B130 &amp; "*", 'Master Sheet'!H:H, "Formal")</f>
        <v>0</v>
      </c>
      <c r="H130" s="101">
        <v>0</v>
      </c>
      <c r="I130" s="98">
        <f>COUNTIFS('Master Sheet'!L:L, "*" &amp; B130 &amp; "*", 'Master Sheet'!H:H, "Informal")</f>
        <v>0</v>
      </c>
      <c r="J130" s="101">
        <v>0</v>
      </c>
      <c r="L130" t="s">
        <v>917</v>
      </c>
      <c r="M130">
        <v>0</v>
      </c>
      <c r="N130" s="123">
        <v>0</v>
      </c>
      <c r="O130">
        <v>0</v>
      </c>
      <c r="P130" s="123">
        <v>0</v>
      </c>
      <c r="Q130" s="98">
        <v>0</v>
      </c>
      <c r="R130" s="101">
        <v>0</v>
      </c>
    </row>
    <row r="131" spans="2:18" x14ac:dyDescent="0.2">
      <c r="B131" s="80" t="s">
        <v>954</v>
      </c>
      <c r="D131" s="80" t="s">
        <v>954</v>
      </c>
      <c r="E131" s="98">
        <f>COUNTIF('Master Sheet'!L:L, "*" &amp; B131 &amp; "*")</f>
        <v>0</v>
      </c>
      <c r="F131" s="100">
        <v>0</v>
      </c>
      <c r="G131" s="98">
        <f>COUNTIFS('Master Sheet'!L:L, "*" &amp; B131 &amp; "*", 'Master Sheet'!H:H, "Formal")</f>
        <v>0</v>
      </c>
      <c r="H131" s="101">
        <v>0</v>
      </c>
      <c r="I131" s="98">
        <f>COUNTIFS('Master Sheet'!L:L, "*" &amp; B131 &amp; "*", 'Master Sheet'!H:H, "Informal")</f>
        <v>0</v>
      </c>
      <c r="J131" s="101">
        <v>0</v>
      </c>
      <c r="L131" t="s">
        <v>918</v>
      </c>
      <c r="M131">
        <v>0</v>
      </c>
      <c r="N131" s="123">
        <v>0</v>
      </c>
      <c r="O131">
        <v>0</v>
      </c>
      <c r="P131" s="123">
        <v>0</v>
      </c>
      <c r="Q131" s="98">
        <v>0</v>
      </c>
      <c r="R131" s="101">
        <v>0</v>
      </c>
    </row>
    <row r="132" spans="2:18" x14ac:dyDescent="0.2">
      <c r="B132" s="80" t="s">
        <v>1042</v>
      </c>
      <c r="D132" s="80" t="s">
        <v>1042</v>
      </c>
      <c r="E132" s="98">
        <f>COUNTIF('Master Sheet'!L:L, "*" &amp; B132 &amp; "*")</f>
        <v>0</v>
      </c>
      <c r="F132" s="100">
        <v>0</v>
      </c>
      <c r="G132" s="98">
        <f>COUNTIFS('Master Sheet'!L:L, "*" &amp; B132 &amp; "*", 'Master Sheet'!H:H, "Formal")</f>
        <v>0</v>
      </c>
      <c r="H132" s="101">
        <v>0</v>
      </c>
      <c r="I132" s="98">
        <f>COUNTIFS('Master Sheet'!L:L, "*" &amp; B132 &amp; "*", 'Master Sheet'!H:H, "Informal")</f>
        <v>0</v>
      </c>
      <c r="J132" s="101">
        <v>0</v>
      </c>
      <c r="L132" t="s">
        <v>920</v>
      </c>
      <c r="M132">
        <v>0</v>
      </c>
      <c r="N132" s="123">
        <v>0</v>
      </c>
      <c r="O132">
        <v>0</v>
      </c>
      <c r="P132" s="123">
        <v>0</v>
      </c>
      <c r="Q132" s="98">
        <v>0</v>
      </c>
      <c r="R132" s="101">
        <v>0</v>
      </c>
    </row>
    <row r="133" spans="2:18" x14ac:dyDescent="0.2">
      <c r="B133" s="80" t="s">
        <v>1043</v>
      </c>
      <c r="D133" s="80" t="s">
        <v>1043</v>
      </c>
      <c r="E133" s="98">
        <f>COUNTIF('Master Sheet'!L:L, "*" &amp; B133 &amp; "*")</f>
        <v>0</v>
      </c>
      <c r="F133" s="100">
        <v>0</v>
      </c>
      <c r="G133" s="98">
        <f>COUNTIFS('Master Sheet'!L:L, "*" &amp; B133 &amp; "*", 'Master Sheet'!H:H, "Formal")</f>
        <v>0</v>
      </c>
      <c r="H133" s="101">
        <v>0</v>
      </c>
      <c r="I133" s="98">
        <f>COUNTIFS('Master Sheet'!L:L, "*" &amp; B133 &amp; "*", 'Master Sheet'!H:H, "Informal")</f>
        <v>0</v>
      </c>
      <c r="J133" s="101">
        <v>0</v>
      </c>
      <c r="L133" t="s">
        <v>921</v>
      </c>
      <c r="M133">
        <v>0</v>
      </c>
      <c r="N133" s="123">
        <v>0</v>
      </c>
      <c r="O133">
        <v>0</v>
      </c>
      <c r="P133" s="123">
        <v>0</v>
      </c>
      <c r="Q133" s="98">
        <v>0</v>
      </c>
      <c r="R133" s="101">
        <v>0</v>
      </c>
    </row>
    <row r="134" spans="2:18" x14ac:dyDescent="0.2">
      <c r="B134" s="80" t="s">
        <v>1044</v>
      </c>
      <c r="D134" s="80" t="s">
        <v>1044</v>
      </c>
      <c r="E134" s="98">
        <f>COUNTIF('Master Sheet'!L:L, "*" &amp; B134 &amp; "*")</f>
        <v>0</v>
      </c>
      <c r="F134" s="100">
        <v>0</v>
      </c>
      <c r="G134" s="98">
        <f>COUNTIFS('Master Sheet'!L:L, "*" &amp; B134 &amp; "*", 'Master Sheet'!H:H, "Formal")</f>
        <v>0</v>
      </c>
      <c r="H134" s="101">
        <v>0</v>
      </c>
      <c r="I134" s="98">
        <f>COUNTIFS('Master Sheet'!L:L, "*" &amp; B134 &amp; "*", 'Master Sheet'!H:H, "Informal")</f>
        <v>0</v>
      </c>
      <c r="J134" s="101">
        <v>0</v>
      </c>
      <c r="L134" t="s">
        <v>922</v>
      </c>
      <c r="M134">
        <v>0</v>
      </c>
      <c r="N134" s="123">
        <v>0</v>
      </c>
      <c r="O134">
        <v>0</v>
      </c>
      <c r="P134" s="123">
        <v>0</v>
      </c>
      <c r="Q134" s="98">
        <v>0</v>
      </c>
      <c r="R134" s="101">
        <v>0</v>
      </c>
    </row>
    <row r="135" spans="2:18" x14ac:dyDescent="0.2">
      <c r="B135" s="80" t="s">
        <v>1045</v>
      </c>
      <c r="D135" s="80" t="s">
        <v>1045</v>
      </c>
      <c r="E135" s="98">
        <f>COUNTIF('Master Sheet'!L:L, "*" &amp; B135 &amp; "*")</f>
        <v>0</v>
      </c>
      <c r="F135" s="100">
        <v>0</v>
      </c>
      <c r="G135" s="98">
        <f>COUNTIFS('Master Sheet'!L:L, "*" &amp; B135 &amp; "*", 'Master Sheet'!H:H, "Formal")</f>
        <v>0</v>
      </c>
      <c r="H135" s="101">
        <v>0</v>
      </c>
      <c r="I135" s="98">
        <f>COUNTIFS('Master Sheet'!L:L, "*" &amp; B135 &amp; "*", 'Master Sheet'!H:H, "Informal")</f>
        <v>0</v>
      </c>
      <c r="J135" s="101">
        <v>0</v>
      </c>
      <c r="L135" t="s">
        <v>923</v>
      </c>
      <c r="M135">
        <v>0</v>
      </c>
      <c r="N135" s="123">
        <v>0</v>
      </c>
      <c r="O135">
        <v>0</v>
      </c>
      <c r="P135" s="123">
        <v>0</v>
      </c>
      <c r="Q135" s="98">
        <v>0</v>
      </c>
      <c r="R135" s="101">
        <v>0</v>
      </c>
    </row>
    <row r="136" spans="2:18" x14ac:dyDescent="0.2">
      <c r="B136" s="80" t="s">
        <v>1046</v>
      </c>
      <c r="D136" s="80" t="s">
        <v>1046</v>
      </c>
      <c r="E136" s="98">
        <f>COUNTIF('Master Sheet'!L:L, "*" &amp; B136 &amp; "*")</f>
        <v>0</v>
      </c>
      <c r="F136" s="100">
        <v>0</v>
      </c>
      <c r="G136" s="98">
        <f>COUNTIFS('Master Sheet'!L:L, "*" &amp; B136 &amp; "*", 'Master Sheet'!H:H, "Formal")</f>
        <v>0</v>
      </c>
      <c r="H136" s="101">
        <v>0</v>
      </c>
      <c r="I136" s="98">
        <f>COUNTIFS('Master Sheet'!L:L, "*" &amp; B136 &amp; "*", 'Master Sheet'!H:H, "Informal")</f>
        <v>0</v>
      </c>
      <c r="J136" s="101">
        <v>0</v>
      </c>
      <c r="L136" t="s">
        <v>924</v>
      </c>
      <c r="M136">
        <v>0</v>
      </c>
      <c r="N136" s="123">
        <v>0</v>
      </c>
      <c r="O136">
        <v>0</v>
      </c>
      <c r="P136" s="123">
        <v>0</v>
      </c>
      <c r="Q136" s="98">
        <v>0</v>
      </c>
      <c r="R136" s="101">
        <v>0</v>
      </c>
    </row>
    <row r="137" spans="2:18" x14ac:dyDescent="0.2">
      <c r="B137" s="80" t="s">
        <v>1047</v>
      </c>
      <c r="D137" s="80" t="s">
        <v>1047</v>
      </c>
      <c r="E137" s="98">
        <f>COUNTIF('Master Sheet'!L:L, "*" &amp; B137 &amp; "*")</f>
        <v>0</v>
      </c>
      <c r="F137" s="100">
        <v>0</v>
      </c>
      <c r="G137" s="98">
        <f>COUNTIFS('Master Sheet'!L:L, "*" &amp; B137 &amp; "*", 'Master Sheet'!H:H, "Formal")</f>
        <v>0</v>
      </c>
      <c r="H137" s="101">
        <v>0</v>
      </c>
      <c r="I137" s="98">
        <f>COUNTIFS('Master Sheet'!L:L, "*" &amp; B137 &amp; "*", 'Master Sheet'!H:H, "Informal")</f>
        <v>0</v>
      </c>
      <c r="J137" s="101">
        <v>0</v>
      </c>
      <c r="L137" t="s">
        <v>925</v>
      </c>
      <c r="M137">
        <v>0</v>
      </c>
      <c r="N137" s="123">
        <v>0</v>
      </c>
      <c r="O137">
        <v>0</v>
      </c>
      <c r="P137" s="123">
        <v>0</v>
      </c>
      <c r="Q137" s="98">
        <v>0</v>
      </c>
      <c r="R137" s="101">
        <v>0</v>
      </c>
    </row>
    <row r="138" spans="2:18" x14ac:dyDescent="0.2">
      <c r="B138" s="80" t="s">
        <v>1048</v>
      </c>
      <c r="D138" s="80" t="s">
        <v>1048</v>
      </c>
      <c r="E138" s="98">
        <f>COUNTIF('Master Sheet'!L:L, "*" &amp; B138 &amp; "*")</f>
        <v>0</v>
      </c>
      <c r="F138" s="100">
        <v>0</v>
      </c>
      <c r="G138" s="98">
        <f>COUNTIFS('Master Sheet'!L:L, "*" &amp; B138 &amp; "*", 'Master Sheet'!H:H, "Formal")</f>
        <v>0</v>
      </c>
      <c r="H138" s="101">
        <v>0</v>
      </c>
      <c r="I138" s="98">
        <f>COUNTIFS('Master Sheet'!L:L, "*" &amp; B138 &amp; "*", 'Master Sheet'!H:H, "Informal")</f>
        <v>0</v>
      </c>
      <c r="J138" s="101">
        <v>0</v>
      </c>
      <c r="L138" t="s">
        <v>926</v>
      </c>
      <c r="M138">
        <v>0</v>
      </c>
      <c r="N138" s="123">
        <v>0</v>
      </c>
      <c r="O138">
        <v>0</v>
      </c>
      <c r="P138" s="123">
        <v>0</v>
      </c>
      <c r="Q138" s="98">
        <v>0</v>
      </c>
      <c r="R138" s="101">
        <v>0</v>
      </c>
    </row>
    <row r="139" spans="2:18" x14ac:dyDescent="0.2">
      <c r="B139" s="80" t="s">
        <v>1049</v>
      </c>
      <c r="D139" s="80" t="s">
        <v>1049</v>
      </c>
      <c r="E139" s="98">
        <f>COUNTIF('Master Sheet'!L:L, "*" &amp; B139 &amp; "*")</f>
        <v>0</v>
      </c>
      <c r="F139" s="100">
        <v>0</v>
      </c>
      <c r="G139" s="98">
        <f>COUNTIFS('Master Sheet'!L:L, "*" &amp; B139 &amp; "*", 'Master Sheet'!H:H, "Formal")</f>
        <v>0</v>
      </c>
      <c r="H139" s="101">
        <v>0</v>
      </c>
      <c r="I139" s="98">
        <f>COUNTIFS('Master Sheet'!L:L, "*" &amp; B139 &amp; "*", 'Master Sheet'!H:H, "Informal")</f>
        <v>0</v>
      </c>
      <c r="J139" s="101">
        <v>0</v>
      </c>
      <c r="L139" t="s">
        <v>927</v>
      </c>
      <c r="M139">
        <v>0</v>
      </c>
      <c r="N139" s="123">
        <v>0</v>
      </c>
      <c r="O139">
        <v>0</v>
      </c>
      <c r="P139" s="123">
        <v>0</v>
      </c>
      <c r="Q139" s="98">
        <v>0</v>
      </c>
      <c r="R139" s="101">
        <v>0</v>
      </c>
    </row>
    <row r="140" spans="2:18" x14ac:dyDescent="0.2">
      <c r="B140" s="80" t="s">
        <v>1050</v>
      </c>
      <c r="D140" s="80" t="s">
        <v>1050</v>
      </c>
      <c r="E140" s="98">
        <f>COUNTIF('Master Sheet'!L:L, "*" &amp; B140 &amp; "*")</f>
        <v>0</v>
      </c>
      <c r="F140" s="100">
        <v>0</v>
      </c>
      <c r="G140" s="98">
        <f>COUNTIFS('Master Sheet'!L:L, "*" &amp; B140 &amp; "*", 'Master Sheet'!H:H, "Formal")</f>
        <v>0</v>
      </c>
      <c r="H140" s="101">
        <v>0</v>
      </c>
      <c r="I140" s="98">
        <f>COUNTIFS('Master Sheet'!L:L, "*" &amp; B140 &amp; "*", 'Master Sheet'!H:H, "Informal")</f>
        <v>0</v>
      </c>
      <c r="J140" s="101">
        <v>0</v>
      </c>
      <c r="L140" t="s">
        <v>928</v>
      </c>
      <c r="M140">
        <v>0</v>
      </c>
      <c r="N140" s="123">
        <v>0</v>
      </c>
      <c r="O140">
        <v>0</v>
      </c>
      <c r="P140" s="123">
        <v>0</v>
      </c>
      <c r="Q140" s="98">
        <v>0</v>
      </c>
      <c r="R140" s="101">
        <v>0</v>
      </c>
    </row>
    <row r="141" spans="2:18" x14ac:dyDescent="0.2">
      <c r="B141" s="80" t="s">
        <v>1040</v>
      </c>
      <c r="D141" s="80" t="s">
        <v>1040</v>
      </c>
      <c r="E141" s="98">
        <f>COUNTIF('Master Sheet'!L:L, "*" &amp; B141 &amp; "*")</f>
        <v>0</v>
      </c>
      <c r="F141" s="100">
        <v>0</v>
      </c>
      <c r="G141" s="98">
        <f>COUNTIFS('Master Sheet'!L:L, "*" &amp; B141 &amp; "*", 'Master Sheet'!H:H, "Formal")</f>
        <v>0</v>
      </c>
      <c r="H141" s="101">
        <v>0</v>
      </c>
      <c r="I141" s="98">
        <f>COUNTIFS('Master Sheet'!L:L, "*" &amp; B141 &amp; "*", 'Master Sheet'!H:H, "Informal")</f>
        <v>0</v>
      </c>
      <c r="J141" s="101">
        <v>0</v>
      </c>
      <c r="L141" t="s">
        <v>929</v>
      </c>
      <c r="M141">
        <v>0</v>
      </c>
      <c r="N141" s="123">
        <v>0</v>
      </c>
      <c r="O141">
        <v>0</v>
      </c>
      <c r="P141" s="123">
        <v>0</v>
      </c>
      <c r="Q141" s="98">
        <v>0</v>
      </c>
      <c r="R141" s="101">
        <v>0</v>
      </c>
    </row>
    <row r="142" spans="2:18" x14ac:dyDescent="0.2">
      <c r="B142" s="80" t="s">
        <v>1051</v>
      </c>
      <c r="D142" s="80" t="s">
        <v>1051</v>
      </c>
      <c r="E142" s="98">
        <f>COUNTIF('Master Sheet'!L:L, "*" &amp; B142 &amp; "*")</f>
        <v>0</v>
      </c>
      <c r="F142" s="100">
        <v>0</v>
      </c>
      <c r="G142" s="98">
        <f>COUNTIFS('Master Sheet'!L:L, "*" &amp; B142 &amp; "*", 'Master Sheet'!H:H, "Formal")</f>
        <v>0</v>
      </c>
      <c r="H142" s="101">
        <v>0</v>
      </c>
      <c r="I142" s="98">
        <f>COUNTIFS('Master Sheet'!L:L, "*" &amp; B142 &amp; "*", 'Master Sheet'!H:H, "Informal")</f>
        <v>0</v>
      </c>
      <c r="J142" s="101">
        <v>0</v>
      </c>
      <c r="L142" t="s">
        <v>930</v>
      </c>
      <c r="M142">
        <v>0</v>
      </c>
      <c r="N142" s="123">
        <v>0</v>
      </c>
      <c r="O142">
        <v>0</v>
      </c>
      <c r="P142" s="123">
        <v>0</v>
      </c>
      <c r="Q142" s="98">
        <v>0</v>
      </c>
      <c r="R142" s="101">
        <v>0</v>
      </c>
    </row>
    <row r="143" spans="2:18" x14ac:dyDescent="0.2">
      <c r="B143" s="80" t="s">
        <v>1052</v>
      </c>
      <c r="D143" s="80" t="s">
        <v>1052</v>
      </c>
      <c r="E143" s="98">
        <f>COUNTIF('Master Sheet'!L:L, "*" &amp; B143 &amp; "*")</f>
        <v>1</v>
      </c>
      <c r="F143" s="100">
        <v>5.8479532163742687E-3</v>
      </c>
      <c r="G143" s="98">
        <f>COUNTIFS('Master Sheet'!L:L, "*" &amp; B143 &amp; "*", 'Master Sheet'!H:H, "Formal")</f>
        <v>0</v>
      </c>
      <c r="H143" s="101">
        <v>0</v>
      </c>
      <c r="I143" s="98">
        <f>COUNTIFS('Master Sheet'!L:L, "*" &amp; B143 &amp; "*", 'Master Sheet'!H:H, "Informal")</f>
        <v>1</v>
      </c>
      <c r="J143" s="101">
        <v>9.3457943925233638E-3</v>
      </c>
      <c r="L143" t="s">
        <v>931</v>
      </c>
      <c r="M143">
        <v>0</v>
      </c>
      <c r="N143" s="123">
        <v>0</v>
      </c>
      <c r="O143">
        <v>0</v>
      </c>
      <c r="P143" s="123">
        <v>0</v>
      </c>
      <c r="Q143" s="98">
        <v>0</v>
      </c>
      <c r="R143" s="101">
        <v>0</v>
      </c>
    </row>
    <row r="144" spans="2:18" x14ac:dyDescent="0.2">
      <c r="B144" s="80" t="s">
        <v>1053</v>
      </c>
      <c r="D144" s="80" t="s">
        <v>1053</v>
      </c>
      <c r="E144" s="98">
        <f>COUNTIF('Master Sheet'!L:L, "*" &amp; B144 &amp; "*")</f>
        <v>0</v>
      </c>
      <c r="F144" s="100">
        <v>0</v>
      </c>
      <c r="G144" s="98">
        <f>COUNTIFS('Master Sheet'!L:L, "*" &amp; B144 &amp; "*", 'Master Sheet'!H:H, "Formal")</f>
        <v>0</v>
      </c>
      <c r="H144" s="101">
        <v>0</v>
      </c>
      <c r="I144" s="98">
        <f>COUNTIFS('Master Sheet'!L:L, "*" &amp; B144 &amp; "*", 'Master Sheet'!H:H, "Informal")</f>
        <v>0</v>
      </c>
      <c r="J144" s="101">
        <v>0</v>
      </c>
      <c r="L144" t="s">
        <v>932</v>
      </c>
      <c r="M144">
        <v>0</v>
      </c>
      <c r="N144" s="123">
        <v>0</v>
      </c>
      <c r="O144">
        <v>0</v>
      </c>
      <c r="P144" s="123">
        <v>0</v>
      </c>
      <c r="Q144" s="98">
        <v>0</v>
      </c>
      <c r="R144" s="101">
        <v>0</v>
      </c>
    </row>
    <row r="145" spans="2:18" x14ac:dyDescent="0.2">
      <c r="B145" s="80" t="s">
        <v>1054</v>
      </c>
      <c r="D145" s="80" t="s">
        <v>1054</v>
      </c>
      <c r="E145" s="98">
        <f>COUNTIF('Master Sheet'!L:L, "*" &amp; B145 &amp; "*")</f>
        <v>0</v>
      </c>
      <c r="F145" s="100">
        <v>0</v>
      </c>
      <c r="G145" s="98">
        <f>COUNTIFS('Master Sheet'!L:L, "*" &amp; B145 &amp; "*", 'Master Sheet'!H:H, "Formal")</f>
        <v>0</v>
      </c>
      <c r="H145" s="101">
        <v>0</v>
      </c>
      <c r="I145" s="98">
        <f>COUNTIFS('Master Sheet'!L:L, "*" &amp; B145 &amp; "*", 'Master Sheet'!H:H, "Informal")</f>
        <v>0</v>
      </c>
      <c r="J145" s="101">
        <v>0</v>
      </c>
      <c r="L145" t="s">
        <v>933</v>
      </c>
      <c r="M145">
        <v>0</v>
      </c>
      <c r="N145" s="123">
        <v>0</v>
      </c>
      <c r="O145">
        <v>0</v>
      </c>
      <c r="P145" s="123">
        <v>0</v>
      </c>
      <c r="Q145" s="98">
        <v>0</v>
      </c>
      <c r="R145" s="101">
        <v>0</v>
      </c>
    </row>
    <row r="146" spans="2:18" x14ac:dyDescent="0.2">
      <c r="B146" s="80" t="s">
        <v>1055</v>
      </c>
      <c r="D146" s="80" t="s">
        <v>1055</v>
      </c>
      <c r="E146" s="98">
        <f>COUNTIF('Master Sheet'!L:L, "*" &amp; B146 &amp; "*")</f>
        <v>0</v>
      </c>
      <c r="F146" s="100">
        <v>0</v>
      </c>
      <c r="G146" s="98">
        <f>COUNTIFS('Master Sheet'!L:L, "*" &amp; B146 &amp; "*", 'Master Sheet'!H:H, "Formal")</f>
        <v>0</v>
      </c>
      <c r="H146" s="101">
        <v>0</v>
      </c>
      <c r="I146" s="98">
        <f>COUNTIFS('Master Sheet'!L:L, "*" &amp; B146 &amp; "*", 'Master Sheet'!H:H, "Informal")</f>
        <v>0</v>
      </c>
      <c r="J146" s="101">
        <v>0</v>
      </c>
      <c r="L146" t="s">
        <v>934</v>
      </c>
      <c r="M146">
        <v>0</v>
      </c>
      <c r="N146" s="123">
        <v>0</v>
      </c>
      <c r="O146">
        <v>0</v>
      </c>
      <c r="P146" s="123">
        <v>0</v>
      </c>
      <c r="Q146" s="98">
        <v>0</v>
      </c>
      <c r="R146" s="101">
        <v>0</v>
      </c>
    </row>
    <row r="147" spans="2:18" x14ac:dyDescent="0.2">
      <c r="B147" s="80" t="s">
        <v>1056</v>
      </c>
      <c r="D147" s="80" t="s">
        <v>1056</v>
      </c>
      <c r="E147" s="98">
        <f>COUNTIF('Master Sheet'!L:L, "*" &amp; B147 &amp; "*")</f>
        <v>0</v>
      </c>
      <c r="F147" s="100">
        <v>0</v>
      </c>
      <c r="G147" s="98">
        <f>COUNTIFS('Master Sheet'!L:L, "*" &amp; B147 &amp; "*", 'Master Sheet'!H:H, "Formal")</f>
        <v>0</v>
      </c>
      <c r="H147" s="101">
        <v>0</v>
      </c>
      <c r="I147" s="98">
        <f>COUNTIFS('Master Sheet'!L:L, "*" &amp; B147 &amp; "*", 'Master Sheet'!H:H, "Informal")</f>
        <v>0</v>
      </c>
      <c r="J147" s="101">
        <v>0</v>
      </c>
      <c r="L147" t="s">
        <v>935</v>
      </c>
      <c r="M147">
        <v>0</v>
      </c>
      <c r="N147" s="123">
        <v>0</v>
      </c>
      <c r="O147">
        <v>0</v>
      </c>
      <c r="P147" s="123">
        <v>0</v>
      </c>
      <c r="Q147" s="98">
        <v>0</v>
      </c>
      <c r="R147" s="101">
        <v>0</v>
      </c>
    </row>
    <row r="148" spans="2:18" x14ac:dyDescent="0.2">
      <c r="B148" s="80" t="s">
        <v>1057</v>
      </c>
      <c r="D148" s="80" t="s">
        <v>1057</v>
      </c>
      <c r="E148" s="98">
        <f>COUNTIF('Master Sheet'!L:L, "*" &amp; B148 &amp; "*")</f>
        <v>16</v>
      </c>
      <c r="F148" s="100">
        <v>9.3567251461988299E-2</v>
      </c>
      <c r="G148" s="98">
        <f>COUNTIFS('Master Sheet'!L:L, "*" &amp; B148 &amp; "*", 'Master Sheet'!H:H, "Formal")</f>
        <v>0</v>
      </c>
      <c r="H148" s="101">
        <v>0</v>
      </c>
      <c r="I148" s="98">
        <f>COUNTIFS('Master Sheet'!L:L, "*" &amp; B148 &amp; "*", 'Master Sheet'!H:H, "Informal")</f>
        <v>16</v>
      </c>
      <c r="J148" s="101">
        <v>0.14953271028037382</v>
      </c>
      <c r="L148" t="s">
        <v>936</v>
      </c>
      <c r="M148">
        <v>0</v>
      </c>
      <c r="N148" s="123">
        <v>0</v>
      </c>
      <c r="O148">
        <v>0</v>
      </c>
      <c r="P148" s="123">
        <v>0</v>
      </c>
      <c r="Q148" s="98">
        <v>0</v>
      </c>
      <c r="R148" s="101">
        <v>0</v>
      </c>
    </row>
    <row r="149" spans="2:18" x14ac:dyDescent="0.2">
      <c r="B149" s="80" t="s">
        <v>1058</v>
      </c>
      <c r="D149" s="80" t="s">
        <v>1058</v>
      </c>
      <c r="E149" s="98">
        <f>COUNTIF('Master Sheet'!L:L, "*" &amp; B149 &amp; "*")</f>
        <v>0</v>
      </c>
      <c r="F149" s="100">
        <v>0</v>
      </c>
      <c r="G149" s="98">
        <f>COUNTIFS('Master Sheet'!L:L, "*" &amp; B149 &amp; "*", 'Master Sheet'!H:H, "Formal")</f>
        <v>0</v>
      </c>
      <c r="H149" s="101">
        <v>0</v>
      </c>
      <c r="I149" s="98">
        <f>COUNTIFS('Master Sheet'!L:L, "*" &amp; B149 &amp; "*", 'Master Sheet'!H:H, "Informal")</f>
        <v>0</v>
      </c>
      <c r="J149" s="101">
        <v>0</v>
      </c>
      <c r="L149" t="s">
        <v>937</v>
      </c>
      <c r="M149">
        <v>0</v>
      </c>
      <c r="N149" s="123">
        <v>0</v>
      </c>
      <c r="O149">
        <v>0</v>
      </c>
      <c r="P149" s="123">
        <v>0</v>
      </c>
      <c r="Q149" s="98">
        <v>0</v>
      </c>
      <c r="R149" s="101">
        <v>0</v>
      </c>
    </row>
    <row r="150" spans="2:18" x14ac:dyDescent="0.2">
      <c r="B150" s="80" t="s">
        <v>1059</v>
      </c>
      <c r="D150" s="80" t="s">
        <v>1059</v>
      </c>
      <c r="E150" s="98">
        <f>COUNTIF('Master Sheet'!L:L, "*" &amp; B150 &amp; "*")</f>
        <v>0</v>
      </c>
      <c r="F150" s="100">
        <v>0</v>
      </c>
      <c r="G150" s="98">
        <f>COUNTIFS('Master Sheet'!L:L, "*" &amp; B150 &amp; "*", 'Master Sheet'!H:H, "Formal")</f>
        <v>0</v>
      </c>
      <c r="H150" s="101">
        <v>0</v>
      </c>
      <c r="I150" s="98">
        <f>COUNTIFS('Master Sheet'!L:L, "*" &amp; B150 &amp; "*", 'Master Sheet'!H:H, "Informal")</f>
        <v>0</v>
      </c>
      <c r="J150" s="101">
        <v>0</v>
      </c>
      <c r="L150" t="s">
        <v>938</v>
      </c>
      <c r="M150">
        <v>0</v>
      </c>
      <c r="N150" s="123">
        <v>0</v>
      </c>
      <c r="O150">
        <v>0</v>
      </c>
      <c r="P150" s="123">
        <v>0</v>
      </c>
      <c r="Q150" s="98">
        <v>0</v>
      </c>
      <c r="R150" s="101">
        <v>0</v>
      </c>
    </row>
    <row r="151" spans="2:18" x14ac:dyDescent="0.2">
      <c r="B151" s="80" t="s">
        <v>1060</v>
      </c>
      <c r="D151" s="80" t="s">
        <v>1060</v>
      </c>
      <c r="E151" s="98">
        <f>COUNTIF('Master Sheet'!L:L, "*" &amp; B151 &amp; "*")</f>
        <v>0</v>
      </c>
      <c r="F151" s="100">
        <v>0</v>
      </c>
      <c r="G151" s="98">
        <f>COUNTIFS('Master Sheet'!L:L, "*" &amp; B151 &amp; "*", 'Master Sheet'!H:H, "Formal")</f>
        <v>0</v>
      </c>
      <c r="H151" s="101">
        <v>0</v>
      </c>
      <c r="I151" s="98">
        <f>COUNTIFS('Master Sheet'!L:L, "*" &amp; B151 &amp; "*", 'Master Sheet'!H:H, "Informal")</f>
        <v>0</v>
      </c>
      <c r="J151" s="101">
        <v>0</v>
      </c>
      <c r="L151" t="s">
        <v>939</v>
      </c>
      <c r="M151">
        <v>0</v>
      </c>
      <c r="N151" s="123">
        <v>0</v>
      </c>
      <c r="O151">
        <v>0</v>
      </c>
      <c r="P151" s="123">
        <v>0</v>
      </c>
      <c r="Q151" s="98">
        <v>0</v>
      </c>
      <c r="R151" s="101">
        <v>0</v>
      </c>
    </row>
    <row r="152" spans="2:18" x14ac:dyDescent="0.2">
      <c r="B152" s="80" t="s">
        <v>1061</v>
      </c>
      <c r="D152" s="80" t="s">
        <v>1061</v>
      </c>
      <c r="E152" s="98">
        <f>COUNTIF('Master Sheet'!L:L, "*" &amp; B152 &amp; "*")</f>
        <v>0</v>
      </c>
      <c r="F152" s="100">
        <v>0</v>
      </c>
      <c r="G152" s="98">
        <f>COUNTIFS('Master Sheet'!L:L, "*" &amp; B152 &amp; "*", 'Master Sheet'!H:H, "Formal")</f>
        <v>0</v>
      </c>
      <c r="H152" s="101">
        <v>0</v>
      </c>
      <c r="I152" s="98">
        <f>COUNTIFS('Master Sheet'!L:L, "*" &amp; B152 &amp; "*", 'Master Sheet'!H:H, "Informal")</f>
        <v>0</v>
      </c>
      <c r="J152" s="101">
        <v>0</v>
      </c>
      <c r="L152" t="s">
        <v>940</v>
      </c>
      <c r="M152">
        <v>0</v>
      </c>
      <c r="N152" s="123">
        <v>0</v>
      </c>
      <c r="O152">
        <v>0</v>
      </c>
      <c r="P152" s="123">
        <v>0</v>
      </c>
      <c r="Q152" s="98">
        <v>0</v>
      </c>
      <c r="R152" s="101">
        <v>0</v>
      </c>
    </row>
    <row r="153" spans="2:18" x14ac:dyDescent="0.2">
      <c r="B153" s="80" t="s">
        <v>1062</v>
      </c>
      <c r="D153" s="80" t="s">
        <v>1062</v>
      </c>
      <c r="E153" s="98">
        <f>COUNTIF('Master Sheet'!L:L, "*" &amp; B153 &amp; "*")</f>
        <v>0</v>
      </c>
      <c r="F153" s="100">
        <v>0</v>
      </c>
      <c r="G153" s="98">
        <f>COUNTIFS('Master Sheet'!L:L, "*" &amp; B153 &amp; "*", 'Master Sheet'!H:H, "Formal")</f>
        <v>0</v>
      </c>
      <c r="H153" s="101">
        <v>0</v>
      </c>
      <c r="I153" s="98">
        <f>COUNTIFS('Master Sheet'!L:L, "*" &amp; B153 &amp; "*", 'Master Sheet'!H:H, "Informal")</f>
        <v>0</v>
      </c>
      <c r="J153" s="101">
        <v>0</v>
      </c>
      <c r="L153" t="s">
        <v>941</v>
      </c>
      <c r="M153">
        <v>0</v>
      </c>
      <c r="N153" s="123">
        <v>0</v>
      </c>
      <c r="O153">
        <v>0</v>
      </c>
      <c r="P153" s="123">
        <v>0</v>
      </c>
      <c r="Q153" s="98">
        <v>0</v>
      </c>
      <c r="R153" s="101">
        <v>0</v>
      </c>
    </row>
    <row r="154" spans="2:18" x14ac:dyDescent="0.2">
      <c r="B154" s="80" t="s">
        <v>1063</v>
      </c>
      <c r="D154" s="80" t="s">
        <v>1063</v>
      </c>
      <c r="E154" s="98">
        <f>COUNTIF('Master Sheet'!L:L, "*" &amp; B154 &amp; "*")</f>
        <v>0</v>
      </c>
      <c r="F154" s="100">
        <v>0</v>
      </c>
      <c r="G154" s="98">
        <f>COUNTIFS('Master Sheet'!L:L, "*" &amp; B154 &amp; "*", 'Master Sheet'!H:H, "Formal")</f>
        <v>0</v>
      </c>
      <c r="H154" s="101">
        <v>0</v>
      </c>
      <c r="I154" s="98">
        <f>COUNTIFS('Master Sheet'!L:L, "*" &amp; B154 &amp; "*", 'Master Sheet'!H:H, "Informal")</f>
        <v>0</v>
      </c>
      <c r="J154" s="101">
        <v>0</v>
      </c>
      <c r="L154" t="s">
        <v>942</v>
      </c>
      <c r="M154">
        <v>0</v>
      </c>
      <c r="N154" s="123">
        <v>0</v>
      </c>
      <c r="O154">
        <v>0</v>
      </c>
      <c r="P154" s="123">
        <v>0</v>
      </c>
      <c r="Q154" s="98">
        <v>0</v>
      </c>
      <c r="R154" s="101">
        <v>0</v>
      </c>
    </row>
    <row r="155" spans="2:18" x14ac:dyDescent="0.2">
      <c r="B155" s="80" t="s">
        <v>1064</v>
      </c>
      <c r="D155" s="80" t="s">
        <v>1064</v>
      </c>
      <c r="E155" s="98">
        <f>COUNTIF('Master Sheet'!L:L, "*" &amp; B155 &amp; "*")</f>
        <v>0</v>
      </c>
      <c r="F155" s="100">
        <v>0</v>
      </c>
      <c r="G155" s="98">
        <f>COUNTIFS('Master Sheet'!L:L, "*" &amp; B155 &amp; "*", 'Master Sheet'!H:H, "Formal")</f>
        <v>0</v>
      </c>
      <c r="H155" s="101">
        <v>0</v>
      </c>
      <c r="I155" s="98">
        <f>COUNTIFS('Master Sheet'!L:L, "*" &amp; B155 &amp; "*", 'Master Sheet'!H:H, "Informal")</f>
        <v>0</v>
      </c>
      <c r="J155" s="101">
        <v>0</v>
      </c>
      <c r="L155" t="s">
        <v>943</v>
      </c>
      <c r="M155">
        <v>0</v>
      </c>
      <c r="N155" s="123">
        <v>0</v>
      </c>
      <c r="O155">
        <v>0</v>
      </c>
      <c r="P155" s="123">
        <v>0</v>
      </c>
      <c r="Q155" s="98">
        <v>0</v>
      </c>
      <c r="R155" s="101">
        <v>0</v>
      </c>
    </row>
    <row r="156" spans="2:18" x14ac:dyDescent="0.2">
      <c r="B156" s="80" t="s">
        <v>1065</v>
      </c>
      <c r="D156" s="80" t="s">
        <v>1065</v>
      </c>
      <c r="E156" s="98">
        <f>COUNTIF('Master Sheet'!L:L, "*" &amp; B156 &amp; "*")</f>
        <v>0</v>
      </c>
      <c r="F156" s="100">
        <v>0</v>
      </c>
      <c r="G156" s="98">
        <f>COUNTIFS('Master Sheet'!L:L, "*" &amp; B156 &amp; "*", 'Master Sheet'!H:H, "Formal")</f>
        <v>0</v>
      </c>
      <c r="H156" s="101">
        <v>0</v>
      </c>
      <c r="I156" s="98">
        <f>COUNTIFS('Master Sheet'!L:L, "*" &amp; B156 &amp; "*", 'Master Sheet'!H:H, "Informal")</f>
        <v>0</v>
      </c>
      <c r="J156" s="101">
        <v>0</v>
      </c>
      <c r="L156" s="98" t="s">
        <v>944</v>
      </c>
      <c r="M156" s="98">
        <v>0</v>
      </c>
      <c r="N156" s="101">
        <v>0</v>
      </c>
      <c r="O156" s="98">
        <v>0</v>
      </c>
      <c r="P156" s="101">
        <v>0</v>
      </c>
      <c r="Q156" s="98">
        <v>0</v>
      </c>
      <c r="R156" s="101">
        <v>0</v>
      </c>
    </row>
    <row r="157" spans="2:18" x14ac:dyDescent="0.2">
      <c r="B157" s="80" t="s">
        <v>1066</v>
      </c>
      <c r="D157" s="80" t="s">
        <v>1066</v>
      </c>
      <c r="E157" s="98">
        <f>COUNTIF('Master Sheet'!L:L, "*" &amp; B157 &amp; "*")</f>
        <v>2</v>
      </c>
      <c r="F157" s="100">
        <v>1.1695906432748537E-2</v>
      </c>
      <c r="G157" s="98">
        <f>COUNTIFS('Master Sheet'!L:L, "*" &amp; B157 &amp; "*", 'Master Sheet'!H:H, "Formal")</f>
        <v>0</v>
      </c>
      <c r="H157" s="101">
        <v>0</v>
      </c>
      <c r="I157" s="98">
        <f>COUNTIFS('Master Sheet'!L:L, "*" &amp; B157 &amp; "*", 'Master Sheet'!H:H, "Informal")</f>
        <v>2</v>
      </c>
      <c r="J157" s="101">
        <v>1.8691588785046728E-2</v>
      </c>
      <c r="L157" s="98" t="s">
        <v>945</v>
      </c>
      <c r="M157" s="98">
        <v>0</v>
      </c>
      <c r="N157" s="101">
        <v>0</v>
      </c>
      <c r="O157" s="98">
        <v>0</v>
      </c>
      <c r="P157" s="101">
        <v>0</v>
      </c>
      <c r="Q157" s="98">
        <v>0</v>
      </c>
      <c r="R157" s="101">
        <v>0</v>
      </c>
    </row>
    <row r="158" spans="2:18" x14ac:dyDescent="0.2">
      <c r="B158" s="80" t="s">
        <v>1067</v>
      </c>
      <c r="D158" s="80" t="s">
        <v>1067</v>
      </c>
      <c r="E158" s="98">
        <f>COUNTIF('Master Sheet'!L:L, "*" &amp; B158 &amp; "*")</f>
        <v>0</v>
      </c>
      <c r="F158" s="100">
        <v>0</v>
      </c>
      <c r="G158" s="98">
        <f>COUNTIFS('Master Sheet'!L:L, "*" &amp; B158 &amp; "*", 'Master Sheet'!H:H, "Formal")</f>
        <v>0</v>
      </c>
      <c r="H158" s="101">
        <v>0</v>
      </c>
      <c r="I158" s="98">
        <f>COUNTIFS('Master Sheet'!L:L, "*" &amp; B158 &amp; "*", 'Master Sheet'!H:H, "Informal")</f>
        <v>0</v>
      </c>
      <c r="J158" s="101">
        <v>0</v>
      </c>
      <c r="L158" s="98" t="s">
        <v>946</v>
      </c>
      <c r="M158" s="98">
        <v>0</v>
      </c>
      <c r="N158" s="101">
        <v>0</v>
      </c>
      <c r="O158" s="98">
        <v>0</v>
      </c>
      <c r="P158" s="101">
        <v>0</v>
      </c>
      <c r="Q158" s="98">
        <v>0</v>
      </c>
      <c r="R158" s="101">
        <v>0</v>
      </c>
    </row>
    <row r="159" spans="2:18" x14ac:dyDescent="0.2">
      <c r="B159" s="80" t="s">
        <v>1068</v>
      </c>
      <c r="D159" s="80" t="s">
        <v>1068</v>
      </c>
      <c r="E159" s="98">
        <f>COUNTIF('Master Sheet'!L:L, "*" &amp; B159 &amp; "*")</f>
        <v>0</v>
      </c>
      <c r="F159" s="100">
        <v>0</v>
      </c>
      <c r="G159" s="98">
        <f>COUNTIFS('Master Sheet'!L:L, "*" &amp; B159 &amp; "*", 'Master Sheet'!H:H, "Formal")</f>
        <v>0</v>
      </c>
      <c r="H159" s="101">
        <v>0</v>
      </c>
      <c r="I159" s="98">
        <f>COUNTIFS('Master Sheet'!L:L, "*" &amp; B159 &amp; "*", 'Master Sheet'!H:H, "Informal")</f>
        <v>0</v>
      </c>
      <c r="J159" s="101">
        <v>0</v>
      </c>
      <c r="L159" s="98" t="s">
        <v>947</v>
      </c>
      <c r="M159" s="98">
        <v>0</v>
      </c>
      <c r="N159" s="101">
        <v>0</v>
      </c>
      <c r="O159" s="98">
        <v>0</v>
      </c>
      <c r="P159" s="101">
        <v>0</v>
      </c>
      <c r="Q159" s="98">
        <v>0</v>
      </c>
      <c r="R159" s="101">
        <v>0</v>
      </c>
    </row>
    <row r="160" spans="2:18" x14ac:dyDescent="0.2">
      <c r="B160" s="80" t="s">
        <v>1069</v>
      </c>
      <c r="D160" s="80" t="s">
        <v>1069</v>
      </c>
      <c r="E160" s="98">
        <f>COUNTIF('Master Sheet'!L:L, "*" &amp; B160 &amp; "*")</f>
        <v>4</v>
      </c>
      <c r="F160" s="100">
        <v>2.3391812865497075E-2</v>
      </c>
      <c r="G160" s="98">
        <f>COUNTIFS('Master Sheet'!L:L, "*" &amp; B160 &amp; "*", 'Master Sheet'!H:H, "Formal")</f>
        <v>0</v>
      </c>
      <c r="H160" s="101">
        <v>0</v>
      </c>
      <c r="I160" s="98">
        <f>COUNTIFS('Master Sheet'!L:L, "*" &amp; B160 &amp; "*", 'Master Sheet'!H:H, "Informal")</f>
        <v>4</v>
      </c>
      <c r="J160" s="101">
        <v>3.7383177570093455E-2</v>
      </c>
      <c r="L160" s="98" t="s">
        <v>948</v>
      </c>
      <c r="M160" s="98">
        <v>0</v>
      </c>
      <c r="N160" s="101">
        <v>0</v>
      </c>
      <c r="O160" s="98">
        <v>0</v>
      </c>
      <c r="P160" s="101">
        <v>0</v>
      </c>
      <c r="Q160" s="98">
        <v>0</v>
      </c>
      <c r="R160" s="101">
        <v>0</v>
      </c>
    </row>
    <row r="161" spans="2:18" x14ac:dyDescent="0.2">
      <c r="B161" s="80" t="s">
        <v>1070</v>
      </c>
      <c r="D161" s="80" t="s">
        <v>1070</v>
      </c>
      <c r="E161" s="98">
        <f>COUNTIF('Master Sheet'!L:L, "*" &amp; B161 &amp; "*")</f>
        <v>0</v>
      </c>
      <c r="F161" s="100">
        <v>0</v>
      </c>
      <c r="G161" s="98">
        <f>COUNTIFS('Master Sheet'!L:L, "*" &amp; B161 &amp; "*", 'Master Sheet'!H:H, "Formal")</f>
        <v>0</v>
      </c>
      <c r="H161" s="101">
        <v>0</v>
      </c>
      <c r="I161" s="98">
        <f>COUNTIFS('Master Sheet'!L:L, "*" &amp; B161 &amp; "*", 'Master Sheet'!H:H, "Informal")</f>
        <v>0</v>
      </c>
      <c r="J161" s="101">
        <v>0</v>
      </c>
      <c r="L161" s="98" t="s">
        <v>949</v>
      </c>
      <c r="M161" s="98">
        <v>0</v>
      </c>
      <c r="N161" s="101">
        <v>0</v>
      </c>
      <c r="O161" s="98">
        <v>0</v>
      </c>
      <c r="P161" s="101">
        <v>0</v>
      </c>
      <c r="Q161" s="98">
        <v>0</v>
      </c>
      <c r="R161" s="101">
        <v>0</v>
      </c>
    </row>
    <row r="162" spans="2:18" x14ac:dyDescent="0.2">
      <c r="B162" s="80" t="s">
        <v>1071</v>
      </c>
      <c r="D162" s="80" t="s">
        <v>1071</v>
      </c>
      <c r="E162" s="98">
        <f>COUNTIF('Master Sheet'!L:L, "*" &amp; B162 &amp; "*")</f>
        <v>0</v>
      </c>
      <c r="F162" s="100">
        <v>0</v>
      </c>
      <c r="G162" s="98">
        <f>COUNTIFS('Master Sheet'!L:L, "*" &amp; B162 &amp; "*", 'Master Sheet'!H:H, "Formal")</f>
        <v>0</v>
      </c>
      <c r="H162" s="101">
        <v>0</v>
      </c>
      <c r="I162" s="98">
        <f>COUNTIFS('Master Sheet'!L:L, "*" &amp; B162 &amp; "*", 'Master Sheet'!H:H, "Informal")</f>
        <v>0</v>
      </c>
      <c r="J162" s="101">
        <v>0</v>
      </c>
      <c r="L162" s="98" t="s">
        <v>950</v>
      </c>
      <c r="M162" s="98">
        <v>0</v>
      </c>
      <c r="N162" s="101">
        <v>0</v>
      </c>
      <c r="O162" s="98">
        <v>0</v>
      </c>
      <c r="P162" s="101">
        <v>0</v>
      </c>
      <c r="Q162" s="98">
        <v>0</v>
      </c>
      <c r="R162" s="101">
        <v>0</v>
      </c>
    </row>
    <row r="163" spans="2:18" x14ac:dyDescent="0.2">
      <c r="B163" s="80" t="s">
        <v>1072</v>
      </c>
      <c r="D163" s="80" t="s">
        <v>1072</v>
      </c>
      <c r="E163" s="98">
        <f>COUNTIF('Master Sheet'!L:L, "*" &amp; B163 &amp; "*")</f>
        <v>0</v>
      </c>
      <c r="F163" s="100">
        <v>0</v>
      </c>
      <c r="G163" s="98">
        <f>COUNTIFS('Master Sheet'!L:L, "*" &amp; B163 &amp; "*", 'Master Sheet'!H:H, "Formal")</f>
        <v>0</v>
      </c>
      <c r="H163" s="101">
        <v>0</v>
      </c>
      <c r="I163" s="98">
        <f>COUNTIFS('Master Sheet'!L:L, "*" &amp; B163 &amp; "*", 'Master Sheet'!H:H, "Informal")</f>
        <v>0</v>
      </c>
      <c r="J163" s="101">
        <v>0</v>
      </c>
      <c r="L163" s="98" t="s">
        <v>951</v>
      </c>
      <c r="M163" s="98">
        <v>0</v>
      </c>
      <c r="N163" s="101">
        <v>0</v>
      </c>
      <c r="O163" s="98">
        <v>0</v>
      </c>
      <c r="P163" s="101">
        <v>0</v>
      </c>
      <c r="Q163" s="98">
        <v>0</v>
      </c>
      <c r="R163" s="101">
        <v>0</v>
      </c>
    </row>
    <row r="164" spans="2:18" x14ac:dyDescent="0.2">
      <c r="B164" s="80" t="s">
        <v>1073</v>
      </c>
      <c r="D164" s="80" t="s">
        <v>1073</v>
      </c>
      <c r="E164" s="98">
        <f>COUNTIF('Master Sheet'!L:L, "*" &amp; B164 &amp; "*")</f>
        <v>5</v>
      </c>
      <c r="F164" s="100">
        <v>2.9239766081871343E-2</v>
      </c>
      <c r="G164" s="98">
        <f>COUNTIFS('Master Sheet'!L:L, "*" &amp; B164 &amp; "*", 'Master Sheet'!H:H, "Formal")</f>
        <v>0</v>
      </c>
      <c r="H164" s="101">
        <v>0</v>
      </c>
      <c r="I164" s="98">
        <f>COUNTIFS('Master Sheet'!L:L, "*" &amp; B164 &amp; "*", 'Master Sheet'!H:H, "Informal")</f>
        <v>5</v>
      </c>
      <c r="J164" s="101">
        <v>4.6728971962616821E-2</v>
      </c>
      <c r="L164" s="98" t="s">
        <v>952</v>
      </c>
      <c r="M164" s="98">
        <v>0</v>
      </c>
      <c r="N164" s="101">
        <v>0</v>
      </c>
      <c r="O164" s="98">
        <v>0</v>
      </c>
      <c r="P164" s="101">
        <v>0</v>
      </c>
      <c r="Q164" s="98">
        <v>0</v>
      </c>
      <c r="R164" s="101">
        <v>0</v>
      </c>
    </row>
    <row r="165" spans="2:18" x14ac:dyDescent="0.2">
      <c r="B165" s="80" t="s">
        <v>1074</v>
      </c>
      <c r="D165" s="80" t="s">
        <v>1074</v>
      </c>
      <c r="E165" s="98">
        <f>COUNTIF('Master Sheet'!L:L, "*" &amp; B165 &amp; "*")</f>
        <v>0</v>
      </c>
      <c r="F165" s="100">
        <v>0</v>
      </c>
      <c r="G165" s="98">
        <f>COUNTIFS('Master Sheet'!L:L, "*" &amp; B165 &amp; "*", 'Master Sheet'!H:H, "Formal")</f>
        <v>0</v>
      </c>
      <c r="H165" s="101">
        <v>0</v>
      </c>
      <c r="I165" s="98">
        <f>COUNTIFS('Master Sheet'!L:L, "*" &amp; B165 &amp; "*", 'Master Sheet'!H:H, "Informal")</f>
        <v>0</v>
      </c>
      <c r="J165" s="101">
        <v>0</v>
      </c>
      <c r="L165" s="98" t="s">
        <v>953</v>
      </c>
      <c r="M165" s="98">
        <v>0</v>
      </c>
      <c r="N165" s="101">
        <v>0</v>
      </c>
      <c r="O165" s="98">
        <v>0</v>
      </c>
      <c r="P165" s="101">
        <v>0</v>
      </c>
      <c r="Q165" s="98">
        <v>0</v>
      </c>
      <c r="R165" s="101">
        <v>0</v>
      </c>
    </row>
    <row r="166" spans="2:18" x14ac:dyDescent="0.2">
      <c r="B166" s="80" t="s">
        <v>1075</v>
      </c>
      <c r="D166" s="80" t="s">
        <v>1075</v>
      </c>
      <c r="E166" s="98">
        <f>COUNTIF('Master Sheet'!L:L, "*" &amp; B166 &amp; "*")</f>
        <v>0</v>
      </c>
      <c r="F166" s="100">
        <v>0</v>
      </c>
      <c r="G166" s="98">
        <f>COUNTIFS('Master Sheet'!L:L, "*" &amp; B166 &amp; "*", 'Master Sheet'!H:H, "Formal")</f>
        <v>0</v>
      </c>
      <c r="H166" s="101">
        <v>0</v>
      </c>
      <c r="I166" s="98">
        <f>COUNTIFS('Master Sheet'!L:L, "*" &amp; B166 &amp; "*", 'Master Sheet'!H:H, "Informal")</f>
        <v>0</v>
      </c>
      <c r="J166" s="101">
        <v>0</v>
      </c>
      <c r="L166" s="98" t="s">
        <v>954</v>
      </c>
      <c r="M166" s="98">
        <v>0</v>
      </c>
      <c r="N166" s="101">
        <v>0</v>
      </c>
      <c r="O166" s="98">
        <v>0</v>
      </c>
      <c r="P166" s="101">
        <v>0</v>
      </c>
      <c r="Q166" s="98">
        <v>0</v>
      </c>
      <c r="R166" s="101">
        <v>0</v>
      </c>
    </row>
    <row r="167" spans="2:18" x14ac:dyDescent="0.2">
      <c r="B167" s="80" t="s">
        <v>1076</v>
      </c>
      <c r="D167" s="80" t="s">
        <v>1076</v>
      </c>
      <c r="E167" s="98">
        <f>COUNTIF('Master Sheet'!L:L, "*" &amp; B167 &amp; "*")</f>
        <v>0</v>
      </c>
      <c r="F167" s="100">
        <v>0</v>
      </c>
      <c r="G167" s="98">
        <f>COUNTIFS('Master Sheet'!L:L, "*" &amp; B167 &amp; "*", 'Master Sheet'!H:H, "Formal")</f>
        <v>0</v>
      </c>
      <c r="H167" s="101">
        <v>0</v>
      </c>
      <c r="I167" s="98">
        <f>COUNTIFS('Master Sheet'!L:L, "*" &amp; B167 &amp; "*", 'Master Sheet'!H:H, "Informal")</f>
        <v>0</v>
      </c>
      <c r="J167" s="101">
        <v>0</v>
      </c>
      <c r="L167" s="98" t="s">
        <v>1042</v>
      </c>
      <c r="M167" s="98">
        <v>0</v>
      </c>
      <c r="N167" s="101">
        <v>0</v>
      </c>
      <c r="O167" s="98">
        <v>0</v>
      </c>
      <c r="P167" s="101">
        <v>0</v>
      </c>
      <c r="Q167" s="98">
        <v>0</v>
      </c>
      <c r="R167" s="101">
        <v>0</v>
      </c>
    </row>
    <row r="168" spans="2:18" x14ac:dyDescent="0.2">
      <c r="B168" s="80" t="s">
        <v>1077</v>
      </c>
      <c r="D168" s="80" t="s">
        <v>1077</v>
      </c>
      <c r="E168" s="98">
        <f>COUNTIF('Master Sheet'!L:L, "*" &amp; B168 &amp; "*")</f>
        <v>9</v>
      </c>
      <c r="F168" s="100">
        <v>5.2631578947368418E-2</v>
      </c>
      <c r="G168" s="98">
        <f>COUNTIFS('Master Sheet'!L:L, "*" &amp; B168 &amp; "*", 'Master Sheet'!H:H, "Formal")</f>
        <v>0</v>
      </c>
      <c r="H168" s="101">
        <v>0</v>
      </c>
      <c r="I168" s="98">
        <f>COUNTIFS('Master Sheet'!L:L, "*" &amp; B168 &amp; "*", 'Master Sheet'!H:H, "Informal")</f>
        <v>9</v>
      </c>
      <c r="J168" s="101">
        <v>8.4112149532710276E-2</v>
      </c>
      <c r="L168" s="98" t="s">
        <v>1043</v>
      </c>
      <c r="M168" s="98">
        <v>0</v>
      </c>
      <c r="N168" s="101">
        <v>0</v>
      </c>
      <c r="O168" s="98">
        <v>0</v>
      </c>
      <c r="P168" s="101">
        <v>0</v>
      </c>
      <c r="Q168" s="98">
        <v>0</v>
      </c>
      <c r="R168" s="101">
        <v>0</v>
      </c>
    </row>
    <row r="169" spans="2:18" x14ac:dyDescent="0.2">
      <c r="B169" s="80" t="s">
        <v>1078</v>
      </c>
      <c r="D169" s="80" t="s">
        <v>1078</v>
      </c>
      <c r="E169" s="98">
        <f>COUNTIF('Master Sheet'!L:L, "*" &amp; B169 &amp; "*")</f>
        <v>0</v>
      </c>
      <c r="F169" s="100">
        <v>0</v>
      </c>
      <c r="G169" s="98">
        <f>COUNTIFS('Master Sheet'!L:L, "*" &amp; B169 &amp; "*", 'Master Sheet'!H:H, "Formal")</f>
        <v>0</v>
      </c>
      <c r="H169" s="101">
        <v>0</v>
      </c>
      <c r="I169" s="98">
        <f>COUNTIFS('Master Sheet'!L:L, "*" &amp; B169 &amp; "*", 'Master Sheet'!H:H, "Informal")</f>
        <v>0</v>
      </c>
      <c r="J169" s="101">
        <v>0</v>
      </c>
      <c r="L169" s="98" t="s">
        <v>1044</v>
      </c>
      <c r="M169" s="98">
        <v>0</v>
      </c>
      <c r="N169" s="101">
        <v>0</v>
      </c>
      <c r="O169" s="98">
        <v>0</v>
      </c>
      <c r="P169" s="101">
        <v>0</v>
      </c>
      <c r="Q169" s="98">
        <v>0</v>
      </c>
      <c r="R169" s="101">
        <v>0</v>
      </c>
    </row>
    <row r="170" spans="2:18" x14ac:dyDescent="0.2">
      <c r="B170" s="80" t="s">
        <v>1079</v>
      </c>
      <c r="D170" s="80" t="s">
        <v>1079</v>
      </c>
      <c r="E170" s="98">
        <f>COUNTIF('Master Sheet'!L:L, "*" &amp; B170 &amp; "*")</f>
        <v>0</v>
      </c>
      <c r="F170" s="100">
        <v>0</v>
      </c>
      <c r="G170" s="98">
        <f>COUNTIFS('Master Sheet'!L:L, "*" &amp; B170 &amp; "*", 'Master Sheet'!H:H, "Formal")</f>
        <v>0</v>
      </c>
      <c r="H170" s="101">
        <v>0</v>
      </c>
      <c r="I170" s="98">
        <f>COUNTIFS('Master Sheet'!L:L, "*" &amp; B170 &amp; "*", 'Master Sheet'!H:H, "Informal")</f>
        <v>0</v>
      </c>
      <c r="J170" s="101">
        <v>0</v>
      </c>
      <c r="L170" s="98" t="s">
        <v>1045</v>
      </c>
      <c r="M170" s="98">
        <v>0</v>
      </c>
      <c r="N170" s="101">
        <v>0</v>
      </c>
      <c r="O170" s="98">
        <v>0</v>
      </c>
      <c r="P170" s="101">
        <v>0</v>
      </c>
      <c r="Q170" s="98">
        <v>0</v>
      </c>
      <c r="R170" s="101">
        <v>0</v>
      </c>
    </row>
    <row r="171" spans="2:18" x14ac:dyDescent="0.2">
      <c r="B171" s="80" t="s">
        <v>1080</v>
      </c>
      <c r="D171" s="80" t="s">
        <v>1080</v>
      </c>
      <c r="E171" s="98">
        <f>COUNTIF('Master Sheet'!L:L, "*" &amp; B171 &amp; "*")</f>
        <v>24</v>
      </c>
      <c r="F171" s="100">
        <v>0.14035087719298245</v>
      </c>
      <c r="G171" s="98">
        <f>COUNTIFS('Master Sheet'!L:L, "*" &amp; B171 &amp; "*", 'Master Sheet'!H:H, "Formal")</f>
        <v>5</v>
      </c>
      <c r="H171" s="101">
        <v>8.1967213114754092E-2</v>
      </c>
      <c r="I171" s="98">
        <f>COUNTIFS('Master Sheet'!L:L, "*" &amp; B171 &amp; "*", 'Master Sheet'!H:H, "Informal")</f>
        <v>19</v>
      </c>
      <c r="J171" s="101">
        <v>0.17757009345794392</v>
      </c>
      <c r="L171" s="98" t="s">
        <v>1046</v>
      </c>
      <c r="M171" s="98">
        <v>0</v>
      </c>
      <c r="N171" s="101">
        <v>0</v>
      </c>
      <c r="O171" s="98">
        <v>0</v>
      </c>
      <c r="P171" s="101">
        <v>0</v>
      </c>
      <c r="Q171" s="98">
        <v>0</v>
      </c>
      <c r="R171" s="101">
        <v>0</v>
      </c>
    </row>
    <row r="172" spans="2:18" x14ac:dyDescent="0.2">
      <c r="B172" s="80" t="s">
        <v>1081</v>
      </c>
      <c r="D172" s="80" t="s">
        <v>1081</v>
      </c>
      <c r="E172" s="98">
        <f>COUNTIF('Master Sheet'!L:L, "*" &amp; B172 &amp; "*")</f>
        <v>0</v>
      </c>
      <c r="F172" s="100">
        <v>0</v>
      </c>
      <c r="G172" s="98">
        <f>COUNTIFS('Master Sheet'!L:L, "*" &amp; B172 &amp; "*", 'Master Sheet'!H:H, "Formal")</f>
        <v>0</v>
      </c>
      <c r="H172" s="101">
        <v>0</v>
      </c>
      <c r="I172" s="98">
        <f>COUNTIFS('Master Sheet'!L:L, "*" &amp; B172 &amp; "*", 'Master Sheet'!H:H, "Informal")</f>
        <v>0</v>
      </c>
      <c r="J172" s="101">
        <v>0</v>
      </c>
      <c r="L172" s="98" t="s">
        <v>1047</v>
      </c>
      <c r="M172" s="98">
        <v>0</v>
      </c>
      <c r="N172" s="101">
        <v>0</v>
      </c>
      <c r="O172" s="98">
        <v>0</v>
      </c>
      <c r="P172" s="101">
        <v>0</v>
      </c>
      <c r="Q172" s="98">
        <v>0</v>
      </c>
      <c r="R172" s="101">
        <v>0</v>
      </c>
    </row>
    <row r="173" spans="2:18" x14ac:dyDescent="0.2">
      <c r="B173" s="80" t="s">
        <v>1082</v>
      </c>
      <c r="D173" s="80" t="s">
        <v>1082</v>
      </c>
      <c r="E173" s="98">
        <f>COUNTIF('Master Sheet'!L:L, "*" &amp; B173 &amp; "*")</f>
        <v>1</v>
      </c>
      <c r="F173" s="100">
        <v>5.8479532163742687E-3</v>
      </c>
      <c r="G173" s="98">
        <f>COUNTIFS('Master Sheet'!L:L, "*" &amp; B173 &amp; "*", 'Master Sheet'!H:H, "Formal")</f>
        <v>0</v>
      </c>
      <c r="H173" s="101">
        <v>0</v>
      </c>
      <c r="I173" s="98">
        <f>COUNTIFS('Master Sheet'!L:L, "*" &amp; B173 &amp; "*", 'Master Sheet'!H:H, "Informal")</f>
        <v>1</v>
      </c>
      <c r="J173" s="101">
        <v>9.3457943925233638E-3</v>
      </c>
      <c r="L173" s="98" t="s">
        <v>1048</v>
      </c>
      <c r="M173" s="98">
        <v>0</v>
      </c>
      <c r="N173" s="101">
        <v>0</v>
      </c>
      <c r="O173" s="98">
        <v>0</v>
      </c>
      <c r="P173" s="101">
        <v>0</v>
      </c>
      <c r="Q173" s="98">
        <v>0</v>
      </c>
      <c r="R173" s="101">
        <v>0</v>
      </c>
    </row>
    <row r="174" spans="2:18" x14ac:dyDescent="0.2">
      <c r="B174" s="80" t="s">
        <v>1083</v>
      </c>
      <c r="D174" s="80" t="s">
        <v>1083</v>
      </c>
      <c r="E174" s="98">
        <f>COUNTIF('Master Sheet'!L:L, "*" &amp; B174 &amp; "*")</f>
        <v>0</v>
      </c>
      <c r="F174" s="100">
        <v>0</v>
      </c>
      <c r="G174" s="98">
        <f>COUNTIFS('Master Sheet'!L:L, "*" &amp; B174 &amp; "*", 'Master Sheet'!H:H, "Formal")</f>
        <v>0</v>
      </c>
      <c r="H174" s="101">
        <v>0</v>
      </c>
      <c r="I174" s="98">
        <f>COUNTIFS('Master Sheet'!L:L, "*" &amp; B174 &amp; "*", 'Master Sheet'!H:H, "Informal")</f>
        <v>0</v>
      </c>
      <c r="J174" s="101">
        <v>0</v>
      </c>
      <c r="L174" s="98" t="s">
        <v>1049</v>
      </c>
      <c r="M174" s="98">
        <v>0</v>
      </c>
      <c r="N174" s="101">
        <v>0</v>
      </c>
      <c r="O174" s="98">
        <v>0</v>
      </c>
      <c r="P174" s="101">
        <v>0</v>
      </c>
      <c r="Q174" s="98">
        <v>0</v>
      </c>
      <c r="R174" s="101">
        <v>0</v>
      </c>
    </row>
    <row r="175" spans="2:18" x14ac:dyDescent="0.2">
      <c r="B175" s="80" t="s">
        <v>1084</v>
      </c>
      <c r="D175" s="80" t="s">
        <v>1084</v>
      </c>
      <c r="E175" s="98">
        <f>COUNTIF('Master Sheet'!L:L, "*" &amp; B175 &amp; "*")</f>
        <v>1</v>
      </c>
      <c r="F175" s="100">
        <v>5.8479532163742687E-3</v>
      </c>
      <c r="G175" s="98">
        <f>COUNTIFS('Master Sheet'!L:L, "*" &amp; B175 &amp; "*", 'Master Sheet'!H:H, "Formal")</f>
        <v>0</v>
      </c>
      <c r="H175" s="101">
        <v>0</v>
      </c>
      <c r="I175" s="98">
        <f>COUNTIFS('Master Sheet'!L:L, "*" &amp; B175 &amp; "*", 'Master Sheet'!H:H, "Informal")</f>
        <v>1</v>
      </c>
      <c r="J175" s="101">
        <v>9.3457943925233638E-3</v>
      </c>
      <c r="L175" s="98" t="s">
        <v>1050</v>
      </c>
      <c r="M175" s="98">
        <v>0</v>
      </c>
      <c r="N175" s="101">
        <v>0</v>
      </c>
      <c r="O175" s="98">
        <v>0</v>
      </c>
      <c r="P175" s="101">
        <v>0</v>
      </c>
      <c r="Q175" s="98">
        <v>0</v>
      </c>
      <c r="R175" s="101">
        <v>0</v>
      </c>
    </row>
    <row r="176" spans="2:18" x14ac:dyDescent="0.2">
      <c r="B176" s="80" t="s">
        <v>1085</v>
      </c>
      <c r="D176" s="80" t="s">
        <v>1085</v>
      </c>
      <c r="E176" s="98">
        <f>COUNTIF('Master Sheet'!L:L, "*" &amp; B176 &amp; "*")</f>
        <v>0</v>
      </c>
      <c r="F176" s="100">
        <v>0</v>
      </c>
      <c r="G176" s="98">
        <f>COUNTIFS('Master Sheet'!L:L, "*" &amp; B176 &amp; "*", 'Master Sheet'!H:H, "Formal")</f>
        <v>0</v>
      </c>
      <c r="H176" s="101">
        <v>0</v>
      </c>
      <c r="I176" s="98">
        <f>COUNTIFS('Master Sheet'!L:L, "*" &amp; B176 &amp; "*", 'Master Sheet'!H:H, "Informal")</f>
        <v>0</v>
      </c>
      <c r="J176" s="101">
        <v>0</v>
      </c>
      <c r="L176" s="98" t="s">
        <v>1040</v>
      </c>
      <c r="M176" s="98">
        <v>0</v>
      </c>
      <c r="N176" s="101">
        <v>0</v>
      </c>
      <c r="O176" s="98">
        <v>0</v>
      </c>
      <c r="P176" s="101">
        <v>0</v>
      </c>
      <c r="Q176" s="98">
        <v>0</v>
      </c>
      <c r="R176" s="101">
        <v>0</v>
      </c>
    </row>
    <row r="177" spans="2:18" x14ac:dyDescent="0.2">
      <c r="B177" s="80" t="s">
        <v>1086</v>
      </c>
      <c r="D177" s="80" t="s">
        <v>1086</v>
      </c>
      <c r="E177" s="98">
        <f>COUNTIF('Master Sheet'!L:L, "*" &amp; B177 &amp; "*")</f>
        <v>0</v>
      </c>
      <c r="F177" s="100">
        <v>0</v>
      </c>
      <c r="G177" s="98">
        <f>COUNTIFS('Master Sheet'!L:L, "*" &amp; B177 &amp; "*", 'Master Sheet'!H:H, "Formal")</f>
        <v>0</v>
      </c>
      <c r="H177" s="101">
        <v>0</v>
      </c>
      <c r="I177" s="98">
        <f>COUNTIFS('Master Sheet'!L:L, "*" &amp; B177 &amp; "*", 'Master Sheet'!H:H, "Informal")</f>
        <v>0</v>
      </c>
      <c r="J177" s="101">
        <v>0</v>
      </c>
      <c r="L177" s="98" t="s">
        <v>1051</v>
      </c>
      <c r="M177" s="98">
        <v>0</v>
      </c>
      <c r="N177" s="101">
        <v>0</v>
      </c>
      <c r="O177" s="98">
        <v>0</v>
      </c>
      <c r="P177" s="101">
        <v>0</v>
      </c>
      <c r="Q177" s="98">
        <v>0</v>
      </c>
      <c r="R177" s="101">
        <v>0</v>
      </c>
    </row>
    <row r="178" spans="2:18" x14ac:dyDescent="0.2">
      <c r="B178" s="80" t="s">
        <v>1087</v>
      </c>
      <c r="D178" s="80" t="s">
        <v>1087</v>
      </c>
      <c r="E178" s="98">
        <f>COUNTIF('Master Sheet'!L:L, "*" &amp; B178 &amp; "*")</f>
        <v>0</v>
      </c>
      <c r="F178" s="100">
        <v>0</v>
      </c>
      <c r="G178" s="98">
        <f>COUNTIFS('Master Sheet'!L:L, "*" &amp; B178 &amp; "*", 'Master Sheet'!H:H, "Formal")</f>
        <v>0</v>
      </c>
      <c r="H178" s="101">
        <v>0</v>
      </c>
      <c r="I178" s="98">
        <f>COUNTIFS('Master Sheet'!L:L, "*" &amp; B178 &amp; "*", 'Master Sheet'!H:H, "Informal")</f>
        <v>0</v>
      </c>
      <c r="J178" s="101">
        <v>0</v>
      </c>
      <c r="L178" s="98" t="s">
        <v>1053</v>
      </c>
      <c r="M178" s="98">
        <v>0</v>
      </c>
      <c r="N178" s="101">
        <v>0</v>
      </c>
      <c r="O178" s="98">
        <v>0</v>
      </c>
      <c r="P178" s="101">
        <v>0</v>
      </c>
      <c r="Q178" s="98">
        <v>0</v>
      </c>
      <c r="R178" s="101">
        <v>0</v>
      </c>
    </row>
    <row r="179" spans="2:18" x14ac:dyDescent="0.2">
      <c r="B179" s="80" t="s">
        <v>1088</v>
      </c>
      <c r="D179" s="80" t="s">
        <v>1088</v>
      </c>
      <c r="E179" s="98">
        <f>COUNTIF('Master Sheet'!L:L, "*" &amp; B179 &amp; "*")</f>
        <v>2</v>
      </c>
      <c r="F179" s="100">
        <v>1.1695906432748537E-2</v>
      </c>
      <c r="G179" s="98">
        <f>COUNTIFS('Master Sheet'!L:L, "*" &amp; B179 &amp; "*", 'Master Sheet'!H:H, "Formal")</f>
        <v>0</v>
      </c>
      <c r="H179" s="101">
        <v>0</v>
      </c>
      <c r="I179" s="98">
        <f>COUNTIFS('Master Sheet'!L:L, "*" &amp; B179 &amp; "*", 'Master Sheet'!H:H, "Informal")</f>
        <v>2</v>
      </c>
      <c r="J179" s="101">
        <v>1.8691588785046728E-2</v>
      </c>
      <c r="L179" s="98" t="s">
        <v>1054</v>
      </c>
      <c r="M179" s="98">
        <v>0</v>
      </c>
      <c r="N179" s="101">
        <v>0</v>
      </c>
      <c r="O179" s="98">
        <v>0</v>
      </c>
      <c r="P179" s="101">
        <v>0</v>
      </c>
      <c r="Q179" s="98">
        <v>0</v>
      </c>
      <c r="R179" s="101">
        <v>0</v>
      </c>
    </row>
    <row r="180" spans="2:18" x14ac:dyDescent="0.2">
      <c r="B180" s="80" t="s">
        <v>1089</v>
      </c>
      <c r="D180" s="80" t="s">
        <v>1089</v>
      </c>
      <c r="E180" s="98">
        <f>COUNTIF('Master Sheet'!L:L, "*" &amp; B180 &amp; "*")</f>
        <v>0</v>
      </c>
      <c r="F180" s="100">
        <v>0</v>
      </c>
      <c r="G180" s="98">
        <f>COUNTIFS('Master Sheet'!L:L, "*" &amp; B180 &amp; "*", 'Master Sheet'!H:H, "Formal")</f>
        <v>0</v>
      </c>
      <c r="H180" s="101">
        <v>0</v>
      </c>
      <c r="I180" s="98">
        <f>COUNTIFS('Master Sheet'!L:L, "*" &amp; B180 &amp; "*", 'Master Sheet'!H:H, "Informal")</f>
        <v>0</v>
      </c>
      <c r="J180" s="101">
        <v>0</v>
      </c>
      <c r="L180" s="98" t="s">
        <v>1055</v>
      </c>
      <c r="M180" s="98">
        <v>0</v>
      </c>
      <c r="N180" s="101">
        <v>0</v>
      </c>
      <c r="O180" s="98">
        <v>0</v>
      </c>
      <c r="P180" s="101">
        <v>0</v>
      </c>
      <c r="Q180" s="98">
        <v>0</v>
      </c>
      <c r="R180" s="101">
        <v>0</v>
      </c>
    </row>
    <row r="181" spans="2:18" x14ac:dyDescent="0.2">
      <c r="B181" s="80" t="s">
        <v>955</v>
      </c>
      <c r="D181" s="80" t="s">
        <v>955</v>
      </c>
      <c r="E181" s="98">
        <f>COUNTIF('Master Sheet'!L:L, "*" &amp; B181 &amp; "*")</f>
        <v>0</v>
      </c>
      <c r="F181" s="100">
        <v>0</v>
      </c>
      <c r="G181" s="98">
        <f>COUNTIFS('Master Sheet'!L:L, "*" &amp; B181 &amp; "*", 'Master Sheet'!H:H, "Formal")</f>
        <v>0</v>
      </c>
      <c r="H181" s="101">
        <v>0</v>
      </c>
      <c r="I181" s="98">
        <f>COUNTIFS('Master Sheet'!L:L, "*" &amp; B181 &amp; "*", 'Master Sheet'!H:H, "Informal")</f>
        <v>0</v>
      </c>
      <c r="J181" s="101">
        <v>0</v>
      </c>
      <c r="L181" s="98" t="s">
        <v>1056</v>
      </c>
      <c r="M181" s="98">
        <v>0</v>
      </c>
      <c r="N181" s="101">
        <v>0</v>
      </c>
      <c r="O181" s="98">
        <v>0</v>
      </c>
      <c r="P181" s="101">
        <v>0</v>
      </c>
      <c r="Q181" s="98">
        <v>0</v>
      </c>
      <c r="R181" s="101">
        <v>0</v>
      </c>
    </row>
    <row r="182" spans="2:18" x14ac:dyDescent="0.2">
      <c r="B182" s="80" t="s">
        <v>956</v>
      </c>
      <c r="D182" s="80" t="s">
        <v>956</v>
      </c>
      <c r="E182" s="98">
        <f>COUNTIF('Master Sheet'!L:L, "*" &amp; B182 &amp; "*")</f>
        <v>0</v>
      </c>
      <c r="F182" s="100">
        <v>0</v>
      </c>
      <c r="G182" s="98">
        <f>COUNTIFS('Master Sheet'!L:L, "*" &amp; B182 &amp; "*", 'Master Sheet'!H:H, "Formal")</f>
        <v>0</v>
      </c>
      <c r="H182" s="101">
        <v>0</v>
      </c>
      <c r="I182" s="98">
        <f>COUNTIFS('Master Sheet'!L:L, "*" &amp; B182 &amp; "*", 'Master Sheet'!H:H, "Informal")</f>
        <v>0</v>
      </c>
      <c r="J182" s="101">
        <v>0</v>
      </c>
      <c r="L182" s="98" t="s">
        <v>1058</v>
      </c>
      <c r="M182" s="98">
        <v>0</v>
      </c>
      <c r="N182" s="101">
        <v>0</v>
      </c>
      <c r="O182" s="98">
        <v>0</v>
      </c>
      <c r="P182" s="101">
        <v>0</v>
      </c>
      <c r="Q182" s="98">
        <v>0</v>
      </c>
      <c r="R182" s="101">
        <v>0</v>
      </c>
    </row>
    <row r="183" spans="2:18" x14ac:dyDescent="0.2">
      <c r="B183" s="80" t="s">
        <v>957</v>
      </c>
      <c r="D183" s="80" t="s">
        <v>957</v>
      </c>
      <c r="E183" s="98">
        <f>COUNTIF('Master Sheet'!L:L, "*" &amp; B183 &amp; "*")</f>
        <v>1</v>
      </c>
      <c r="F183" s="100">
        <v>5.8479532163742687E-3</v>
      </c>
      <c r="G183" s="98">
        <f>COUNTIFS('Master Sheet'!L:L, "*" &amp; B183 &amp; "*", 'Master Sheet'!H:H, "Formal")</f>
        <v>0</v>
      </c>
      <c r="H183" s="101">
        <v>0</v>
      </c>
      <c r="I183" s="98">
        <f>COUNTIFS('Master Sheet'!L:L, "*" &amp; B183 &amp; "*", 'Master Sheet'!H:H, "Informal")</f>
        <v>1</v>
      </c>
      <c r="J183" s="101">
        <v>9.3457943925233638E-3</v>
      </c>
      <c r="L183" s="98" t="s">
        <v>1059</v>
      </c>
      <c r="M183" s="98">
        <v>0</v>
      </c>
      <c r="N183" s="101">
        <v>0</v>
      </c>
      <c r="O183" s="98">
        <v>0</v>
      </c>
      <c r="P183" s="101">
        <v>0</v>
      </c>
      <c r="Q183" s="98">
        <v>0</v>
      </c>
      <c r="R183" s="101">
        <v>0</v>
      </c>
    </row>
    <row r="184" spans="2:18" x14ac:dyDescent="0.2">
      <c r="B184" s="80" t="s">
        <v>958</v>
      </c>
      <c r="D184" s="80" t="s">
        <v>958</v>
      </c>
      <c r="E184" s="98">
        <f>COUNTIF('Master Sheet'!L:L, "*" &amp; B184 &amp; "*")</f>
        <v>0</v>
      </c>
      <c r="F184" s="100">
        <v>0</v>
      </c>
      <c r="G184" s="98">
        <f>COUNTIFS('Master Sheet'!L:L, "*" &amp; B184 &amp; "*", 'Master Sheet'!H:H, "Formal")</f>
        <v>0</v>
      </c>
      <c r="H184" s="101">
        <v>0</v>
      </c>
      <c r="I184" s="98">
        <f>COUNTIFS('Master Sheet'!L:L, "*" &amp; B184 &amp; "*", 'Master Sheet'!H:H, "Informal")</f>
        <v>0</v>
      </c>
      <c r="J184" s="101">
        <v>0</v>
      </c>
      <c r="L184" s="98" t="s">
        <v>1060</v>
      </c>
      <c r="M184" s="98">
        <v>0</v>
      </c>
      <c r="N184" s="101">
        <v>0</v>
      </c>
      <c r="O184" s="98">
        <v>0</v>
      </c>
      <c r="P184" s="101">
        <v>0</v>
      </c>
      <c r="Q184" s="98">
        <v>0</v>
      </c>
      <c r="R184" s="101">
        <v>0</v>
      </c>
    </row>
    <row r="185" spans="2:18" x14ac:dyDescent="0.2">
      <c r="B185" s="80" t="s">
        <v>959</v>
      </c>
      <c r="D185" s="80" t="s">
        <v>959</v>
      </c>
      <c r="E185" s="98">
        <f>COUNTIF('Master Sheet'!L:L, "*" &amp; B185 &amp; "*")</f>
        <v>1</v>
      </c>
      <c r="F185" s="100">
        <v>5.8479532163742687E-3</v>
      </c>
      <c r="G185" s="98">
        <f>COUNTIFS('Master Sheet'!L:L, "*" &amp; B185 &amp; "*", 'Master Sheet'!H:H, "Formal")</f>
        <v>1</v>
      </c>
      <c r="H185" s="101">
        <v>1.6393442622950821E-2</v>
      </c>
      <c r="I185" s="98">
        <f>COUNTIFS('Master Sheet'!L:L, "*" &amp; B185 &amp; "*", 'Master Sheet'!H:H, "Informal")</f>
        <v>0</v>
      </c>
      <c r="J185" s="101">
        <v>0</v>
      </c>
      <c r="L185" s="98" t="s">
        <v>1061</v>
      </c>
      <c r="M185" s="98">
        <v>0</v>
      </c>
      <c r="N185" s="101">
        <v>0</v>
      </c>
      <c r="O185" s="98">
        <v>0</v>
      </c>
      <c r="P185" s="101">
        <v>0</v>
      </c>
      <c r="Q185" s="98">
        <v>0</v>
      </c>
      <c r="R185" s="101">
        <v>0</v>
      </c>
    </row>
    <row r="186" spans="2:18" x14ac:dyDescent="0.2">
      <c r="B186" s="80" t="s">
        <v>960</v>
      </c>
      <c r="D186" s="80" t="s">
        <v>960</v>
      </c>
      <c r="E186" s="98">
        <f>COUNTIF('Master Sheet'!L:L, "*" &amp; B186 &amp; "*")</f>
        <v>0</v>
      </c>
      <c r="F186" s="100">
        <v>0</v>
      </c>
      <c r="G186" s="98">
        <f>COUNTIFS('Master Sheet'!L:L, "*" &amp; B186 &amp; "*", 'Master Sheet'!H:H, "Formal")</f>
        <v>0</v>
      </c>
      <c r="H186" s="101">
        <v>0</v>
      </c>
      <c r="I186" s="98">
        <f>COUNTIFS('Master Sheet'!L:L, "*" &amp; B186 &amp; "*", 'Master Sheet'!H:H, "Informal")</f>
        <v>0</v>
      </c>
      <c r="J186" s="101">
        <v>0</v>
      </c>
      <c r="L186" s="98" t="s">
        <v>1062</v>
      </c>
      <c r="M186" s="98">
        <v>0</v>
      </c>
      <c r="N186" s="101">
        <v>0</v>
      </c>
      <c r="O186" s="98">
        <v>0</v>
      </c>
      <c r="P186" s="101">
        <v>0</v>
      </c>
      <c r="Q186" s="98">
        <v>0</v>
      </c>
      <c r="R186" s="101">
        <v>0</v>
      </c>
    </row>
    <row r="187" spans="2:18" x14ac:dyDescent="0.2">
      <c r="B187" s="80" t="s">
        <v>961</v>
      </c>
      <c r="D187" s="80" t="s">
        <v>961</v>
      </c>
      <c r="E187" s="98">
        <f>COUNTIF('Master Sheet'!L:L, "*" &amp; B187 &amp; "*")</f>
        <v>1</v>
      </c>
      <c r="F187" s="100">
        <v>5.8479532163742687E-3</v>
      </c>
      <c r="G187" s="98">
        <f>COUNTIFS('Master Sheet'!L:L, "*" &amp; B187 &amp; "*", 'Master Sheet'!H:H, "Formal")</f>
        <v>1</v>
      </c>
      <c r="H187" s="101">
        <v>1.6393442622950821E-2</v>
      </c>
      <c r="I187" s="98">
        <f>COUNTIFS('Master Sheet'!L:L, "*" &amp; B187 &amp; "*", 'Master Sheet'!H:H, "Informal")</f>
        <v>0</v>
      </c>
      <c r="J187" s="101">
        <v>0</v>
      </c>
      <c r="L187" s="98" t="s">
        <v>1063</v>
      </c>
      <c r="M187" s="98">
        <v>0</v>
      </c>
      <c r="N187" s="101">
        <v>0</v>
      </c>
      <c r="O187" s="98">
        <v>0</v>
      </c>
      <c r="P187" s="101">
        <v>0</v>
      </c>
      <c r="Q187" s="98">
        <v>0</v>
      </c>
      <c r="R187" s="101">
        <v>0</v>
      </c>
    </row>
    <row r="188" spans="2:18" x14ac:dyDescent="0.2">
      <c r="B188" s="80" t="s">
        <v>962</v>
      </c>
      <c r="D188" s="80" t="s">
        <v>962</v>
      </c>
      <c r="E188" s="98">
        <f>COUNTIF('Master Sheet'!L:L, "*" &amp; B188 &amp; "*")</f>
        <v>0</v>
      </c>
      <c r="F188" s="100">
        <v>0</v>
      </c>
      <c r="G188" s="98">
        <f>COUNTIFS('Master Sheet'!L:L, "*" &amp; B188 &amp; "*", 'Master Sheet'!H:H, "Formal")</f>
        <v>0</v>
      </c>
      <c r="H188" s="101">
        <v>0</v>
      </c>
      <c r="I188" s="98">
        <f>COUNTIFS('Master Sheet'!L:L, "*" &amp; B188 &amp; "*", 'Master Sheet'!H:H, "Informal")</f>
        <v>0</v>
      </c>
      <c r="J188" s="101">
        <v>0</v>
      </c>
      <c r="L188" s="98" t="s">
        <v>1064</v>
      </c>
      <c r="M188" s="98">
        <v>0</v>
      </c>
      <c r="N188" s="101">
        <v>0</v>
      </c>
      <c r="O188" s="98">
        <v>0</v>
      </c>
      <c r="P188" s="101">
        <v>0</v>
      </c>
      <c r="Q188" s="98">
        <v>0</v>
      </c>
      <c r="R188" s="101">
        <v>0</v>
      </c>
    </row>
    <row r="189" spans="2:18" x14ac:dyDescent="0.2">
      <c r="B189" s="80" t="s">
        <v>431</v>
      </c>
      <c r="D189" s="80" t="s">
        <v>431</v>
      </c>
      <c r="E189" s="98">
        <f>COUNTIF('Master Sheet'!L:L, "*" &amp; B189 &amp; "*")</f>
        <v>1</v>
      </c>
      <c r="F189" s="100">
        <v>5.8479532163742687E-3</v>
      </c>
      <c r="G189" s="98">
        <f>COUNTIFS('Master Sheet'!L:L, "*" &amp; B189 &amp; "*", 'Master Sheet'!H:H, "Formal")</f>
        <v>0</v>
      </c>
      <c r="H189" s="101">
        <v>0</v>
      </c>
      <c r="I189" s="98">
        <f>COUNTIFS('Master Sheet'!L:L, "*" &amp; B189 &amp; "*", 'Master Sheet'!H:H, "Informal")</f>
        <v>1</v>
      </c>
      <c r="J189" s="101">
        <v>9.3457943925233638E-3</v>
      </c>
      <c r="L189" s="98" t="s">
        <v>1065</v>
      </c>
      <c r="M189" s="98">
        <v>0</v>
      </c>
      <c r="N189" s="101">
        <v>0</v>
      </c>
      <c r="O189" s="98">
        <v>0</v>
      </c>
      <c r="P189" s="101">
        <v>0</v>
      </c>
      <c r="Q189" s="98">
        <v>0</v>
      </c>
      <c r="R189" s="101">
        <v>0</v>
      </c>
    </row>
    <row r="190" spans="2:18" x14ac:dyDescent="0.2">
      <c r="B190" s="80" t="s">
        <v>963</v>
      </c>
      <c r="D190" s="80" t="s">
        <v>963</v>
      </c>
      <c r="E190" s="98">
        <f>COUNTIF('Master Sheet'!L:L, "*" &amp; B190 &amp; "*")</f>
        <v>1</v>
      </c>
      <c r="F190" s="100">
        <v>5.8479532163742687E-3</v>
      </c>
      <c r="G190" s="98">
        <f>COUNTIFS('Master Sheet'!L:L, "*" &amp; B190 &amp; "*", 'Master Sheet'!H:H, "Formal")</f>
        <v>1</v>
      </c>
      <c r="H190" s="101">
        <v>1.6393442622950821E-2</v>
      </c>
      <c r="I190" s="98">
        <f>COUNTIFS('Master Sheet'!L:L, "*" &amp; B190 &amp; "*", 'Master Sheet'!H:H, "Informal")</f>
        <v>0</v>
      </c>
      <c r="J190" s="101">
        <v>0</v>
      </c>
      <c r="L190" s="98" t="s">
        <v>1067</v>
      </c>
      <c r="M190" s="98">
        <v>0</v>
      </c>
      <c r="N190" s="101">
        <v>0</v>
      </c>
      <c r="O190" s="98">
        <v>0</v>
      </c>
      <c r="P190" s="101">
        <v>0</v>
      </c>
      <c r="Q190" s="98">
        <v>0</v>
      </c>
      <c r="R190" s="101">
        <v>0</v>
      </c>
    </row>
    <row r="191" spans="2:18" x14ac:dyDescent="0.2">
      <c r="B191" s="80" t="s">
        <v>45</v>
      </c>
      <c r="D191" s="80" t="s">
        <v>45</v>
      </c>
      <c r="E191" s="98">
        <f>COUNTIF('Master Sheet'!L:L, "*" &amp; B191 &amp; "*")</f>
        <v>1</v>
      </c>
      <c r="F191" s="100">
        <v>5.8479532163742687E-3</v>
      </c>
      <c r="G191" s="98">
        <f>COUNTIFS('Master Sheet'!L:L, "*" &amp; B191 &amp; "*", 'Master Sheet'!H:H, "Formal")</f>
        <v>0</v>
      </c>
      <c r="H191" s="101">
        <v>0</v>
      </c>
      <c r="I191" s="98">
        <f>COUNTIFS('Master Sheet'!L:L, "*" &amp; B191 &amp; "*", 'Master Sheet'!H:H, "Informal")</f>
        <v>1</v>
      </c>
      <c r="J191" s="101">
        <v>9.3457943925233638E-3</v>
      </c>
      <c r="L191" s="98" t="s">
        <v>1068</v>
      </c>
      <c r="M191" s="98">
        <v>0</v>
      </c>
      <c r="N191" s="101">
        <v>0</v>
      </c>
      <c r="O191" s="98">
        <v>0</v>
      </c>
      <c r="P191" s="101">
        <v>0</v>
      </c>
      <c r="Q191" s="98">
        <v>0</v>
      </c>
      <c r="R191" s="101">
        <v>0</v>
      </c>
    </row>
    <row r="192" spans="2:18" x14ac:dyDescent="0.2">
      <c r="B192" s="80" t="s">
        <v>804</v>
      </c>
      <c r="D192" s="80" t="s">
        <v>804</v>
      </c>
      <c r="E192" s="98">
        <f>COUNTIF('Master Sheet'!L:L, "*" &amp; B192 &amp; "*")</f>
        <v>3</v>
      </c>
      <c r="F192" s="100">
        <v>1.7543859649122806E-2</v>
      </c>
      <c r="G192" s="98">
        <f>COUNTIFS('Master Sheet'!L:L, "*" &amp; B192 &amp; "*", 'Master Sheet'!H:H, "Formal")</f>
        <v>1</v>
      </c>
      <c r="H192" s="101">
        <v>1.6393442622950821E-2</v>
      </c>
      <c r="I192" s="98">
        <f>COUNTIFS('Master Sheet'!L:L, "*" &amp; B192 &amp; "*", 'Master Sheet'!H:H, "Informal")</f>
        <v>2</v>
      </c>
      <c r="J192" s="101">
        <v>1.8691588785046728E-2</v>
      </c>
      <c r="L192" s="98" t="s">
        <v>1070</v>
      </c>
      <c r="M192" s="98">
        <v>0</v>
      </c>
      <c r="N192" s="101">
        <v>0</v>
      </c>
      <c r="O192" s="98">
        <v>0</v>
      </c>
      <c r="P192" s="101">
        <v>0</v>
      </c>
      <c r="Q192" s="98">
        <v>0</v>
      </c>
      <c r="R192" s="101">
        <v>0</v>
      </c>
    </row>
    <row r="193" spans="2:18" x14ac:dyDescent="0.2">
      <c r="B193" s="80" t="s">
        <v>964</v>
      </c>
      <c r="D193" s="80" t="s">
        <v>964</v>
      </c>
      <c r="E193" s="98">
        <f>COUNTIF('Master Sheet'!L:L, "*" &amp; B193 &amp; "*")</f>
        <v>0</v>
      </c>
      <c r="F193" s="100">
        <v>0</v>
      </c>
      <c r="G193" s="98">
        <f>COUNTIFS('Master Sheet'!L:L, "*" &amp; B193 &amp; "*", 'Master Sheet'!H:H, "Formal")</f>
        <v>0</v>
      </c>
      <c r="H193" s="101">
        <v>0</v>
      </c>
      <c r="I193" s="98">
        <f>COUNTIFS('Master Sheet'!L:L, "*" &amp; B193 &amp; "*", 'Master Sheet'!H:H, "Informal")</f>
        <v>0</v>
      </c>
      <c r="J193" s="101">
        <v>0</v>
      </c>
      <c r="L193" s="98" t="s">
        <v>1071</v>
      </c>
      <c r="M193" s="98">
        <v>0</v>
      </c>
      <c r="N193" s="101">
        <v>0</v>
      </c>
      <c r="O193" s="98">
        <v>0</v>
      </c>
      <c r="P193" s="101">
        <v>0</v>
      </c>
      <c r="Q193" s="98">
        <v>0</v>
      </c>
      <c r="R193" s="101">
        <v>0</v>
      </c>
    </row>
    <row r="194" spans="2:18" x14ac:dyDescent="0.2">
      <c r="B194" s="80" t="s">
        <v>362</v>
      </c>
      <c r="D194" s="80" t="s">
        <v>362</v>
      </c>
      <c r="E194" s="98">
        <f>COUNTIF('Master Sheet'!L:L, "*" &amp; B194 &amp; "*")</f>
        <v>7</v>
      </c>
      <c r="F194" s="100">
        <v>4.0935672514619881E-2</v>
      </c>
      <c r="G194" s="98">
        <f>COUNTIFS('Master Sheet'!L:L, "*" &amp; B194 &amp; "*", 'Master Sheet'!H:H, "Formal")</f>
        <v>1</v>
      </c>
      <c r="H194" s="101">
        <v>1.6393442622950821E-2</v>
      </c>
      <c r="I194" s="98">
        <f>COUNTIFS('Master Sheet'!L:L, "*" &amp; B194 &amp; "*", 'Master Sheet'!H:H, "Informal")</f>
        <v>6</v>
      </c>
      <c r="J194" s="101">
        <v>5.6074766355140186E-2</v>
      </c>
      <c r="L194" s="98" t="s">
        <v>1072</v>
      </c>
      <c r="M194" s="98">
        <v>0</v>
      </c>
      <c r="N194" s="101">
        <v>0</v>
      </c>
      <c r="O194" s="98">
        <v>0</v>
      </c>
      <c r="P194" s="101">
        <v>0</v>
      </c>
      <c r="Q194" s="98">
        <v>0</v>
      </c>
      <c r="R194" s="101">
        <v>0</v>
      </c>
    </row>
    <row r="195" spans="2:18" x14ac:dyDescent="0.2">
      <c r="B195" s="80" t="s">
        <v>188</v>
      </c>
      <c r="D195" s="80" t="s">
        <v>188</v>
      </c>
      <c r="E195" s="98">
        <f>COUNTIF('Master Sheet'!L:L, "*" &amp; B195 &amp; "*")</f>
        <v>6</v>
      </c>
      <c r="F195" s="100">
        <v>3.5087719298245612E-2</v>
      </c>
      <c r="G195" s="98">
        <f>COUNTIFS('Master Sheet'!L:L, "*" &amp; B195 &amp; "*", 'Master Sheet'!H:H, "Formal")</f>
        <v>1</v>
      </c>
      <c r="H195" s="101">
        <v>1.6393442622950821E-2</v>
      </c>
      <c r="I195" s="98">
        <f>COUNTIFS('Master Sheet'!L:L, "*" &amp; B195 &amp; "*", 'Master Sheet'!H:H, "Informal")</f>
        <v>5</v>
      </c>
      <c r="J195" s="101">
        <v>4.6728971962616821E-2</v>
      </c>
      <c r="L195" s="98" t="s">
        <v>1074</v>
      </c>
      <c r="M195" s="98">
        <v>0</v>
      </c>
      <c r="N195" s="101">
        <v>0</v>
      </c>
      <c r="O195" s="98">
        <v>0</v>
      </c>
      <c r="P195" s="101">
        <v>0</v>
      </c>
      <c r="Q195" s="98">
        <v>0</v>
      </c>
      <c r="R195" s="101">
        <v>0</v>
      </c>
    </row>
    <row r="196" spans="2:18" x14ac:dyDescent="0.2">
      <c r="B196" s="80" t="s">
        <v>965</v>
      </c>
      <c r="D196" s="80" t="s">
        <v>965</v>
      </c>
      <c r="E196" s="98">
        <f>COUNTIF('Master Sheet'!L:L, "*" &amp; B196 &amp; "*")</f>
        <v>0</v>
      </c>
      <c r="F196" s="100">
        <v>0</v>
      </c>
      <c r="G196" s="98">
        <f>COUNTIFS('Master Sheet'!L:L, "*" &amp; B196 &amp; "*", 'Master Sheet'!H:H, "Formal")</f>
        <v>0</v>
      </c>
      <c r="H196" s="101">
        <v>0</v>
      </c>
      <c r="I196" s="98">
        <f>COUNTIFS('Master Sheet'!L:L, "*" &amp; B196 &amp; "*", 'Master Sheet'!H:H, "Informal")</f>
        <v>0</v>
      </c>
      <c r="J196" s="101">
        <v>0</v>
      </c>
      <c r="L196" s="98" t="s">
        <v>1075</v>
      </c>
      <c r="M196" s="98">
        <v>0</v>
      </c>
      <c r="N196" s="101">
        <v>0</v>
      </c>
      <c r="O196" s="98">
        <v>0</v>
      </c>
      <c r="P196" s="101">
        <v>0</v>
      </c>
      <c r="Q196" s="98">
        <v>0</v>
      </c>
      <c r="R196" s="101">
        <v>0</v>
      </c>
    </row>
    <row r="197" spans="2:18" x14ac:dyDescent="0.2">
      <c r="B197" s="80" t="s">
        <v>966</v>
      </c>
      <c r="D197" s="80" t="s">
        <v>966</v>
      </c>
      <c r="E197" s="98">
        <f>COUNTIF('Master Sheet'!L:L, "*" &amp; B197 &amp; "*")</f>
        <v>0</v>
      </c>
      <c r="F197" s="100">
        <v>0</v>
      </c>
      <c r="G197" s="98">
        <f>COUNTIFS('Master Sheet'!L:L, "*" &amp; B197 &amp; "*", 'Master Sheet'!H:H, "Formal")</f>
        <v>0</v>
      </c>
      <c r="H197" s="101">
        <v>0</v>
      </c>
      <c r="I197" s="98">
        <f>COUNTIFS('Master Sheet'!L:L, "*" &amp; B197 &amp; "*", 'Master Sheet'!H:H, "Informal")</f>
        <v>0</v>
      </c>
      <c r="J197" s="101">
        <v>0</v>
      </c>
      <c r="L197" s="98" t="s">
        <v>1076</v>
      </c>
      <c r="M197" s="98">
        <v>0</v>
      </c>
      <c r="N197" s="101">
        <v>0</v>
      </c>
      <c r="O197" s="98">
        <v>0</v>
      </c>
      <c r="P197" s="101">
        <v>0</v>
      </c>
      <c r="Q197" s="98">
        <v>0</v>
      </c>
      <c r="R197" s="101">
        <v>0</v>
      </c>
    </row>
    <row r="198" spans="2:18" x14ac:dyDescent="0.2">
      <c r="B198" s="80" t="s">
        <v>967</v>
      </c>
      <c r="D198" s="80" t="s">
        <v>967</v>
      </c>
      <c r="E198" s="98">
        <f>COUNTIF('Master Sheet'!L:L, "*" &amp; B198 &amp; "*")</f>
        <v>0</v>
      </c>
      <c r="F198" s="100">
        <v>0</v>
      </c>
      <c r="G198" s="98">
        <f>COUNTIFS('Master Sheet'!L:L, "*" &amp; B198 &amp; "*", 'Master Sheet'!H:H, "Formal")</f>
        <v>0</v>
      </c>
      <c r="H198" s="101">
        <v>0</v>
      </c>
      <c r="I198" s="98">
        <f>COUNTIFS('Master Sheet'!L:L, "*" &amp; B198 &amp; "*", 'Master Sheet'!H:H, "Informal")</f>
        <v>0</v>
      </c>
      <c r="J198" s="101">
        <v>0</v>
      </c>
      <c r="L198" s="98" t="s">
        <v>1078</v>
      </c>
      <c r="M198" s="98">
        <v>0</v>
      </c>
      <c r="N198" s="101">
        <v>0</v>
      </c>
      <c r="O198" s="98">
        <v>0</v>
      </c>
      <c r="P198" s="101">
        <v>0</v>
      </c>
      <c r="Q198" s="98">
        <v>0</v>
      </c>
      <c r="R198" s="101">
        <v>0</v>
      </c>
    </row>
    <row r="199" spans="2:18" x14ac:dyDescent="0.2">
      <c r="B199" s="80" t="s">
        <v>471</v>
      </c>
      <c r="D199" s="80" t="s">
        <v>471</v>
      </c>
      <c r="E199" s="98">
        <f>COUNTIF('Master Sheet'!L:L, "*" &amp; B199 &amp; "*")</f>
        <v>1</v>
      </c>
      <c r="F199" s="100">
        <v>5.8479532163742687E-3</v>
      </c>
      <c r="G199" s="98">
        <f>COUNTIFS('Master Sheet'!L:L, "*" &amp; B199 &amp; "*", 'Master Sheet'!H:H, "Formal")</f>
        <v>1</v>
      </c>
      <c r="H199" s="101">
        <v>1.6393442622950821E-2</v>
      </c>
      <c r="I199" s="98">
        <f>COUNTIFS('Master Sheet'!L:L, "*" &amp; B199 &amp; "*", 'Master Sheet'!H:H, "Informal")</f>
        <v>0</v>
      </c>
      <c r="J199" s="101">
        <v>0</v>
      </c>
      <c r="L199" s="98" t="s">
        <v>1079</v>
      </c>
      <c r="M199" s="98">
        <v>0</v>
      </c>
      <c r="N199" s="101">
        <v>0</v>
      </c>
      <c r="O199" s="98">
        <v>0</v>
      </c>
      <c r="P199" s="101">
        <v>0</v>
      </c>
      <c r="Q199" s="98">
        <v>0</v>
      </c>
      <c r="R199" s="101">
        <v>0</v>
      </c>
    </row>
    <row r="200" spans="2:18" x14ac:dyDescent="0.2">
      <c r="B200" s="80" t="s">
        <v>968</v>
      </c>
      <c r="D200" s="80" t="s">
        <v>968</v>
      </c>
      <c r="E200" s="98">
        <f>COUNTIF('Master Sheet'!L:L, "*" &amp; B200 &amp; "*")</f>
        <v>0</v>
      </c>
      <c r="F200" s="100">
        <v>0</v>
      </c>
      <c r="G200" s="98">
        <f>COUNTIFS('Master Sheet'!L:L, "*" &amp; B200 &amp; "*", 'Master Sheet'!H:H, "Formal")</f>
        <v>0</v>
      </c>
      <c r="H200" s="101">
        <v>0</v>
      </c>
      <c r="I200" s="98">
        <f>COUNTIFS('Master Sheet'!L:L, "*" &amp; B200 &amp; "*", 'Master Sheet'!H:H, "Informal")</f>
        <v>0</v>
      </c>
      <c r="J200" s="101">
        <v>0</v>
      </c>
      <c r="L200" s="98" t="s">
        <v>1081</v>
      </c>
      <c r="M200" s="98">
        <v>0</v>
      </c>
      <c r="N200" s="101">
        <v>0</v>
      </c>
      <c r="O200" s="98">
        <v>0</v>
      </c>
      <c r="P200" s="101">
        <v>0</v>
      </c>
      <c r="Q200" s="98">
        <v>0</v>
      </c>
      <c r="R200" s="101">
        <v>0</v>
      </c>
    </row>
    <row r="201" spans="2:18" x14ac:dyDescent="0.2">
      <c r="B201" s="80" t="s">
        <v>596</v>
      </c>
      <c r="D201" s="80" t="s">
        <v>596</v>
      </c>
      <c r="E201" s="98">
        <f>COUNTIF('Master Sheet'!L:L, "*" &amp; B201 &amp; "*")</f>
        <v>3</v>
      </c>
      <c r="F201" s="100">
        <v>1.7543859649122806E-2</v>
      </c>
      <c r="G201" s="98">
        <f>COUNTIFS('Master Sheet'!L:L, "*" &amp; B201 &amp; "*", 'Master Sheet'!H:H, "Formal")</f>
        <v>0</v>
      </c>
      <c r="H201" s="101">
        <v>0</v>
      </c>
      <c r="I201" s="98">
        <f>COUNTIFS('Master Sheet'!L:L, "*" &amp; B201 &amp; "*", 'Master Sheet'!H:H, "Informal")</f>
        <v>3</v>
      </c>
      <c r="J201" s="101">
        <v>2.8037383177570093E-2</v>
      </c>
      <c r="L201" s="98" t="s">
        <v>1083</v>
      </c>
      <c r="M201" s="98">
        <v>0</v>
      </c>
      <c r="N201" s="101">
        <v>0</v>
      </c>
      <c r="O201" s="98">
        <v>0</v>
      </c>
      <c r="P201" s="101">
        <v>0</v>
      </c>
      <c r="Q201" s="98">
        <v>0</v>
      </c>
      <c r="R201" s="101">
        <v>0</v>
      </c>
    </row>
    <row r="202" spans="2:18" x14ac:dyDescent="0.2">
      <c r="B202" s="80" t="s">
        <v>969</v>
      </c>
      <c r="D202" s="80" t="s">
        <v>969</v>
      </c>
      <c r="E202" s="98">
        <f>COUNTIF('Master Sheet'!L:L, "*" &amp; B202 &amp; "*")</f>
        <v>0</v>
      </c>
      <c r="F202" s="100">
        <v>0</v>
      </c>
      <c r="G202" s="98">
        <f>COUNTIFS('Master Sheet'!L:L, "*" &amp; B202 &amp; "*", 'Master Sheet'!H:H, "Formal")</f>
        <v>0</v>
      </c>
      <c r="H202" s="101">
        <v>0</v>
      </c>
      <c r="I202" s="98">
        <f>COUNTIFS('Master Sheet'!L:L, "*" &amp; B202 &amp; "*", 'Master Sheet'!H:H, "Informal")</f>
        <v>0</v>
      </c>
      <c r="J202" s="101">
        <v>0</v>
      </c>
      <c r="L202" s="98" t="s">
        <v>1085</v>
      </c>
      <c r="M202" s="98">
        <v>0</v>
      </c>
      <c r="N202" s="101">
        <v>0</v>
      </c>
      <c r="O202" s="98">
        <v>0</v>
      </c>
      <c r="P202" s="101">
        <v>0</v>
      </c>
      <c r="Q202" s="98">
        <v>0</v>
      </c>
      <c r="R202" s="101">
        <v>0</v>
      </c>
    </row>
    <row r="203" spans="2:18" x14ac:dyDescent="0.2">
      <c r="B203" s="80" t="s">
        <v>970</v>
      </c>
      <c r="D203" s="80" t="s">
        <v>970</v>
      </c>
      <c r="E203" s="98">
        <f>COUNTIF('Master Sheet'!L:L, "*" &amp; B203 &amp; "*")</f>
        <v>0</v>
      </c>
      <c r="F203" s="100">
        <v>0</v>
      </c>
      <c r="G203" s="98">
        <f>COUNTIFS('Master Sheet'!L:L, "*" &amp; B203 &amp; "*", 'Master Sheet'!H:H, "Formal")</f>
        <v>0</v>
      </c>
      <c r="H203" s="101">
        <v>0</v>
      </c>
      <c r="I203" s="98">
        <f>COUNTIFS('Master Sheet'!L:L, "*" &amp; B203 &amp; "*", 'Master Sheet'!H:H, "Informal")</f>
        <v>0</v>
      </c>
      <c r="J203" s="101">
        <v>0</v>
      </c>
      <c r="L203" s="98" t="s">
        <v>1086</v>
      </c>
      <c r="M203" s="98">
        <v>0</v>
      </c>
      <c r="N203" s="101">
        <v>0</v>
      </c>
      <c r="O203" s="98">
        <v>0</v>
      </c>
      <c r="P203" s="101">
        <v>0</v>
      </c>
      <c r="Q203" s="98">
        <v>0</v>
      </c>
      <c r="R203" s="101">
        <v>0</v>
      </c>
    </row>
    <row r="204" spans="2:18" x14ac:dyDescent="0.2">
      <c r="B204" s="80" t="s">
        <v>971</v>
      </c>
      <c r="D204" s="80" t="s">
        <v>971</v>
      </c>
      <c r="E204" s="98">
        <f>COUNTIF('Master Sheet'!L:L, "*" &amp; B204 &amp; "*")</f>
        <v>0</v>
      </c>
      <c r="F204" s="100">
        <v>0</v>
      </c>
      <c r="G204" s="98">
        <f>COUNTIFS('Master Sheet'!L:L, "*" &amp; B204 &amp; "*", 'Master Sheet'!H:H, "Formal")</f>
        <v>0</v>
      </c>
      <c r="H204" s="101">
        <v>0</v>
      </c>
      <c r="I204" s="98">
        <f>COUNTIFS('Master Sheet'!L:L, "*" &amp; B204 &amp; "*", 'Master Sheet'!H:H, "Informal")</f>
        <v>0</v>
      </c>
      <c r="J204" s="101">
        <v>0</v>
      </c>
      <c r="L204" s="98" t="s">
        <v>1087</v>
      </c>
      <c r="M204" s="98">
        <v>0</v>
      </c>
      <c r="N204" s="101">
        <v>0</v>
      </c>
      <c r="O204" s="98">
        <v>0</v>
      </c>
      <c r="P204" s="101">
        <v>0</v>
      </c>
      <c r="Q204" s="98">
        <v>0</v>
      </c>
      <c r="R204" s="101">
        <v>0</v>
      </c>
    </row>
    <row r="205" spans="2:18" x14ac:dyDescent="0.2">
      <c r="B205" s="80" t="s">
        <v>483</v>
      </c>
      <c r="D205" s="80" t="s">
        <v>483</v>
      </c>
      <c r="E205" s="98">
        <f>COUNTIF('Master Sheet'!L:L, "*" &amp; B205 &amp; "*")</f>
        <v>6</v>
      </c>
      <c r="F205" s="100">
        <v>3.5087719298245612E-2</v>
      </c>
      <c r="G205" s="98">
        <f>COUNTIFS('Master Sheet'!L:L, "*" &amp; B205 &amp; "*", 'Master Sheet'!H:H, "Formal")</f>
        <v>2</v>
      </c>
      <c r="H205" s="101">
        <v>3.2786885245901641E-2</v>
      </c>
      <c r="I205" s="98">
        <f>COUNTIFS('Master Sheet'!L:L, "*" &amp; B205 &amp; "*", 'Master Sheet'!H:H, "Informal")</f>
        <v>4</v>
      </c>
      <c r="J205" s="101">
        <v>3.7383177570093455E-2</v>
      </c>
      <c r="L205" s="98" t="s">
        <v>1089</v>
      </c>
      <c r="M205" s="98">
        <v>0</v>
      </c>
      <c r="N205" s="101">
        <v>0</v>
      </c>
      <c r="O205" s="98">
        <v>0</v>
      </c>
      <c r="P205" s="101">
        <v>0</v>
      </c>
      <c r="Q205" s="98">
        <v>0</v>
      </c>
      <c r="R205" s="101">
        <v>0</v>
      </c>
    </row>
    <row r="206" spans="2:18" x14ac:dyDescent="0.2">
      <c r="B206" s="80" t="s">
        <v>972</v>
      </c>
      <c r="D206" s="80" t="s">
        <v>972</v>
      </c>
      <c r="E206" s="98">
        <f>COUNTIF('Master Sheet'!L:L, "*" &amp; B206 &amp; "*")</f>
        <v>0</v>
      </c>
      <c r="F206" s="100">
        <v>0</v>
      </c>
      <c r="G206" s="98">
        <f>COUNTIFS('Master Sheet'!L:L, "*" &amp; B206 &amp; "*", 'Master Sheet'!H:H, "Formal")</f>
        <v>0</v>
      </c>
      <c r="H206" s="101">
        <v>0</v>
      </c>
      <c r="I206" s="98">
        <f>COUNTIFS('Master Sheet'!L:L, "*" &amp; B206 &amp; "*", 'Master Sheet'!H:H, "Informal")</f>
        <v>0</v>
      </c>
      <c r="J206" s="101">
        <v>0</v>
      </c>
      <c r="L206" s="98" t="s">
        <v>955</v>
      </c>
      <c r="M206" s="98">
        <v>0</v>
      </c>
      <c r="N206" s="101">
        <v>0</v>
      </c>
      <c r="O206" s="98">
        <v>0</v>
      </c>
      <c r="P206" s="101">
        <v>0</v>
      </c>
      <c r="Q206" s="98">
        <v>0</v>
      </c>
      <c r="R206" s="101">
        <v>0</v>
      </c>
    </row>
    <row r="207" spans="2:18" x14ac:dyDescent="0.2">
      <c r="B207" s="80" t="s">
        <v>973</v>
      </c>
      <c r="D207" s="80" t="s">
        <v>973</v>
      </c>
      <c r="E207" s="98">
        <f>COUNTIF('Master Sheet'!L:L, "*" &amp; B207 &amp; "*")</f>
        <v>0</v>
      </c>
      <c r="F207" s="100">
        <v>0</v>
      </c>
      <c r="G207" s="98">
        <f>COUNTIFS('Master Sheet'!L:L, "*" &amp; B207 &amp; "*", 'Master Sheet'!H:H, "Formal")</f>
        <v>0</v>
      </c>
      <c r="H207" s="101">
        <v>0</v>
      </c>
      <c r="I207" s="98">
        <f>COUNTIFS('Master Sheet'!L:L, "*" &amp; B207 &amp; "*", 'Master Sheet'!H:H, "Informal")</f>
        <v>0</v>
      </c>
      <c r="J207" s="101">
        <v>0</v>
      </c>
      <c r="L207" s="98" t="s">
        <v>956</v>
      </c>
      <c r="M207" s="98">
        <v>0</v>
      </c>
      <c r="N207" s="101">
        <v>0</v>
      </c>
      <c r="O207" s="98">
        <v>0</v>
      </c>
      <c r="P207" s="101">
        <v>0</v>
      </c>
      <c r="Q207" s="98">
        <v>0</v>
      </c>
      <c r="R207" s="101">
        <v>0</v>
      </c>
    </row>
    <row r="208" spans="2:18" x14ac:dyDescent="0.2">
      <c r="B208" s="80" t="s">
        <v>974</v>
      </c>
      <c r="D208" s="80" t="s">
        <v>974</v>
      </c>
      <c r="E208" s="98">
        <f>COUNTIF('Master Sheet'!L:L, "*" &amp; B208 &amp; "*")</f>
        <v>0</v>
      </c>
      <c r="F208" s="100">
        <v>0</v>
      </c>
      <c r="G208" s="98">
        <f>COUNTIFS('Master Sheet'!L:L, "*" &amp; B208 &amp; "*", 'Master Sheet'!H:H, "Formal")</f>
        <v>0</v>
      </c>
      <c r="H208" s="101">
        <v>0</v>
      </c>
      <c r="I208" s="98">
        <f>COUNTIFS('Master Sheet'!L:L, "*" &amp; B208 &amp; "*", 'Master Sheet'!H:H, "Informal")</f>
        <v>0</v>
      </c>
      <c r="J208" s="101">
        <v>0</v>
      </c>
      <c r="L208" s="98" t="s">
        <v>958</v>
      </c>
      <c r="M208" s="98">
        <v>0</v>
      </c>
      <c r="N208" s="101">
        <v>0</v>
      </c>
      <c r="O208" s="98">
        <v>0</v>
      </c>
      <c r="P208" s="101">
        <v>0</v>
      </c>
      <c r="Q208" s="98">
        <v>0</v>
      </c>
      <c r="R208" s="101">
        <v>0</v>
      </c>
    </row>
    <row r="209" spans="2:18" x14ac:dyDescent="0.2">
      <c r="B209" s="80" t="s">
        <v>975</v>
      </c>
      <c r="D209" s="80" t="s">
        <v>975</v>
      </c>
      <c r="E209" s="98">
        <f>COUNTIF('Master Sheet'!L:L, "*" &amp; B209 &amp; "*")</f>
        <v>0</v>
      </c>
      <c r="F209" s="100">
        <v>0</v>
      </c>
      <c r="G209" s="98">
        <f>COUNTIFS('Master Sheet'!L:L, "*" &amp; B209 &amp; "*", 'Master Sheet'!H:H, "Formal")</f>
        <v>0</v>
      </c>
      <c r="H209" s="101">
        <v>0</v>
      </c>
      <c r="I209" s="98">
        <f>COUNTIFS('Master Sheet'!L:L, "*" &amp; B209 &amp; "*", 'Master Sheet'!H:H, "Informal")</f>
        <v>0</v>
      </c>
      <c r="J209" s="101">
        <v>0</v>
      </c>
      <c r="L209" s="98" t="s">
        <v>960</v>
      </c>
      <c r="M209" s="98">
        <v>0</v>
      </c>
      <c r="N209" s="101">
        <v>0</v>
      </c>
      <c r="O209" s="98">
        <v>0</v>
      </c>
      <c r="P209" s="101">
        <v>0</v>
      </c>
      <c r="Q209" s="98">
        <v>0</v>
      </c>
      <c r="R209" s="101">
        <v>0</v>
      </c>
    </row>
    <row r="210" spans="2:18" x14ac:dyDescent="0.2">
      <c r="B210" s="80" t="s">
        <v>976</v>
      </c>
      <c r="D210" s="80" t="s">
        <v>976</v>
      </c>
      <c r="E210" s="98">
        <f>COUNTIF('Master Sheet'!L:L, "*" &amp; B210 &amp; "*")</f>
        <v>0</v>
      </c>
      <c r="F210" s="100">
        <v>0</v>
      </c>
      <c r="G210" s="98">
        <f>COUNTIFS('Master Sheet'!L:L, "*" &amp; B210 &amp; "*", 'Master Sheet'!H:H, "Formal")</f>
        <v>0</v>
      </c>
      <c r="H210" s="101">
        <v>0</v>
      </c>
      <c r="I210" s="98">
        <f>COUNTIFS('Master Sheet'!L:L, "*" &amp; B210 &amp; "*", 'Master Sheet'!H:H, "Informal")</f>
        <v>0</v>
      </c>
      <c r="J210" s="101">
        <v>0</v>
      </c>
      <c r="L210" s="98" t="s">
        <v>962</v>
      </c>
      <c r="M210" s="98">
        <v>0</v>
      </c>
      <c r="N210" s="101">
        <v>0</v>
      </c>
      <c r="O210" s="98">
        <v>0</v>
      </c>
      <c r="P210" s="101">
        <v>0</v>
      </c>
      <c r="Q210" s="98">
        <v>0</v>
      </c>
      <c r="R210" s="101">
        <v>0</v>
      </c>
    </row>
    <row r="211" spans="2:18" x14ac:dyDescent="0.2">
      <c r="B211" s="80" t="s">
        <v>977</v>
      </c>
      <c r="D211" s="80" t="s">
        <v>977</v>
      </c>
      <c r="E211" s="98">
        <f>COUNTIF('Master Sheet'!L:L, "*" &amp; B211 &amp; "*")</f>
        <v>1</v>
      </c>
      <c r="F211" s="100">
        <v>5.8479532163742687E-3</v>
      </c>
      <c r="G211" s="98">
        <f>COUNTIFS('Master Sheet'!L:L, "*" &amp; B211 &amp; "*", 'Master Sheet'!H:H, "Formal")</f>
        <v>1</v>
      </c>
      <c r="H211" s="101">
        <v>1.6393442622950821E-2</v>
      </c>
      <c r="I211" s="98">
        <f>COUNTIFS('Master Sheet'!L:L, "*" &amp; B211 &amp; "*", 'Master Sheet'!H:H, "Informal")</f>
        <v>0</v>
      </c>
      <c r="J211" s="101">
        <v>0</v>
      </c>
      <c r="L211" s="98" t="s">
        <v>964</v>
      </c>
      <c r="M211" s="98">
        <v>0</v>
      </c>
      <c r="N211" s="101">
        <v>0</v>
      </c>
      <c r="O211" s="98">
        <v>0</v>
      </c>
      <c r="P211" s="101">
        <v>0</v>
      </c>
      <c r="Q211" s="98">
        <v>0</v>
      </c>
      <c r="R211" s="101">
        <v>0</v>
      </c>
    </row>
    <row r="212" spans="2:18" x14ac:dyDescent="0.2">
      <c r="B212" s="80" t="s">
        <v>1039</v>
      </c>
      <c r="D212" s="80" t="s">
        <v>1039</v>
      </c>
      <c r="E212" s="98">
        <f>COUNTIF('Master Sheet'!L:L, "*" &amp; B212 &amp; "*")</f>
        <v>0</v>
      </c>
      <c r="F212" s="100">
        <v>0</v>
      </c>
      <c r="G212" s="98">
        <f>COUNTIFS('Master Sheet'!L:L, "*" &amp; B212 &amp; "*", 'Master Sheet'!H:H, "Formal")</f>
        <v>0</v>
      </c>
      <c r="H212" s="101">
        <v>0</v>
      </c>
      <c r="I212" s="98">
        <f>COUNTIFS('Master Sheet'!L:L, "*" &amp; B212 &amp; "*", 'Master Sheet'!H:H, "Informal")</f>
        <v>0</v>
      </c>
      <c r="J212" s="101">
        <v>0</v>
      </c>
      <c r="L212" s="98" t="s">
        <v>965</v>
      </c>
      <c r="M212" s="98">
        <v>0</v>
      </c>
      <c r="N212" s="101">
        <v>0</v>
      </c>
      <c r="O212" s="98">
        <v>0</v>
      </c>
      <c r="P212" s="101">
        <v>0</v>
      </c>
      <c r="Q212" s="98">
        <v>0</v>
      </c>
      <c r="R212" s="101">
        <v>0</v>
      </c>
    </row>
    <row r="213" spans="2:18" x14ac:dyDescent="0.2">
      <c r="B213" s="80" t="s">
        <v>39</v>
      </c>
      <c r="D213" s="80" t="s">
        <v>39</v>
      </c>
      <c r="E213" s="98">
        <f>COUNTIF('Master Sheet'!L:L, "*" &amp; B213 &amp; "*")</f>
        <v>1</v>
      </c>
      <c r="F213" s="100">
        <v>5.8479532163742687E-3</v>
      </c>
      <c r="G213" s="98">
        <f>COUNTIFS('Master Sheet'!L:L, "*" &amp; B213 &amp; "*", 'Master Sheet'!H:H, "Formal")</f>
        <v>0</v>
      </c>
      <c r="H213" s="101">
        <v>0</v>
      </c>
      <c r="I213" s="98">
        <f>COUNTIFS('Master Sheet'!L:L, "*" &amp; B213 &amp; "*", 'Master Sheet'!H:H, "Informal")</f>
        <v>1</v>
      </c>
      <c r="J213" s="101">
        <v>9.3457943925233638E-3</v>
      </c>
      <c r="L213" s="98" t="s">
        <v>966</v>
      </c>
      <c r="M213" s="98">
        <v>0</v>
      </c>
      <c r="N213" s="101">
        <v>0</v>
      </c>
      <c r="O213" s="98">
        <v>0</v>
      </c>
      <c r="P213" s="101">
        <v>0</v>
      </c>
      <c r="Q213" s="98">
        <v>0</v>
      </c>
      <c r="R213" s="101">
        <v>0</v>
      </c>
    </row>
    <row r="214" spans="2:18" x14ac:dyDescent="0.2">
      <c r="B214" s="80" t="s">
        <v>978</v>
      </c>
      <c r="D214" s="80" t="s">
        <v>978</v>
      </c>
      <c r="E214" s="98">
        <f>COUNTIF('Master Sheet'!L:L, "*" &amp; B214 &amp; "*")</f>
        <v>0</v>
      </c>
      <c r="F214" s="100">
        <v>0</v>
      </c>
      <c r="G214" s="98">
        <f>COUNTIFS('Master Sheet'!L:L, "*" &amp; B214 &amp; "*", 'Master Sheet'!H:H, "Formal")</f>
        <v>0</v>
      </c>
      <c r="H214" s="101">
        <v>0</v>
      </c>
      <c r="I214" s="98">
        <f>COUNTIFS('Master Sheet'!L:L, "*" &amp; B214 &amp; "*", 'Master Sheet'!H:H, "Informal")</f>
        <v>0</v>
      </c>
      <c r="J214" s="101">
        <v>0</v>
      </c>
      <c r="L214" s="98" t="s">
        <v>967</v>
      </c>
      <c r="M214" s="98">
        <v>0</v>
      </c>
      <c r="N214" s="101">
        <v>0</v>
      </c>
      <c r="O214" s="98">
        <v>0</v>
      </c>
      <c r="P214" s="101">
        <v>0</v>
      </c>
      <c r="Q214" s="98">
        <v>0</v>
      </c>
      <c r="R214" s="101">
        <v>0</v>
      </c>
    </row>
    <row r="215" spans="2:18" x14ac:dyDescent="0.2">
      <c r="B215" s="80" t="s">
        <v>979</v>
      </c>
      <c r="D215" s="80" t="s">
        <v>979</v>
      </c>
      <c r="E215" s="98">
        <f>COUNTIF('Master Sheet'!L:L, "*" &amp; B215 &amp; "*")</f>
        <v>0</v>
      </c>
      <c r="F215" s="100">
        <v>0</v>
      </c>
      <c r="G215" s="98">
        <f>COUNTIFS('Master Sheet'!L:L, "*" &amp; B215 &amp; "*", 'Master Sheet'!H:H, "Formal")</f>
        <v>0</v>
      </c>
      <c r="H215" s="101">
        <v>0</v>
      </c>
      <c r="I215" s="98">
        <f>COUNTIFS('Master Sheet'!L:L, "*" &amp; B215 &amp; "*", 'Master Sheet'!H:H, "Informal")</f>
        <v>0</v>
      </c>
      <c r="J215" s="101">
        <v>0</v>
      </c>
      <c r="L215" s="98" t="s">
        <v>968</v>
      </c>
      <c r="M215" s="98">
        <v>0</v>
      </c>
      <c r="N215" s="101">
        <v>0</v>
      </c>
      <c r="O215" s="98">
        <v>0</v>
      </c>
      <c r="P215" s="101">
        <v>0</v>
      </c>
      <c r="Q215" s="98">
        <v>0</v>
      </c>
      <c r="R215" s="101">
        <v>0</v>
      </c>
    </row>
    <row r="216" spans="2:18" x14ac:dyDescent="0.2">
      <c r="B216" s="80" t="s">
        <v>980</v>
      </c>
      <c r="D216" s="80" t="s">
        <v>980</v>
      </c>
      <c r="E216" s="98">
        <f>COUNTIF('Master Sheet'!L:L, "*" &amp; B216 &amp; "*")</f>
        <v>0</v>
      </c>
      <c r="F216" s="100">
        <v>0</v>
      </c>
      <c r="G216" s="98">
        <f>COUNTIFS('Master Sheet'!L:L, "*" &amp; B216 &amp; "*", 'Master Sheet'!H:H, "Formal")</f>
        <v>0</v>
      </c>
      <c r="H216" s="101">
        <v>0</v>
      </c>
      <c r="I216" s="98">
        <f>COUNTIFS('Master Sheet'!L:L, "*" &amp; B216 &amp; "*", 'Master Sheet'!H:H, "Informal")</f>
        <v>0</v>
      </c>
      <c r="J216" s="101">
        <v>0</v>
      </c>
      <c r="L216" s="98" t="s">
        <v>969</v>
      </c>
      <c r="M216" s="98">
        <v>0</v>
      </c>
      <c r="N216" s="101">
        <v>0</v>
      </c>
      <c r="O216" s="98">
        <v>0</v>
      </c>
      <c r="P216" s="101">
        <v>0</v>
      </c>
      <c r="Q216" s="98">
        <v>0</v>
      </c>
      <c r="R216" s="101">
        <v>0</v>
      </c>
    </row>
    <row r="217" spans="2:18" x14ac:dyDescent="0.2">
      <c r="B217" s="80" t="s">
        <v>1090</v>
      </c>
      <c r="D217" s="80" t="s">
        <v>1090</v>
      </c>
      <c r="E217" s="98">
        <f>COUNTIF('Master Sheet'!L:L, "*" &amp; B217 &amp; "*")</f>
        <v>3</v>
      </c>
      <c r="F217" s="100">
        <v>1.7543859649122806E-2</v>
      </c>
      <c r="G217" s="98">
        <f>COUNTIFS('Master Sheet'!L:L, "*" &amp; B217 &amp; "*", 'Master Sheet'!H:H, "Formal")</f>
        <v>3</v>
      </c>
      <c r="H217" s="101">
        <v>4.9180327868852458E-2</v>
      </c>
      <c r="I217" s="98">
        <f>COUNTIFS('Master Sheet'!L:L, "*" &amp; B217 &amp; "*", 'Master Sheet'!H:H, "Informal")</f>
        <v>0</v>
      </c>
      <c r="J217" s="101">
        <v>0</v>
      </c>
      <c r="L217" s="98" t="s">
        <v>970</v>
      </c>
      <c r="M217" s="98">
        <v>0</v>
      </c>
      <c r="N217" s="101">
        <v>0</v>
      </c>
      <c r="O217" s="98">
        <v>0</v>
      </c>
      <c r="P217" s="101">
        <v>0</v>
      </c>
      <c r="Q217" s="98">
        <v>0</v>
      </c>
      <c r="R217" s="101">
        <v>0</v>
      </c>
    </row>
    <row r="218" spans="2:18" x14ac:dyDescent="0.2">
      <c r="B218" s="80" t="s">
        <v>981</v>
      </c>
      <c r="D218" s="80" t="s">
        <v>981</v>
      </c>
      <c r="E218" s="98">
        <f>COUNTIF('Master Sheet'!L:L, "*" &amp; B218 &amp; "*")</f>
        <v>0</v>
      </c>
      <c r="F218" s="100">
        <v>0</v>
      </c>
      <c r="G218" s="98">
        <f>COUNTIFS('Master Sheet'!L:L, "*" &amp; B218 &amp; "*", 'Master Sheet'!H:H, "Formal")</f>
        <v>0</v>
      </c>
      <c r="H218" s="101">
        <v>0</v>
      </c>
      <c r="I218" s="98">
        <f>COUNTIFS('Master Sheet'!L:L, "*" &amp; B218 &amp; "*", 'Master Sheet'!H:H, "Informal")</f>
        <v>0</v>
      </c>
      <c r="J218" s="101">
        <v>0</v>
      </c>
      <c r="L218" s="98" t="s">
        <v>971</v>
      </c>
      <c r="M218" s="98">
        <v>0</v>
      </c>
      <c r="N218" s="101">
        <v>0</v>
      </c>
      <c r="O218" s="98">
        <v>0</v>
      </c>
      <c r="P218" s="101">
        <v>0</v>
      </c>
      <c r="Q218" s="98">
        <v>0</v>
      </c>
      <c r="R218" s="101">
        <v>0</v>
      </c>
    </row>
    <row r="219" spans="2:18" x14ac:dyDescent="0.2">
      <c r="B219" s="80" t="s">
        <v>982</v>
      </c>
      <c r="D219" s="80" t="s">
        <v>982</v>
      </c>
      <c r="E219" s="98">
        <f>COUNTIF('Master Sheet'!L:L, "*" &amp; B219 &amp; "*")</f>
        <v>0</v>
      </c>
      <c r="F219" s="100">
        <v>0</v>
      </c>
      <c r="G219" s="98">
        <f>COUNTIFS('Master Sheet'!L:L, "*" &amp; B219 &amp; "*", 'Master Sheet'!H:H, "Formal")</f>
        <v>0</v>
      </c>
      <c r="H219" s="101">
        <v>0</v>
      </c>
      <c r="I219" s="98">
        <f>COUNTIFS('Master Sheet'!L:L, "*" &amp; B219 &amp; "*", 'Master Sheet'!H:H, "Informal")</f>
        <v>0</v>
      </c>
      <c r="J219" s="101">
        <v>0</v>
      </c>
      <c r="L219" s="98" t="s">
        <v>972</v>
      </c>
      <c r="M219" s="98">
        <v>0</v>
      </c>
      <c r="N219" s="101">
        <v>0</v>
      </c>
      <c r="O219" s="98">
        <v>0</v>
      </c>
      <c r="P219" s="101">
        <v>0</v>
      </c>
      <c r="Q219" s="98">
        <v>0</v>
      </c>
      <c r="R219" s="101">
        <v>0</v>
      </c>
    </row>
    <row r="220" spans="2:18" x14ac:dyDescent="0.2">
      <c r="B220" s="80" t="s">
        <v>983</v>
      </c>
      <c r="D220" s="80" t="s">
        <v>983</v>
      </c>
      <c r="E220" s="98">
        <f>COUNTIF('Master Sheet'!L:L, "*" &amp; B220 &amp; "*")</f>
        <v>1</v>
      </c>
      <c r="F220" s="100">
        <v>5.8479532163742687E-3</v>
      </c>
      <c r="G220" s="98">
        <f>COUNTIFS('Master Sheet'!L:L, "*" &amp; B220 &amp; "*", 'Master Sheet'!H:H, "Formal")</f>
        <v>1</v>
      </c>
      <c r="H220" s="101">
        <v>1.6393442622950821E-2</v>
      </c>
      <c r="I220" s="98">
        <f>COUNTIFS('Master Sheet'!L:L, "*" &amp; B220 &amp; "*", 'Master Sheet'!H:H, "Informal")</f>
        <v>0</v>
      </c>
      <c r="J220" s="101">
        <v>0</v>
      </c>
      <c r="L220" s="98" t="s">
        <v>973</v>
      </c>
      <c r="M220" s="98">
        <v>0</v>
      </c>
      <c r="N220" s="101">
        <v>0</v>
      </c>
      <c r="O220" s="98">
        <v>0</v>
      </c>
      <c r="P220" s="101">
        <v>0</v>
      </c>
      <c r="Q220" s="98">
        <v>0</v>
      </c>
      <c r="R220" s="101">
        <v>0</v>
      </c>
    </row>
    <row r="221" spans="2:18" x14ac:dyDescent="0.2">
      <c r="B221" s="80" t="s">
        <v>984</v>
      </c>
      <c r="D221" s="80" t="s">
        <v>984</v>
      </c>
      <c r="E221" s="98">
        <f>COUNTIF('Master Sheet'!L:L, "*" &amp; B221 &amp; "*")</f>
        <v>0</v>
      </c>
      <c r="F221" s="100">
        <v>0</v>
      </c>
      <c r="G221" s="98">
        <f>COUNTIFS('Master Sheet'!L:L, "*" &amp; B221 &amp; "*", 'Master Sheet'!H:H, "Formal")</f>
        <v>0</v>
      </c>
      <c r="H221" s="101">
        <v>0</v>
      </c>
      <c r="I221" s="98">
        <f>COUNTIFS('Master Sheet'!L:L, "*" &amp; B221 &amp; "*", 'Master Sheet'!H:H, "Informal")</f>
        <v>0</v>
      </c>
      <c r="J221" s="101">
        <v>0</v>
      </c>
      <c r="L221" s="98" t="s">
        <v>974</v>
      </c>
      <c r="M221" s="98">
        <v>0</v>
      </c>
      <c r="N221" s="101">
        <v>0</v>
      </c>
      <c r="O221" s="98">
        <v>0</v>
      </c>
      <c r="P221" s="101">
        <v>0</v>
      </c>
      <c r="Q221" s="98">
        <v>0</v>
      </c>
      <c r="R221" s="101">
        <v>0</v>
      </c>
    </row>
    <row r="222" spans="2:18" x14ac:dyDescent="0.2">
      <c r="B222" s="80" t="s">
        <v>985</v>
      </c>
      <c r="D222" s="80" t="s">
        <v>985</v>
      </c>
      <c r="E222" s="98">
        <f>COUNTIF('Master Sheet'!L:L, "*" &amp; B222 &amp; "*")</f>
        <v>2</v>
      </c>
      <c r="F222" s="100">
        <v>1.1695906432748537E-2</v>
      </c>
      <c r="G222" s="98">
        <f>COUNTIFS('Master Sheet'!L:L, "*" &amp; B222 &amp; "*", 'Master Sheet'!H:H, "Formal")</f>
        <v>0</v>
      </c>
      <c r="H222" s="101">
        <v>0</v>
      </c>
      <c r="I222" s="98">
        <f>COUNTIFS('Master Sheet'!L:L, "*" &amp; B222 &amp; "*", 'Master Sheet'!H:H, "Informal")</f>
        <v>2</v>
      </c>
      <c r="J222" s="101">
        <v>1.8691588785046728E-2</v>
      </c>
      <c r="L222" s="98" t="s">
        <v>975</v>
      </c>
      <c r="M222" s="98">
        <v>0</v>
      </c>
      <c r="N222" s="101">
        <v>0</v>
      </c>
      <c r="O222" s="98">
        <v>0</v>
      </c>
      <c r="P222" s="101">
        <v>0</v>
      </c>
      <c r="Q222" s="98">
        <v>0</v>
      </c>
      <c r="R222" s="101">
        <v>0</v>
      </c>
    </row>
    <row r="223" spans="2:18" x14ac:dyDescent="0.2">
      <c r="B223" s="80" t="s">
        <v>242</v>
      </c>
      <c r="D223" s="80" t="s">
        <v>242</v>
      </c>
      <c r="E223" s="98">
        <f>COUNTIF('Master Sheet'!L:L, "*" &amp; B223 &amp; "*")</f>
        <v>7</v>
      </c>
      <c r="F223" s="100">
        <v>4.0935672514619881E-2</v>
      </c>
      <c r="G223" s="98">
        <f>COUNTIFS('Master Sheet'!L:L, "*" &amp; B223 &amp; "*", 'Master Sheet'!H:H, "Formal")</f>
        <v>1</v>
      </c>
      <c r="H223" s="101">
        <v>1.6393442622950821E-2</v>
      </c>
      <c r="I223" s="98">
        <f>COUNTIFS('Master Sheet'!L:L, "*" &amp; B223 &amp; "*", 'Master Sheet'!H:H, "Informal")</f>
        <v>6</v>
      </c>
      <c r="J223" s="101">
        <v>5.6074766355140186E-2</v>
      </c>
      <c r="L223" s="98" t="s">
        <v>976</v>
      </c>
      <c r="M223" s="98">
        <v>0</v>
      </c>
      <c r="N223" s="101">
        <v>0</v>
      </c>
      <c r="O223" s="98">
        <v>0</v>
      </c>
      <c r="P223" s="101">
        <v>0</v>
      </c>
      <c r="Q223" s="98">
        <v>0</v>
      </c>
      <c r="R223" s="101">
        <v>0</v>
      </c>
    </row>
    <row r="224" spans="2:18" x14ac:dyDescent="0.2">
      <c r="B224" s="80" t="s">
        <v>986</v>
      </c>
      <c r="D224" s="80" t="s">
        <v>986</v>
      </c>
      <c r="E224" s="98">
        <f>COUNTIF('Master Sheet'!L:L, "*" &amp; B224 &amp; "*")</f>
        <v>1</v>
      </c>
      <c r="F224" s="100">
        <v>5.8479532163742687E-3</v>
      </c>
      <c r="G224" s="98">
        <f>COUNTIFS('Master Sheet'!L:L, "*" &amp; B224 &amp; "*", 'Master Sheet'!H:H, "Formal")</f>
        <v>0</v>
      </c>
      <c r="H224" s="101">
        <v>0</v>
      </c>
      <c r="I224" s="98">
        <f>COUNTIFS('Master Sheet'!L:L, "*" &amp; B224 &amp; "*", 'Master Sheet'!H:H, "Informal")</f>
        <v>1</v>
      </c>
      <c r="J224" s="101">
        <v>9.3457943925233638E-3</v>
      </c>
      <c r="L224" s="98" t="s">
        <v>1039</v>
      </c>
      <c r="M224" s="98">
        <v>0</v>
      </c>
      <c r="N224" s="101">
        <v>0</v>
      </c>
      <c r="O224" s="98">
        <v>0</v>
      </c>
      <c r="P224" s="101">
        <v>0</v>
      </c>
      <c r="Q224" s="98">
        <v>0</v>
      </c>
      <c r="R224" s="101">
        <v>0</v>
      </c>
    </row>
    <row r="225" spans="2:18" x14ac:dyDescent="0.2">
      <c r="B225" s="80" t="s">
        <v>987</v>
      </c>
      <c r="D225" s="80" t="s">
        <v>987</v>
      </c>
      <c r="E225" s="98">
        <f>COUNTIF('Master Sheet'!L:L, "*" &amp; B225 &amp; "*")</f>
        <v>0</v>
      </c>
      <c r="F225" s="100">
        <v>0</v>
      </c>
      <c r="G225" s="98">
        <f>COUNTIFS('Master Sheet'!L:L, "*" &amp; B225 &amp; "*", 'Master Sheet'!H:H, "Formal")</f>
        <v>0</v>
      </c>
      <c r="H225" s="101">
        <v>0</v>
      </c>
      <c r="I225" s="98">
        <f>COUNTIFS('Master Sheet'!L:L, "*" &amp; B225 &amp; "*", 'Master Sheet'!H:H, "Informal")</f>
        <v>0</v>
      </c>
      <c r="J225" s="101">
        <v>0</v>
      </c>
      <c r="L225" s="98" t="s">
        <v>978</v>
      </c>
      <c r="M225" s="98">
        <v>0</v>
      </c>
      <c r="N225" s="101">
        <v>0</v>
      </c>
      <c r="O225" s="98">
        <v>0</v>
      </c>
      <c r="P225" s="101">
        <v>0</v>
      </c>
      <c r="Q225" s="98">
        <v>0</v>
      </c>
      <c r="R225" s="101">
        <v>0</v>
      </c>
    </row>
    <row r="226" spans="2:18" x14ac:dyDescent="0.2">
      <c r="B226" s="80" t="s">
        <v>378</v>
      </c>
      <c r="D226" s="80" t="s">
        <v>378</v>
      </c>
      <c r="E226" s="98">
        <f>COUNTIF('Master Sheet'!L:L, "*" &amp; B226 &amp; "*")</f>
        <v>3</v>
      </c>
      <c r="F226" s="100">
        <v>1.7543859649122806E-2</v>
      </c>
      <c r="G226" s="98">
        <f>COUNTIFS('Master Sheet'!L:L, "*" &amp; B226 &amp; "*", 'Master Sheet'!H:H, "Formal")</f>
        <v>1</v>
      </c>
      <c r="H226" s="101">
        <v>1.6393442622950821E-2</v>
      </c>
      <c r="I226" s="98">
        <f>COUNTIFS('Master Sheet'!L:L, "*" &amp; B226 &amp; "*", 'Master Sheet'!H:H, "Informal")</f>
        <v>2</v>
      </c>
      <c r="J226" s="101">
        <v>1.8691588785046728E-2</v>
      </c>
      <c r="L226" s="98" t="s">
        <v>979</v>
      </c>
      <c r="M226" s="98">
        <v>0</v>
      </c>
      <c r="N226" s="101">
        <v>0</v>
      </c>
      <c r="O226" s="98">
        <v>0</v>
      </c>
      <c r="P226" s="101">
        <v>0</v>
      </c>
      <c r="Q226" s="98">
        <v>0</v>
      </c>
      <c r="R226" s="101">
        <v>0</v>
      </c>
    </row>
    <row r="227" spans="2:18" x14ac:dyDescent="0.2">
      <c r="B227" s="80" t="s">
        <v>988</v>
      </c>
      <c r="D227" s="80" t="s">
        <v>988</v>
      </c>
      <c r="E227" s="98">
        <f>COUNTIF('Master Sheet'!L:L, "*" &amp; B227 &amp; "*")</f>
        <v>0</v>
      </c>
      <c r="F227" s="100">
        <v>0</v>
      </c>
      <c r="G227" s="98">
        <f>COUNTIFS('Master Sheet'!L:L, "*" &amp; B227 &amp; "*", 'Master Sheet'!H:H, "Formal")</f>
        <v>0</v>
      </c>
      <c r="H227" s="101">
        <v>0</v>
      </c>
      <c r="I227" s="98">
        <f>COUNTIFS('Master Sheet'!L:L, "*" &amp; B227 &amp; "*", 'Master Sheet'!H:H, "Informal")</f>
        <v>0</v>
      </c>
      <c r="J227" s="101">
        <v>0</v>
      </c>
      <c r="L227" s="98" t="s">
        <v>980</v>
      </c>
      <c r="M227" s="98">
        <v>0</v>
      </c>
      <c r="N227" s="101">
        <v>0</v>
      </c>
      <c r="O227" s="98">
        <v>0</v>
      </c>
      <c r="P227" s="101">
        <v>0</v>
      </c>
      <c r="Q227" s="98">
        <v>0</v>
      </c>
      <c r="R227" s="101">
        <v>0</v>
      </c>
    </row>
    <row r="228" spans="2:18" x14ac:dyDescent="0.2">
      <c r="B228" s="80" t="s">
        <v>989</v>
      </c>
      <c r="D228" s="80" t="s">
        <v>989</v>
      </c>
      <c r="E228" s="98">
        <f>COUNTIF('Master Sheet'!L:L, "*" &amp; B228 &amp; "*")</f>
        <v>0</v>
      </c>
      <c r="F228" s="100">
        <v>0</v>
      </c>
      <c r="G228" s="98">
        <f>COUNTIFS('Master Sheet'!L:L, "*" &amp; B228 &amp; "*", 'Master Sheet'!H:H, "Formal")</f>
        <v>0</v>
      </c>
      <c r="H228" s="101">
        <v>0</v>
      </c>
      <c r="I228" s="98">
        <f>COUNTIFS('Master Sheet'!L:L, "*" &amp; B228 &amp; "*", 'Master Sheet'!H:H, "Informal")</f>
        <v>0</v>
      </c>
      <c r="J228" s="101">
        <v>0</v>
      </c>
      <c r="L228" s="98" t="s">
        <v>981</v>
      </c>
      <c r="M228" s="98">
        <v>0</v>
      </c>
      <c r="N228" s="101">
        <v>0</v>
      </c>
      <c r="O228" s="98">
        <v>0</v>
      </c>
      <c r="P228" s="101">
        <v>0</v>
      </c>
      <c r="Q228" s="98">
        <v>0</v>
      </c>
      <c r="R228" s="101">
        <v>0</v>
      </c>
    </row>
    <row r="229" spans="2:18" x14ac:dyDescent="0.2">
      <c r="B229" s="80" t="s">
        <v>990</v>
      </c>
      <c r="D229" s="80" t="s">
        <v>990</v>
      </c>
      <c r="E229" s="98">
        <f>COUNTIF('Master Sheet'!L:L, "*" &amp; B229 &amp; "*")</f>
        <v>0</v>
      </c>
      <c r="F229" s="100">
        <v>0</v>
      </c>
      <c r="G229" s="98">
        <f>COUNTIFS('Master Sheet'!L:L, "*" &amp; B229 &amp; "*", 'Master Sheet'!H:H, "Formal")</f>
        <v>0</v>
      </c>
      <c r="H229" s="101">
        <v>0</v>
      </c>
      <c r="I229" s="98">
        <f>COUNTIFS('Master Sheet'!L:L, "*" &amp; B229 &amp; "*", 'Master Sheet'!H:H, "Informal")</f>
        <v>0</v>
      </c>
      <c r="J229" s="101">
        <v>0</v>
      </c>
      <c r="L229" s="98" t="s">
        <v>982</v>
      </c>
      <c r="M229" s="98">
        <v>0</v>
      </c>
      <c r="N229" s="101">
        <v>0</v>
      </c>
      <c r="O229" s="98">
        <v>0</v>
      </c>
      <c r="P229" s="101">
        <v>0</v>
      </c>
      <c r="Q229" s="98">
        <v>0</v>
      </c>
      <c r="R229" s="101">
        <v>0</v>
      </c>
    </row>
    <row r="230" spans="2:18" x14ac:dyDescent="0.2">
      <c r="B230" s="80" t="s">
        <v>991</v>
      </c>
      <c r="D230" s="80" t="s">
        <v>991</v>
      </c>
      <c r="E230" s="98">
        <f>COUNTIF('Master Sheet'!L:L, "*" &amp; B230 &amp; "*")</f>
        <v>0</v>
      </c>
      <c r="F230" s="100">
        <v>0</v>
      </c>
      <c r="G230" s="98">
        <f>COUNTIFS('Master Sheet'!L:L, "*" &amp; B230 &amp; "*", 'Master Sheet'!H:H, "Formal")</f>
        <v>0</v>
      </c>
      <c r="H230" s="101">
        <v>0</v>
      </c>
      <c r="I230" s="98">
        <f>COUNTIFS('Master Sheet'!L:L, "*" &amp; B230 &amp; "*", 'Master Sheet'!H:H, "Informal")</f>
        <v>0</v>
      </c>
      <c r="J230" s="101">
        <v>0</v>
      </c>
      <c r="L230" s="98" t="s">
        <v>984</v>
      </c>
      <c r="M230" s="98">
        <v>0</v>
      </c>
      <c r="N230" s="101">
        <v>0</v>
      </c>
      <c r="O230" s="98">
        <v>0</v>
      </c>
      <c r="P230" s="101">
        <v>0</v>
      </c>
      <c r="Q230" s="98">
        <v>0</v>
      </c>
      <c r="R230" s="101">
        <v>0</v>
      </c>
    </row>
    <row r="231" spans="2:18" x14ac:dyDescent="0.2">
      <c r="B231" s="80" t="s">
        <v>992</v>
      </c>
      <c r="D231" s="80" t="s">
        <v>992</v>
      </c>
      <c r="E231" s="98">
        <f>COUNTIF('Master Sheet'!L:L, "*" &amp; B231 &amp; "*")</f>
        <v>0</v>
      </c>
      <c r="F231" s="100">
        <v>0</v>
      </c>
      <c r="G231" s="98">
        <f>COUNTIFS('Master Sheet'!L:L, "*" &amp; B231 &amp; "*", 'Master Sheet'!H:H, "Formal")</f>
        <v>0</v>
      </c>
      <c r="H231" s="101">
        <v>0</v>
      </c>
      <c r="I231" s="98">
        <f>COUNTIFS('Master Sheet'!L:L, "*" &amp; B231 &amp; "*", 'Master Sheet'!H:H, "Informal")</f>
        <v>0</v>
      </c>
      <c r="J231" s="101">
        <v>0</v>
      </c>
      <c r="L231" s="98" t="s">
        <v>987</v>
      </c>
      <c r="M231" s="98">
        <v>0</v>
      </c>
      <c r="N231" s="101">
        <v>0</v>
      </c>
      <c r="O231" s="98">
        <v>0</v>
      </c>
      <c r="P231" s="101">
        <v>0</v>
      </c>
      <c r="Q231" s="98">
        <v>0</v>
      </c>
      <c r="R231" s="101">
        <v>0</v>
      </c>
    </row>
    <row r="232" spans="2:18" x14ac:dyDescent="0.2">
      <c r="B232" s="80" t="s">
        <v>262</v>
      </c>
      <c r="D232" s="80" t="s">
        <v>262</v>
      </c>
      <c r="E232" s="98">
        <f>COUNTIF('Master Sheet'!L:L, "*" &amp; B232 &amp; "*")</f>
        <v>6</v>
      </c>
      <c r="F232" s="100">
        <v>3.5087719298245612E-2</v>
      </c>
      <c r="G232" s="98">
        <f>COUNTIFS('Master Sheet'!L:L, "*" &amp; B232 &amp; "*", 'Master Sheet'!H:H, "Formal")</f>
        <v>3</v>
      </c>
      <c r="H232" s="101">
        <v>4.9180327868852458E-2</v>
      </c>
      <c r="I232" s="98">
        <f>COUNTIFS('Master Sheet'!L:L, "*" &amp; B232 &amp; "*", 'Master Sheet'!H:H, "Informal")</f>
        <v>3</v>
      </c>
      <c r="J232" s="101">
        <v>2.8037383177570093E-2</v>
      </c>
      <c r="L232" s="98" t="s">
        <v>988</v>
      </c>
      <c r="M232" s="98">
        <v>0</v>
      </c>
      <c r="N232" s="101">
        <v>0</v>
      </c>
      <c r="O232" s="98">
        <v>0</v>
      </c>
      <c r="P232" s="101">
        <v>0</v>
      </c>
      <c r="Q232" s="98">
        <v>0</v>
      </c>
      <c r="R232" s="101">
        <v>0</v>
      </c>
    </row>
    <row r="233" spans="2:18" x14ac:dyDescent="0.2">
      <c r="B233" s="80" t="s">
        <v>993</v>
      </c>
      <c r="D233" s="80" t="s">
        <v>993</v>
      </c>
      <c r="E233" s="98">
        <f>COUNTIF('Master Sheet'!L:L, "*" &amp; B233 &amp; "*")</f>
        <v>0</v>
      </c>
      <c r="F233" s="100">
        <v>0</v>
      </c>
      <c r="G233" s="98">
        <f>COUNTIFS('Master Sheet'!L:L, "*" &amp; B233 &amp; "*", 'Master Sheet'!H:H, "Formal")</f>
        <v>0</v>
      </c>
      <c r="H233" s="101">
        <v>0</v>
      </c>
      <c r="I233" s="98">
        <f>COUNTIFS('Master Sheet'!L:L, "*" &amp; B233 &amp; "*", 'Master Sheet'!H:H, "Informal")</f>
        <v>0</v>
      </c>
      <c r="J233" s="101">
        <v>0</v>
      </c>
      <c r="L233" s="98" t="s">
        <v>989</v>
      </c>
      <c r="M233" s="98">
        <v>0</v>
      </c>
      <c r="N233" s="101">
        <v>0</v>
      </c>
      <c r="O233" s="98">
        <v>0</v>
      </c>
      <c r="P233" s="101">
        <v>0</v>
      </c>
      <c r="Q233" s="98">
        <v>0</v>
      </c>
      <c r="R233" s="101">
        <v>0</v>
      </c>
    </row>
    <row r="234" spans="2:18" x14ac:dyDescent="0.2">
      <c r="B234" s="80" t="s">
        <v>994</v>
      </c>
      <c r="D234" s="80" t="s">
        <v>994</v>
      </c>
      <c r="E234" s="98">
        <f>COUNTIF('Master Sheet'!L:L, "*" &amp; B234 &amp; "*")</f>
        <v>0</v>
      </c>
      <c r="F234" s="100">
        <v>0</v>
      </c>
      <c r="G234" s="98">
        <f>COUNTIFS('Master Sheet'!L:L, "*" &amp; B234 &amp; "*", 'Master Sheet'!H:H, "Formal")</f>
        <v>0</v>
      </c>
      <c r="H234" s="101">
        <v>0</v>
      </c>
      <c r="I234" s="98">
        <f>COUNTIFS('Master Sheet'!L:L, "*" &amp; B234 &amp; "*", 'Master Sheet'!H:H, "Informal")</f>
        <v>0</v>
      </c>
      <c r="J234" s="101">
        <v>0</v>
      </c>
      <c r="L234" s="98" t="s">
        <v>990</v>
      </c>
      <c r="M234" s="98">
        <v>0</v>
      </c>
      <c r="N234" s="101">
        <v>0</v>
      </c>
      <c r="O234" s="98">
        <v>0</v>
      </c>
      <c r="P234" s="101">
        <v>0</v>
      </c>
      <c r="Q234" s="98">
        <v>0</v>
      </c>
      <c r="R234" s="101">
        <v>0</v>
      </c>
    </row>
    <row r="235" spans="2:18" x14ac:dyDescent="0.2">
      <c r="B235" s="80" t="s">
        <v>995</v>
      </c>
      <c r="D235" s="80" t="s">
        <v>995</v>
      </c>
      <c r="E235" s="98">
        <f>COUNTIF('Master Sheet'!L:L, "*" &amp; B235 &amp; "*")</f>
        <v>0</v>
      </c>
      <c r="F235" s="100">
        <v>0</v>
      </c>
      <c r="G235" s="98">
        <f>COUNTIFS('Master Sheet'!L:L, "*" &amp; B235 &amp; "*", 'Master Sheet'!H:H, "Formal")</f>
        <v>0</v>
      </c>
      <c r="H235" s="101">
        <v>0</v>
      </c>
      <c r="I235" s="98">
        <f>COUNTIFS('Master Sheet'!L:L, "*" &amp; B235 &amp; "*", 'Master Sheet'!H:H, "Informal")</f>
        <v>0</v>
      </c>
      <c r="J235" s="101">
        <v>0</v>
      </c>
      <c r="L235" s="98" t="s">
        <v>991</v>
      </c>
      <c r="M235" s="98">
        <v>0</v>
      </c>
      <c r="N235" s="101">
        <v>0</v>
      </c>
      <c r="O235" s="98">
        <v>0</v>
      </c>
      <c r="P235" s="101">
        <v>0</v>
      </c>
      <c r="Q235" s="98">
        <v>0</v>
      </c>
      <c r="R235" s="101">
        <v>0</v>
      </c>
    </row>
    <row r="236" spans="2:18" x14ac:dyDescent="0.2">
      <c r="B236" s="80" t="s">
        <v>996</v>
      </c>
      <c r="D236" s="80" t="s">
        <v>996</v>
      </c>
      <c r="E236" s="98">
        <f>COUNTIF('Master Sheet'!L:L, "*" &amp; B236 &amp; "*")</f>
        <v>0</v>
      </c>
      <c r="F236" s="100">
        <v>0</v>
      </c>
      <c r="G236" s="98">
        <f>COUNTIFS('Master Sheet'!L:L, "*" &amp; B236 &amp; "*", 'Master Sheet'!H:H, "Formal")</f>
        <v>0</v>
      </c>
      <c r="H236" s="101">
        <v>0</v>
      </c>
      <c r="I236" s="98">
        <f>COUNTIFS('Master Sheet'!L:L, "*" &amp; B236 &amp; "*", 'Master Sheet'!H:H, "Informal")</f>
        <v>0</v>
      </c>
      <c r="J236" s="101">
        <v>0</v>
      </c>
      <c r="L236" s="98" t="s">
        <v>992</v>
      </c>
      <c r="M236" s="98">
        <v>0</v>
      </c>
      <c r="N236" s="101">
        <v>0</v>
      </c>
      <c r="O236" s="98">
        <v>0</v>
      </c>
      <c r="P236" s="101">
        <v>0</v>
      </c>
      <c r="Q236" s="98">
        <v>0</v>
      </c>
      <c r="R236" s="101">
        <v>0</v>
      </c>
    </row>
    <row r="237" spans="2:18" x14ac:dyDescent="0.2">
      <c r="B237" s="80" t="s">
        <v>997</v>
      </c>
      <c r="D237" s="80" t="s">
        <v>997</v>
      </c>
      <c r="E237" s="98">
        <f>COUNTIF('Master Sheet'!L:L, "*" &amp; B237 &amp; "*")</f>
        <v>0</v>
      </c>
      <c r="F237" s="100">
        <v>0</v>
      </c>
      <c r="G237" s="98">
        <f>COUNTIFS('Master Sheet'!L:L, "*" &amp; B237 &amp; "*", 'Master Sheet'!H:H, "Formal")</f>
        <v>0</v>
      </c>
      <c r="H237" s="101">
        <v>0</v>
      </c>
      <c r="I237" s="98">
        <f>COUNTIFS('Master Sheet'!L:L, "*" &amp; B237 &amp; "*", 'Master Sheet'!H:H, "Informal")</f>
        <v>0</v>
      </c>
      <c r="J237" s="101">
        <v>0</v>
      </c>
      <c r="L237" s="98" t="s">
        <v>993</v>
      </c>
      <c r="M237" s="98">
        <v>0</v>
      </c>
      <c r="N237" s="101">
        <v>0</v>
      </c>
      <c r="O237" s="98">
        <v>0</v>
      </c>
      <c r="P237" s="101">
        <v>0</v>
      </c>
      <c r="Q237" s="98">
        <v>0</v>
      </c>
      <c r="R237" s="101">
        <v>0</v>
      </c>
    </row>
    <row r="238" spans="2:18" x14ac:dyDescent="0.2">
      <c r="B238" s="80" t="s">
        <v>998</v>
      </c>
      <c r="D238" s="80" t="s">
        <v>998</v>
      </c>
      <c r="E238" s="98">
        <f>COUNTIF('Master Sheet'!L:L, "*" &amp; B238 &amp; "*")</f>
        <v>0</v>
      </c>
      <c r="F238" s="100">
        <v>0</v>
      </c>
      <c r="G238" s="98">
        <f>COUNTIFS('Master Sheet'!L:L, "*" &amp; B238 &amp; "*", 'Master Sheet'!H:H, "Formal")</f>
        <v>0</v>
      </c>
      <c r="H238" s="101">
        <v>0</v>
      </c>
      <c r="I238" s="98">
        <f>COUNTIFS('Master Sheet'!L:L, "*" &amp; B238 &amp; "*", 'Master Sheet'!H:H, "Informal")</f>
        <v>0</v>
      </c>
      <c r="J238" s="101">
        <v>0</v>
      </c>
      <c r="L238" s="98" t="s">
        <v>994</v>
      </c>
      <c r="M238" s="98">
        <v>0</v>
      </c>
      <c r="N238" s="101">
        <v>0</v>
      </c>
      <c r="O238" s="98">
        <v>0</v>
      </c>
      <c r="P238" s="101">
        <v>0</v>
      </c>
      <c r="Q238" s="98">
        <v>0</v>
      </c>
      <c r="R238" s="101">
        <v>0</v>
      </c>
    </row>
    <row r="239" spans="2:18" x14ac:dyDescent="0.2">
      <c r="B239" s="80" t="s">
        <v>999</v>
      </c>
      <c r="D239" s="80" t="s">
        <v>999</v>
      </c>
      <c r="E239" s="98">
        <f>COUNTIF('Master Sheet'!L:L, "*" &amp; B239 &amp; "*")</f>
        <v>0</v>
      </c>
      <c r="F239" s="100">
        <v>0</v>
      </c>
      <c r="G239" s="98">
        <f>COUNTIFS('Master Sheet'!L:L, "*" &amp; B239 &amp; "*", 'Master Sheet'!H:H, "Formal")</f>
        <v>0</v>
      </c>
      <c r="H239" s="101">
        <v>0</v>
      </c>
      <c r="I239" s="98">
        <f>COUNTIFS('Master Sheet'!L:L, "*" &amp; B239 &amp; "*", 'Master Sheet'!H:H, "Informal")</f>
        <v>0</v>
      </c>
      <c r="J239" s="101">
        <v>0</v>
      </c>
      <c r="L239" s="98" t="s">
        <v>995</v>
      </c>
      <c r="M239" s="98">
        <v>0</v>
      </c>
      <c r="N239" s="101">
        <v>0</v>
      </c>
      <c r="O239" s="98">
        <v>0</v>
      </c>
      <c r="P239" s="101">
        <v>0</v>
      </c>
      <c r="Q239" s="98">
        <v>0</v>
      </c>
      <c r="R239" s="101">
        <v>0</v>
      </c>
    </row>
    <row r="240" spans="2:18" x14ac:dyDescent="0.2">
      <c r="B240" s="80" t="s">
        <v>1000</v>
      </c>
      <c r="D240" s="80" t="s">
        <v>1000</v>
      </c>
      <c r="E240" s="98">
        <f>COUNTIF('Master Sheet'!L:L, "*" &amp; B240 &amp; "*")</f>
        <v>0</v>
      </c>
      <c r="F240" s="100">
        <v>0</v>
      </c>
      <c r="G240" s="98">
        <f>COUNTIFS('Master Sheet'!L:L, "*" &amp; B240 &amp; "*", 'Master Sheet'!H:H, "Formal")</f>
        <v>0</v>
      </c>
      <c r="H240" s="101">
        <v>0</v>
      </c>
      <c r="I240" s="98">
        <f>COUNTIFS('Master Sheet'!L:L, "*" &amp; B240 &amp; "*", 'Master Sheet'!H:H, "Informal")</f>
        <v>0</v>
      </c>
      <c r="J240" s="101">
        <v>0</v>
      </c>
      <c r="L240" s="98" t="s">
        <v>996</v>
      </c>
      <c r="M240" s="98">
        <v>0</v>
      </c>
      <c r="N240" s="101">
        <v>0</v>
      </c>
      <c r="O240" s="98">
        <v>0</v>
      </c>
      <c r="P240" s="101">
        <v>0</v>
      </c>
      <c r="Q240" s="98">
        <v>0</v>
      </c>
      <c r="R240" s="101">
        <v>0</v>
      </c>
    </row>
    <row r="241" spans="2:18" x14ac:dyDescent="0.2">
      <c r="B241" s="80" t="s">
        <v>1001</v>
      </c>
      <c r="D241" s="80" t="s">
        <v>1001</v>
      </c>
      <c r="E241" s="98">
        <f>COUNTIF('Master Sheet'!L:L, "*" &amp; B241 &amp; "*")</f>
        <v>0</v>
      </c>
      <c r="F241" s="100">
        <v>0</v>
      </c>
      <c r="G241" s="98">
        <f>COUNTIFS('Master Sheet'!L:L, "*" &amp; B241 &amp; "*", 'Master Sheet'!H:H, "Formal")</f>
        <v>0</v>
      </c>
      <c r="H241" s="101">
        <v>0</v>
      </c>
      <c r="I241" s="98">
        <f>COUNTIFS('Master Sheet'!L:L, "*" &amp; B241 &amp; "*", 'Master Sheet'!H:H, "Informal")</f>
        <v>0</v>
      </c>
      <c r="J241" s="101">
        <v>0</v>
      </c>
      <c r="L241" s="98" t="s">
        <v>997</v>
      </c>
      <c r="M241" s="98">
        <v>0</v>
      </c>
      <c r="N241" s="101">
        <v>0</v>
      </c>
      <c r="O241" s="98">
        <v>0</v>
      </c>
      <c r="P241" s="101">
        <v>0</v>
      </c>
      <c r="Q241" s="98">
        <v>0</v>
      </c>
      <c r="R241" s="101">
        <v>0</v>
      </c>
    </row>
    <row r="242" spans="2:18" x14ac:dyDescent="0.2">
      <c r="B242" s="80" t="s">
        <v>1002</v>
      </c>
      <c r="D242" s="80" t="s">
        <v>1002</v>
      </c>
      <c r="E242" s="98">
        <f>COUNTIF('Master Sheet'!L:L, "*" &amp; B242 &amp; "*")</f>
        <v>0</v>
      </c>
      <c r="F242" s="100">
        <v>0</v>
      </c>
      <c r="G242" s="98">
        <f>COUNTIFS('Master Sheet'!L:L, "*" &amp; B242 &amp; "*", 'Master Sheet'!H:H, "Formal")</f>
        <v>0</v>
      </c>
      <c r="H242" s="101">
        <v>0</v>
      </c>
      <c r="I242" s="98">
        <f>COUNTIFS('Master Sheet'!L:L, "*" &amp; B242 &amp; "*", 'Master Sheet'!H:H, "Informal")</f>
        <v>0</v>
      </c>
      <c r="J242" s="101">
        <v>0</v>
      </c>
      <c r="L242" s="98" t="s">
        <v>998</v>
      </c>
      <c r="M242" s="98">
        <v>0</v>
      </c>
      <c r="N242" s="101">
        <v>0</v>
      </c>
      <c r="O242" s="98">
        <v>0</v>
      </c>
      <c r="P242" s="101">
        <v>0</v>
      </c>
      <c r="Q242" s="98">
        <v>0</v>
      </c>
      <c r="R242" s="101">
        <v>0</v>
      </c>
    </row>
    <row r="243" spans="2:18" x14ac:dyDescent="0.2">
      <c r="B243" s="80" t="s">
        <v>1003</v>
      </c>
      <c r="D243" s="80" t="s">
        <v>1003</v>
      </c>
      <c r="E243" s="98">
        <f>COUNTIF('Master Sheet'!L:L, "*" &amp; B243 &amp; "*")</f>
        <v>0</v>
      </c>
      <c r="F243" s="100">
        <v>0</v>
      </c>
      <c r="G243" s="98">
        <f>COUNTIFS('Master Sheet'!L:L, "*" &amp; B243 &amp; "*", 'Master Sheet'!H:H, "Formal")</f>
        <v>0</v>
      </c>
      <c r="H243" s="101">
        <v>0</v>
      </c>
      <c r="I243" s="98">
        <f>COUNTIFS('Master Sheet'!L:L, "*" &amp; B243 &amp; "*", 'Master Sheet'!H:H, "Informal")</f>
        <v>0</v>
      </c>
      <c r="J243" s="101">
        <v>0</v>
      </c>
      <c r="L243" s="98" t="s">
        <v>999</v>
      </c>
      <c r="M243" s="98">
        <v>0</v>
      </c>
      <c r="N243" s="101">
        <v>0</v>
      </c>
      <c r="O243" s="98">
        <v>0</v>
      </c>
      <c r="P243" s="101">
        <v>0</v>
      </c>
      <c r="Q243" s="98">
        <v>0</v>
      </c>
      <c r="R243" s="101">
        <v>0</v>
      </c>
    </row>
    <row r="244" spans="2:18" x14ac:dyDescent="0.2">
      <c r="B244" s="80" t="s">
        <v>1004</v>
      </c>
      <c r="D244" s="80" t="s">
        <v>1004</v>
      </c>
      <c r="E244" s="98">
        <f>COUNTIF('Master Sheet'!L:L, "*" &amp; B244 &amp; "*")</f>
        <v>0</v>
      </c>
      <c r="F244" s="100">
        <v>0</v>
      </c>
      <c r="G244" s="98">
        <f>COUNTIFS('Master Sheet'!L:L, "*" &amp; B244 &amp; "*", 'Master Sheet'!H:H, "Formal")</f>
        <v>0</v>
      </c>
      <c r="H244" s="101">
        <v>0</v>
      </c>
      <c r="I244" s="98">
        <f>COUNTIFS('Master Sheet'!L:L, "*" &amp; B244 &amp; "*", 'Master Sheet'!H:H, "Informal")</f>
        <v>0</v>
      </c>
      <c r="J244" s="101">
        <v>0</v>
      </c>
      <c r="L244" s="98" t="s">
        <v>1000</v>
      </c>
      <c r="M244" s="98">
        <v>0</v>
      </c>
      <c r="N244" s="101">
        <v>0</v>
      </c>
      <c r="O244" s="98">
        <v>0</v>
      </c>
      <c r="P244" s="101">
        <v>0</v>
      </c>
      <c r="Q244" s="98">
        <v>0</v>
      </c>
      <c r="R244" s="101">
        <v>0</v>
      </c>
    </row>
    <row r="245" spans="2:18" x14ac:dyDescent="0.2">
      <c r="B245" s="80" t="s">
        <v>1005</v>
      </c>
      <c r="D245" s="80" t="s">
        <v>1005</v>
      </c>
      <c r="E245" s="98">
        <f>COUNTIF('Master Sheet'!L:L, "*" &amp; B245 &amp; "*")</f>
        <v>0</v>
      </c>
      <c r="F245" s="100">
        <v>0</v>
      </c>
      <c r="G245" s="98">
        <f>COUNTIFS('Master Sheet'!L:L, "*" &amp; B245 &amp; "*", 'Master Sheet'!H:H, "Formal")</f>
        <v>0</v>
      </c>
      <c r="H245" s="101">
        <v>0</v>
      </c>
      <c r="I245" s="98">
        <f>COUNTIFS('Master Sheet'!L:L, "*" &amp; B245 &amp; "*", 'Master Sheet'!H:H, "Informal")</f>
        <v>0</v>
      </c>
      <c r="J245" s="101">
        <v>0</v>
      </c>
      <c r="L245" s="98" t="s">
        <v>1001</v>
      </c>
      <c r="M245" s="98">
        <v>0</v>
      </c>
      <c r="N245" s="101">
        <v>0</v>
      </c>
      <c r="O245" s="98">
        <v>0</v>
      </c>
      <c r="P245" s="101">
        <v>0</v>
      </c>
      <c r="Q245" s="98">
        <v>0</v>
      </c>
      <c r="R245" s="101">
        <v>0</v>
      </c>
    </row>
    <row r="246" spans="2:18" x14ac:dyDescent="0.2">
      <c r="B246" s="80" t="s">
        <v>1006</v>
      </c>
      <c r="D246" s="80" t="s">
        <v>1006</v>
      </c>
      <c r="E246" s="98">
        <f>COUNTIF('Master Sheet'!L:L, "*" &amp; B246 &amp; "*")</f>
        <v>0</v>
      </c>
      <c r="F246" s="100">
        <v>0</v>
      </c>
      <c r="G246" s="98">
        <f>COUNTIFS('Master Sheet'!L:L, "*" &amp; B246 &amp; "*", 'Master Sheet'!H:H, "Formal")</f>
        <v>0</v>
      </c>
      <c r="H246" s="101">
        <v>0</v>
      </c>
      <c r="I246" s="98">
        <f>COUNTIFS('Master Sheet'!L:L, "*" &amp; B246 &amp; "*", 'Master Sheet'!H:H, "Informal")</f>
        <v>0</v>
      </c>
      <c r="J246" s="101">
        <v>0</v>
      </c>
      <c r="L246" s="98" t="s">
        <v>1002</v>
      </c>
      <c r="M246" s="98">
        <v>0</v>
      </c>
      <c r="N246" s="101">
        <v>0</v>
      </c>
      <c r="O246" s="98">
        <v>0</v>
      </c>
      <c r="P246" s="101">
        <v>0</v>
      </c>
      <c r="Q246" s="98">
        <v>0</v>
      </c>
      <c r="R246" s="101">
        <v>0</v>
      </c>
    </row>
    <row r="247" spans="2:18" x14ac:dyDescent="0.2">
      <c r="B247" s="80" t="s">
        <v>1007</v>
      </c>
      <c r="D247" s="80" t="s">
        <v>1007</v>
      </c>
      <c r="E247" s="98">
        <f>COUNTIF('Master Sheet'!L:L, "*" &amp; B247 &amp; "*")</f>
        <v>0</v>
      </c>
      <c r="F247" s="100">
        <v>0</v>
      </c>
      <c r="G247" s="98">
        <f>COUNTIFS('Master Sheet'!L:L, "*" &amp; B247 &amp; "*", 'Master Sheet'!H:H, "Formal")</f>
        <v>0</v>
      </c>
      <c r="H247" s="101">
        <v>0</v>
      </c>
      <c r="I247" s="98">
        <f>COUNTIFS('Master Sheet'!L:L, "*" &amp; B247 &amp; "*", 'Master Sheet'!H:H, "Informal")</f>
        <v>0</v>
      </c>
      <c r="J247" s="101">
        <v>0</v>
      </c>
      <c r="L247" s="98" t="s">
        <v>1003</v>
      </c>
      <c r="M247" s="98">
        <v>0</v>
      </c>
      <c r="N247" s="101">
        <v>0</v>
      </c>
      <c r="O247" s="98">
        <v>0</v>
      </c>
      <c r="P247" s="101">
        <v>0</v>
      </c>
      <c r="Q247" s="98">
        <v>0</v>
      </c>
      <c r="R247" s="101">
        <v>0</v>
      </c>
    </row>
    <row r="248" spans="2:18" x14ac:dyDescent="0.2">
      <c r="B248" s="80" t="s">
        <v>1008</v>
      </c>
      <c r="D248" s="80" t="s">
        <v>1008</v>
      </c>
      <c r="E248" s="98">
        <f>COUNTIF('Master Sheet'!L:L, "*" &amp; B248 &amp; "*")</f>
        <v>0</v>
      </c>
      <c r="F248" s="100">
        <v>0</v>
      </c>
      <c r="G248" s="98">
        <f>COUNTIFS('Master Sheet'!L:L, "*" &amp; B248 &amp; "*", 'Master Sheet'!H:H, "Formal")</f>
        <v>0</v>
      </c>
      <c r="H248" s="101">
        <v>0</v>
      </c>
      <c r="I248" s="98">
        <f>COUNTIFS('Master Sheet'!L:L, "*" &amp; B248 &amp; "*", 'Master Sheet'!H:H, "Informal")</f>
        <v>0</v>
      </c>
      <c r="J248" s="101">
        <v>0</v>
      </c>
      <c r="L248" s="98" t="s">
        <v>1004</v>
      </c>
      <c r="M248" s="98">
        <v>0</v>
      </c>
      <c r="N248" s="101">
        <v>0</v>
      </c>
      <c r="O248" s="98">
        <v>0</v>
      </c>
      <c r="P248" s="101">
        <v>0</v>
      </c>
      <c r="Q248" s="98">
        <v>0</v>
      </c>
      <c r="R248" s="101">
        <v>0</v>
      </c>
    </row>
    <row r="249" spans="2:18" x14ac:dyDescent="0.2">
      <c r="B249" s="80" t="s">
        <v>1009</v>
      </c>
      <c r="D249" s="80" t="s">
        <v>1009</v>
      </c>
      <c r="E249" s="98">
        <f>COUNTIF('Master Sheet'!L:L, "*" &amp; B249 &amp; "*")</f>
        <v>0</v>
      </c>
      <c r="F249" s="100">
        <v>0</v>
      </c>
      <c r="G249" s="98">
        <f>COUNTIFS('Master Sheet'!L:L, "*" &amp; B249 &amp; "*", 'Master Sheet'!H:H, "Formal")</f>
        <v>0</v>
      </c>
      <c r="H249" s="101">
        <v>0</v>
      </c>
      <c r="I249" s="98">
        <f>COUNTIFS('Master Sheet'!L:L, "*" &amp; B249 &amp; "*", 'Master Sheet'!H:H, "Informal")</f>
        <v>0</v>
      </c>
      <c r="J249" s="101">
        <v>0</v>
      </c>
      <c r="L249" s="98" t="s">
        <v>1005</v>
      </c>
      <c r="M249" s="98">
        <v>0</v>
      </c>
      <c r="N249" s="101">
        <v>0</v>
      </c>
      <c r="O249" s="98">
        <v>0</v>
      </c>
      <c r="P249" s="101">
        <v>0</v>
      </c>
      <c r="Q249" s="98">
        <v>0</v>
      </c>
      <c r="R249" s="101">
        <v>0</v>
      </c>
    </row>
    <row r="250" spans="2:18" x14ac:dyDescent="0.2">
      <c r="B250" s="80" t="s">
        <v>96</v>
      </c>
      <c r="D250" s="80" t="s">
        <v>96</v>
      </c>
      <c r="E250" s="98">
        <f>COUNTIF('Master Sheet'!L:L, "*" &amp; B250 &amp; "*")</f>
        <v>68</v>
      </c>
      <c r="F250" s="100">
        <v>0.39766081871345027</v>
      </c>
      <c r="G250" s="98">
        <f>COUNTIFS('Master Sheet'!L:L, "*" &amp; B250 &amp; "*", 'Master Sheet'!H:H, "Formal")</f>
        <v>44</v>
      </c>
      <c r="H250" s="101">
        <v>0.72131147540983609</v>
      </c>
      <c r="I250" s="98">
        <f>COUNTIFS('Master Sheet'!L:L, "*" &amp; B250 &amp; "*", 'Master Sheet'!H:H, "Informal")</f>
        <v>24</v>
      </c>
      <c r="J250" s="101">
        <v>0.22429906542056074</v>
      </c>
      <c r="L250" s="98" t="s">
        <v>1006</v>
      </c>
      <c r="M250" s="98">
        <v>0</v>
      </c>
      <c r="N250" s="101">
        <v>0</v>
      </c>
      <c r="O250" s="98">
        <v>0</v>
      </c>
      <c r="P250" s="101">
        <v>0</v>
      </c>
      <c r="Q250" s="98">
        <v>0</v>
      </c>
      <c r="R250" s="101">
        <v>0</v>
      </c>
    </row>
    <row r="251" spans="2:18" x14ac:dyDescent="0.2">
      <c r="B251" s="80" t="s">
        <v>1091</v>
      </c>
      <c r="D251" s="80" t="s">
        <v>1091</v>
      </c>
      <c r="E251" s="98">
        <f>COUNTIF('Master Sheet'!L:L, "*" &amp; B251 &amp; "*")</f>
        <v>6</v>
      </c>
      <c r="F251" s="100">
        <v>3.5087719298245612E-2</v>
      </c>
      <c r="G251" s="98">
        <f>COUNTIFS('Master Sheet'!L:L, "*" &amp; B251 &amp; "*", 'Master Sheet'!H:H, "Formal")</f>
        <v>0</v>
      </c>
      <c r="H251" s="101">
        <v>0</v>
      </c>
      <c r="I251" s="98">
        <f>COUNTIFS('Master Sheet'!L:L, "*" &amp; B251 &amp; "*", 'Master Sheet'!H:H, "Informal")</f>
        <v>6</v>
      </c>
      <c r="J251" s="101">
        <v>5.6074766355140186E-2</v>
      </c>
      <c r="L251" s="98" t="s">
        <v>1007</v>
      </c>
      <c r="M251" s="98">
        <v>0</v>
      </c>
      <c r="N251" s="101">
        <v>0</v>
      </c>
      <c r="O251" s="98">
        <v>0</v>
      </c>
      <c r="P251" s="101">
        <v>0</v>
      </c>
      <c r="Q251" s="98">
        <v>0</v>
      </c>
      <c r="R251" s="101">
        <v>0</v>
      </c>
    </row>
    <row r="252" spans="2:18" x14ac:dyDescent="0.2">
      <c r="B252" s="80" t="s">
        <v>1092</v>
      </c>
      <c r="D252" s="80" t="s">
        <v>1092</v>
      </c>
      <c r="E252" s="98">
        <f>COUNTIF('Master Sheet'!L:L, "*" &amp; B252 &amp; "*")</f>
        <v>0</v>
      </c>
      <c r="F252" s="100">
        <v>0</v>
      </c>
      <c r="G252" s="98">
        <f>COUNTIFS('Master Sheet'!L:L, "*" &amp; B252 &amp; "*", 'Master Sheet'!H:H, "Formal")</f>
        <v>0</v>
      </c>
      <c r="H252" s="101">
        <v>0</v>
      </c>
      <c r="I252" s="98">
        <f>COUNTIFS('Master Sheet'!L:L, "*" &amp; B252 &amp; "*", 'Master Sheet'!H:H, "Informal")</f>
        <v>0</v>
      </c>
      <c r="J252" s="101">
        <v>0</v>
      </c>
      <c r="L252" s="98" t="s">
        <v>1008</v>
      </c>
      <c r="M252" s="98">
        <v>0</v>
      </c>
      <c r="N252" s="101">
        <v>0</v>
      </c>
      <c r="O252" s="98">
        <v>0</v>
      </c>
      <c r="P252" s="101">
        <v>0</v>
      </c>
      <c r="Q252" s="98">
        <v>0</v>
      </c>
      <c r="R252" s="101">
        <v>0</v>
      </c>
    </row>
    <row r="253" spans="2:18" x14ac:dyDescent="0.2">
      <c r="B253" s="80" t="s">
        <v>1093</v>
      </c>
      <c r="D253" s="80" t="s">
        <v>1093</v>
      </c>
      <c r="E253" s="98">
        <f>COUNTIF('Master Sheet'!L:L, "*" &amp; B253 &amp; "*")</f>
        <v>0</v>
      </c>
      <c r="F253" s="100">
        <v>0</v>
      </c>
      <c r="G253" s="98">
        <f>COUNTIFS('Master Sheet'!L:L, "*" &amp; B253 &amp; "*", 'Master Sheet'!H:H, "Formal")</f>
        <v>0</v>
      </c>
      <c r="H253" s="101">
        <v>0</v>
      </c>
      <c r="I253" s="98">
        <f>COUNTIFS('Master Sheet'!L:L, "*" &amp; B253 &amp; "*", 'Master Sheet'!H:H, "Informal")</f>
        <v>0</v>
      </c>
      <c r="J253" s="101">
        <v>0</v>
      </c>
      <c r="L253" s="98" t="s">
        <v>1009</v>
      </c>
      <c r="M253" s="98">
        <v>0</v>
      </c>
      <c r="N253" s="101">
        <v>0</v>
      </c>
      <c r="O253" s="98">
        <v>0</v>
      </c>
      <c r="P253" s="101">
        <v>0</v>
      </c>
      <c r="Q253" s="98">
        <v>0</v>
      </c>
      <c r="R253" s="101">
        <v>0</v>
      </c>
    </row>
    <row r="254" spans="2:18" x14ac:dyDescent="0.2">
      <c r="B254" s="80" t="s">
        <v>1094</v>
      </c>
      <c r="D254" s="80" t="s">
        <v>1094</v>
      </c>
      <c r="E254" s="98">
        <f>COUNTIF('Master Sheet'!L:L, "*" &amp; B254 &amp; "*")</f>
        <v>0</v>
      </c>
      <c r="F254" s="100">
        <v>0</v>
      </c>
      <c r="G254" s="98">
        <f>COUNTIFS('Master Sheet'!L:L, "*" &amp; B254 &amp; "*", 'Master Sheet'!H:H, "Formal")</f>
        <v>0</v>
      </c>
      <c r="H254" s="101">
        <v>0</v>
      </c>
      <c r="I254" s="98">
        <f>COUNTIFS('Master Sheet'!L:L, "*" &amp; B254 &amp; "*", 'Master Sheet'!H:H, "Informal")</f>
        <v>0</v>
      </c>
      <c r="J254" s="101">
        <v>0</v>
      </c>
      <c r="L254" s="98" t="s">
        <v>1092</v>
      </c>
      <c r="M254" s="98">
        <v>0</v>
      </c>
      <c r="N254" s="101">
        <v>0</v>
      </c>
      <c r="O254" s="98">
        <v>0</v>
      </c>
      <c r="P254" s="101">
        <v>0</v>
      </c>
      <c r="Q254" s="98">
        <v>0</v>
      </c>
      <c r="R254" s="101">
        <v>0</v>
      </c>
    </row>
    <row r="255" spans="2:18" x14ac:dyDescent="0.2">
      <c r="B255" s="80" t="s">
        <v>1095</v>
      </c>
      <c r="D255" s="80" t="s">
        <v>1095</v>
      </c>
      <c r="E255" s="98">
        <f>COUNTIF('Master Sheet'!L:L, "*" &amp; B255 &amp; "*")</f>
        <v>0</v>
      </c>
      <c r="F255" s="100">
        <v>0</v>
      </c>
      <c r="G255" s="98">
        <f>COUNTIFS('Master Sheet'!L:L, "*" &amp; B255 &amp; "*", 'Master Sheet'!H:H, "Formal")</f>
        <v>0</v>
      </c>
      <c r="H255" s="101">
        <v>0</v>
      </c>
      <c r="I255" s="98">
        <f>COUNTIFS('Master Sheet'!L:L, "*" &amp; B255 &amp; "*", 'Master Sheet'!H:H, "Informal")</f>
        <v>0</v>
      </c>
      <c r="J255" s="101">
        <v>0</v>
      </c>
      <c r="L255" s="98" t="s">
        <v>1093</v>
      </c>
      <c r="M255" s="98">
        <v>0</v>
      </c>
      <c r="N255" s="101">
        <v>0</v>
      </c>
      <c r="O255" s="98">
        <v>0</v>
      </c>
      <c r="P255" s="101">
        <v>0</v>
      </c>
      <c r="Q255" s="98">
        <v>0</v>
      </c>
      <c r="R255" s="101">
        <v>0</v>
      </c>
    </row>
    <row r="256" spans="2:18" x14ac:dyDescent="0.2">
      <c r="B256" s="80" t="s">
        <v>1096</v>
      </c>
      <c r="D256" s="80" t="s">
        <v>1096</v>
      </c>
      <c r="E256" s="98">
        <f>COUNTIF('Master Sheet'!L:L, "*" &amp; B256 &amp; "*")</f>
        <v>0</v>
      </c>
      <c r="F256" s="100">
        <v>0</v>
      </c>
      <c r="G256" s="98">
        <f>COUNTIFS('Master Sheet'!L:L, "*" &amp; B256 &amp; "*", 'Master Sheet'!H:H, "Formal")</f>
        <v>0</v>
      </c>
      <c r="H256" s="101">
        <v>0</v>
      </c>
      <c r="I256" s="98">
        <f>COUNTIFS('Master Sheet'!L:L, "*" &amp; B256 &amp; "*", 'Master Sheet'!H:H, "Informal")</f>
        <v>0</v>
      </c>
      <c r="J256" s="101">
        <v>0</v>
      </c>
      <c r="L256" s="98" t="s">
        <v>1094</v>
      </c>
      <c r="M256" s="98">
        <v>0</v>
      </c>
      <c r="N256" s="101">
        <v>0</v>
      </c>
      <c r="O256" s="98">
        <v>0</v>
      </c>
      <c r="P256" s="101">
        <v>0</v>
      </c>
      <c r="Q256" s="98">
        <v>0</v>
      </c>
      <c r="R256" s="101">
        <v>0</v>
      </c>
    </row>
    <row r="257" spans="2:18" x14ac:dyDescent="0.2">
      <c r="B257" s="80" t="s">
        <v>1097</v>
      </c>
      <c r="D257" s="80" t="s">
        <v>1097</v>
      </c>
      <c r="E257" s="98">
        <f>COUNTIF('Master Sheet'!L:L, "*" &amp; B257 &amp; "*")</f>
        <v>1</v>
      </c>
      <c r="F257" s="100">
        <v>5.8479532163742687E-3</v>
      </c>
      <c r="G257" s="98">
        <f>COUNTIFS('Master Sheet'!L:L, "*" &amp; B257 &amp; "*", 'Master Sheet'!H:H, "Formal")</f>
        <v>0</v>
      </c>
      <c r="H257" s="101">
        <v>0</v>
      </c>
      <c r="I257" s="98">
        <f>COUNTIFS('Master Sheet'!L:L, "*" &amp; B257 &amp; "*", 'Master Sheet'!H:H, "Informal")</f>
        <v>1</v>
      </c>
      <c r="J257" s="101">
        <v>9.3457943925233638E-3</v>
      </c>
      <c r="L257" s="98" t="s">
        <v>1095</v>
      </c>
      <c r="M257" s="98">
        <v>0</v>
      </c>
      <c r="N257" s="101">
        <v>0</v>
      </c>
      <c r="O257" s="98">
        <v>0</v>
      </c>
      <c r="P257" s="101">
        <v>0</v>
      </c>
      <c r="Q257" s="98">
        <v>0</v>
      </c>
      <c r="R257" s="101">
        <v>0</v>
      </c>
    </row>
    <row r="258" spans="2:18" x14ac:dyDescent="0.2">
      <c r="B258" s="80" t="s">
        <v>1098</v>
      </c>
      <c r="D258" s="80" t="s">
        <v>1098</v>
      </c>
      <c r="E258" s="98">
        <f>COUNTIF('Master Sheet'!L:L, "*" &amp; B258 &amp; "*")</f>
        <v>1</v>
      </c>
      <c r="F258" s="100">
        <v>5.8479532163742687E-3</v>
      </c>
      <c r="G258" s="98">
        <f>COUNTIFS('Master Sheet'!L:L, "*" &amp; B258 &amp; "*", 'Master Sheet'!H:H, "Formal")</f>
        <v>0</v>
      </c>
      <c r="H258" s="101">
        <v>0</v>
      </c>
      <c r="I258" s="98">
        <f>COUNTIFS('Master Sheet'!L:L, "*" &amp; B258 &amp; "*", 'Master Sheet'!H:H, "Informal")</f>
        <v>1</v>
      </c>
      <c r="J258" s="101">
        <v>9.3457943925233638E-3</v>
      </c>
      <c r="L258" s="98" t="s">
        <v>1096</v>
      </c>
      <c r="M258" s="98">
        <v>0</v>
      </c>
      <c r="N258" s="101">
        <v>0</v>
      </c>
      <c r="O258" s="98">
        <v>0</v>
      </c>
      <c r="P258" s="101">
        <v>0</v>
      </c>
      <c r="Q258" s="98">
        <v>0</v>
      </c>
      <c r="R258" s="101">
        <v>0</v>
      </c>
    </row>
    <row r="259" spans="2:18" x14ac:dyDescent="0.2">
      <c r="B259" s="80" t="s">
        <v>1099</v>
      </c>
      <c r="D259" s="80" t="s">
        <v>1099</v>
      </c>
      <c r="E259" s="98">
        <f>COUNTIF('Master Sheet'!L:L, "*" &amp; B259 &amp; "*")</f>
        <v>0</v>
      </c>
      <c r="F259" s="100">
        <v>0</v>
      </c>
      <c r="G259" s="98">
        <f>COUNTIFS('Master Sheet'!L:L, "*" &amp; B259 &amp; "*", 'Master Sheet'!H:H, "Formal")</f>
        <v>0</v>
      </c>
      <c r="H259" s="101">
        <v>0</v>
      </c>
      <c r="I259" s="98">
        <f>COUNTIFS('Master Sheet'!L:L, "*" &amp; B259 &amp; "*", 'Master Sheet'!H:H, "Informal")</f>
        <v>0</v>
      </c>
      <c r="J259" s="101">
        <v>0</v>
      </c>
      <c r="L259" s="98" t="s">
        <v>1099</v>
      </c>
      <c r="M259" s="98">
        <v>0</v>
      </c>
      <c r="N259" s="101">
        <v>0</v>
      </c>
      <c r="O259" s="98">
        <v>0</v>
      </c>
      <c r="P259" s="101">
        <v>0</v>
      </c>
      <c r="Q259" s="98">
        <v>0</v>
      </c>
      <c r="R259" s="101">
        <v>0</v>
      </c>
    </row>
    <row r="260" spans="2:18" x14ac:dyDescent="0.2">
      <c r="B260" s="80" t="s">
        <v>1100</v>
      </c>
      <c r="D260" s="80" t="s">
        <v>1100</v>
      </c>
      <c r="E260" s="98">
        <f>COUNTIF('Master Sheet'!L:L, "*" &amp; B260 &amp; "*")</f>
        <v>0</v>
      </c>
      <c r="F260" s="100">
        <v>0</v>
      </c>
      <c r="G260" s="98">
        <f>COUNTIFS('Master Sheet'!L:L, "*" &amp; B260 &amp; "*", 'Master Sheet'!H:H, "Formal")</f>
        <v>0</v>
      </c>
      <c r="H260" s="101">
        <v>0</v>
      </c>
      <c r="I260" s="98">
        <f>COUNTIFS('Master Sheet'!L:L, "*" &amp; B260 &amp; "*", 'Master Sheet'!H:H, "Informal")</f>
        <v>0</v>
      </c>
      <c r="J260" s="101">
        <v>0</v>
      </c>
      <c r="L260" s="98" t="s">
        <v>1100</v>
      </c>
      <c r="M260" s="98">
        <v>0</v>
      </c>
      <c r="N260" s="101">
        <v>0</v>
      </c>
      <c r="O260" s="98">
        <v>0</v>
      </c>
      <c r="P260" s="101">
        <v>0</v>
      </c>
      <c r="Q260" s="98">
        <v>0</v>
      </c>
      <c r="R260" s="101">
        <v>0</v>
      </c>
    </row>
    <row r="261" spans="2:18" x14ac:dyDescent="0.2">
      <c r="B261" s="80" t="s">
        <v>1101</v>
      </c>
      <c r="D261" s="80" t="s">
        <v>1101</v>
      </c>
      <c r="E261" s="98">
        <f>COUNTIF('Master Sheet'!L:L, "*" &amp; B261 &amp; "*")</f>
        <v>0</v>
      </c>
      <c r="F261" s="100">
        <v>0</v>
      </c>
      <c r="G261" s="98">
        <f>COUNTIFS('Master Sheet'!L:L, "*" &amp; B261 &amp; "*", 'Master Sheet'!H:H, "Formal")</f>
        <v>0</v>
      </c>
      <c r="H261" s="101">
        <v>0</v>
      </c>
      <c r="I261" s="98">
        <f>COUNTIFS('Master Sheet'!L:L, "*" &amp; B261 &amp; "*", 'Master Sheet'!H:H, "Informal")</f>
        <v>0</v>
      </c>
      <c r="J261" s="101">
        <v>0</v>
      </c>
      <c r="L261" s="98" t="s">
        <v>1101</v>
      </c>
      <c r="M261" s="98">
        <v>0</v>
      </c>
      <c r="N261" s="101">
        <v>0</v>
      </c>
      <c r="O261" s="98">
        <v>0</v>
      </c>
      <c r="P261" s="101">
        <v>0</v>
      </c>
      <c r="Q261" s="98">
        <v>0</v>
      </c>
      <c r="R261" s="101">
        <v>0</v>
      </c>
    </row>
    <row r="262" spans="2:18" x14ac:dyDescent="0.2">
      <c r="B262" s="80" t="s">
        <v>1102</v>
      </c>
      <c r="D262" s="80" t="s">
        <v>1102</v>
      </c>
      <c r="E262" s="98">
        <f>COUNTIF('Master Sheet'!L:L, "*" &amp; B262 &amp; "*")</f>
        <v>0</v>
      </c>
      <c r="F262" s="100">
        <v>0</v>
      </c>
      <c r="G262" s="98">
        <f>COUNTIFS('Master Sheet'!L:L, "*" &amp; B262 &amp; "*", 'Master Sheet'!H:H, "Formal")</f>
        <v>0</v>
      </c>
      <c r="H262" s="101">
        <v>0</v>
      </c>
      <c r="I262" s="98">
        <f>COUNTIFS('Master Sheet'!L:L, "*" &amp; B262 &amp; "*", 'Master Sheet'!H:H, "Informal")</f>
        <v>0</v>
      </c>
      <c r="J262" s="101">
        <v>0</v>
      </c>
      <c r="L262" s="98" t="s">
        <v>1102</v>
      </c>
      <c r="M262" s="98">
        <v>0</v>
      </c>
      <c r="N262" s="101">
        <v>0</v>
      </c>
      <c r="O262" s="98">
        <v>0</v>
      </c>
      <c r="P262" s="101">
        <v>0</v>
      </c>
      <c r="Q262" s="98">
        <v>0</v>
      </c>
      <c r="R262" s="101">
        <v>0</v>
      </c>
    </row>
    <row r="263" spans="2:18" x14ac:dyDescent="0.2">
      <c r="B263" s="80" t="s">
        <v>1103</v>
      </c>
      <c r="D263" s="80" t="s">
        <v>1103</v>
      </c>
      <c r="E263" s="98">
        <f>COUNTIF('Master Sheet'!L:L, "*" &amp; B263 &amp; "*")</f>
        <v>0</v>
      </c>
      <c r="F263" s="100">
        <v>0</v>
      </c>
      <c r="G263" s="98">
        <f>COUNTIFS('Master Sheet'!L:L, "*" &amp; B263 &amp; "*", 'Master Sheet'!H:H, "Formal")</f>
        <v>0</v>
      </c>
      <c r="H263" s="101">
        <v>0</v>
      </c>
      <c r="I263" s="98">
        <f>COUNTIFS('Master Sheet'!L:L, "*" &amp; B263 &amp; "*", 'Master Sheet'!H:H, "Informal")</f>
        <v>0</v>
      </c>
      <c r="J263" s="101">
        <v>0</v>
      </c>
      <c r="L263" s="98" t="s">
        <v>1103</v>
      </c>
      <c r="M263" s="98">
        <v>0</v>
      </c>
      <c r="N263" s="101">
        <v>0</v>
      </c>
      <c r="O263" s="98">
        <v>0</v>
      </c>
      <c r="P263" s="101">
        <v>0</v>
      </c>
      <c r="Q263" s="98">
        <v>0</v>
      </c>
      <c r="R263" s="101">
        <v>0</v>
      </c>
    </row>
    <row r="264" spans="2:18" x14ac:dyDescent="0.2">
      <c r="B264" s="80" t="s">
        <v>1104</v>
      </c>
      <c r="D264" s="80" t="s">
        <v>1104</v>
      </c>
      <c r="E264" s="98">
        <f>COUNTIF('Master Sheet'!L:L, "*" &amp; B264 &amp; "*")</f>
        <v>0</v>
      </c>
      <c r="F264" s="100">
        <v>0</v>
      </c>
      <c r="G264" s="98">
        <f>COUNTIFS('Master Sheet'!L:L, "*" &amp; B264 &amp; "*", 'Master Sheet'!H:H, "Formal")</f>
        <v>0</v>
      </c>
      <c r="H264" s="101">
        <v>0</v>
      </c>
      <c r="I264" s="98">
        <f>COUNTIFS('Master Sheet'!L:L, "*" &amp; B264 &amp; "*", 'Master Sheet'!H:H, "Informal")</f>
        <v>0</v>
      </c>
      <c r="J264" s="101">
        <v>0</v>
      </c>
      <c r="L264" s="98" t="s">
        <v>1104</v>
      </c>
      <c r="M264" s="98">
        <v>0</v>
      </c>
      <c r="N264" s="101">
        <v>0</v>
      </c>
      <c r="O264" s="98">
        <v>0</v>
      </c>
      <c r="P264" s="101">
        <v>0</v>
      </c>
      <c r="Q264" s="98">
        <v>0</v>
      </c>
      <c r="R264" s="101">
        <v>0</v>
      </c>
    </row>
    <row r="265" spans="2:18" x14ac:dyDescent="0.2">
      <c r="B265" s="80" t="s">
        <v>1010</v>
      </c>
      <c r="D265" s="80" t="s">
        <v>1010</v>
      </c>
      <c r="E265" s="98">
        <f>COUNTIF('Master Sheet'!L:L, "*" &amp; B265 &amp; "*")</f>
        <v>0</v>
      </c>
      <c r="F265" s="100">
        <v>0</v>
      </c>
      <c r="G265" s="98">
        <f>COUNTIFS('Master Sheet'!L:L, "*" &amp; B265 &amp; "*", 'Master Sheet'!H:H, "Formal")</f>
        <v>0</v>
      </c>
      <c r="H265" s="101">
        <v>0</v>
      </c>
      <c r="I265" s="98">
        <f>COUNTIFS('Master Sheet'!L:L, "*" &amp; B265 &amp; "*", 'Master Sheet'!H:H, "Informal")</f>
        <v>0</v>
      </c>
      <c r="J265" s="101">
        <v>0</v>
      </c>
      <c r="L265" s="98" t="s">
        <v>1010</v>
      </c>
      <c r="M265" s="98">
        <v>0</v>
      </c>
      <c r="N265" s="101">
        <v>0</v>
      </c>
      <c r="O265" s="98">
        <v>0</v>
      </c>
      <c r="P265" s="101">
        <v>0</v>
      </c>
      <c r="Q265" s="98">
        <v>0</v>
      </c>
      <c r="R265" s="101">
        <v>0</v>
      </c>
    </row>
    <row r="266" spans="2:18" x14ac:dyDescent="0.2">
      <c r="B266" s="80" t="s">
        <v>1011</v>
      </c>
      <c r="D266" s="80" t="s">
        <v>1011</v>
      </c>
      <c r="E266" s="98">
        <f>COUNTIF('Master Sheet'!L:L, "*" &amp; B266 &amp; "*")</f>
        <v>0</v>
      </c>
      <c r="F266" s="100">
        <v>0</v>
      </c>
      <c r="G266" s="98">
        <f>COUNTIFS('Master Sheet'!L:L, "*" &amp; B266 &amp; "*", 'Master Sheet'!H:H, "Formal")</f>
        <v>0</v>
      </c>
      <c r="H266" s="101">
        <v>0</v>
      </c>
      <c r="I266" s="98">
        <f>COUNTIFS('Master Sheet'!L:L, "*" &amp; B266 &amp; "*", 'Master Sheet'!H:H, "Informal")</f>
        <v>0</v>
      </c>
      <c r="J266" s="101">
        <v>0</v>
      </c>
      <c r="L266" s="98" t="s">
        <v>1011</v>
      </c>
      <c r="M266" s="98">
        <v>0</v>
      </c>
      <c r="N266" s="101">
        <v>0</v>
      </c>
      <c r="O266" s="98">
        <v>0</v>
      </c>
      <c r="P266" s="101">
        <v>0</v>
      </c>
      <c r="Q266" s="98">
        <v>0</v>
      </c>
      <c r="R266" s="101">
        <v>0</v>
      </c>
    </row>
    <row r="267" spans="2:18" x14ac:dyDescent="0.2">
      <c r="B267" s="80" t="s">
        <v>1012</v>
      </c>
      <c r="D267" s="80" t="s">
        <v>1012</v>
      </c>
      <c r="E267" s="98">
        <f>COUNTIF('Master Sheet'!L:L, "*" &amp; B267 &amp; "*")</f>
        <v>0</v>
      </c>
      <c r="F267" s="100">
        <v>0</v>
      </c>
      <c r="G267" s="98">
        <f>COUNTIFS('Master Sheet'!L:L, "*" &amp; B267 &amp; "*", 'Master Sheet'!H:H, "Formal")</f>
        <v>0</v>
      </c>
      <c r="H267" s="101">
        <v>0</v>
      </c>
      <c r="I267" s="98">
        <f>COUNTIFS('Master Sheet'!L:L, "*" &amp; B267 &amp; "*", 'Master Sheet'!H:H, "Informal")</f>
        <v>0</v>
      </c>
      <c r="J267" s="101">
        <v>0</v>
      </c>
      <c r="L267" s="98" t="s">
        <v>1012</v>
      </c>
      <c r="M267" s="98">
        <v>0</v>
      </c>
      <c r="N267" s="101">
        <v>0</v>
      </c>
      <c r="O267" s="98">
        <v>0</v>
      </c>
      <c r="P267" s="101">
        <v>0</v>
      </c>
      <c r="Q267" s="98">
        <v>0</v>
      </c>
      <c r="R267" s="101">
        <v>0</v>
      </c>
    </row>
    <row r="268" spans="2:18" x14ac:dyDescent="0.2">
      <c r="B268" s="80" t="s">
        <v>1013</v>
      </c>
      <c r="D268" s="80" t="s">
        <v>1013</v>
      </c>
      <c r="E268" s="98">
        <f>COUNTIF('Master Sheet'!L:L, "*" &amp; B268 &amp; "*")</f>
        <v>0</v>
      </c>
      <c r="F268" s="100">
        <v>0</v>
      </c>
      <c r="G268" s="98">
        <f>COUNTIFS('Master Sheet'!L:L, "*" &amp; B268 &amp; "*", 'Master Sheet'!H:H, "Formal")</f>
        <v>0</v>
      </c>
      <c r="H268" s="101">
        <v>0</v>
      </c>
      <c r="I268" s="98">
        <f>COUNTIFS('Master Sheet'!L:L, "*" &amp; B268 &amp; "*", 'Master Sheet'!H:H, "Informal")</f>
        <v>0</v>
      </c>
      <c r="J268" s="101">
        <v>0</v>
      </c>
      <c r="L268" s="98" t="s">
        <v>1013</v>
      </c>
      <c r="M268" s="98">
        <v>0</v>
      </c>
      <c r="N268" s="101">
        <v>0</v>
      </c>
      <c r="O268" s="98">
        <v>0</v>
      </c>
      <c r="P268" s="101">
        <v>0</v>
      </c>
      <c r="Q268" s="98">
        <v>0</v>
      </c>
      <c r="R268" s="101">
        <v>0</v>
      </c>
    </row>
    <row r="269" spans="2:18" x14ac:dyDescent="0.2">
      <c r="B269" s="80" t="s">
        <v>1014</v>
      </c>
      <c r="D269" s="80" t="s">
        <v>1014</v>
      </c>
      <c r="E269" s="98">
        <f>COUNTIF('Master Sheet'!L:L, "*" &amp; B269 &amp; "*")</f>
        <v>0</v>
      </c>
      <c r="F269" s="100">
        <v>0</v>
      </c>
      <c r="G269" s="98">
        <f>COUNTIFS('Master Sheet'!L:L, "*" &amp; B269 &amp; "*", 'Master Sheet'!H:H, "Formal")</f>
        <v>0</v>
      </c>
      <c r="H269" s="101">
        <v>0</v>
      </c>
      <c r="I269" s="98">
        <f>COUNTIFS('Master Sheet'!L:L, "*" &amp; B269 &amp; "*", 'Master Sheet'!H:H, "Informal")</f>
        <v>0</v>
      </c>
      <c r="J269" s="101">
        <v>0</v>
      </c>
      <c r="L269" s="98" t="s">
        <v>1014</v>
      </c>
      <c r="M269" s="98">
        <v>0</v>
      </c>
      <c r="N269" s="101">
        <v>0</v>
      </c>
      <c r="O269" s="98">
        <v>0</v>
      </c>
      <c r="P269" s="101">
        <v>0</v>
      </c>
      <c r="Q269" s="98">
        <v>0</v>
      </c>
      <c r="R269" s="101">
        <v>0</v>
      </c>
    </row>
    <row r="270" spans="2:18" x14ac:dyDescent="0.2">
      <c r="B270" s="80" t="s">
        <v>1015</v>
      </c>
      <c r="D270" s="80" t="s">
        <v>1015</v>
      </c>
      <c r="E270" s="98">
        <f>COUNTIF('Master Sheet'!L:L, "*" &amp; B270 &amp; "*")</f>
        <v>0</v>
      </c>
      <c r="F270" s="100">
        <v>0</v>
      </c>
      <c r="G270" s="98">
        <f>COUNTIFS('Master Sheet'!L:L, "*" &amp; B270 &amp; "*", 'Master Sheet'!H:H, "Formal")</f>
        <v>0</v>
      </c>
      <c r="H270" s="101">
        <v>0</v>
      </c>
      <c r="I270" s="98">
        <f>COUNTIFS('Master Sheet'!L:L, "*" &amp; B270 &amp; "*", 'Master Sheet'!H:H, "Informal")</f>
        <v>0</v>
      </c>
      <c r="J270" s="101">
        <v>0</v>
      </c>
      <c r="L270" s="98" t="s">
        <v>1015</v>
      </c>
      <c r="M270" s="98">
        <v>0</v>
      </c>
      <c r="N270" s="101">
        <v>0</v>
      </c>
      <c r="O270" s="98">
        <v>0</v>
      </c>
      <c r="P270" s="101">
        <v>0</v>
      </c>
      <c r="Q270" s="98">
        <v>0</v>
      </c>
      <c r="R270" s="101">
        <v>0</v>
      </c>
    </row>
    <row r="271" spans="2:18" x14ac:dyDescent="0.2">
      <c r="B271" s="80" t="s">
        <v>1016</v>
      </c>
      <c r="D271" s="80" t="s">
        <v>1016</v>
      </c>
      <c r="E271" s="98">
        <f>COUNTIF('Master Sheet'!L:L, "*" &amp; B271 &amp; "*")</f>
        <v>0</v>
      </c>
      <c r="F271" s="100">
        <v>0</v>
      </c>
      <c r="G271" s="98">
        <f>COUNTIFS('Master Sheet'!L:L, "*" &amp; B271 &amp; "*", 'Master Sheet'!H:H, "Formal")</f>
        <v>0</v>
      </c>
      <c r="H271" s="101">
        <v>0</v>
      </c>
      <c r="I271" s="98">
        <f>COUNTIFS('Master Sheet'!L:L, "*" &amp; B271 &amp; "*", 'Master Sheet'!H:H, "Informal")</f>
        <v>0</v>
      </c>
      <c r="J271" s="101">
        <v>0</v>
      </c>
      <c r="L271" s="98" t="s">
        <v>1016</v>
      </c>
      <c r="M271" s="98">
        <v>0</v>
      </c>
      <c r="N271" s="101">
        <v>0</v>
      </c>
      <c r="O271" s="98">
        <v>0</v>
      </c>
      <c r="P271" s="101">
        <v>0</v>
      </c>
      <c r="Q271" s="98">
        <v>0</v>
      </c>
      <c r="R271" s="101">
        <v>0</v>
      </c>
    </row>
    <row r="272" spans="2:18" x14ac:dyDescent="0.2">
      <c r="B272" s="80" t="s">
        <v>1017</v>
      </c>
      <c r="D272" s="80" t="s">
        <v>1017</v>
      </c>
      <c r="E272" s="98">
        <f>COUNTIF('Master Sheet'!L:L, "*" &amp; B272 &amp; "*")</f>
        <v>0</v>
      </c>
      <c r="F272" s="100">
        <v>0</v>
      </c>
      <c r="G272" s="98">
        <f>COUNTIFS('Master Sheet'!L:L, "*" &amp; B272 &amp; "*", 'Master Sheet'!H:H, "Formal")</f>
        <v>0</v>
      </c>
      <c r="H272" s="101">
        <v>0</v>
      </c>
      <c r="I272" s="98">
        <f>COUNTIFS('Master Sheet'!L:L, "*" &amp; B272 &amp; "*", 'Master Sheet'!H:H, "Informal")</f>
        <v>0</v>
      </c>
      <c r="J272" s="101">
        <v>0</v>
      </c>
      <c r="L272" s="98" t="s">
        <v>1017</v>
      </c>
      <c r="M272" s="98">
        <v>0</v>
      </c>
      <c r="N272" s="101">
        <v>0</v>
      </c>
      <c r="O272" s="98">
        <v>0</v>
      </c>
      <c r="P272" s="101">
        <v>0</v>
      </c>
      <c r="Q272" s="98">
        <v>0</v>
      </c>
      <c r="R272" s="101">
        <v>0</v>
      </c>
    </row>
    <row r="273" spans="1:18" x14ac:dyDescent="0.2">
      <c r="B273" s="80" t="s">
        <v>1018</v>
      </c>
      <c r="D273" s="80" t="s">
        <v>1018</v>
      </c>
      <c r="E273" s="98">
        <f>COUNTIF('Master Sheet'!L:L, "*" &amp; B273 &amp; "*")</f>
        <v>0</v>
      </c>
      <c r="F273" s="100">
        <v>0</v>
      </c>
      <c r="G273" s="98">
        <f>COUNTIFS('Master Sheet'!L:L, "*" &amp; B273 &amp; "*", 'Master Sheet'!H:H, "Formal")</f>
        <v>0</v>
      </c>
      <c r="H273" s="101">
        <v>0</v>
      </c>
      <c r="I273" s="98">
        <f>COUNTIFS('Master Sheet'!L:L, "*" &amp; B273 &amp; "*", 'Master Sheet'!H:H, "Informal")</f>
        <v>0</v>
      </c>
      <c r="J273" s="101">
        <v>0</v>
      </c>
      <c r="L273" s="98" t="s">
        <v>1018</v>
      </c>
      <c r="M273" s="98">
        <v>0</v>
      </c>
      <c r="N273" s="101">
        <v>0</v>
      </c>
      <c r="O273" s="98">
        <v>0</v>
      </c>
      <c r="P273" s="101">
        <v>0</v>
      </c>
      <c r="Q273" s="98">
        <v>0</v>
      </c>
      <c r="R273" s="101">
        <v>0</v>
      </c>
    </row>
    <row r="274" spans="1:18" x14ac:dyDescent="0.2">
      <c r="B274" s="80" t="s">
        <v>1019</v>
      </c>
      <c r="D274" s="80" t="s">
        <v>1019</v>
      </c>
      <c r="E274" s="98">
        <f>COUNTIF('Master Sheet'!L:L, "*" &amp; B274 &amp; "*")</f>
        <v>0</v>
      </c>
      <c r="F274" s="100">
        <v>0</v>
      </c>
      <c r="G274" s="98">
        <f>COUNTIFS('Master Sheet'!L:L, "*" &amp; B274 &amp; "*", 'Master Sheet'!H:H, "Formal")</f>
        <v>0</v>
      </c>
      <c r="H274" s="101">
        <v>0</v>
      </c>
      <c r="I274" s="98">
        <f>COUNTIFS('Master Sheet'!L:L, "*" &amp; B274 &amp; "*", 'Master Sheet'!H:H, "Informal")</f>
        <v>0</v>
      </c>
      <c r="J274" s="101">
        <v>0</v>
      </c>
      <c r="L274" s="98" t="s">
        <v>1019</v>
      </c>
      <c r="M274" s="98">
        <v>0</v>
      </c>
      <c r="N274" s="101">
        <v>0</v>
      </c>
      <c r="O274" s="98">
        <v>0</v>
      </c>
      <c r="P274" s="101">
        <v>0</v>
      </c>
      <c r="Q274" s="98">
        <v>0</v>
      </c>
      <c r="R274" s="101">
        <v>0</v>
      </c>
    </row>
    <row r="275" spans="1:18" x14ac:dyDescent="0.2">
      <c r="B275" s="80" t="s">
        <v>1020</v>
      </c>
      <c r="D275" s="80" t="s">
        <v>1020</v>
      </c>
      <c r="E275" s="98">
        <f>COUNTIF('Master Sheet'!L:L, "*" &amp; B275 &amp; "*")</f>
        <v>0</v>
      </c>
      <c r="F275" s="100">
        <v>0</v>
      </c>
      <c r="G275" s="98">
        <f>COUNTIFS('Master Sheet'!L:L, "*" &amp; B275 &amp; "*", 'Master Sheet'!H:H, "Formal")</f>
        <v>0</v>
      </c>
      <c r="H275" s="101">
        <v>0</v>
      </c>
      <c r="I275" s="98">
        <f>COUNTIFS('Master Sheet'!L:L, "*" &amp; B275 &amp; "*", 'Master Sheet'!H:H, "Informal")</f>
        <v>0</v>
      </c>
      <c r="J275" s="101">
        <v>0</v>
      </c>
      <c r="L275" s="98" t="s">
        <v>1020</v>
      </c>
      <c r="M275" s="98">
        <v>0</v>
      </c>
      <c r="N275" s="101">
        <v>0</v>
      </c>
      <c r="O275" s="98">
        <v>0</v>
      </c>
      <c r="P275" s="101">
        <v>0</v>
      </c>
      <c r="Q275" s="98">
        <v>0</v>
      </c>
      <c r="R275" s="101">
        <v>0</v>
      </c>
    </row>
    <row r="276" spans="1:18" x14ac:dyDescent="0.2">
      <c r="B276" s="80" t="s">
        <v>1021</v>
      </c>
      <c r="D276" s="80" t="s">
        <v>1021</v>
      </c>
      <c r="E276" s="98">
        <f>COUNTIF('Master Sheet'!L:L, "*" &amp; B276 &amp; "*")</f>
        <v>0</v>
      </c>
      <c r="F276" s="100">
        <v>0</v>
      </c>
      <c r="G276" s="98">
        <f>COUNTIFS('Master Sheet'!L:L, "*" &amp; B276 &amp; "*", 'Master Sheet'!H:H, "Formal")</f>
        <v>0</v>
      </c>
      <c r="H276" s="101">
        <v>0</v>
      </c>
      <c r="I276" s="98">
        <f>COUNTIFS('Master Sheet'!L:L, "*" &amp; B276 &amp; "*", 'Master Sheet'!H:H, "Informal")</f>
        <v>0</v>
      </c>
      <c r="J276" s="101">
        <v>0</v>
      </c>
      <c r="L276" s="98" t="s">
        <v>1021</v>
      </c>
      <c r="M276" s="98">
        <v>0</v>
      </c>
      <c r="N276" s="101">
        <v>0</v>
      </c>
      <c r="O276" s="98">
        <v>0</v>
      </c>
      <c r="P276" s="101">
        <v>0</v>
      </c>
      <c r="Q276" s="98">
        <v>0</v>
      </c>
      <c r="R276" s="101">
        <v>0</v>
      </c>
    </row>
    <row r="277" spans="1:18" x14ac:dyDescent="0.2">
      <c r="D277" s="102" t="s">
        <v>1182</v>
      </c>
      <c r="E277" s="99">
        <f>SUM(E76:E276)</f>
        <v>204</v>
      </c>
      <c r="G277" s="98">
        <f>SUM(G76:G276)</f>
        <v>74</v>
      </c>
      <c r="I277" s="98">
        <f>SUM(I76:I276)</f>
        <v>130</v>
      </c>
    </row>
    <row r="279" spans="1:18" x14ac:dyDescent="0.2">
      <c r="D279" s="121" t="s">
        <v>1193</v>
      </c>
      <c r="E279" s="122" t="s">
        <v>1187</v>
      </c>
    </row>
    <row r="280" spans="1:18" x14ac:dyDescent="0.2">
      <c r="A280" s="105">
        <v>40179</v>
      </c>
      <c r="B280" s="105">
        <v>40543</v>
      </c>
      <c r="D280" s="104" t="s">
        <v>1194</v>
      </c>
      <c r="E280" s="98" cm="1">
        <f t="array" ref="E280">SUMPRODUCT((('Master Sheet'!A:A&gt;=A280)*('Master Sheet'!A:A&lt;=B280)*('Master Sheet'!J:J&lt;&gt;"N/A"))*(LEN('Master Sheet'!J:J)-LEN(SUBSTITUTE('Master Sheet'!J:J, ";", ""))+1))</f>
        <v>0</v>
      </c>
    </row>
    <row r="281" spans="1:18" x14ac:dyDescent="0.2">
      <c r="A281" s="105">
        <v>40544</v>
      </c>
      <c r="B281" s="105">
        <v>40908</v>
      </c>
      <c r="D281" s="104" t="s">
        <v>1195</v>
      </c>
      <c r="E281" s="98" cm="1">
        <f t="array" ref="E281">SUMPRODUCT((('Master Sheet'!A:A&gt;=A281)*('Master Sheet'!A:A&lt;=B281)*('Master Sheet'!J:J&lt;&gt;"N/A"))*(LEN('Master Sheet'!J:J)-LEN(SUBSTITUTE('Master Sheet'!J:J, ";", ""))+1))</f>
        <v>0</v>
      </c>
    </row>
    <row r="282" spans="1:18" x14ac:dyDescent="0.2">
      <c r="A282" s="105">
        <v>40909</v>
      </c>
      <c r="B282" s="105">
        <v>41274</v>
      </c>
      <c r="D282" s="104" t="s">
        <v>1196</v>
      </c>
      <c r="E282" s="98" cm="1">
        <f t="array" ref="E282">SUMPRODUCT((('Master Sheet'!A:A&gt;=A282)*('Master Sheet'!A:A&lt;=B282)*('Master Sheet'!J:J&lt;&gt;"N/A"))*(LEN('Master Sheet'!J:J)-LEN(SUBSTITUTE('Master Sheet'!J:J, ";", ""))+1))</f>
        <v>0</v>
      </c>
    </row>
    <row r="283" spans="1:18" x14ac:dyDescent="0.2">
      <c r="A283" s="105">
        <v>41275</v>
      </c>
      <c r="B283" s="105">
        <v>41639</v>
      </c>
      <c r="D283" s="104" t="s">
        <v>1197</v>
      </c>
      <c r="E283" s="98" cm="1">
        <f t="array" ref="E283">SUMPRODUCT((('Master Sheet'!A:A&gt;=A283)*('Master Sheet'!A:A&lt;=B283)*('Master Sheet'!J:J&lt;&gt;"N/A"))*(LEN('Master Sheet'!J:J)-LEN(SUBSTITUTE('Master Sheet'!J:J, ";", ""))+1))</f>
        <v>0</v>
      </c>
    </row>
    <row r="284" spans="1:18" x14ac:dyDescent="0.2">
      <c r="A284" s="105">
        <v>41640</v>
      </c>
      <c r="B284" s="105">
        <v>42004</v>
      </c>
      <c r="D284" s="104" t="s">
        <v>1198</v>
      </c>
      <c r="E284" s="98" cm="1">
        <f t="array" ref="E284">SUMPRODUCT((('Master Sheet'!A:A&gt;=A284)*('Master Sheet'!A:A&lt;=B284)*('Master Sheet'!J:J&lt;&gt;"N/A"))*(LEN('Master Sheet'!J:J)-LEN(SUBSTITUTE('Master Sheet'!J:J, ";", ""))+1))</f>
        <v>0</v>
      </c>
    </row>
    <row r="285" spans="1:18" x14ac:dyDescent="0.2">
      <c r="A285" s="105">
        <v>42005</v>
      </c>
      <c r="B285" s="105">
        <v>42369</v>
      </c>
      <c r="D285" s="104" t="s">
        <v>1199</v>
      </c>
      <c r="E285" s="98" cm="1">
        <f t="array" ref="E285">SUMPRODUCT((('Master Sheet'!A:A&gt;=A285)*('Master Sheet'!A:A&lt;=B285)*('Master Sheet'!J:J&lt;&gt;"N/A"))*(LEN('Master Sheet'!J:J)-LEN(SUBSTITUTE('Master Sheet'!J:J, ";", ""))+1))</f>
        <v>0</v>
      </c>
    </row>
    <row r="286" spans="1:18" x14ac:dyDescent="0.2">
      <c r="A286" s="105">
        <v>42370</v>
      </c>
      <c r="B286" s="105">
        <v>42735</v>
      </c>
      <c r="D286" s="104" t="s">
        <v>1200</v>
      </c>
      <c r="E286" s="98" cm="1">
        <f t="array" ref="E286">SUMPRODUCT((('Master Sheet'!A:A&gt;=A286)*('Master Sheet'!A:A&lt;=B286)*('Master Sheet'!J:J&lt;&gt;"N/A"))*(LEN('Master Sheet'!J:J)-LEN(SUBSTITUTE('Master Sheet'!J:J, ";", ""))+1))</f>
        <v>0</v>
      </c>
    </row>
    <row r="287" spans="1:18" x14ac:dyDescent="0.2">
      <c r="A287" s="105">
        <v>42736</v>
      </c>
      <c r="B287" s="105">
        <v>43100</v>
      </c>
      <c r="D287" s="104" t="s">
        <v>1201</v>
      </c>
      <c r="E287" s="98" cm="1">
        <f t="array" ref="E287">SUMPRODUCT((('Master Sheet'!A:A&gt;=A287)*('Master Sheet'!A:A&lt;=B287)*('Master Sheet'!J:J&lt;&gt;"N/A"))*(LEN('Master Sheet'!J:J)-LEN(SUBSTITUTE('Master Sheet'!J:J, ";", ""))+1))</f>
        <v>0</v>
      </c>
    </row>
    <row r="288" spans="1:18" x14ac:dyDescent="0.2">
      <c r="A288" s="105">
        <v>43101</v>
      </c>
      <c r="B288" s="105">
        <v>43465</v>
      </c>
      <c r="D288" s="104" t="s">
        <v>1202</v>
      </c>
      <c r="E288" s="98" cm="1">
        <f t="array" ref="E288">SUMPRODUCT((('Master Sheet'!A:A&gt;=A288)*('Master Sheet'!A:A&lt;=B288)*('Master Sheet'!J:J&lt;&gt;"N/A"))*(LEN('Master Sheet'!J:J)-LEN(SUBSTITUTE('Master Sheet'!J:J, ";", ""))+1))</f>
        <v>0</v>
      </c>
    </row>
    <row r="289" spans="1:5" x14ac:dyDescent="0.2">
      <c r="A289" s="105">
        <v>43466</v>
      </c>
      <c r="B289" s="105">
        <v>43830</v>
      </c>
      <c r="D289" s="104" t="s">
        <v>1203</v>
      </c>
      <c r="E289" s="98" cm="1">
        <f t="array" ref="E289">SUMPRODUCT((('Master Sheet'!A:A&gt;=A289)*('Master Sheet'!A:A&lt;=B289)*('Master Sheet'!J:J&lt;&gt;"N/A"))*(LEN('Master Sheet'!J:J)-LEN(SUBSTITUTE('Master Sheet'!J:J, ";", ""))+1))</f>
        <v>0</v>
      </c>
    </row>
    <row r="290" spans="1:5" x14ac:dyDescent="0.2">
      <c r="A290" s="105">
        <v>43831</v>
      </c>
      <c r="B290" s="105">
        <v>44196</v>
      </c>
      <c r="D290" s="104" t="s">
        <v>1204</v>
      </c>
      <c r="E290" s="98" cm="1">
        <f t="array" ref="E290">SUMPRODUCT((('Master Sheet'!A:A&gt;=A290)*('Master Sheet'!A:A&lt;=B290)*('Master Sheet'!J:J&lt;&gt;"N/A"))*(LEN('Master Sheet'!J:J)-LEN(SUBSTITUTE('Master Sheet'!J:J, ";", ""))+1))</f>
        <v>15</v>
      </c>
    </row>
    <row r="291" spans="1:5" x14ac:dyDescent="0.2">
      <c r="A291" s="105">
        <v>44197</v>
      </c>
      <c r="B291" s="105">
        <v>44561</v>
      </c>
      <c r="D291" s="104" t="s">
        <v>1205</v>
      </c>
      <c r="E291" s="98" cm="1">
        <f t="array" ref="E291">SUMPRODUCT((('Master Sheet'!A:A&gt;=A291)*('Master Sheet'!A:A&lt;=B291)*('Master Sheet'!J:J&lt;&gt;"N/A"))*(LEN('Master Sheet'!J:J)-LEN(SUBSTITUTE('Master Sheet'!J:J, ";", ""))+1))</f>
        <v>46</v>
      </c>
    </row>
    <row r="292" spans="1:5" x14ac:dyDescent="0.2">
      <c r="A292" s="105">
        <v>44562</v>
      </c>
      <c r="B292" s="105">
        <v>44926</v>
      </c>
      <c r="D292" s="104" t="s">
        <v>1206</v>
      </c>
      <c r="E292" s="98" cm="1">
        <f t="array" ref="E292">SUMPRODUCT((('Master Sheet'!A:A&gt;=A292)*('Master Sheet'!A:A&lt;=B292)*('Master Sheet'!J:J&lt;&gt;"N/A"))*(LEN('Master Sheet'!J:J)-LEN(SUBSTITUTE('Master Sheet'!J:J, ";", ""))+1))</f>
        <v>16</v>
      </c>
    </row>
    <row r="293" spans="1:5" x14ac:dyDescent="0.2">
      <c r="A293" s="105">
        <v>44927</v>
      </c>
      <c r="B293" s="105">
        <v>45291</v>
      </c>
      <c r="D293" s="104" t="s">
        <v>1207</v>
      </c>
      <c r="E293" s="98" cm="1">
        <f t="array" ref="E293">SUMPRODUCT((('Master Sheet'!A:A&gt;=A293)*('Master Sheet'!A:A&lt;=B293)*('Master Sheet'!J:J&lt;&gt;"N/A"))*(LEN('Master Sheet'!J:J)-LEN(SUBSTITUTE('Master Sheet'!J:J, ";", ""))+1))</f>
        <v>14</v>
      </c>
    </row>
    <row r="294" spans="1:5" x14ac:dyDescent="0.2">
      <c r="A294" s="105">
        <v>45292</v>
      </c>
      <c r="B294" s="105">
        <v>45657</v>
      </c>
      <c r="D294" s="104" t="s">
        <v>1208</v>
      </c>
      <c r="E294" s="98" cm="1">
        <f t="array" ref="E294">SUMPRODUCT((('Master Sheet'!A:A&gt;=A294)*('Master Sheet'!A:A&lt;=B294)*('Master Sheet'!J:J&lt;&gt;"N/A"))*(LEN('Master Sheet'!J:J)-LEN(SUBSTITUTE('Master Sheet'!J:J, ";", ""))+1))</f>
        <v>56</v>
      </c>
    </row>
    <row r="295" spans="1:5" x14ac:dyDescent="0.2">
      <c r="A295" s="105">
        <v>45658</v>
      </c>
      <c r="B295" s="105">
        <v>46022</v>
      </c>
      <c r="D295" s="104" t="s">
        <v>1209</v>
      </c>
      <c r="E295" s="98" cm="1">
        <f t="array" ref="E295">SUMPRODUCT((('Master Sheet'!A:A&gt;=A295)*('Master Sheet'!A:A&lt;=B295)*('Master Sheet'!J:J&lt;&gt;"N/A"))*(LEN('Master Sheet'!J:J)-LEN(SUBSTITUTE('Master Sheet'!J:J, ";", ""))+1))</f>
        <v>0</v>
      </c>
    </row>
    <row r="296" spans="1:5" x14ac:dyDescent="0.2">
      <c r="B296" s="105"/>
      <c r="C296" s="105"/>
      <c r="D296" s="112" t="s">
        <v>1211</v>
      </c>
      <c r="E296" s="98">
        <f>SUM(E280:E295)</f>
        <v>147</v>
      </c>
    </row>
    <row r="297" spans="1:5" x14ac:dyDescent="0.2">
      <c r="D297" s="112" t="s">
        <v>1212</v>
      </c>
      <c r="E297" s="98" cm="1">
        <f t="array" ref="E297">SUMPRODUCT((('Master Sheet'!J2:J1000&lt;&gt;"N/A")*('Master Sheet'!J2:J1000&lt;&gt;"")) * (LEN('Master Sheet'!J2:J1000) - LEN(SUBSTITUTE('Master Sheet'!J2:J1000, ";", "")) + 1))</f>
        <v>147</v>
      </c>
    </row>
    <row r="299" spans="1:5" x14ac:dyDescent="0.2">
      <c r="D299" s="121" t="s">
        <v>1210</v>
      </c>
      <c r="E299" s="122" t="s">
        <v>1187</v>
      </c>
    </row>
    <row r="300" spans="1:5" x14ac:dyDescent="0.2">
      <c r="A300" s="105">
        <v>40179</v>
      </c>
      <c r="B300" s="105">
        <v>40543</v>
      </c>
      <c r="D300" s="104" t="s">
        <v>1194</v>
      </c>
      <c r="E300" s="98" cm="1">
        <f t="array" ref="E300">SUMPRODUCT((('Master Sheet'!A:A&gt;=A300)*('Master Sheet'!A:A&lt;=B300)*('Master Sheet'!K:K&lt;&gt;"N/A"))*(LEN('Master Sheet'!K:K)-LEN(SUBSTITUTE('Master Sheet'!K:K, ";", ""))+1))</f>
        <v>0</v>
      </c>
    </row>
    <row r="301" spans="1:5" x14ac:dyDescent="0.2">
      <c r="A301" s="105">
        <v>40544</v>
      </c>
      <c r="B301" s="105">
        <v>40908</v>
      </c>
      <c r="D301" s="104" t="s">
        <v>1195</v>
      </c>
      <c r="E301" s="98" cm="1">
        <f t="array" ref="E301">SUMPRODUCT((('Master Sheet'!A:A&gt;=A301)*('Master Sheet'!A:A&lt;=B301)*('Master Sheet'!K:K&lt;&gt;"N/A"))*(LEN('Master Sheet'!K:K)-LEN(SUBSTITUTE('Master Sheet'!K:K, ";", ""))+1))</f>
        <v>0</v>
      </c>
    </row>
    <row r="302" spans="1:5" x14ac:dyDescent="0.2">
      <c r="A302" s="105">
        <v>40909</v>
      </c>
      <c r="B302" s="105">
        <v>41274</v>
      </c>
      <c r="D302" s="104" t="s">
        <v>1196</v>
      </c>
      <c r="E302" s="98" cm="1">
        <f t="array" ref="E302">SUMPRODUCT((('Master Sheet'!A:A&gt;=A302)*('Master Sheet'!A:A&lt;=B302)*('Master Sheet'!K:K&lt;&gt;"N/A"))*(LEN('Master Sheet'!K:K)-LEN(SUBSTITUTE('Master Sheet'!K:K, ";", ""))+1))</f>
        <v>3</v>
      </c>
    </row>
    <row r="303" spans="1:5" x14ac:dyDescent="0.2">
      <c r="A303" s="105">
        <v>41275</v>
      </c>
      <c r="B303" s="105">
        <v>41639</v>
      </c>
      <c r="D303" s="104" t="s">
        <v>1197</v>
      </c>
      <c r="E303" s="98" cm="1">
        <f t="array" ref="E303">SUMPRODUCT((('Master Sheet'!A:A&gt;=A303)*('Master Sheet'!A:A&lt;=B303)*('Master Sheet'!K:K&lt;&gt;"N/A"))*(LEN('Master Sheet'!K:K)-LEN(SUBSTITUTE('Master Sheet'!K:K, ";", ""))+1))</f>
        <v>0</v>
      </c>
    </row>
    <row r="304" spans="1:5" x14ac:dyDescent="0.2">
      <c r="A304" s="105">
        <v>41640</v>
      </c>
      <c r="B304" s="105">
        <v>42004</v>
      </c>
      <c r="D304" s="104" t="s">
        <v>1198</v>
      </c>
      <c r="E304" s="98" cm="1">
        <f t="array" ref="E304">SUMPRODUCT((('Master Sheet'!A:A&gt;=A304)*('Master Sheet'!A:A&lt;=B304)*('Master Sheet'!K:K&lt;&gt;"N/A"))*(LEN('Master Sheet'!K:K)-LEN(SUBSTITUTE('Master Sheet'!K:K, ";", ""))+1))</f>
        <v>2</v>
      </c>
    </row>
    <row r="305" spans="1:7" x14ac:dyDescent="0.2">
      <c r="A305" s="105">
        <v>42005</v>
      </c>
      <c r="B305" s="105">
        <v>42369</v>
      </c>
      <c r="D305" s="104" t="s">
        <v>1199</v>
      </c>
      <c r="E305" s="98" cm="1">
        <f t="array" ref="E305">SUMPRODUCT((('Master Sheet'!A:A&gt;=A305)*('Master Sheet'!A:A&lt;=B305)*('Master Sheet'!K:K&lt;&gt;"N/A"))*(LEN('Master Sheet'!K:K)-LEN(SUBSTITUTE('Master Sheet'!K:K, ";", ""))+1))</f>
        <v>0</v>
      </c>
    </row>
    <row r="306" spans="1:7" x14ac:dyDescent="0.2">
      <c r="A306" s="105">
        <v>42370</v>
      </c>
      <c r="B306" s="105">
        <v>42735</v>
      </c>
      <c r="D306" s="104" t="s">
        <v>1200</v>
      </c>
      <c r="E306" s="98" cm="1">
        <f t="array" ref="E306">SUMPRODUCT((('Master Sheet'!A:A&gt;=A306)*('Master Sheet'!A:A&lt;=B306)*('Master Sheet'!K:K&lt;&gt;"N/A"))*(LEN('Master Sheet'!K:K)-LEN(SUBSTITUTE('Master Sheet'!K:K, ";", ""))+1))</f>
        <v>4</v>
      </c>
    </row>
    <row r="307" spans="1:7" x14ac:dyDescent="0.2">
      <c r="A307" s="105">
        <v>42736</v>
      </c>
      <c r="B307" s="105">
        <v>43100</v>
      </c>
      <c r="D307" s="104" t="s">
        <v>1201</v>
      </c>
      <c r="E307" s="98" cm="1">
        <f t="array" ref="E307">SUMPRODUCT((('Master Sheet'!A:A&gt;=A307)*('Master Sheet'!A:A&lt;=B307)*('Master Sheet'!K:K&lt;&gt;"N/A"))*(LEN('Master Sheet'!K:K)-LEN(SUBSTITUTE('Master Sheet'!K:K, ";", ""))+1))</f>
        <v>3</v>
      </c>
    </row>
    <row r="308" spans="1:7" x14ac:dyDescent="0.2">
      <c r="A308" s="105">
        <v>43101</v>
      </c>
      <c r="B308" s="105">
        <v>43465</v>
      </c>
      <c r="D308" s="104" t="s">
        <v>1202</v>
      </c>
      <c r="E308" s="98" cm="1">
        <f t="array" ref="E308">SUMPRODUCT((('Master Sheet'!A:A&gt;=A308)*('Master Sheet'!A:A&lt;=B308)*('Master Sheet'!K:K&lt;&gt;"N/A"))*(LEN('Master Sheet'!K:K)-LEN(SUBSTITUTE('Master Sheet'!K:K, ";", ""))+1))</f>
        <v>10</v>
      </c>
    </row>
    <row r="309" spans="1:7" x14ac:dyDescent="0.2">
      <c r="A309" s="105">
        <v>43466</v>
      </c>
      <c r="B309" s="105">
        <v>43830</v>
      </c>
      <c r="D309" s="104" t="s">
        <v>1203</v>
      </c>
      <c r="E309" s="98" cm="1">
        <f t="array" ref="E309">SUMPRODUCT((('Master Sheet'!A:A&gt;=A309)*('Master Sheet'!A:A&lt;=B309)*('Master Sheet'!K:K&lt;&gt;"N/A"))*(LEN('Master Sheet'!K:K)-LEN(SUBSTITUTE('Master Sheet'!K:K, ";", ""))+1))</f>
        <v>40</v>
      </c>
    </row>
    <row r="310" spans="1:7" x14ac:dyDescent="0.2">
      <c r="A310" s="105">
        <v>43831</v>
      </c>
      <c r="B310" s="105">
        <v>44196</v>
      </c>
      <c r="D310" s="104" t="s">
        <v>1204</v>
      </c>
      <c r="E310" s="98" cm="1">
        <f t="array" ref="E310">SUMPRODUCT((('Master Sheet'!A:A&gt;=A310)*('Master Sheet'!A:A&lt;=B310)*('Master Sheet'!K:K&lt;&gt;"N/A"))*(LEN('Master Sheet'!K:K)-LEN(SUBSTITUTE('Master Sheet'!K:K, ";", ""))+1))</f>
        <v>8</v>
      </c>
    </row>
    <row r="311" spans="1:7" x14ac:dyDescent="0.2">
      <c r="A311" s="105">
        <v>44197</v>
      </c>
      <c r="B311" s="105">
        <v>44561</v>
      </c>
      <c r="D311" s="104" t="s">
        <v>1205</v>
      </c>
      <c r="E311" s="98" cm="1">
        <f t="array" ref="E311">SUMPRODUCT((('Master Sheet'!A:A&gt;=A311)*('Master Sheet'!A:A&lt;=B311)*('Master Sheet'!K:K&lt;&gt;"N/A"))*(LEN('Master Sheet'!K:K)-LEN(SUBSTITUTE('Master Sheet'!K:K, ";", ""))+1))</f>
        <v>23</v>
      </c>
    </row>
    <row r="312" spans="1:7" x14ac:dyDescent="0.2">
      <c r="A312" s="105">
        <v>44562</v>
      </c>
      <c r="B312" s="105">
        <v>44926</v>
      </c>
      <c r="D312" s="104" t="s">
        <v>1206</v>
      </c>
      <c r="E312" s="98" cm="1">
        <f t="array" ref="E312">SUMPRODUCT((('Master Sheet'!A:A&gt;=A312)*('Master Sheet'!A:A&lt;=B312)*('Master Sheet'!K:K&lt;&gt;"N/A"))*(LEN('Master Sheet'!K:K)-LEN(SUBSTITUTE('Master Sheet'!K:K, ";", ""))+1))</f>
        <v>7</v>
      </c>
    </row>
    <row r="313" spans="1:7" x14ac:dyDescent="0.2">
      <c r="A313" s="105">
        <v>44927</v>
      </c>
      <c r="B313" s="105">
        <v>45291</v>
      </c>
      <c r="D313" s="104" t="s">
        <v>1207</v>
      </c>
      <c r="E313" s="98" cm="1">
        <f t="array" ref="E313">SUMPRODUCT((('Master Sheet'!A:A&gt;=A313)*('Master Sheet'!A:A&lt;=B313)*('Master Sheet'!K:K&lt;&gt;"N/A"))*(LEN('Master Sheet'!K:K)-LEN(SUBSTITUTE('Master Sheet'!K:K, ";", ""))+1))</f>
        <v>35</v>
      </c>
    </row>
    <row r="314" spans="1:7" x14ac:dyDescent="0.2">
      <c r="A314" s="105">
        <v>45292</v>
      </c>
      <c r="B314" s="105">
        <v>45657</v>
      </c>
      <c r="D314" s="104" t="s">
        <v>1208</v>
      </c>
      <c r="E314" s="98" cm="1">
        <f t="array" ref="E314">SUMPRODUCT((('Master Sheet'!A:A&gt;=A314)*('Master Sheet'!A:A&lt;=B314)*('Master Sheet'!K:K&lt;&gt;"N/A"))*(LEN('Master Sheet'!K:K)-LEN(SUBSTITUTE('Master Sheet'!K:K, ";", ""))+1))</f>
        <v>59</v>
      </c>
    </row>
    <row r="315" spans="1:7" x14ac:dyDescent="0.2">
      <c r="A315" s="105">
        <v>45658</v>
      </c>
      <c r="B315" s="105">
        <v>46022</v>
      </c>
      <c r="D315" s="104" t="s">
        <v>1209</v>
      </c>
      <c r="E315" s="98" cm="1">
        <f t="array" ref="E315">SUMPRODUCT((('Master Sheet'!A:A&gt;=A315)*('Master Sheet'!A:A&lt;=B315)*('Master Sheet'!K:K&lt;&gt;"N/A"))*(LEN('Master Sheet'!K:K)-LEN(SUBSTITUTE('Master Sheet'!K:K, ";", ""))+1))</f>
        <v>87</v>
      </c>
    </row>
    <row r="316" spans="1:7" x14ac:dyDescent="0.2">
      <c r="D316" s="112" t="s">
        <v>1211</v>
      </c>
      <c r="E316" s="98">
        <f>SUM(E300:E315)</f>
        <v>281</v>
      </c>
    </row>
    <row r="317" spans="1:7" x14ac:dyDescent="0.2">
      <c r="D317" s="112" t="s">
        <v>1212</v>
      </c>
      <c r="E317" s="98" cm="1">
        <f t="array" ref="E317">SUMPRODUCT((('Master Sheet'!K2:K1000&lt;&gt;"N/A")*('Master Sheet'!K2:K1000&lt;&gt;"")) * (LEN('Master Sheet'!K2:K1000) - LEN(SUBSTITUTE('Master Sheet'!K2:K1000, ";", "")) + 1))</f>
        <v>281</v>
      </c>
    </row>
    <row r="319" spans="1:7" x14ac:dyDescent="0.2">
      <c r="D319" s="157" t="s">
        <v>1310</v>
      </c>
      <c r="E319" s="156" t="s">
        <v>208</v>
      </c>
      <c r="F319" s="156" t="s">
        <v>1308</v>
      </c>
      <c r="G319" s="98" t="s">
        <v>1182</v>
      </c>
    </row>
    <row r="320" spans="1:7" x14ac:dyDescent="0.2">
      <c r="A320" s="105">
        <v>40179</v>
      </c>
      <c r="B320" s="105">
        <v>40543</v>
      </c>
      <c r="D320" s="104" t="s">
        <v>1194</v>
      </c>
      <c r="E320" s="98" cm="1">
        <f t="array" ref="E320">SUMPRODUCT((('Master Sheet'!A:A&gt;=A320)*('Master Sheet'!A:A&lt;=B320)*('Master Sheet'!H:H="Formal")))</f>
        <v>0</v>
      </c>
      <c r="F320" s="98" cm="1">
        <f t="array" ref="F320">SUMPRODUCT((('Master Sheet'!A:A&gt;=A320)*('Master Sheet'!A:A&lt;=B320)*('Master Sheet'!H:H="Informal")))</f>
        <v>3</v>
      </c>
      <c r="G320" s="98">
        <f>SUM(E320:F320)</f>
        <v>3</v>
      </c>
    </row>
    <row r="321" spans="1:7" x14ac:dyDescent="0.2">
      <c r="A321" s="105">
        <v>40544</v>
      </c>
      <c r="B321" s="105">
        <v>40908</v>
      </c>
      <c r="D321" s="104" t="s">
        <v>1195</v>
      </c>
      <c r="E321" s="98" cm="1">
        <f t="array" ref="E321">SUMPRODUCT((('Master Sheet'!A:A&gt;=A321)*('Master Sheet'!A:A&lt;=B321)*('Master Sheet'!H:H="Formal")))</f>
        <v>0</v>
      </c>
      <c r="F321" s="98" cm="1">
        <f t="array" ref="F321">SUMPRODUCT((('Master Sheet'!A:A&gt;=A321)*('Master Sheet'!A:A&lt;=B321)*('Master Sheet'!H:H="Informal")))</f>
        <v>1</v>
      </c>
      <c r="G321" s="98">
        <f t="shared" ref="G321:G335" si="0">SUM(E321:F321)</f>
        <v>1</v>
      </c>
    </row>
    <row r="322" spans="1:7" x14ac:dyDescent="0.2">
      <c r="A322" s="105">
        <v>40909</v>
      </c>
      <c r="B322" s="105">
        <v>41274</v>
      </c>
      <c r="D322" s="104" t="s">
        <v>1196</v>
      </c>
      <c r="E322" s="98" cm="1">
        <f t="array" ref="E322">SUMPRODUCT((('Master Sheet'!A:A&gt;=A322)*('Master Sheet'!A:A&lt;=B322)*('Master Sheet'!H:H="Formal")))</f>
        <v>0</v>
      </c>
      <c r="F322" s="98" cm="1">
        <f t="array" ref="F322">SUMPRODUCT((('Master Sheet'!A:A&gt;=A322)*('Master Sheet'!A:A&lt;=B322)*('Master Sheet'!H:H="Informal")))</f>
        <v>7</v>
      </c>
      <c r="G322" s="98">
        <f t="shared" si="0"/>
        <v>7</v>
      </c>
    </row>
    <row r="323" spans="1:7" x14ac:dyDescent="0.2">
      <c r="A323" s="105">
        <v>41275</v>
      </c>
      <c r="B323" s="105">
        <v>41639</v>
      </c>
      <c r="D323" s="104" t="s">
        <v>1197</v>
      </c>
      <c r="E323" s="98" cm="1">
        <f t="array" ref="E323">SUMPRODUCT((('Master Sheet'!A:A&gt;=A323)*('Master Sheet'!A:A&lt;=B323)*('Master Sheet'!H:H="Formal")))</f>
        <v>0</v>
      </c>
      <c r="F323" s="98" cm="1">
        <f t="array" ref="F323">SUMPRODUCT((('Master Sheet'!A:A&gt;=A323)*('Master Sheet'!A:A&lt;=B323)*('Master Sheet'!H:H="Informal")))</f>
        <v>2</v>
      </c>
      <c r="G323" s="98">
        <f t="shared" si="0"/>
        <v>2</v>
      </c>
    </row>
    <row r="324" spans="1:7" x14ac:dyDescent="0.2">
      <c r="A324" s="105">
        <v>41640</v>
      </c>
      <c r="B324" s="105">
        <v>42004</v>
      </c>
      <c r="D324" s="104" t="s">
        <v>1198</v>
      </c>
      <c r="E324" s="98" cm="1">
        <f t="array" ref="E324">SUMPRODUCT((('Master Sheet'!A:A&gt;=A324)*('Master Sheet'!A:A&lt;=B324)*('Master Sheet'!H:H="Formal")))</f>
        <v>0</v>
      </c>
      <c r="F324" s="98" cm="1">
        <f t="array" ref="F324">SUMPRODUCT((('Master Sheet'!A:A&gt;=A324)*('Master Sheet'!A:A&lt;=B324)*('Master Sheet'!H:H="Informal")))</f>
        <v>5</v>
      </c>
      <c r="G324" s="98">
        <f t="shared" si="0"/>
        <v>5</v>
      </c>
    </row>
    <row r="325" spans="1:7" x14ac:dyDescent="0.2">
      <c r="A325" s="105">
        <v>42005</v>
      </c>
      <c r="B325" s="105">
        <v>42369</v>
      </c>
      <c r="D325" s="104" t="s">
        <v>1199</v>
      </c>
      <c r="E325" s="98" cm="1">
        <f t="array" ref="E325">SUMPRODUCT((('Master Sheet'!A:A&gt;=A325)*('Master Sheet'!A:A&lt;=B325)*('Master Sheet'!H:H="Formal")))</f>
        <v>0</v>
      </c>
      <c r="F325" s="98" cm="1">
        <f t="array" ref="F325">SUMPRODUCT((('Master Sheet'!A:A&gt;=A325)*('Master Sheet'!A:A&lt;=B325)*('Master Sheet'!H:H="Informal")))</f>
        <v>0</v>
      </c>
      <c r="G325" s="98">
        <f t="shared" si="0"/>
        <v>0</v>
      </c>
    </row>
    <row r="326" spans="1:7" x14ac:dyDescent="0.2">
      <c r="A326" s="105">
        <v>42370</v>
      </c>
      <c r="B326" s="105">
        <v>42735</v>
      </c>
      <c r="D326" s="104" t="s">
        <v>1200</v>
      </c>
      <c r="E326" s="98" cm="1">
        <f t="array" ref="E326">SUMPRODUCT((('Master Sheet'!A:A&gt;=A326)*('Master Sheet'!A:A&lt;=B326)*('Master Sheet'!H:H="Formal")))</f>
        <v>0</v>
      </c>
      <c r="F326" s="98" cm="1">
        <f t="array" ref="F326">SUMPRODUCT((('Master Sheet'!A:A&gt;=A326)*('Master Sheet'!A:A&lt;=B326)*('Master Sheet'!H:H="Informal")))</f>
        <v>10</v>
      </c>
      <c r="G326" s="98">
        <f t="shared" si="0"/>
        <v>10</v>
      </c>
    </row>
    <row r="327" spans="1:7" x14ac:dyDescent="0.2">
      <c r="A327" s="105">
        <v>42736</v>
      </c>
      <c r="B327" s="105">
        <v>43100</v>
      </c>
      <c r="D327" s="104" t="s">
        <v>1201</v>
      </c>
      <c r="E327" s="98" cm="1">
        <f t="array" ref="E327">SUMPRODUCT((('Master Sheet'!A:A&gt;=A327)*('Master Sheet'!A:A&lt;=B327)*('Master Sheet'!H:H="Formal")))</f>
        <v>0</v>
      </c>
      <c r="F327" s="98" cm="1">
        <f t="array" ref="F327">SUMPRODUCT((('Master Sheet'!A:A&gt;=A327)*('Master Sheet'!A:A&lt;=B327)*('Master Sheet'!H:H="Informal")))</f>
        <v>9</v>
      </c>
      <c r="G327" s="98">
        <f t="shared" si="0"/>
        <v>9</v>
      </c>
    </row>
    <row r="328" spans="1:7" x14ac:dyDescent="0.2">
      <c r="A328" s="105">
        <v>43101</v>
      </c>
      <c r="B328" s="105">
        <v>43465</v>
      </c>
      <c r="D328" s="104" t="s">
        <v>1202</v>
      </c>
      <c r="E328" s="98" cm="1">
        <f t="array" ref="E328">SUMPRODUCT((('Master Sheet'!A:A&gt;=A328)*('Master Sheet'!A:A&lt;=B328)*('Master Sheet'!H:H="Formal")))</f>
        <v>4</v>
      </c>
      <c r="F328" s="98" cm="1">
        <f t="array" ref="F328">SUMPRODUCT((('Master Sheet'!A:A&gt;=A328)*('Master Sheet'!A:A&lt;=B328)*('Master Sheet'!H:H="Informal")))</f>
        <v>13</v>
      </c>
      <c r="G328" s="98">
        <f t="shared" si="0"/>
        <v>17</v>
      </c>
    </row>
    <row r="329" spans="1:7" x14ac:dyDescent="0.2">
      <c r="A329" s="105">
        <v>43466</v>
      </c>
      <c r="B329" s="105">
        <v>43830</v>
      </c>
      <c r="D329" s="104" t="s">
        <v>1203</v>
      </c>
      <c r="E329" s="98" cm="1">
        <f t="array" ref="E329">SUMPRODUCT((('Master Sheet'!A:A&gt;=A329)*('Master Sheet'!A:A&lt;=B329)*('Master Sheet'!H:H="Formal")))</f>
        <v>2</v>
      </c>
      <c r="F329" s="98" cm="1">
        <f t="array" ref="F329">SUMPRODUCT((('Master Sheet'!A:A&gt;=A329)*('Master Sheet'!A:A&lt;=B329)*('Master Sheet'!H:H="Informal")))</f>
        <v>23</v>
      </c>
      <c r="G329" s="98">
        <f t="shared" si="0"/>
        <v>25</v>
      </c>
    </row>
    <row r="330" spans="1:7" x14ac:dyDescent="0.2">
      <c r="A330" s="105">
        <v>43831</v>
      </c>
      <c r="B330" s="105">
        <v>44196</v>
      </c>
      <c r="D330" s="104" t="s">
        <v>1204</v>
      </c>
      <c r="E330" s="98" cm="1">
        <f t="array" ref="E330">SUMPRODUCT((('Master Sheet'!A:A&gt;=A330)*('Master Sheet'!A:A&lt;=B330)*('Master Sheet'!H:H="Formal")))</f>
        <v>3</v>
      </c>
      <c r="F330" s="98" cm="1">
        <f t="array" ref="F330">SUMPRODUCT((('Master Sheet'!A:A&gt;=A330)*('Master Sheet'!A:A&lt;=B330)*('Master Sheet'!H:H="Informal")))</f>
        <v>7</v>
      </c>
      <c r="G330" s="98">
        <f t="shared" si="0"/>
        <v>10</v>
      </c>
    </row>
    <row r="331" spans="1:7" x14ac:dyDescent="0.2">
      <c r="A331" s="105">
        <v>44197</v>
      </c>
      <c r="B331" s="105">
        <v>44561</v>
      </c>
      <c r="D331" s="104" t="s">
        <v>1205</v>
      </c>
      <c r="E331" s="98" cm="1">
        <f t="array" ref="E331">SUMPRODUCT((('Master Sheet'!A:A&gt;=A331)*('Master Sheet'!A:A&lt;=B331)*('Master Sheet'!H:H="Formal")))</f>
        <v>8</v>
      </c>
      <c r="F331" s="98" cm="1">
        <f t="array" ref="F331">SUMPRODUCT((('Master Sheet'!A:A&gt;=A331)*('Master Sheet'!A:A&lt;=B331)*('Master Sheet'!H:H="Informal")))</f>
        <v>9</v>
      </c>
      <c r="G331" s="98">
        <f t="shared" si="0"/>
        <v>17</v>
      </c>
    </row>
    <row r="332" spans="1:7" x14ac:dyDescent="0.2">
      <c r="A332" s="105">
        <v>44562</v>
      </c>
      <c r="B332" s="105">
        <v>44926</v>
      </c>
      <c r="D332" s="104" t="s">
        <v>1206</v>
      </c>
      <c r="E332" s="98" cm="1">
        <f t="array" ref="E332">SUMPRODUCT((('Master Sheet'!A:A&gt;=A332)*('Master Sheet'!A:A&lt;=B332)*('Master Sheet'!H:H="Formal")))</f>
        <v>5</v>
      </c>
      <c r="F332" s="98" cm="1">
        <f t="array" ref="F332">SUMPRODUCT((('Master Sheet'!A:A&gt;=A332)*('Master Sheet'!A:A&lt;=B332)*('Master Sheet'!H:H="Informal")))</f>
        <v>3</v>
      </c>
      <c r="G332" s="98">
        <f t="shared" si="0"/>
        <v>8</v>
      </c>
    </row>
    <row r="333" spans="1:7" x14ac:dyDescent="0.2">
      <c r="A333" s="105">
        <v>44927</v>
      </c>
      <c r="B333" s="105">
        <v>45291</v>
      </c>
      <c r="D333" s="104" t="s">
        <v>1207</v>
      </c>
      <c r="E333" s="98" cm="1">
        <f t="array" ref="E333">SUMPRODUCT((('Master Sheet'!A:A&gt;=A333)*('Master Sheet'!A:A&lt;=B333)*('Master Sheet'!H:H="Formal")))</f>
        <v>13</v>
      </c>
      <c r="F333" s="98" cm="1">
        <f t="array" ref="F333">SUMPRODUCT((('Master Sheet'!A:A&gt;=A333)*('Master Sheet'!A:A&lt;=B333)*('Master Sheet'!H:H="Informal")))</f>
        <v>6</v>
      </c>
      <c r="G333" s="98">
        <f t="shared" si="0"/>
        <v>19</v>
      </c>
    </row>
    <row r="334" spans="1:7" x14ac:dyDescent="0.2">
      <c r="A334" s="105">
        <v>45292</v>
      </c>
      <c r="B334" s="105">
        <v>45657</v>
      </c>
      <c r="D334" s="104" t="s">
        <v>1208</v>
      </c>
      <c r="E334" s="98" cm="1">
        <f t="array" ref="E334">SUMPRODUCT((('Master Sheet'!A:A&gt;=A334)*('Master Sheet'!A:A&lt;=B334)*('Master Sheet'!H:H="Formal")))</f>
        <v>17</v>
      </c>
      <c r="F334" s="98" cm="1">
        <f t="array" ref="F334">SUMPRODUCT((('Master Sheet'!A:A&gt;=A334)*('Master Sheet'!A:A&lt;=B334)*('Master Sheet'!H:H="Informal")))</f>
        <v>4</v>
      </c>
      <c r="G334" s="98">
        <f t="shared" si="0"/>
        <v>21</v>
      </c>
    </row>
    <row r="335" spans="1:7" x14ac:dyDescent="0.2">
      <c r="A335" s="105">
        <v>45658</v>
      </c>
      <c r="B335" s="105">
        <v>46022</v>
      </c>
      <c r="D335" s="104" t="s">
        <v>1209</v>
      </c>
      <c r="E335" s="98" cm="1">
        <f t="array" ref="E335">SUMPRODUCT((('Master Sheet'!A:A&gt;=A335)*('Master Sheet'!A:A&lt;=B335)*('Master Sheet'!H:H="Formal")))</f>
        <v>12</v>
      </c>
      <c r="F335" s="98" cm="1">
        <f t="array" ref="F335">SUMPRODUCT((('Master Sheet'!A:A&gt;=A335)*('Master Sheet'!A:A&lt;=B335)*('Master Sheet'!H:H="Informal")))</f>
        <v>5</v>
      </c>
      <c r="G335" s="98">
        <f t="shared" si="0"/>
        <v>17</v>
      </c>
    </row>
    <row r="343" spans="4:5" x14ac:dyDescent="0.2">
      <c r="D343" s="157" t="s">
        <v>1311</v>
      </c>
      <c r="E343" s="98" t="s">
        <v>1309</v>
      </c>
    </row>
    <row r="344" spans="4:5" x14ac:dyDescent="0.2">
      <c r="D344" s="98" t="s">
        <v>370</v>
      </c>
      <c r="E344" s="98">
        <v>40</v>
      </c>
    </row>
    <row r="345" spans="4:5" x14ac:dyDescent="0.2">
      <c r="D345" s="98" t="s">
        <v>24</v>
      </c>
      <c r="E345" s="98">
        <v>11</v>
      </c>
    </row>
    <row r="346" spans="4:5" x14ac:dyDescent="0.2">
      <c r="D346" s="98" t="s">
        <v>37</v>
      </c>
      <c r="E346" s="98">
        <v>6</v>
      </c>
    </row>
    <row r="347" spans="4:5" x14ac:dyDescent="0.2">
      <c r="D347" s="98" t="s">
        <v>61</v>
      </c>
      <c r="E347" s="98">
        <v>2</v>
      </c>
    </row>
    <row r="348" spans="4:5" x14ac:dyDescent="0.2">
      <c r="D348" s="98" t="s">
        <v>70</v>
      </c>
      <c r="E348" s="98">
        <v>0</v>
      </c>
    </row>
    <row r="349" spans="4:5" x14ac:dyDescent="0.2">
      <c r="D349" s="98" t="s">
        <v>53</v>
      </c>
      <c r="E349" s="98">
        <v>0</v>
      </c>
    </row>
    <row r="351" spans="4:5" x14ac:dyDescent="0.2">
      <c r="E351" s="98" t="s">
        <v>27</v>
      </c>
    </row>
    <row r="352" spans="4:5" x14ac:dyDescent="0.2">
      <c r="D352" s="98" t="s">
        <v>70</v>
      </c>
      <c r="E352" s="98">
        <v>37</v>
      </c>
    </row>
    <row r="353" spans="4:5" x14ac:dyDescent="0.2">
      <c r="D353" s="98" t="s">
        <v>53</v>
      </c>
      <c r="E353" s="98">
        <v>16</v>
      </c>
    </row>
    <row r="354" spans="4:5" x14ac:dyDescent="0.2">
      <c r="D354" s="98" t="s">
        <v>37</v>
      </c>
      <c r="E354" s="98">
        <v>33</v>
      </c>
    </row>
    <row r="355" spans="4:5" x14ac:dyDescent="0.2">
      <c r="D355" s="98" t="s">
        <v>61</v>
      </c>
      <c r="E355" s="98">
        <v>10</v>
      </c>
    </row>
    <row r="356" spans="4:5" x14ac:dyDescent="0.2">
      <c r="D356" s="98" t="s">
        <v>24</v>
      </c>
      <c r="E356" s="98">
        <v>8</v>
      </c>
    </row>
    <row r="357" spans="4:5" x14ac:dyDescent="0.2">
      <c r="D357" s="98" t="s">
        <v>370</v>
      </c>
      <c r="E357" s="98">
        <v>0</v>
      </c>
    </row>
    <row r="362" spans="4:5" x14ac:dyDescent="0.2">
      <c r="D362" s="156" t="s">
        <v>1312</v>
      </c>
      <c r="E362" s="98" t="s">
        <v>208</v>
      </c>
    </row>
    <row r="363" spans="4:5" x14ac:dyDescent="0.2">
      <c r="D363" s="98" t="s">
        <v>1168</v>
      </c>
      <c r="E363" s="98">
        <v>15</v>
      </c>
    </row>
    <row r="364" spans="4:5" x14ac:dyDescent="0.2">
      <c r="D364" s="98" t="s">
        <v>1165</v>
      </c>
      <c r="E364" s="98">
        <v>12</v>
      </c>
    </row>
    <row r="365" spans="4:5" x14ac:dyDescent="0.2">
      <c r="D365" s="98" t="s">
        <v>1167</v>
      </c>
      <c r="E365" s="98">
        <v>8</v>
      </c>
    </row>
    <row r="366" spans="4:5" x14ac:dyDescent="0.2">
      <c r="D366" s="98" t="s">
        <v>1169</v>
      </c>
      <c r="E366" s="98">
        <v>7</v>
      </c>
    </row>
    <row r="367" spans="4:5" x14ac:dyDescent="0.2">
      <c r="D367" s="98" t="s">
        <v>1119</v>
      </c>
      <c r="E367" s="98">
        <v>7</v>
      </c>
    </row>
    <row r="368" spans="4:5" x14ac:dyDescent="0.2">
      <c r="D368" s="98" t="s">
        <v>1164</v>
      </c>
      <c r="E368" s="98">
        <v>4</v>
      </c>
    </row>
    <row r="369" spans="4:5" x14ac:dyDescent="0.2">
      <c r="D369" s="98" t="s">
        <v>1171</v>
      </c>
      <c r="E369" s="98">
        <v>3</v>
      </c>
    </row>
    <row r="370" spans="4:5" x14ac:dyDescent="0.2">
      <c r="D370" s="98" t="s">
        <v>1170</v>
      </c>
      <c r="E370" s="98">
        <v>3</v>
      </c>
    </row>
    <row r="371" spans="4:5" x14ac:dyDescent="0.2">
      <c r="D371" s="98" t="s">
        <v>1231</v>
      </c>
      <c r="E371" s="98">
        <v>2</v>
      </c>
    </row>
    <row r="372" spans="4:5" x14ac:dyDescent="0.2">
      <c r="D372" s="98" t="s">
        <v>291</v>
      </c>
      <c r="E372" s="98">
        <v>2</v>
      </c>
    </row>
    <row r="373" spans="4:5" x14ac:dyDescent="0.2">
      <c r="D373" s="98" t="s">
        <v>1166</v>
      </c>
      <c r="E373" s="98">
        <v>0</v>
      </c>
    </row>
    <row r="375" spans="4:5" x14ac:dyDescent="0.2">
      <c r="D375" s="98" t="s">
        <v>1182</v>
      </c>
      <c r="E375" s="98">
        <v>63</v>
      </c>
    </row>
    <row r="378" spans="4:5" x14ac:dyDescent="0.2">
      <c r="E378" s="98" t="s">
        <v>27</v>
      </c>
    </row>
    <row r="379" spans="4:5" x14ac:dyDescent="0.2">
      <c r="D379" s="98" t="s">
        <v>1165</v>
      </c>
      <c r="E379" s="98">
        <v>25</v>
      </c>
    </row>
    <row r="380" spans="4:5" x14ac:dyDescent="0.2">
      <c r="D380" s="98" t="s">
        <v>1169</v>
      </c>
      <c r="E380" s="98">
        <v>22</v>
      </c>
    </row>
    <row r="381" spans="4:5" x14ac:dyDescent="0.2">
      <c r="D381" s="98" t="s">
        <v>1166</v>
      </c>
      <c r="E381" s="98">
        <v>18</v>
      </c>
    </row>
    <row r="382" spans="4:5" x14ac:dyDescent="0.2">
      <c r="D382" s="98" t="s">
        <v>1171</v>
      </c>
      <c r="E382" s="98">
        <v>11</v>
      </c>
    </row>
    <row r="383" spans="4:5" x14ac:dyDescent="0.2">
      <c r="D383" s="98" t="s">
        <v>1164</v>
      </c>
      <c r="E383" s="98">
        <v>11</v>
      </c>
    </row>
    <row r="384" spans="4:5" x14ac:dyDescent="0.2">
      <c r="D384" s="98" t="s">
        <v>291</v>
      </c>
      <c r="E384" s="98">
        <v>10</v>
      </c>
    </row>
    <row r="385" spans="4:10" x14ac:dyDescent="0.2">
      <c r="D385" s="98" t="s">
        <v>1170</v>
      </c>
      <c r="E385" s="98">
        <v>6</v>
      </c>
    </row>
    <row r="386" spans="4:10" x14ac:dyDescent="0.2">
      <c r="D386" s="98" t="s">
        <v>1167</v>
      </c>
      <c r="E386" s="98">
        <v>6</v>
      </c>
    </row>
    <row r="387" spans="4:10" x14ac:dyDescent="0.2">
      <c r="D387" s="98" t="s">
        <v>1119</v>
      </c>
      <c r="E387" s="98">
        <v>5</v>
      </c>
    </row>
    <row r="388" spans="4:10" x14ac:dyDescent="0.2">
      <c r="D388" s="98" t="s">
        <v>1231</v>
      </c>
      <c r="E388" s="98">
        <v>4</v>
      </c>
    </row>
    <row r="389" spans="4:10" x14ac:dyDescent="0.2">
      <c r="D389" s="98" t="s">
        <v>1168</v>
      </c>
      <c r="E389" s="98">
        <v>0</v>
      </c>
    </row>
    <row r="391" spans="4:10" x14ac:dyDescent="0.2">
      <c r="D391" s="98" t="s">
        <v>1182</v>
      </c>
      <c r="E391" s="98">
        <v>118</v>
      </c>
    </row>
    <row r="393" spans="4:10" x14ac:dyDescent="0.2">
      <c r="D393" s="156" t="s">
        <v>1313</v>
      </c>
      <c r="E393" s="98" t="s">
        <v>208</v>
      </c>
    </row>
    <row r="394" spans="4:10" x14ac:dyDescent="0.2">
      <c r="D394" s="98" t="s">
        <v>558</v>
      </c>
      <c r="E394" s="98">
        <v>19</v>
      </c>
    </row>
    <row r="395" spans="4:10" x14ac:dyDescent="0.2">
      <c r="D395" s="98" t="s">
        <v>407</v>
      </c>
      <c r="E395" s="98">
        <v>15</v>
      </c>
      <c r="F395" s="158"/>
      <c r="H395" s="158"/>
      <c r="J395" s="158"/>
    </row>
    <row r="396" spans="4:10" x14ac:dyDescent="0.2">
      <c r="D396" s="98" t="s">
        <v>372</v>
      </c>
      <c r="E396" s="98">
        <v>12</v>
      </c>
      <c r="F396" s="158"/>
      <c r="H396" s="158"/>
      <c r="J396" s="158"/>
    </row>
    <row r="397" spans="4:10" x14ac:dyDescent="0.2">
      <c r="D397" s="98" t="s">
        <v>29</v>
      </c>
      <c r="E397" s="98">
        <v>6</v>
      </c>
      <c r="F397" s="158"/>
      <c r="H397" s="158"/>
      <c r="J397" s="158"/>
    </row>
    <row r="398" spans="4:10" x14ac:dyDescent="0.2">
      <c r="D398" s="98" t="s">
        <v>79</v>
      </c>
      <c r="E398" s="98">
        <v>6</v>
      </c>
      <c r="F398" s="158"/>
      <c r="H398" s="158"/>
      <c r="J398" s="158"/>
    </row>
    <row r="399" spans="4:10" x14ac:dyDescent="0.2">
      <c r="D399" s="98" t="s">
        <v>600</v>
      </c>
      <c r="E399" s="98">
        <v>5</v>
      </c>
      <c r="F399" s="158"/>
      <c r="H399" s="158"/>
      <c r="J399" s="158"/>
    </row>
    <row r="400" spans="4:10" x14ac:dyDescent="0.2">
      <c r="D400" s="98" t="s">
        <v>165</v>
      </c>
      <c r="E400" s="98">
        <v>5</v>
      </c>
      <c r="F400" s="158"/>
      <c r="H400" s="158"/>
      <c r="J400" s="158"/>
    </row>
    <row r="401" spans="4:10" x14ac:dyDescent="0.2">
      <c r="D401" s="98" t="s">
        <v>616</v>
      </c>
      <c r="E401" s="98">
        <v>5</v>
      </c>
      <c r="F401" s="158"/>
      <c r="H401" s="158"/>
      <c r="J401" s="158"/>
    </row>
    <row r="402" spans="4:10" x14ac:dyDescent="0.2">
      <c r="D402" s="98" t="s">
        <v>1314</v>
      </c>
      <c r="E402" s="98">
        <f>SUM(E404:E417)</f>
        <v>19</v>
      </c>
      <c r="H402" s="158"/>
      <c r="J402" s="158"/>
    </row>
    <row r="403" spans="4:10" x14ac:dyDescent="0.2">
      <c r="F403" s="158"/>
      <c r="H403" s="158"/>
      <c r="J403" s="158"/>
    </row>
    <row r="404" spans="4:10" x14ac:dyDescent="0.2">
      <c r="D404" s="98" t="s">
        <v>914</v>
      </c>
      <c r="E404" s="98">
        <v>4</v>
      </c>
      <c r="F404" s="158"/>
      <c r="H404" s="158"/>
      <c r="J404" s="158"/>
    </row>
    <row r="405" spans="4:10" x14ac:dyDescent="0.2">
      <c r="D405" s="98" t="s">
        <v>67</v>
      </c>
      <c r="E405" s="98">
        <v>3</v>
      </c>
      <c r="F405" s="158"/>
      <c r="H405" s="158"/>
      <c r="J405" s="158"/>
    </row>
    <row r="406" spans="4:10" x14ac:dyDescent="0.2">
      <c r="D406" s="98" t="s">
        <v>356</v>
      </c>
      <c r="E406" s="98">
        <v>2</v>
      </c>
      <c r="F406" s="158"/>
      <c r="H406" s="158"/>
      <c r="J406" s="158"/>
    </row>
    <row r="407" spans="4:10" x14ac:dyDescent="0.2">
      <c r="D407" s="98" t="s">
        <v>40</v>
      </c>
      <c r="E407" s="98">
        <v>2</v>
      </c>
      <c r="F407" s="158"/>
      <c r="H407" s="158"/>
      <c r="J407" s="158"/>
    </row>
    <row r="408" spans="4:10" x14ac:dyDescent="0.2">
      <c r="D408" s="98" t="s">
        <v>919</v>
      </c>
      <c r="E408" s="98">
        <v>2</v>
      </c>
      <c r="F408" s="158"/>
      <c r="H408" s="158"/>
      <c r="J408" s="158"/>
    </row>
    <row r="409" spans="4:10" x14ac:dyDescent="0.2">
      <c r="D409" s="98" t="s">
        <v>291</v>
      </c>
      <c r="E409" s="98">
        <v>2</v>
      </c>
      <c r="F409" s="158"/>
      <c r="H409" s="158"/>
      <c r="J409" s="158"/>
    </row>
    <row r="410" spans="4:10" x14ac:dyDescent="0.2">
      <c r="D410" s="98" t="s">
        <v>238</v>
      </c>
      <c r="E410" s="98">
        <v>1</v>
      </c>
      <c r="F410" s="158"/>
      <c r="H410" s="158"/>
      <c r="J410" s="158"/>
    </row>
    <row r="411" spans="4:10" x14ac:dyDescent="0.2">
      <c r="D411" s="98" t="s">
        <v>905</v>
      </c>
      <c r="E411" s="98">
        <v>1</v>
      </c>
      <c r="F411" s="158"/>
      <c r="H411" s="158"/>
      <c r="J411" s="158"/>
    </row>
    <row r="412" spans="4:10" x14ac:dyDescent="0.2">
      <c r="D412" s="98" t="s">
        <v>217</v>
      </c>
      <c r="E412" s="98">
        <v>1</v>
      </c>
      <c r="F412" s="158"/>
      <c r="H412" s="158"/>
      <c r="J412" s="158"/>
    </row>
    <row r="413" spans="4:10" x14ac:dyDescent="0.2">
      <c r="D413" s="98" t="s">
        <v>28</v>
      </c>
      <c r="E413" s="98">
        <v>1</v>
      </c>
      <c r="F413" s="158"/>
      <c r="H413" s="158"/>
      <c r="J413" s="158"/>
    </row>
    <row r="414" spans="4:10" x14ac:dyDescent="0.2">
      <c r="D414" s="98" t="s">
        <v>901</v>
      </c>
      <c r="E414" s="98">
        <v>0</v>
      </c>
      <c r="F414" s="158"/>
      <c r="H414" s="158"/>
      <c r="J414" s="158"/>
    </row>
    <row r="415" spans="4:10" x14ac:dyDescent="0.2">
      <c r="D415" s="98" t="s">
        <v>903</v>
      </c>
      <c r="E415" s="98">
        <v>0</v>
      </c>
      <c r="F415" s="158"/>
      <c r="H415" s="158"/>
      <c r="J415" s="158"/>
    </row>
    <row r="416" spans="4:10" x14ac:dyDescent="0.2">
      <c r="D416" s="98" t="s">
        <v>55</v>
      </c>
      <c r="E416" s="98">
        <v>0</v>
      </c>
      <c r="F416" s="158"/>
      <c r="H416" s="158"/>
      <c r="J416" s="158"/>
    </row>
    <row r="417" spans="4:5" x14ac:dyDescent="0.2">
      <c r="D417" s="98" t="s">
        <v>105</v>
      </c>
      <c r="E417" s="98">
        <v>0</v>
      </c>
    </row>
    <row r="419" spans="4:5" x14ac:dyDescent="0.2">
      <c r="E419" s="98" t="s">
        <v>27</v>
      </c>
    </row>
    <row r="420" spans="4:5" x14ac:dyDescent="0.2">
      <c r="D420" s="98" t="s">
        <v>40</v>
      </c>
      <c r="E420" s="98">
        <v>29</v>
      </c>
    </row>
    <row r="421" spans="4:5" x14ac:dyDescent="0.2">
      <c r="D421" s="98" t="s">
        <v>217</v>
      </c>
      <c r="E421" s="98">
        <v>25</v>
      </c>
    </row>
    <row r="422" spans="4:5" x14ac:dyDescent="0.2">
      <c r="D422" s="98" t="s">
        <v>55</v>
      </c>
      <c r="E422" s="98">
        <v>21</v>
      </c>
    </row>
    <row r="423" spans="4:5" x14ac:dyDescent="0.2">
      <c r="D423" s="98" t="s">
        <v>105</v>
      </c>
      <c r="E423" s="98">
        <v>10</v>
      </c>
    </row>
    <row r="424" spans="4:5" x14ac:dyDescent="0.2">
      <c r="D424" s="98" t="s">
        <v>616</v>
      </c>
      <c r="E424" s="98">
        <v>10</v>
      </c>
    </row>
    <row r="425" spans="4:5" x14ac:dyDescent="0.2">
      <c r="D425" s="98" t="s">
        <v>29</v>
      </c>
      <c r="E425" s="98">
        <v>9</v>
      </c>
    </row>
    <row r="426" spans="4:5" x14ac:dyDescent="0.2">
      <c r="D426" s="98" t="s">
        <v>291</v>
      </c>
      <c r="E426" s="98">
        <f>SUM(E429:E444)</f>
        <v>44</v>
      </c>
    </row>
    <row r="429" spans="4:5" x14ac:dyDescent="0.2">
      <c r="D429" s="98" t="s">
        <v>165</v>
      </c>
      <c r="E429" s="98">
        <v>8</v>
      </c>
    </row>
    <row r="430" spans="4:5" x14ac:dyDescent="0.2">
      <c r="D430" s="98" t="s">
        <v>291</v>
      </c>
      <c r="E430" s="98">
        <v>8</v>
      </c>
    </row>
    <row r="431" spans="4:5" x14ac:dyDescent="0.2">
      <c r="D431" s="98" t="s">
        <v>356</v>
      </c>
      <c r="E431" s="98">
        <v>7</v>
      </c>
    </row>
    <row r="432" spans="4:5" x14ac:dyDescent="0.2">
      <c r="D432" s="98" t="s">
        <v>238</v>
      </c>
      <c r="E432" s="98">
        <v>5</v>
      </c>
    </row>
    <row r="433" spans="4:5" x14ac:dyDescent="0.2">
      <c r="D433" s="98" t="s">
        <v>67</v>
      </c>
      <c r="E433" s="98">
        <v>5</v>
      </c>
    </row>
    <row r="434" spans="4:5" x14ac:dyDescent="0.2">
      <c r="D434" s="98" t="s">
        <v>28</v>
      </c>
      <c r="E434" s="98">
        <v>4</v>
      </c>
    </row>
    <row r="435" spans="4:5" x14ac:dyDescent="0.2">
      <c r="D435" s="98" t="s">
        <v>905</v>
      </c>
      <c r="E435" s="98">
        <v>3</v>
      </c>
    </row>
    <row r="436" spans="4:5" x14ac:dyDescent="0.2">
      <c r="D436" s="98" t="s">
        <v>903</v>
      </c>
      <c r="E436" s="98">
        <v>2</v>
      </c>
    </row>
    <row r="437" spans="4:5" x14ac:dyDescent="0.2">
      <c r="D437" s="98" t="s">
        <v>79</v>
      </c>
      <c r="E437" s="98">
        <v>2</v>
      </c>
    </row>
    <row r="438" spans="4:5" x14ac:dyDescent="0.2">
      <c r="D438" s="98" t="s">
        <v>407</v>
      </c>
      <c r="E438" s="98">
        <v>0</v>
      </c>
    </row>
    <row r="439" spans="4:5" x14ac:dyDescent="0.2">
      <c r="D439" s="98" t="s">
        <v>372</v>
      </c>
      <c r="E439" s="98">
        <v>0</v>
      </c>
    </row>
    <row r="440" spans="4:5" x14ac:dyDescent="0.2">
      <c r="D440" s="98" t="s">
        <v>558</v>
      </c>
      <c r="E440" s="98">
        <v>0</v>
      </c>
    </row>
    <row r="441" spans="4:5" x14ac:dyDescent="0.2">
      <c r="D441" s="98" t="s">
        <v>600</v>
      </c>
      <c r="E441" s="98">
        <v>0</v>
      </c>
    </row>
    <row r="442" spans="4:5" x14ac:dyDescent="0.2">
      <c r="D442" s="98" t="s">
        <v>901</v>
      </c>
      <c r="E442" s="98">
        <v>0</v>
      </c>
    </row>
    <row r="443" spans="4:5" x14ac:dyDescent="0.2">
      <c r="D443" s="98" t="s">
        <v>914</v>
      </c>
      <c r="E443" s="98">
        <v>0</v>
      </c>
    </row>
    <row r="444" spans="4:5" x14ac:dyDescent="0.2">
      <c r="D444" s="98" t="s">
        <v>919</v>
      </c>
      <c r="E444" s="98">
        <v>0</v>
      </c>
    </row>
  </sheetData>
  <sortState xmlns:xlrd2="http://schemas.microsoft.com/office/spreadsheetml/2017/richdata2" ref="D379:E389">
    <sortCondition descending="1" ref="E379:E389"/>
  </sortState>
  <mergeCells count="6">
    <mergeCell ref="Q74:R74"/>
    <mergeCell ref="G2:H2"/>
    <mergeCell ref="I2:J2"/>
    <mergeCell ref="E2:F2"/>
    <mergeCell ref="M74:N74"/>
    <mergeCell ref="O74:P74"/>
  </mergeCells>
  <pageMargins left="0.7" right="0.7" top="0.75" bottom="0.75" header="0.3" footer="0.3"/>
  <pageSetup orientation="portrait" horizontalDpi="0" verticalDpi="0"/>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AF1000"/>
  <sheetViews>
    <sheetView zoomScale="94" workbookViewId="0">
      <selection activeCell="B19" sqref="B19"/>
    </sheetView>
  </sheetViews>
  <sheetFormatPr baseColWidth="10" defaultColWidth="11.1640625" defaultRowHeight="15" customHeight="1" x14ac:dyDescent="0.2"/>
  <cols>
    <col min="1" max="1" width="10.83203125" customWidth="1"/>
    <col min="2" max="2" width="35.6640625" customWidth="1"/>
    <col min="3" max="3" width="46.83203125" customWidth="1"/>
    <col min="4" max="4" width="18.6640625" customWidth="1"/>
    <col min="5" max="5" width="48.1640625" customWidth="1"/>
    <col min="6" max="6" width="23.33203125" customWidth="1"/>
    <col min="7" max="7" width="12.6640625" customWidth="1"/>
    <col min="8" max="8" width="13.83203125" customWidth="1"/>
    <col min="9" max="9" width="23.33203125" customWidth="1"/>
    <col min="10" max="10" width="19" customWidth="1"/>
    <col min="11" max="11" width="37.6640625" customWidth="1"/>
    <col min="12" max="12" width="23.83203125" customWidth="1"/>
    <col min="13" max="13" width="31.1640625" customWidth="1"/>
    <col min="14" max="14" width="18" customWidth="1"/>
    <col min="15" max="32" width="10.83203125" customWidth="1"/>
  </cols>
  <sheetData>
    <row r="1" spans="1:32" ht="15.75" customHeight="1" x14ac:dyDescent="0.2">
      <c r="A1" s="73"/>
      <c r="B1" s="73"/>
      <c r="C1" s="74"/>
      <c r="D1" s="74"/>
      <c r="E1" s="74"/>
      <c r="F1" s="73"/>
      <c r="G1" s="74"/>
      <c r="H1" s="73"/>
      <c r="I1" s="73"/>
      <c r="J1" s="73"/>
      <c r="K1" s="73"/>
      <c r="L1" s="73"/>
      <c r="M1" s="73"/>
      <c r="N1" s="73"/>
      <c r="O1" s="73"/>
      <c r="P1" s="73"/>
      <c r="Q1" s="73"/>
      <c r="R1" s="73"/>
      <c r="S1" s="73"/>
      <c r="T1" s="73"/>
      <c r="U1" s="73"/>
      <c r="V1" s="73"/>
      <c r="W1" s="73"/>
      <c r="X1" s="73"/>
      <c r="Y1" s="73"/>
      <c r="Z1" s="73"/>
      <c r="AA1" s="73"/>
      <c r="AB1" s="73"/>
      <c r="AC1" s="73"/>
      <c r="AD1" s="73"/>
      <c r="AE1" s="73"/>
      <c r="AF1" s="73"/>
    </row>
    <row r="2" spans="1:32" ht="15.75" customHeight="1" x14ac:dyDescent="0.2">
      <c r="A2" s="73"/>
      <c r="B2" s="73"/>
      <c r="C2" s="74"/>
      <c r="D2" s="74"/>
      <c r="E2" s="74"/>
      <c r="F2" s="73"/>
      <c r="G2" s="74"/>
      <c r="H2" s="73"/>
      <c r="I2" s="73"/>
      <c r="J2" s="73"/>
      <c r="K2" s="73"/>
      <c r="L2" s="73"/>
      <c r="M2" s="73"/>
      <c r="N2" s="73"/>
      <c r="O2" s="73"/>
      <c r="P2" s="73"/>
      <c r="Q2" s="73"/>
      <c r="R2" s="73"/>
      <c r="S2" s="73"/>
      <c r="T2" s="73"/>
      <c r="U2" s="73"/>
      <c r="V2" s="73"/>
      <c r="W2" s="73"/>
      <c r="X2" s="73"/>
      <c r="Y2" s="73"/>
      <c r="Z2" s="73"/>
      <c r="AA2" s="73"/>
      <c r="AB2" s="73"/>
      <c r="AC2" s="73"/>
      <c r="AD2" s="73"/>
      <c r="AE2" s="73"/>
      <c r="AF2" s="73"/>
    </row>
    <row r="3" spans="1:32" ht="18" customHeight="1" x14ac:dyDescent="0.25">
      <c r="A3" s="73"/>
      <c r="B3" s="75" t="s">
        <v>2</v>
      </c>
      <c r="C3" s="76"/>
      <c r="D3" s="75" t="s">
        <v>1118</v>
      </c>
      <c r="E3" s="75" t="s">
        <v>1185</v>
      </c>
      <c r="F3" s="75" t="s">
        <v>888</v>
      </c>
      <c r="G3" s="77" t="s">
        <v>5</v>
      </c>
      <c r="H3" s="78" t="s">
        <v>6</v>
      </c>
      <c r="I3" s="75" t="s">
        <v>7</v>
      </c>
      <c r="J3" s="75" t="s">
        <v>8</v>
      </c>
      <c r="K3" s="75" t="s">
        <v>9</v>
      </c>
      <c r="L3" s="75" t="s">
        <v>10</v>
      </c>
      <c r="M3" s="75" t="s">
        <v>11</v>
      </c>
      <c r="N3" s="73"/>
      <c r="O3" s="73"/>
      <c r="P3" s="73"/>
      <c r="Q3" s="73"/>
      <c r="R3" s="73"/>
      <c r="S3" s="73"/>
      <c r="T3" s="73"/>
      <c r="U3" s="73"/>
      <c r="V3" s="73"/>
      <c r="W3" s="73"/>
      <c r="X3" s="73"/>
      <c r="Y3" s="73"/>
      <c r="Z3" s="73"/>
      <c r="AA3" s="73"/>
      <c r="AB3" s="73"/>
      <c r="AC3" s="73"/>
      <c r="AD3" s="73"/>
      <c r="AE3" s="73"/>
      <c r="AF3" s="73"/>
    </row>
    <row r="4" spans="1:32" ht="15" customHeight="1" x14ac:dyDescent="0.2">
      <c r="A4" s="73"/>
      <c r="B4" s="74" t="s">
        <v>370</v>
      </c>
      <c r="C4" s="74" t="s">
        <v>889</v>
      </c>
      <c r="D4" s="74" t="s">
        <v>1156</v>
      </c>
      <c r="E4" s="74" t="s">
        <v>1171</v>
      </c>
      <c r="F4" s="79" t="s">
        <v>208</v>
      </c>
      <c r="G4" s="74" t="s">
        <v>208</v>
      </c>
      <c r="H4" s="73" t="s">
        <v>890</v>
      </c>
      <c r="I4" s="73" t="s">
        <v>891</v>
      </c>
      <c r="J4" s="73" t="s">
        <v>892</v>
      </c>
      <c r="K4" s="73" t="s">
        <v>28</v>
      </c>
      <c r="L4" s="74" t="s">
        <v>407</v>
      </c>
      <c r="M4" s="73" t="s">
        <v>893</v>
      </c>
      <c r="N4" s="73"/>
      <c r="O4" s="73"/>
      <c r="P4" s="73"/>
      <c r="Q4" s="73"/>
      <c r="R4" s="73"/>
      <c r="S4" s="73"/>
      <c r="T4" s="73"/>
      <c r="U4" s="73"/>
      <c r="V4" s="73"/>
      <c r="W4" s="73"/>
      <c r="X4" s="73"/>
      <c r="Y4" s="73"/>
      <c r="Z4" s="73"/>
      <c r="AA4" s="73"/>
      <c r="AB4" s="73"/>
      <c r="AC4" s="73"/>
      <c r="AD4" s="73"/>
      <c r="AE4" s="73"/>
      <c r="AF4" s="73"/>
    </row>
    <row r="5" spans="1:32" ht="15.75" customHeight="1" x14ac:dyDescent="0.2">
      <c r="A5" s="73"/>
      <c r="B5" s="74" t="s">
        <v>24</v>
      </c>
      <c r="C5" s="74"/>
      <c r="D5" s="74" t="s">
        <v>1118</v>
      </c>
      <c r="E5" s="74" t="s">
        <v>1168</v>
      </c>
      <c r="F5" s="79" t="s">
        <v>26</v>
      </c>
      <c r="G5" s="74" t="s">
        <v>27</v>
      </c>
      <c r="H5" s="73"/>
      <c r="I5" s="73"/>
      <c r="J5" s="73"/>
      <c r="K5" s="113" t="s">
        <v>1041</v>
      </c>
      <c r="L5" s="74" t="s">
        <v>372</v>
      </c>
      <c r="M5" s="73"/>
      <c r="N5" s="73"/>
      <c r="O5" s="73"/>
      <c r="P5" s="73"/>
      <c r="Q5" s="73"/>
      <c r="R5" s="73"/>
      <c r="S5" s="73"/>
      <c r="T5" s="73"/>
      <c r="U5" s="73"/>
      <c r="V5" s="73"/>
      <c r="W5" s="73"/>
      <c r="X5" s="73"/>
      <c r="Y5" s="73"/>
      <c r="Z5" s="73"/>
      <c r="AA5" s="73"/>
      <c r="AB5" s="73"/>
      <c r="AC5" s="73"/>
      <c r="AD5" s="73"/>
      <c r="AE5" s="73"/>
      <c r="AF5" s="73"/>
    </row>
    <row r="6" spans="1:32" ht="15.75" customHeight="1" x14ac:dyDescent="0.2">
      <c r="A6" s="73"/>
      <c r="B6" s="74" t="s">
        <v>37</v>
      </c>
      <c r="C6" s="74" t="s">
        <v>894</v>
      </c>
      <c r="D6" s="74" t="s">
        <v>28</v>
      </c>
      <c r="E6" s="74" t="s">
        <v>1169</v>
      </c>
      <c r="F6" s="79" t="s">
        <v>49</v>
      </c>
      <c r="G6" s="74"/>
      <c r="H6" s="73"/>
      <c r="I6" s="73"/>
      <c r="J6" s="73"/>
      <c r="K6" s="114" t="s">
        <v>895</v>
      </c>
      <c r="L6" s="74" t="s">
        <v>29</v>
      </c>
      <c r="M6" s="73"/>
      <c r="N6" s="73"/>
      <c r="O6" s="73"/>
      <c r="P6" s="73"/>
      <c r="Q6" s="73"/>
      <c r="R6" s="73"/>
      <c r="S6" s="73"/>
      <c r="T6" s="73"/>
      <c r="U6" s="73"/>
      <c r="V6" s="73"/>
      <c r="W6" s="73"/>
      <c r="X6" s="73"/>
      <c r="Y6" s="73"/>
      <c r="Z6" s="73"/>
      <c r="AA6" s="73"/>
      <c r="AB6" s="73"/>
      <c r="AC6" s="73"/>
      <c r="AD6" s="73"/>
      <c r="AE6" s="73"/>
      <c r="AF6" s="73"/>
    </row>
    <row r="7" spans="1:32" ht="15.75" customHeight="1" x14ac:dyDescent="0.2">
      <c r="A7" s="73"/>
      <c r="B7" s="74" t="s">
        <v>70</v>
      </c>
      <c r="C7" s="74" t="s">
        <v>896</v>
      </c>
      <c r="D7" s="74"/>
      <c r="E7" s="74" t="s">
        <v>1164</v>
      </c>
      <c r="F7" s="79" t="s">
        <v>35</v>
      </c>
      <c r="G7" s="74"/>
      <c r="H7" s="73"/>
      <c r="I7" s="73"/>
      <c r="J7" s="73"/>
      <c r="K7" s="114" t="s">
        <v>897</v>
      </c>
      <c r="L7" s="74" t="s">
        <v>238</v>
      </c>
      <c r="M7" s="73"/>
      <c r="N7" s="73"/>
      <c r="O7" s="73"/>
      <c r="P7" s="73"/>
      <c r="Q7" s="73"/>
      <c r="R7" s="73"/>
      <c r="S7" s="73"/>
      <c r="T7" s="73"/>
      <c r="U7" s="73"/>
      <c r="V7" s="73"/>
      <c r="W7" s="73"/>
      <c r="X7" s="73"/>
      <c r="Y7" s="73"/>
      <c r="Z7" s="73"/>
      <c r="AA7" s="73"/>
      <c r="AB7" s="73"/>
      <c r="AC7" s="73"/>
      <c r="AD7" s="73"/>
      <c r="AE7" s="73"/>
      <c r="AF7" s="73"/>
    </row>
    <row r="8" spans="1:32" ht="16.5" customHeight="1" x14ac:dyDescent="0.2">
      <c r="A8" s="73"/>
      <c r="B8" s="74" t="s">
        <v>61</v>
      </c>
      <c r="C8" s="74"/>
      <c r="D8" s="74"/>
      <c r="E8" s="74" t="s">
        <v>1119</v>
      </c>
      <c r="F8" s="79" t="s">
        <v>72</v>
      </c>
      <c r="G8" s="74"/>
      <c r="H8" s="73"/>
      <c r="I8" s="73"/>
      <c r="J8" s="73"/>
      <c r="K8" s="114" t="s">
        <v>898</v>
      </c>
      <c r="L8" s="74" t="s">
        <v>558</v>
      </c>
      <c r="M8" s="73"/>
      <c r="N8" s="73"/>
      <c r="O8" s="73"/>
      <c r="P8" s="73"/>
      <c r="Q8" s="73"/>
      <c r="R8" s="73"/>
      <c r="S8" s="73"/>
      <c r="T8" s="73"/>
      <c r="U8" s="73"/>
      <c r="V8" s="73"/>
      <c r="W8" s="73"/>
      <c r="X8" s="73"/>
      <c r="Y8" s="73"/>
      <c r="Z8" s="73"/>
      <c r="AA8" s="73"/>
      <c r="AB8" s="73"/>
      <c r="AC8" s="73"/>
      <c r="AD8" s="73"/>
      <c r="AE8" s="73"/>
      <c r="AF8" s="73"/>
    </row>
    <row r="9" spans="1:32" ht="16.5" customHeight="1" x14ac:dyDescent="0.2">
      <c r="A9" s="73"/>
      <c r="B9" s="41" t="s">
        <v>53</v>
      </c>
      <c r="C9" s="74"/>
      <c r="D9" s="74"/>
      <c r="E9" s="74" t="s">
        <v>1170</v>
      </c>
      <c r="F9" s="73"/>
      <c r="G9" s="74"/>
      <c r="H9" s="73"/>
      <c r="I9" s="73"/>
      <c r="J9" s="73"/>
      <c r="K9" s="114" t="s">
        <v>899</v>
      </c>
      <c r="L9" s="74" t="s">
        <v>600</v>
      </c>
      <c r="M9" s="73"/>
      <c r="N9" s="73"/>
      <c r="O9" s="73"/>
      <c r="P9" s="73"/>
      <c r="Q9" s="73"/>
      <c r="R9" s="73"/>
      <c r="S9" s="73"/>
      <c r="T9" s="73"/>
      <c r="U9" s="73"/>
      <c r="V9" s="73"/>
      <c r="W9" s="73"/>
      <c r="X9" s="73"/>
      <c r="Y9" s="73"/>
      <c r="Z9" s="73"/>
      <c r="AA9" s="73"/>
      <c r="AB9" s="73"/>
      <c r="AC9" s="73"/>
      <c r="AD9" s="73"/>
      <c r="AE9" s="73"/>
      <c r="AF9" s="73"/>
    </row>
    <row r="10" spans="1:32" ht="15.75" customHeight="1" x14ac:dyDescent="0.2">
      <c r="A10" s="73"/>
      <c r="B10" s="79"/>
      <c r="C10" s="74"/>
      <c r="D10" s="74"/>
      <c r="E10" s="115" t="s">
        <v>1231</v>
      </c>
      <c r="F10" s="73"/>
      <c r="G10" s="74"/>
      <c r="H10" s="73"/>
      <c r="I10" s="73"/>
      <c r="J10" s="73"/>
      <c r="K10" s="114" t="s">
        <v>900</v>
      </c>
      <c r="L10" s="74" t="s">
        <v>901</v>
      </c>
      <c r="M10" s="73"/>
      <c r="N10" s="73"/>
      <c r="O10" s="73"/>
      <c r="P10" s="73"/>
      <c r="Q10" s="73"/>
      <c r="R10" s="73"/>
      <c r="S10" s="73"/>
      <c r="T10" s="73"/>
      <c r="U10" s="73"/>
      <c r="V10" s="73"/>
      <c r="W10" s="73"/>
      <c r="X10" s="73"/>
      <c r="Y10" s="73"/>
      <c r="Z10" s="73"/>
      <c r="AA10" s="73"/>
      <c r="AB10" s="73"/>
      <c r="AC10" s="73"/>
      <c r="AD10" s="73"/>
      <c r="AE10" s="73"/>
      <c r="AF10" s="73"/>
    </row>
    <row r="11" spans="1:32" ht="15.75" customHeight="1" x14ac:dyDescent="0.2">
      <c r="A11" s="73"/>
      <c r="C11" s="74"/>
      <c r="D11" s="74"/>
      <c r="E11" s="74" t="s">
        <v>1166</v>
      </c>
      <c r="F11" s="73"/>
      <c r="G11" s="74"/>
      <c r="H11" s="73"/>
      <c r="I11" s="73"/>
      <c r="J11" s="73"/>
      <c r="K11" s="114" t="s">
        <v>902</v>
      </c>
      <c r="L11" s="73" t="s">
        <v>903</v>
      </c>
      <c r="M11" s="73"/>
      <c r="N11" s="73"/>
      <c r="O11" s="73"/>
      <c r="P11" s="73"/>
      <c r="Q11" s="73"/>
      <c r="R11" s="73"/>
      <c r="S11" s="73"/>
      <c r="T11" s="73"/>
      <c r="U11" s="73"/>
      <c r="V11" s="73"/>
      <c r="W11" s="73"/>
      <c r="X11" s="73"/>
      <c r="Y11" s="73"/>
      <c r="Z11" s="73"/>
      <c r="AA11" s="73"/>
      <c r="AB11" s="73"/>
      <c r="AC11" s="73"/>
      <c r="AD11" s="73"/>
      <c r="AE11" s="73"/>
      <c r="AF11" s="73"/>
    </row>
    <row r="12" spans="1:32" ht="15.75" customHeight="1" x14ac:dyDescent="0.2">
      <c r="A12" s="73"/>
      <c r="C12" s="74"/>
      <c r="D12" s="74"/>
      <c r="E12" s="74" t="s">
        <v>1165</v>
      </c>
      <c r="F12" s="73"/>
      <c r="G12" s="74"/>
      <c r="H12" s="73"/>
      <c r="I12" s="73"/>
      <c r="J12" s="73"/>
      <c r="K12" s="114" t="s">
        <v>904</v>
      </c>
      <c r="L12" s="74" t="s">
        <v>905</v>
      </c>
      <c r="M12" s="73"/>
      <c r="N12" s="73"/>
      <c r="O12" s="73"/>
      <c r="P12" s="73"/>
      <c r="Q12" s="73"/>
      <c r="R12" s="73"/>
      <c r="S12" s="73"/>
      <c r="T12" s="73"/>
      <c r="U12" s="73"/>
      <c r="V12" s="73"/>
      <c r="W12" s="73"/>
      <c r="X12" s="73"/>
      <c r="Y12" s="73"/>
      <c r="Z12" s="73"/>
      <c r="AA12" s="73"/>
      <c r="AB12" s="73"/>
      <c r="AC12" s="73"/>
      <c r="AD12" s="73"/>
      <c r="AE12" s="73"/>
      <c r="AF12" s="73"/>
    </row>
    <row r="13" spans="1:32" ht="15.75" customHeight="1" x14ac:dyDescent="0.2">
      <c r="A13" s="73"/>
      <c r="B13" s="79"/>
      <c r="C13" s="74"/>
      <c r="D13" s="74"/>
      <c r="E13" s="95" t="s">
        <v>1167</v>
      </c>
      <c r="F13" s="73"/>
      <c r="G13" s="74"/>
      <c r="H13" s="73"/>
      <c r="I13" s="73"/>
      <c r="J13" s="73"/>
      <c r="K13" s="114" t="s">
        <v>906</v>
      </c>
      <c r="L13" s="73" t="s">
        <v>67</v>
      </c>
      <c r="M13" s="73"/>
      <c r="N13" s="73"/>
      <c r="O13" s="73"/>
      <c r="P13" s="73"/>
      <c r="Q13" s="73"/>
      <c r="R13" s="73"/>
      <c r="S13" s="73"/>
      <c r="T13" s="73"/>
      <c r="U13" s="73"/>
      <c r="V13" s="73"/>
      <c r="W13" s="73"/>
      <c r="X13" s="73"/>
      <c r="Y13" s="73"/>
      <c r="Z13" s="73"/>
      <c r="AA13" s="73"/>
      <c r="AB13" s="73"/>
      <c r="AC13" s="73"/>
      <c r="AD13" s="73"/>
      <c r="AE13" s="73"/>
      <c r="AF13" s="73"/>
    </row>
    <row r="14" spans="1:32" ht="16.5" customHeight="1" x14ac:dyDescent="0.2">
      <c r="A14" s="73"/>
      <c r="C14" s="74"/>
      <c r="D14" s="74"/>
      <c r="E14" s="95" t="s">
        <v>291</v>
      </c>
      <c r="F14" s="73"/>
      <c r="G14" s="74"/>
      <c r="H14" s="73"/>
      <c r="I14" s="73"/>
      <c r="J14" s="73"/>
      <c r="K14" s="114" t="s">
        <v>907</v>
      </c>
      <c r="L14" s="74" t="s">
        <v>356</v>
      </c>
      <c r="M14" s="73"/>
      <c r="N14" s="73"/>
      <c r="O14" s="73"/>
      <c r="P14" s="73"/>
      <c r="Q14" s="73"/>
      <c r="R14" s="73"/>
      <c r="S14" s="73"/>
      <c r="T14" s="73"/>
      <c r="U14" s="73"/>
      <c r="V14" s="73"/>
      <c r="W14" s="73"/>
      <c r="X14" s="73"/>
      <c r="Y14" s="73"/>
      <c r="Z14" s="73"/>
      <c r="AA14" s="73"/>
      <c r="AB14" s="73"/>
      <c r="AC14" s="73"/>
      <c r="AD14" s="73"/>
      <c r="AE14" s="73"/>
      <c r="AF14" s="73"/>
    </row>
    <row r="15" spans="1:32" ht="15.75" customHeight="1" x14ac:dyDescent="0.2">
      <c r="A15" s="73"/>
      <c r="C15" s="74"/>
      <c r="D15" s="74"/>
      <c r="E15" s="95"/>
      <c r="F15" s="73"/>
      <c r="G15" s="74"/>
      <c r="H15" s="73"/>
      <c r="I15" s="73"/>
      <c r="J15" s="73"/>
      <c r="K15" s="114" t="s">
        <v>908</v>
      </c>
      <c r="L15" s="74" t="s">
        <v>40</v>
      </c>
      <c r="M15" s="73"/>
      <c r="N15" s="73"/>
      <c r="O15" s="73"/>
      <c r="P15" s="73"/>
      <c r="Q15" s="73"/>
      <c r="R15" s="73"/>
      <c r="S15" s="73"/>
      <c r="T15" s="73"/>
      <c r="U15" s="73"/>
      <c r="V15" s="73"/>
      <c r="W15" s="73"/>
      <c r="X15" s="73"/>
      <c r="Y15" s="73"/>
      <c r="Z15" s="73"/>
      <c r="AA15" s="73"/>
      <c r="AB15" s="73"/>
      <c r="AC15" s="73"/>
      <c r="AD15" s="73"/>
      <c r="AE15" s="73"/>
      <c r="AF15" s="73"/>
    </row>
    <row r="16" spans="1:32" ht="15.75" customHeight="1" x14ac:dyDescent="0.2">
      <c r="A16" s="73"/>
      <c r="G16" s="74"/>
      <c r="H16" s="73"/>
      <c r="I16" s="73"/>
      <c r="J16" s="73"/>
      <c r="K16" s="114" t="s">
        <v>909</v>
      </c>
      <c r="L16" s="73" t="s">
        <v>55</v>
      </c>
      <c r="M16" s="73"/>
      <c r="N16" s="73"/>
      <c r="O16" s="73"/>
      <c r="P16" s="73"/>
      <c r="Q16" s="73"/>
      <c r="R16" s="73"/>
      <c r="S16" s="73"/>
      <c r="T16" s="73"/>
      <c r="U16" s="73"/>
      <c r="V16" s="73"/>
      <c r="W16" s="73"/>
      <c r="X16" s="73"/>
      <c r="Y16" s="73"/>
      <c r="Z16" s="73"/>
      <c r="AA16" s="73"/>
      <c r="AB16" s="73"/>
      <c r="AC16" s="73"/>
      <c r="AD16" s="73"/>
      <c r="AE16" s="73"/>
      <c r="AF16" s="73"/>
    </row>
    <row r="17" spans="1:32" ht="15" customHeight="1" x14ac:dyDescent="0.2">
      <c r="A17" s="73"/>
      <c r="E17" s="95"/>
      <c r="G17" s="74"/>
      <c r="H17" s="73"/>
      <c r="I17" s="73"/>
      <c r="J17" s="73"/>
      <c r="K17" s="114" t="s">
        <v>910</v>
      </c>
      <c r="L17" s="74" t="s">
        <v>217</v>
      </c>
      <c r="M17" s="73"/>
      <c r="N17" s="73"/>
      <c r="O17" s="73"/>
      <c r="P17" s="73"/>
      <c r="Q17" s="73"/>
      <c r="R17" s="73"/>
      <c r="S17" s="73"/>
      <c r="T17" s="73"/>
      <c r="U17" s="73"/>
      <c r="V17" s="73"/>
      <c r="W17" s="73"/>
      <c r="X17" s="73"/>
      <c r="Y17" s="73"/>
      <c r="Z17" s="73"/>
      <c r="AA17" s="73"/>
      <c r="AB17" s="73"/>
      <c r="AC17" s="73"/>
      <c r="AD17" s="73"/>
      <c r="AE17" s="73"/>
      <c r="AF17" s="73"/>
    </row>
    <row r="18" spans="1:32" ht="15.75" customHeight="1" x14ac:dyDescent="0.2">
      <c r="A18" s="73"/>
      <c r="G18" s="74"/>
      <c r="H18" s="73"/>
      <c r="I18" s="73"/>
      <c r="J18" s="73"/>
      <c r="K18" s="114" t="s">
        <v>911</v>
      </c>
      <c r="L18" s="73" t="s">
        <v>105</v>
      </c>
      <c r="M18" s="73"/>
      <c r="N18" s="73"/>
      <c r="O18" s="73"/>
      <c r="P18" s="73"/>
      <c r="Q18" s="73"/>
      <c r="R18" s="73"/>
      <c r="S18" s="73"/>
      <c r="T18" s="73"/>
      <c r="U18" s="73"/>
      <c r="V18" s="73"/>
      <c r="W18" s="73"/>
      <c r="X18" s="73"/>
      <c r="Y18" s="73"/>
      <c r="Z18" s="73"/>
      <c r="AA18" s="73"/>
      <c r="AB18" s="73"/>
      <c r="AC18" s="73"/>
      <c r="AD18" s="73"/>
      <c r="AE18" s="73"/>
      <c r="AF18" s="73"/>
    </row>
    <row r="19" spans="1:32" ht="15.75" customHeight="1" x14ac:dyDescent="0.2">
      <c r="A19" s="73"/>
      <c r="G19" s="74"/>
      <c r="H19" s="73"/>
      <c r="I19" s="73"/>
      <c r="J19" s="73"/>
      <c r="K19" s="114" t="s">
        <v>912</v>
      </c>
      <c r="L19" s="74" t="s">
        <v>914</v>
      </c>
      <c r="M19" s="73"/>
      <c r="N19" s="73"/>
      <c r="O19" s="73"/>
      <c r="P19" s="73"/>
      <c r="Q19" s="73"/>
      <c r="R19" s="73"/>
      <c r="S19" s="73"/>
      <c r="T19" s="73"/>
      <c r="U19" s="73"/>
      <c r="V19" s="73"/>
      <c r="W19" s="73"/>
      <c r="X19" s="73"/>
      <c r="Y19" s="73"/>
      <c r="Z19" s="73"/>
      <c r="AA19" s="73"/>
      <c r="AB19" s="73"/>
      <c r="AC19" s="73"/>
      <c r="AD19" s="73"/>
      <c r="AE19" s="73"/>
      <c r="AF19" s="73"/>
    </row>
    <row r="20" spans="1:32" ht="15.75" customHeight="1" x14ac:dyDescent="0.2">
      <c r="A20" s="73"/>
      <c r="G20" s="74"/>
      <c r="H20" s="73"/>
      <c r="I20" s="73"/>
      <c r="J20" s="73"/>
      <c r="K20" s="114" t="s">
        <v>913</v>
      </c>
      <c r="L20" s="74" t="s">
        <v>79</v>
      </c>
      <c r="M20" s="73"/>
      <c r="N20" s="73"/>
      <c r="O20" s="73"/>
      <c r="P20" s="73"/>
      <c r="Q20" s="73"/>
      <c r="R20" s="73"/>
      <c r="S20" s="73"/>
      <c r="T20" s="73"/>
      <c r="U20" s="73"/>
      <c r="V20" s="73"/>
      <c r="W20" s="73"/>
      <c r="X20" s="73"/>
      <c r="Y20" s="73"/>
      <c r="Z20" s="73"/>
      <c r="AA20" s="73"/>
      <c r="AB20" s="73"/>
      <c r="AC20" s="73"/>
      <c r="AD20" s="73"/>
      <c r="AE20" s="73"/>
      <c r="AF20" s="73"/>
    </row>
    <row r="21" spans="1:32" ht="15.75" customHeight="1" x14ac:dyDescent="0.2">
      <c r="A21" s="73"/>
      <c r="C21" s="74"/>
      <c r="D21" s="74"/>
      <c r="E21" s="95"/>
      <c r="F21" s="73"/>
      <c r="G21" s="74"/>
      <c r="H21" s="73"/>
      <c r="I21" s="73"/>
      <c r="J21" s="73"/>
      <c r="K21" s="114" t="s">
        <v>915</v>
      </c>
      <c r="L21" s="74" t="s">
        <v>165</v>
      </c>
      <c r="M21" s="73"/>
      <c r="N21" s="73"/>
      <c r="O21" s="73"/>
      <c r="P21" s="73"/>
      <c r="Q21" s="73"/>
      <c r="R21" s="73"/>
      <c r="S21" s="73"/>
      <c r="T21" s="73"/>
      <c r="U21" s="73"/>
      <c r="V21" s="73"/>
      <c r="W21" s="73"/>
      <c r="X21" s="73"/>
      <c r="Y21" s="73"/>
      <c r="Z21" s="73"/>
      <c r="AA21" s="73"/>
      <c r="AB21" s="73"/>
      <c r="AC21" s="73"/>
      <c r="AD21" s="73"/>
      <c r="AE21" s="73"/>
      <c r="AF21" s="73"/>
    </row>
    <row r="22" spans="1:32" ht="15.75" customHeight="1" x14ac:dyDescent="0.2">
      <c r="A22" s="73"/>
      <c r="C22" s="74"/>
      <c r="D22" s="74"/>
      <c r="E22" s="95"/>
      <c r="F22" s="73"/>
      <c r="G22" s="74"/>
      <c r="H22" s="73"/>
      <c r="I22" s="73"/>
      <c r="J22" s="73"/>
      <c r="K22" s="114" t="s">
        <v>916</v>
      </c>
      <c r="L22" s="74" t="s">
        <v>616</v>
      </c>
      <c r="M22" s="73"/>
      <c r="N22" s="73"/>
      <c r="O22" s="73"/>
      <c r="P22" s="73"/>
      <c r="Q22" s="73"/>
      <c r="R22" s="73"/>
      <c r="S22" s="73"/>
      <c r="T22" s="73"/>
      <c r="U22" s="73"/>
      <c r="V22" s="73"/>
      <c r="W22" s="73"/>
      <c r="X22" s="73"/>
      <c r="Y22" s="73"/>
      <c r="Z22" s="73"/>
      <c r="AA22" s="73"/>
      <c r="AB22" s="73"/>
      <c r="AC22" s="73"/>
      <c r="AD22" s="73"/>
      <c r="AE22" s="73"/>
      <c r="AF22" s="73"/>
    </row>
    <row r="23" spans="1:32" ht="15.75" customHeight="1" x14ac:dyDescent="0.2">
      <c r="A23" s="73"/>
      <c r="B23" s="98"/>
      <c r="C23" s="74"/>
      <c r="D23" s="74"/>
      <c r="F23" s="73"/>
      <c r="G23" s="74"/>
      <c r="H23" s="73"/>
      <c r="I23" s="73"/>
      <c r="J23" s="73"/>
      <c r="K23" s="114" t="s">
        <v>917</v>
      </c>
      <c r="L23" s="73" t="s">
        <v>919</v>
      </c>
      <c r="M23" s="73"/>
      <c r="N23" s="73"/>
      <c r="O23" s="73"/>
      <c r="P23" s="73"/>
      <c r="Q23" s="73"/>
      <c r="R23" s="73"/>
      <c r="S23" s="73"/>
      <c r="T23" s="73"/>
      <c r="U23" s="73"/>
      <c r="V23" s="73"/>
      <c r="W23" s="73"/>
      <c r="X23" s="73"/>
      <c r="Y23" s="73"/>
      <c r="Z23" s="73"/>
      <c r="AA23" s="73"/>
      <c r="AB23" s="73"/>
      <c r="AC23" s="73"/>
      <c r="AD23" s="73"/>
      <c r="AE23" s="73"/>
      <c r="AF23" s="73"/>
    </row>
    <row r="24" spans="1:32" ht="15.75" customHeight="1" x14ac:dyDescent="0.2">
      <c r="A24" s="73"/>
      <c r="B24" s="98"/>
      <c r="C24" s="74"/>
      <c r="D24" s="74"/>
      <c r="E24" s="74"/>
      <c r="F24" s="73"/>
      <c r="G24" s="74"/>
      <c r="H24" s="73"/>
      <c r="I24" s="73"/>
      <c r="J24" s="73"/>
      <c r="K24" s="114" t="s">
        <v>918</v>
      </c>
      <c r="L24" s="74" t="s">
        <v>291</v>
      </c>
      <c r="M24" s="73"/>
      <c r="N24" s="73"/>
      <c r="O24" s="73"/>
      <c r="P24" s="73"/>
      <c r="Q24" s="73"/>
      <c r="R24" s="73"/>
      <c r="S24" s="73"/>
      <c r="T24" s="73"/>
      <c r="U24" s="73"/>
      <c r="V24" s="73"/>
      <c r="W24" s="73"/>
      <c r="X24" s="73"/>
      <c r="Y24" s="73"/>
      <c r="Z24" s="73"/>
      <c r="AA24" s="73"/>
      <c r="AB24" s="73"/>
      <c r="AC24" s="73"/>
      <c r="AD24" s="73"/>
      <c r="AE24" s="73"/>
      <c r="AF24" s="73"/>
    </row>
    <row r="25" spans="1:32" ht="15.75" customHeight="1" x14ac:dyDescent="0.2">
      <c r="A25" s="73"/>
      <c r="B25" s="98"/>
      <c r="C25" s="74"/>
      <c r="D25" s="74"/>
      <c r="E25" s="74"/>
      <c r="F25" s="73"/>
      <c r="G25" s="74"/>
      <c r="H25" s="73"/>
      <c r="I25" s="73"/>
      <c r="J25" s="73"/>
      <c r="K25" s="114" t="s">
        <v>920</v>
      </c>
      <c r="L25" s="74" t="s">
        <v>28</v>
      </c>
      <c r="M25" s="73"/>
      <c r="N25" s="73"/>
      <c r="O25" s="73"/>
      <c r="P25" s="73"/>
      <c r="Q25" s="73"/>
      <c r="R25" s="73"/>
      <c r="S25" s="73"/>
      <c r="T25" s="73"/>
      <c r="U25" s="73"/>
      <c r="V25" s="73"/>
      <c r="W25" s="73"/>
      <c r="X25" s="73"/>
      <c r="Y25" s="73"/>
      <c r="Z25" s="73"/>
      <c r="AA25" s="73"/>
      <c r="AB25" s="73"/>
      <c r="AC25" s="73"/>
      <c r="AD25" s="73"/>
      <c r="AE25" s="73"/>
      <c r="AF25" s="73"/>
    </row>
    <row r="26" spans="1:32" ht="15.75" customHeight="1" x14ac:dyDescent="0.2">
      <c r="A26" s="73"/>
      <c r="B26" s="98"/>
      <c r="C26" s="74"/>
      <c r="D26" s="74"/>
      <c r="F26" s="73"/>
      <c r="G26" s="74"/>
      <c r="H26" s="73"/>
      <c r="I26" s="73"/>
      <c r="J26" s="73"/>
      <c r="K26" s="114" t="s">
        <v>921</v>
      </c>
      <c r="L26" s="73"/>
      <c r="M26" s="73"/>
      <c r="N26" s="73"/>
      <c r="O26" s="73"/>
      <c r="P26" s="73"/>
      <c r="Q26" s="73"/>
      <c r="R26" s="73"/>
      <c r="S26" s="73"/>
      <c r="T26" s="73"/>
      <c r="U26" s="73"/>
      <c r="V26" s="73"/>
      <c r="W26" s="73"/>
      <c r="X26" s="73"/>
      <c r="Y26" s="73"/>
      <c r="Z26" s="73"/>
      <c r="AA26" s="73"/>
      <c r="AB26" s="73"/>
      <c r="AC26" s="73"/>
      <c r="AD26" s="73"/>
      <c r="AE26" s="73"/>
      <c r="AF26" s="73"/>
    </row>
    <row r="27" spans="1:32" ht="15.75" customHeight="1" x14ac:dyDescent="0.2">
      <c r="A27" s="73"/>
      <c r="B27" s="98"/>
      <c r="C27" s="74"/>
      <c r="D27" s="74"/>
      <c r="F27" s="73"/>
      <c r="G27" s="74"/>
      <c r="H27" s="73"/>
      <c r="I27" s="73"/>
      <c r="J27" s="73"/>
      <c r="K27" s="114" t="s">
        <v>922</v>
      </c>
      <c r="L27" s="73"/>
      <c r="M27" s="73"/>
      <c r="N27" s="73"/>
      <c r="O27" s="73"/>
      <c r="P27" s="73"/>
      <c r="Q27" s="73"/>
      <c r="R27" s="73"/>
      <c r="S27" s="73"/>
      <c r="T27" s="73"/>
      <c r="U27" s="73"/>
      <c r="V27" s="73"/>
      <c r="W27" s="73"/>
      <c r="X27" s="73"/>
      <c r="Y27" s="73"/>
      <c r="Z27" s="73"/>
      <c r="AA27" s="73"/>
      <c r="AB27" s="73"/>
      <c r="AC27" s="73"/>
      <c r="AD27" s="73"/>
      <c r="AE27" s="73"/>
      <c r="AF27" s="73"/>
    </row>
    <row r="28" spans="1:32" ht="15.75" customHeight="1" x14ac:dyDescent="0.2">
      <c r="A28" s="73"/>
      <c r="B28" s="79"/>
      <c r="C28" s="74"/>
      <c r="D28" s="74"/>
      <c r="F28" s="73"/>
      <c r="G28" s="74"/>
      <c r="H28" s="73"/>
      <c r="I28" s="73"/>
      <c r="J28" s="73"/>
      <c r="K28" s="114" t="s">
        <v>923</v>
      </c>
      <c r="L28" s="73"/>
      <c r="M28" s="73"/>
      <c r="N28" s="73"/>
      <c r="O28" s="73"/>
      <c r="P28" s="73"/>
      <c r="Q28" s="73"/>
      <c r="R28" s="73"/>
      <c r="S28" s="73"/>
      <c r="T28" s="73"/>
      <c r="U28" s="73"/>
      <c r="V28" s="73"/>
      <c r="W28" s="73"/>
      <c r="X28" s="73"/>
      <c r="Y28" s="73"/>
      <c r="Z28" s="73"/>
      <c r="AA28" s="73"/>
      <c r="AB28" s="73"/>
      <c r="AC28" s="73"/>
      <c r="AD28" s="73"/>
      <c r="AE28" s="73"/>
      <c r="AF28" s="73"/>
    </row>
    <row r="29" spans="1:32" ht="15.75" customHeight="1" x14ac:dyDescent="0.2">
      <c r="A29" s="73"/>
      <c r="B29" s="79"/>
      <c r="C29" s="74"/>
      <c r="D29" s="74"/>
      <c r="F29" s="73"/>
      <c r="G29" s="74"/>
      <c r="H29" s="73"/>
      <c r="I29" s="73"/>
      <c r="J29" s="73"/>
      <c r="K29" s="114" t="s">
        <v>924</v>
      </c>
      <c r="L29" s="73"/>
      <c r="M29" s="73"/>
      <c r="N29" s="73"/>
      <c r="O29" s="73"/>
      <c r="P29" s="73"/>
      <c r="Q29" s="73"/>
      <c r="R29" s="73"/>
      <c r="S29" s="73"/>
      <c r="T29" s="73"/>
      <c r="U29" s="73"/>
      <c r="V29" s="73"/>
      <c r="W29" s="73"/>
      <c r="X29" s="73"/>
      <c r="Y29" s="73"/>
      <c r="Z29" s="73"/>
      <c r="AA29" s="73"/>
      <c r="AB29" s="73"/>
      <c r="AC29" s="73"/>
      <c r="AD29" s="73"/>
      <c r="AE29" s="73"/>
      <c r="AF29" s="73"/>
    </row>
    <row r="30" spans="1:32" ht="15.75" customHeight="1" x14ac:dyDescent="0.2">
      <c r="A30" s="73"/>
      <c r="B30" s="73"/>
      <c r="C30" s="74"/>
      <c r="D30" s="74"/>
      <c r="F30" s="73"/>
      <c r="G30" s="74"/>
      <c r="H30" s="73"/>
      <c r="I30" s="73"/>
      <c r="J30" s="73"/>
      <c r="K30" s="114" t="s">
        <v>925</v>
      </c>
      <c r="L30" s="73"/>
      <c r="M30" s="73"/>
      <c r="N30" s="73"/>
      <c r="O30" s="73"/>
      <c r="P30" s="73"/>
      <c r="Q30" s="73"/>
      <c r="R30" s="73"/>
      <c r="S30" s="73"/>
      <c r="T30" s="73"/>
      <c r="U30" s="73"/>
      <c r="V30" s="73"/>
      <c r="W30" s="73"/>
      <c r="X30" s="73"/>
      <c r="Y30" s="73"/>
      <c r="Z30" s="73"/>
      <c r="AA30" s="73"/>
      <c r="AB30" s="73"/>
      <c r="AC30" s="73"/>
      <c r="AD30" s="73"/>
      <c r="AE30" s="73"/>
      <c r="AF30" s="73"/>
    </row>
    <row r="31" spans="1:32" ht="15.75" customHeight="1" x14ac:dyDescent="0.2">
      <c r="A31" s="73"/>
      <c r="B31" s="73"/>
      <c r="C31" s="74"/>
      <c r="D31" s="74"/>
      <c r="F31" s="73"/>
      <c r="G31" s="74"/>
      <c r="H31" s="73"/>
      <c r="I31" s="73"/>
      <c r="J31" s="73"/>
      <c r="K31" s="114" t="s">
        <v>926</v>
      </c>
      <c r="L31" s="73"/>
      <c r="M31" s="73"/>
      <c r="N31" s="73"/>
      <c r="O31" s="73"/>
      <c r="P31" s="73"/>
      <c r="Q31" s="73"/>
      <c r="R31" s="73"/>
      <c r="S31" s="73"/>
      <c r="T31" s="73"/>
      <c r="U31" s="73"/>
      <c r="V31" s="73"/>
      <c r="W31" s="73"/>
      <c r="X31" s="73"/>
      <c r="Y31" s="73"/>
      <c r="Z31" s="73"/>
      <c r="AA31" s="73"/>
      <c r="AB31" s="73"/>
      <c r="AC31" s="73"/>
      <c r="AD31" s="73"/>
      <c r="AE31" s="73"/>
      <c r="AF31" s="73"/>
    </row>
    <row r="32" spans="1:32" ht="15.75" customHeight="1" x14ac:dyDescent="0.2">
      <c r="A32" s="73"/>
      <c r="B32" s="73"/>
      <c r="C32" s="74"/>
      <c r="D32" s="74"/>
      <c r="F32" s="73"/>
      <c r="G32" s="74"/>
      <c r="H32" s="73"/>
      <c r="I32" s="73"/>
      <c r="J32" s="73"/>
      <c r="K32" s="114" t="s">
        <v>927</v>
      </c>
      <c r="L32" s="73"/>
      <c r="M32" s="73"/>
      <c r="N32" s="73"/>
      <c r="O32" s="73"/>
      <c r="P32" s="73"/>
      <c r="Q32" s="73"/>
      <c r="R32" s="73"/>
      <c r="S32" s="73"/>
      <c r="T32" s="73"/>
      <c r="U32" s="73"/>
      <c r="V32" s="73"/>
      <c r="W32" s="73"/>
      <c r="X32" s="73"/>
      <c r="Y32" s="73"/>
      <c r="Z32" s="73"/>
      <c r="AA32" s="73"/>
      <c r="AB32" s="73"/>
      <c r="AC32" s="73"/>
      <c r="AD32" s="73"/>
      <c r="AE32" s="73"/>
      <c r="AF32" s="73"/>
    </row>
    <row r="33" spans="1:32" ht="15.75" customHeight="1" x14ac:dyDescent="0.2">
      <c r="A33" s="73"/>
      <c r="B33" s="73"/>
      <c r="C33" s="74"/>
      <c r="D33" s="74"/>
      <c r="F33" s="73"/>
      <c r="G33" s="74"/>
      <c r="H33" s="73"/>
      <c r="I33" s="73"/>
      <c r="J33" s="73"/>
      <c r="K33" s="114" t="s">
        <v>928</v>
      </c>
      <c r="L33" s="73"/>
      <c r="M33" s="73"/>
      <c r="N33" s="73"/>
      <c r="O33" s="73"/>
      <c r="P33" s="73"/>
      <c r="Q33" s="73"/>
      <c r="R33" s="73"/>
      <c r="S33" s="73"/>
      <c r="T33" s="73"/>
      <c r="U33" s="73"/>
      <c r="V33" s="73"/>
      <c r="W33" s="73"/>
      <c r="X33" s="73"/>
      <c r="Y33" s="73"/>
      <c r="Z33" s="73"/>
      <c r="AA33" s="73"/>
      <c r="AB33" s="73"/>
      <c r="AC33" s="73"/>
      <c r="AD33" s="73"/>
      <c r="AE33" s="73"/>
      <c r="AF33" s="73"/>
    </row>
    <row r="34" spans="1:32" ht="15.75" customHeight="1" x14ac:dyDescent="0.2">
      <c r="A34" s="73"/>
      <c r="B34" s="73"/>
      <c r="C34" s="74"/>
      <c r="D34" s="74"/>
      <c r="F34" s="73"/>
      <c r="G34" s="74"/>
      <c r="H34" s="73"/>
      <c r="I34" s="73"/>
      <c r="J34" s="73"/>
      <c r="K34" s="114" t="s">
        <v>929</v>
      </c>
      <c r="L34" s="73"/>
      <c r="M34" s="73"/>
      <c r="N34" s="73"/>
      <c r="O34" s="73"/>
      <c r="P34" s="73"/>
      <c r="Q34" s="73"/>
      <c r="R34" s="73"/>
      <c r="S34" s="73"/>
      <c r="T34" s="73"/>
      <c r="U34" s="73"/>
      <c r="V34" s="73"/>
      <c r="W34" s="73"/>
      <c r="X34" s="73"/>
      <c r="Y34" s="73"/>
      <c r="Z34" s="73"/>
      <c r="AA34" s="73"/>
      <c r="AB34" s="73"/>
      <c r="AC34" s="73"/>
      <c r="AD34" s="73"/>
      <c r="AE34" s="73"/>
      <c r="AF34" s="73"/>
    </row>
    <row r="35" spans="1:32" ht="15.75" customHeight="1" x14ac:dyDescent="0.2">
      <c r="A35" s="73"/>
      <c r="B35" s="73"/>
      <c r="C35" s="74"/>
      <c r="D35" s="74"/>
      <c r="F35" s="73"/>
      <c r="G35" s="74"/>
      <c r="H35" s="73"/>
      <c r="I35" s="73"/>
      <c r="J35" s="73"/>
      <c r="K35" s="114" t="s">
        <v>930</v>
      </c>
      <c r="L35" s="73"/>
      <c r="M35" s="73"/>
      <c r="N35" s="73"/>
      <c r="O35" s="73"/>
      <c r="P35" s="73"/>
      <c r="Q35" s="73"/>
      <c r="R35" s="73"/>
      <c r="S35" s="73"/>
      <c r="T35" s="73"/>
      <c r="U35" s="73"/>
      <c r="V35" s="73"/>
      <c r="W35" s="73"/>
      <c r="X35" s="73"/>
      <c r="Y35" s="73"/>
      <c r="Z35" s="73"/>
      <c r="AA35" s="73"/>
      <c r="AB35" s="73"/>
      <c r="AC35" s="73"/>
      <c r="AD35" s="73"/>
      <c r="AE35" s="73"/>
      <c r="AF35" s="73"/>
    </row>
    <row r="36" spans="1:32" ht="15.75" customHeight="1" x14ac:dyDescent="0.2">
      <c r="A36" s="73"/>
      <c r="B36" s="73"/>
      <c r="C36" s="74"/>
      <c r="D36" s="74"/>
      <c r="F36" s="73"/>
      <c r="G36" s="74"/>
      <c r="H36" s="73"/>
      <c r="I36" s="73"/>
      <c r="J36" s="73"/>
      <c r="K36" s="114" t="s">
        <v>931</v>
      </c>
      <c r="L36" s="73"/>
      <c r="M36" s="73"/>
      <c r="N36" s="73"/>
      <c r="O36" s="73"/>
      <c r="P36" s="73"/>
      <c r="Q36" s="73"/>
      <c r="R36" s="73"/>
      <c r="S36" s="73"/>
      <c r="T36" s="73"/>
      <c r="U36" s="73"/>
      <c r="V36" s="73"/>
      <c r="W36" s="73"/>
      <c r="X36" s="73"/>
      <c r="Y36" s="73"/>
      <c r="Z36" s="73"/>
      <c r="AA36" s="73"/>
      <c r="AB36" s="73"/>
      <c r="AC36" s="73"/>
      <c r="AD36" s="73"/>
      <c r="AE36" s="73"/>
      <c r="AF36" s="73"/>
    </row>
    <row r="37" spans="1:32" ht="15.75" customHeight="1" x14ac:dyDescent="0.2">
      <c r="A37" s="73"/>
      <c r="B37" s="73"/>
      <c r="C37" s="74"/>
      <c r="D37" s="74"/>
      <c r="F37" s="73"/>
      <c r="G37" s="74"/>
      <c r="H37" s="73"/>
      <c r="I37" s="73"/>
      <c r="J37" s="73"/>
      <c r="K37" s="114" t="s">
        <v>932</v>
      </c>
      <c r="L37" s="73"/>
      <c r="M37" s="73"/>
      <c r="N37" s="73"/>
      <c r="O37" s="73"/>
      <c r="P37" s="73"/>
      <c r="Q37" s="73"/>
      <c r="R37" s="73"/>
      <c r="S37" s="73"/>
      <c r="T37" s="73"/>
      <c r="U37" s="73"/>
      <c r="V37" s="73"/>
      <c r="W37" s="73"/>
      <c r="X37" s="73"/>
      <c r="Y37" s="73"/>
      <c r="Z37" s="73"/>
      <c r="AA37" s="73"/>
      <c r="AB37" s="73"/>
      <c r="AC37" s="73"/>
      <c r="AD37" s="73"/>
      <c r="AE37" s="73"/>
      <c r="AF37" s="73"/>
    </row>
    <row r="38" spans="1:32" ht="15.75" customHeight="1" x14ac:dyDescent="0.2">
      <c r="A38" s="73"/>
      <c r="B38" s="73"/>
      <c r="C38" s="74"/>
      <c r="D38" s="74"/>
      <c r="F38" s="73"/>
      <c r="G38" s="74"/>
      <c r="H38" s="73"/>
      <c r="I38" s="73"/>
      <c r="J38" s="73"/>
      <c r="K38" s="114" t="s">
        <v>933</v>
      </c>
      <c r="L38" s="73"/>
      <c r="M38" s="73"/>
      <c r="N38" s="73"/>
      <c r="O38" s="73"/>
      <c r="P38" s="73"/>
      <c r="Q38" s="73"/>
      <c r="R38" s="73"/>
      <c r="S38" s="73"/>
      <c r="T38" s="73"/>
      <c r="U38" s="73"/>
      <c r="V38" s="73"/>
      <c r="W38" s="73"/>
      <c r="X38" s="73"/>
      <c r="Y38" s="73"/>
      <c r="Z38" s="73"/>
      <c r="AA38" s="73"/>
      <c r="AB38" s="73"/>
      <c r="AC38" s="73"/>
      <c r="AD38" s="73"/>
      <c r="AE38" s="73"/>
      <c r="AF38" s="73"/>
    </row>
    <row r="39" spans="1:32" ht="15.75" customHeight="1" x14ac:dyDescent="0.2">
      <c r="A39" s="73"/>
      <c r="B39" s="73"/>
      <c r="C39" s="74"/>
      <c r="D39" s="74"/>
      <c r="F39" s="73"/>
      <c r="G39" s="74"/>
      <c r="H39" s="73"/>
      <c r="I39" s="73"/>
      <c r="J39" s="73"/>
      <c r="K39" s="114" t="s">
        <v>934</v>
      </c>
      <c r="L39" s="73"/>
      <c r="M39" s="73"/>
      <c r="N39" s="73"/>
      <c r="O39" s="73"/>
      <c r="P39" s="73"/>
      <c r="Q39" s="73"/>
      <c r="R39" s="73"/>
      <c r="S39" s="73"/>
      <c r="T39" s="73"/>
      <c r="U39" s="73"/>
      <c r="V39" s="73"/>
      <c r="W39" s="73"/>
      <c r="X39" s="73"/>
      <c r="Y39" s="73"/>
      <c r="Z39" s="73"/>
      <c r="AA39" s="73"/>
      <c r="AB39" s="73"/>
      <c r="AC39" s="73"/>
      <c r="AD39" s="73"/>
      <c r="AE39" s="73"/>
      <c r="AF39" s="73"/>
    </row>
    <row r="40" spans="1:32" ht="15.75" customHeight="1" x14ac:dyDescent="0.2">
      <c r="A40" s="73"/>
      <c r="B40" s="73"/>
      <c r="C40" s="74"/>
      <c r="D40" s="74"/>
      <c r="F40" s="73"/>
      <c r="G40" s="74"/>
      <c r="H40" s="73"/>
      <c r="I40" s="73"/>
      <c r="J40" s="73"/>
      <c r="K40" s="114" t="s">
        <v>935</v>
      </c>
      <c r="L40" s="73"/>
      <c r="M40" s="73"/>
      <c r="N40" s="73"/>
      <c r="O40" s="73"/>
      <c r="P40" s="73"/>
      <c r="Q40" s="73"/>
      <c r="R40" s="73"/>
      <c r="S40" s="73"/>
      <c r="T40" s="73"/>
      <c r="U40" s="73"/>
      <c r="V40" s="73"/>
      <c r="W40" s="73"/>
      <c r="X40" s="73"/>
      <c r="Y40" s="73"/>
      <c r="Z40" s="73"/>
      <c r="AA40" s="73"/>
      <c r="AB40" s="73"/>
      <c r="AC40" s="73"/>
      <c r="AD40" s="73"/>
      <c r="AE40" s="73"/>
      <c r="AF40" s="73"/>
    </row>
    <row r="41" spans="1:32" ht="15.75" customHeight="1" x14ac:dyDescent="0.2">
      <c r="A41" s="73"/>
      <c r="B41" s="73"/>
      <c r="C41" s="74"/>
      <c r="D41" s="74"/>
      <c r="E41" s="74"/>
      <c r="F41" s="73"/>
      <c r="G41" s="74"/>
      <c r="H41" s="73"/>
      <c r="I41" s="73"/>
      <c r="J41" s="73"/>
      <c r="K41" s="114" t="s">
        <v>936</v>
      </c>
      <c r="L41" s="73"/>
      <c r="M41" s="73"/>
      <c r="N41" s="73"/>
      <c r="O41" s="73"/>
      <c r="P41" s="73"/>
      <c r="Q41" s="73"/>
      <c r="R41" s="73"/>
      <c r="S41" s="73"/>
      <c r="T41" s="73"/>
      <c r="U41" s="73"/>
      <c r="V41" s="73"/>
      <c r="W41" s="73"/>
      <c r="X41" s="73"/>
      <c r="Y41" s="73"/>
      <c r="Z41" s="73"/>
      <c r="AA41" s="73"/>
      <c r="AB41" s="73"/>
      <c r="AC41" s="73"/>
      <c r="AD41" s="73"/>
      <c r="AE41" s="73"/>
      <c r="AF41" s="73"/>
    </row>
    <row r="42" spans="1:32" ht="15.75" customHeight="1" x14ac:dyDescent="0.2">
      <c r="A42" s="73"/>
      <c r="B42" s="73"/>
      <c r="C42" s="74"/>
      <c r="D42" s="74"/>
      <c r="E42" s="74"/>
      <c r="F42" s="73"/>
      <c r="G42" s="74"/>
      <c r="H42" s="73"/>
      <c r="I42" s="73"/>
      <c r="J42" s="73"/>
      <c r="K42" s="114" t="s">
        <v>937</v>
      </c>
      <c r="L42" s="73"/>
      <c r="M42" s="73"/>
      <c r="N42" s="73"/>
      <c r="O42" s="73"/>
      <c r="P42" s="73"/>
      <c r="Q42" s="73"/>
      <c r="R42" s="73"/>
      <c r="S42" s="73"/>
      <c r="T42" s="73"/>
      <c r="U42" s="73"/>
      <c r="V42" s="73"/>
      <c r="W42" s="73"/>
      <c r="X42" s="73"/>
      <c r="Y42" s="73"/>
      <c r="Z42" s="73"/>
      <c r="AA42" s="73"/>
      <c r="AB42" s="73"/>
      <c r="AC42" s="73"/>
      <c r="AD42" s="73"/>
      <c r="AE42" s="73"/>
      <c r="AF42" s="73"/>
    </row>
    <row r="43" spans="1:32" ht="15.75" customHeight="1" x14ac:dyDescent="0.2">
      <c r="A43" s="73"/>
      <c r="B43" s="73"/>
      <c r="C43" s="74"/>
      <c r="D43" s="74"/>
      <c r="E43" s="74"/>
      <c r="F43" s="73"/>
      <c r="G43" s="74"/>
      <c r="H43" s="73"/>
      <c r="I43" s="73"/>
      <c r="J43" s="73"/>
      <c r="K43" s="114" t="s">
        <v>938</v>
      </c>
      <c r="L43" s="73"/>
      <c r="M43" s="73"/>
      <c r="N43" s="73"/>
      <c r="O43" s="73"/>
      <c r="P43" s="73"/>
      <c r="Q43" s="73"/>
      <c r="R43" s="73"/>
      <c r="S43" s="73"/>
      <c r="T43" s="73"/>
      <c r="U43" s="73"/>
      <c r="V43" s="73"/>
      <c r="W43" s="73"/>
      <c r="X43" s="73"/>
      <c r="Y43" s="73"/>
      <c r="Z43" s="73"/>
      <c r="AA43" s="73"/>
      <c r="AB43" s="73"/>
      <c r="AC43" s="73"/>
      <c r="AD43" s="73"/>
      <c r="AE43" s="73"/>
      <c r="AF43" s="73"/>
    </row>
    <row r="44" spans="1:32" ht="15.75" customHeight="1" x14ac:dyDescent="0.2">
      <c r="A44" s="73"/>
      <c r="B44" s="73"/>
      <c r="C44" s="74"/>
      <c r="D44" s="74"/>
      <c r="E44" s="74"/>
      <c r="F44" s="73"/>
      <c r="G44" s="74"/>
      <c r="H44" s="73"/>
      <c r="I44" s="73"/>
      <c r="J44" s="73"/>
      <c r="K44" s="114" t="s">
        <v>939</v>
      </c>
      <c r="L44" s="73"/>
      <c r="M44" s="73"/>
      <c r="N44" s="73"/>
      <c r="O44" s="73"/>
      <c r="P44" s="73"/>
      <c r="Q44" s="73"/>
      <c r="R44" s="73"/>
      <c r="S44" s="73"/>
      <c r="T44" s="73"/>
      <c r="U44" s="73"/>
      <c r="V44" s="73"/>
      <c r="W44" s="73"/>
      <c r="X44" s="73"/>
      <c r="Y44" s="73"/>
      <c r="Z44" s="73"/>
      <c r="AA44" s="73"/>
      <c r="AB44" s="73"/>
      <c r="AC44" s="73"/>
      <c r="AD44" s="73"/>
      <c r="AE44" s="73"/>
      <c r="AF44" s="73"/>
    </row>
    <row r="45" spans="1:32" ht="15.75" customHeight="1" x14ac:dyDescent="0.2">
      <c r="A45" s="73"/>
      <c r="B45" s="73"/>
      <c r="C45" s="74"/>
      <c r="D45" s="74"/>
      <c r="E45" s="74"/>
      <c r="F45" s="73"/>
      <c r="G45" s="74"/>
      <c r="H45" s="73"/>
      <c r="I45" s="73"/>
      <c r="J45" s="73"/>
      <c r="K45" s="114" t="s">
        <v>940</v>
      </c>
      <c r="L45" s="73"/>
      <c r="M45" s="73"/>
      <c r="N45" s="73"/>
      <c r="O45" s="73"/>
      <c r="P45" s="73"/>
      <c r="Q45" s="73"/>
      <c r="R45" s="73"/>
      <c r="S45" s="73"/>
      <c r="T45" s="73"/>
      <c r="U45" s="73"/>
      <c r="V45" s="73"/>
      <c r="W45" s="73"/>
      <c r="X45" s="73"/>
      <c r="Y45" s="73"/>
      <c r="Z45" s="73"/>
      <c r="AA45" s="73"/>
      <c r="AB45" s="73"/>
      <c r="AC45" s="73"/>
      <c r="AD45" s="73"/>
      <c r="AE45" s="73"/>
      <c r="AF45" s="73"/>
    </row>
    <row r="46" spans="1:32" ht="15.75" customHeight="1" x14ac:dyDescent="0.2">
      <c r="A46" s="73"/>
      <c r="B46" s="73"/>
      <c r="C46" s="74"/>
      <c r="D46" s="74"/>
      <c r="E46" s="74"/>
      <c r="F46" s="73"/>
      <c r="G46" s="74"/>
      <c r="H46" s="73"/>
      <c r="I46" s="73"/>
      <c r="J46" s="73"/>
      <c r="K46" s="114" t="s">
        <v>941</v>
      </c>
      <c r="L46" s="73"/>
      <c r="M46" s="73"/>
      <c r="N46" s="73"/>
      <c r="O46" s="73"/>
      <c r="P46" s="73"/>
      <c r="Q46" s="73"/>
      <c r="R46" s="73"/>
      <c r="S46" s="73"/>
      <c r="T46" s="73"/>
      <c r="U46" s="73"/>
      <c r="V46" s="73"/>
      <c r="W46" s="73"/>
      <c r="X46" s="73"/>
      <c r="Y46" s="73"/>
      <c r="Z46" s="73"/>
      <c r="AA46" s="73"/>
      <c r="AB46" s="73"/>
      <c r="AC46" s="73"/>
      <c r="AD46" s="73"/>
      <c r="AE46" s="73"/>
      <c r="AF46" s="73"/>
    </row>
    <row r="47" spans="1:32" ht="15.75" customHeight="1" x14ac:dyDescent="0.2">
      <c r="A47" s="73"/>
      <c r="B47" s="73"/>
      <c r="C47" s="74"/>
      <c r="D47" s="74"/>
      <c r="E47" s="74"/>
      <c r="F47" s="73"/>
      <c r="G47" s="74"/>
      <c r="H47" s="73"/>
      <c r="I47" s="73"/>
      <c r="J47" s="73"/>
      <c r="K47" s="114" t="s">
        <v>942</v>
      </c>
      <c r="L47" s="73"/>
      <c r="M47" s="73"/>
      <c r="N47" s="73"/>
      <c r="O47" s="73"/>
      <c r="P47" s="73"/>
      <c r="Q47" s="73"/>
      <c r="R47" s="73"/>
      <c r="S47" s="73"/>
      <c r="T47" s="73"/>
      <c r="U47" s="73"/>
      <c r="V47" s="73"/>
      <c r="W47" s="73"/>
      <c r="X47" s="73"/>
      <c r="Y47" s="73"/>
      <c r="Z47" s="73"/>
      <c r="AA47" s="73"/>
      <c r="AB47" s="73"/>
      <c r="AC47" s="73"/>
      <c r="AD47" s="73"/>
      <c r="AE47" s="73"/>
      <c r="AF47" s="73"/>
    </row>
    <row r="48" spans="1:32" ht="15.75" customHeight="1" x14ac:dyDescent="0.2">
      <c r="A48" s="73"/>
      <c r="B48" s="73"/>
      <c r="C48" s="74"/>
      <c r="D48" s="74"/>
      <c r="E48" s="74"/>
      <c r="F48" s="73"/>
      <c r="G48" s="74"/>
      <c r="H48" s="73"/>
      <c r="I48" s="73"/>
      <c r="J48" s="73"/>
      <c r="K48" s="114" t="s">
        <v>943</v>
      </c>
      <c r="L48" s="73"/>
      <c r="M48" s="73"/>
      <c r="N48" s="73"/>
      <c r="O48" s="73"/>
      <c r="P48" s="73"/>
      <c r="Q48" s="73"/>
      <c r="R48" s="73"/>
      <c r="S48" s="73"/>
      <c r="T48" s="73"/>
      <c r="U48" s="73"/>
      <c r="V48" s="73"/>
      <c r="W48" s="73"/>
      <c r="X48" s="73"/>
      <c r="Y48" s="73"/>
      <c r="Z48" s="73"/>
      <c r="AA48" s="73"/>
      <c r="AB48" s="73"/>
      <c r="AC48" s="73"/>
      <c r="AD48" s="73"/>
      <c r="AE48" s="73"/>
      <c r="AF48" s="73"/>
    </row>
    <row r="49" spans="1:32" ht="15.75" customHeight="1" x14ac:dyDescent="0.2">
      <c r="A49" s="73"/>
      <c r="B49" s="73"/>
      <c r="C49" s="74"/>
      <c r="D49" s="74"/>
      <c r="E49" s="74"/>
      <c r="F49" s="73"/>
      <c r="G49" s="74"/>
      <c r="H49" s="73"/>
      <c r="I49" s="73"/>
      <c r="J49" s="73"/>
      <c r="K49" s="114" t="s">
        <v>944</v>
      </c>
      <c r="L49" s="73"/>
      <c r="M49" s="73"/>
      <c r="N49" s="73"/>
      <c r="O49" s="73"/>
      <c r="P49" s="73"/>
      <c r="Q49" s="73"/>
      <c r="R49" s="73"/>
      <c r="S49" s="73"/>
      <c r="T49" s="73"/>
      <c r="U49" s="73"/>
      <c r="V49" s="73"/>
      <c r="W49" s="73"/>
      <c r="X49" s="73"/>
      <c r="Y49" s="73"/>
      <c r="Z49" s="73"/>
      <c r="AA49" s="73"/>
      <c r="AB49" s="73"/>
      <c r="AC49" s="73"/>
      <c r="AD49" s="73"/>
      <c r="AE49" s="73"/>
      <c r="AF49" s="73"/>
    </row>
    <row r="50" spans="1:32" ht="15.75" customHeight="1" x14ac:dyDescent="0.2">
      <c r="A50" s="73"/>
      <c r="B50" s="73"/>
      <c r="C50" s="74"/>
      <c r="D50" s="74"/>
      <c r="E50" s="74"/>
      <c r="F50" s="73"/>
      <c r="G50" s="74"/>
      <c r="H50" s="73"/>
      <c r="I50" s="73"/>
      <c r="J50" s="73"/>
      <c r="K50" s="114" t="s">
        <v>945</v>
      </c>
      <c r="L50" s="73"/>
      <c r="M50" s="73"/>
      <c r="N50" s="73"/>
      <c r="O50" s="73"/>
      <c r="P50" s="73"/>
      <c r="Q50" s="73"/>
      <c r="R50" s="73"/>
      <c r="S50" s="73"/>
      <c r="T50" s="73"/>
      <c r="U50" s="73"/>
      <c r="V50" s="73"/>
      <c r="W50" s="73"/>
      <c r="X50" s="73"/>
      <c r="Y50" s="73"/>
      <c r="Z50" s="73"/>
      <c r="AA50" s="73"/>
      <c r="AB50" s="73"/>
      <c r="AC50" s="73"/>
      <c r="AD50" s="73"/>
      <c r="AE50" s="73"/>
      <c r="AF50" s="73"/>
    </row>
    <row r="51" spans="1:32" ht="15.75" customHeight="1" x14ac:dyDescent="0.2">
      <c r="A51" s="73"/>
      <c r="B51" s="73"/>
      <c r="C51" s="74"/>
      <c r="D51" s="74"/>
      <c r="E51" s="74"/>
      <c r="F51" s="73"/>
      <c r="G51" s="74"/>
      <c r="H51" s="73"/>
      <c r="I51" s="73"/>
      <c r="J51" s="73"/>
      <c r="K51" s="114" t="s">
        <v>946</v>
      </c>
      <c r="L51" s="73"/>
      <c r="M51" s="73"/>
      <c r="N51" s="73"/>
      <c r="O51" s="73"/>
      <c r="P51" s="73"/>
      <c r="Q51" s="73"/>
      <c r="R51" s="73"/>
      <c r="S51" s="73"/>
      <c r="T51" s="73"/>
      <c r="U51" s="73"/>
      <c r="V51" s="73"/>
      <c r="W51" s="73"/>
      <c r="X51" s="73"/>
      <c r="Y51" s="73"/>
      <c r="Z51" s="73"/>
      <c r="AA51" s="73"/>
      <c r="AB51" s="73"/>
      <c r="AC51" s="73"/>
      <c r="AD51" s="73"/>
      <c r="AE51" s="73"/>
      <c r="AF51" s="73"/>
    </row>
    <row r="52" spans="1:32" ht="15.75" customHeight="1" x14ac:dyDescent="0.2">
      <c r="A52" s="73"/>
      <c r="B52" s="73"/>
      <c r="C52" s="74"/>
      <c r="D52" s="74"/>
      <c r="E52" s="74"/>
      <c r="F52" s="73"/>
      <c r="G52" s="74"/>
      <c r="H52" s="73"/>
      <c r="I52" s="73"/>
      <c r="J52" s="73"/>
      <c r="K52" s="114" t="s">
        <v>947</v>
      </c>
      <c r="L52" s="73"/>
      <c r="M52" s="73"/>
      <c r="N52" s="73"/>
      <c r="O52" s="73"/>
      <c r="P52" s="73"/>
      <c r="Q52" s="73"/>
      <c r="R52" s="73"/>
      <c r="S52" s="73"/>
      <c r="T52" s="73"/>
      <c r="U52" s="73"/>
      <c r="V52" s="73"/>
      <c r="W52" s="73"/>
      <c r="X52" s="73"/>
      <c r="Y52" s="73"/>
      <c r="Z52" s="73"/>
      <c r="AA52" s="73"/>
      <c r="AB52" s="73"/>
      <c r="AC52" s="73"/>
      <c r="AD52" s="73"/>
      <c r="AE52" s="73"/>
      <c r="AF52" s="73"/>
    </row>
    <row r="53" spans="1:32" ht="15.75" customHeight="1" x14ac:dyDescent="0.2">
      <c r="A53" s="73"/>
      <c r="B53" s="73"/>
      <c r="C53" s="74"/>
      <c r="D53" s="74"/>
      <c r="E53" s="74"/>
      <c r="F53" s="73"/>
      <c r="G53" s="74"/>
      <c r="H53" s="73"/>
      <c r="I53" s="73"/>
      <c r="J53" s="73"/>
      <c r="K53" s="114" t="s">
        <v>948</v>
      </c>
      <c r="L53" s="73"/>
      <c r="M53" s="73"/>
      <c r="N53" s="73"/>
      <c r="O53" s="73"/>
      <c r="P53" s="73"/>
      <c r="Q53" s="73"/>
      <c r="R53" s="73"/>
      <c r="S53" s="73"/>
      <c r="T53" s="73"/>
      <c r="U53" s="73"/>
      <c r="V53" s="73"/>
      <c r="W53" s="73"/>
      <c r="X53" s="73"/>
      <c r="Y53" s="73"/>
      <c r="Z53" s="73"/>
      <c r="AA53" s="73"/>
      <c r="AB53" s="73"/>
      <c r="AC53" s="73"/>
      <c r="AD53" s="73"/>
      <c r="AE53" s="73"/>
      <c r="AF53" s="73"/>
    </row>
    <row r="54" spans="1:32" ht="15.75" customHeight="1" x14ac:dyDescent="0.2">
      <c r="A54" s="73"/>
      <c r="B54" s="73"/>
      <c r="C54" s="74"/>
      <c r="D54" s="74"/>
      <c r="E54" s="74"/>
      <c r="F54" s="73"/>
      <c r="G54" s="74"/>
      <c r="H54" s="73"/>
      <c r="I54" s="73"/>
      <c r="J54" s="73"/>
      <c r="K54" s="114" t="s">
        <v>949</v>
      </c>
      <c r="L54" s="73"/>
      <c r="M54" s="73"/>
      <c r="N54" s="73"/>
      <c r="O54" s="73"/>
      <c r="P54" s="73"/>
      <c r="Q54" s="73"/>
      <c r="R54" s="73"/>
      <c r="S54" s="73"/>
      <c r="T54" s="73"/>
      <c r="U54" s="73"/>
      <c r="V54" s="73"/>
      <c r="W54" s="73"/>
      <c r="X54" s="73"/>
      <c r="Y54" s="73"/>
      <c r="Z54" s="73"/>
      <c r="AA54" s="73"/>
      <c r="AB54" s="73"/>
      <c r="AC54" s="73"/>
      <c r="AD54" s="73"/>
      <c r="AE54" s="73"/>
      <c r="AF54" s="73"/>
    </row>
    <row r="55" spans="1:32" ht="15.75" customHeight="1" x14ac:dyDescent="0.2">
      <c r="A55" s="73"/>
      <c r="B55" s="73"/>
      <c r="C55" s="74"/>
      <c r="D55" s="74"/>
      <c r="E55" s="74"/>
      <c r="F55" s="73"/>
      <c r="G55" s="74"/>
      <c r="H55" s="73"/>
      <c r="I55" s="73"/>
      <c r="J55" s="73"/>
      <c r="K55" s="114" t="s">
        <v>950</v>
      </c>
      <c r="L55" s="73"/>
      <c r="M55" s="73"/>
      <c r="N55" s="73"/>
      <c r="O55" s="73"/>
      <c r="P55" s="73"/>
      <c r="Q55" s="73"/>
      <c r="R55" s="73"/>
      <c r="S55" s="73"/>
      <c r="T55" s="73"/>
      <c r="U55" s="73"/>
      <c r="V55" s="73"/>
      <c r="W55" s="73"/>
      <c r="X55" s="73"/>
      <c r="Y55" s="73"/>
      <c r="Z55" s="73"/>
      <c r="AA55" s="73"/>
      <c r="AB55" s="73"/>
      <c r="AC55" s="73"/>
      <c r="AD55" s="73"/>
      <c r="AE55" s="73"/>
      <c r="AF55" s="73"/>
    </row>
    <row r="56" spans="1:32" ht="15.75" customHeight="1" x14ac:dyDescent="0.2">
      <c r="A56" s="73"/>
      <c r="B56" s="73"/>
      <c r="C56" s="74"/>
      <c r="D56" s="74"/>
      <c r="E56" s="74"/>
      <c r="F56" s="73"/>
      <c r="G56" s="74"/>
      <c r="H56" s="73"/>
      <c r="I56" s="73"/>
      <c r="J56" s="73"/>
      <c r="K56" s="114" t="s">
        <v>951</v>
      </c>
      <c r="L56" s="73"/>
      <c r="M56" s="73"/>
      <c r="N56" s="73"/>
      <c r="O56" s="73"/>
      <c r="P56" s="73"/>
      <c r="Q56" s="73"/>
      <c r="R56" s="73"/>
      <c r="S56" s="73"/>
      <c r="T56" s="73"/>
      <c r="U56" s="73"/>
      <c r="V56" s="73"/>
      <c r="W56" s="73"/>
      <c r="X56" s="73"/>
      <c r="Y56" s="73"/>
      <c r="Z56" s="73"/>
      <c r="AA56" s="73"/>
      <c r="AB56" s="73"/>
      <c r="AC56" s="73"/>
      <c r="AD56" s="73"/>
      <c r="AE56" s="73"/>
      <c r="AF56" s="73"/>
    </row>
    <row r="57" spans="1:32" ht="15.75" customHeight="1" x14ac:dyDescent="0.2">
      <c r="A57" s="73"/>
      <c r="B57" s="73"/>
      <c r="C57" s="74"/>
      <c r="D57" s="74"/>
      <c r="E57" s="74"/>
      <c r="F57" s="73"/>
      <c r="G57" s="74"/>
      <c r="H57" s="73"/>
      <c r="I57" s="73"/>
      <c r="J57" s="73"/>
      <c r="K57" s="114" t="s">
        <v>952</v>
      </c>
      <c r="L57" s="73"/>
      <c r="M57" s="73"/>
      <c r="N57" s="73"/>
      <c r="O57" s="73"/>
      <c r="P57" s="73"/>
      <c r="Q57" s="73"/>
      <c r="R57" s="73"/>
      <c r="S57" s="73"/>
      <c r="T57" s="73"/>
      <c r="U57" s="73"/>
      <c r="V57" s="73"/>
      <c r="W57" s="73"/>
      <c r="X57" s="73"/>
      <c r="Y57" s="73"/>
      <c r="Z57" s="73"/>
      <c r="AA57" s="73"/>
      <c r="AB57" s="73"/>
      <c r="AC57" s="73"/>
      <c r="AD57" s="73"/>
      <c r="AE57" s="73"/>
      <c r="AF57" s="73"/>
    </row>
    <row r="58" spans="1:32" ht="15.75" customHeight="1" x14ac:dyDescent="0.2">
      <c r="A58" s="73"/>
      <c r="B58" s="73"/>
      <c r="C58" s="74"/>
      <c r="D58" s="74"/>
      <c r="E58" s="74"/>
      <c r="F58" s="73"/>
      <c r="G58" s="74"/>
      <c r="H58" s="73"/>
      <c r="I58" s="73"/>
      <c r="J58" s="73"/>
      <c r="K58" s="114" t="s">
        <v>953</v>
      </c>
      <c r="L58" s="73"/>
      <c r="M58" s="73"/>
      <c r="N58" s="73"/>
      <c r="O58" s="73"/>
      <c r="P58" s="73"/>
      <c r="Q58" s="73"/>
      <c r="R58" s="73"/>
      <c r="S58" s="73"/>
      <c r="T58" s="73"/>
      <c r="U58" s="73"/>
      <c r="V58" s="73"/>
      <c r="W58" s="73"/>
      <c r="X58" s="73"/>
      <c r="Y58" s="73"/>
      <c r="Z58" s="73"/>
      <c r="AA58" s="73"/>
      <c r="AB58" s="73"/>
      <c r="AC58" s="73"/>
      <c r="AD58" s="73"/>
      <c r="AE58" s="73"/>
      <c r="AF58" s="73"/>
    </row>
    <row r="59" spans="1:32" ht="15.75" customHeight="1" x14ac:dyDescent="0.2">
      <c r="A59" s="73"/>
      <c r="B59" s="73"/>
      <c r="C59" s="74"/>
      <c r="D59" s="74"/>
      <c r="E59" s="74"/>
      <c r="F59" s="73"/>
      <c r="G59" s="74"/>
      <c r="H59" s="73"/>
      <c r="I59" s="73"/>
      <c r="J59" s="73"/>
      <c r="K59" s="114" t="s">
        <v>954</v>
      </c>
      <c r="L59" s="73"/>
      <c r="M59" s="73"/>
      <c r="N59" s="73"/>
      <c r="O59" s="73"/>
      <c r="P59" s="73"/>
      <c r="Q59" s="73"/>
      <c r="R59" s="73"/>
      <c r="S59" s="73"/>
      <c r="T59" s="73"/>
      <c r="U59" s="73"/>
      <c r="V59" s="73"/>
      <c r="W59" s="73"/>
      <c r="X59" s="73"/>
      <c r="Y59" s="73"/>
      <c r="Z59" s="73"/>
      <c r="AA59" s="73"/>
      <c r="AB59" s="73"/>
      <c r="AC59" s="73"/>
      <c r="AD59" s="73"/>
      <c r="AE59" s="73"/>
      <c r="AF59" s="73"/>
    </row>
    <row r="60" spans="1:32" ht="15.75" customHeight="1" x14ac:dyDescent="0.2">
      <c r="A60" s="73"/>
      <c r="B60" s="73"/>
      <c r="C60" s="74"/>
      <c r="D60" s="74"/>
      <c r="E60" s="74"/>
      <c r="F60" s="73"/>
      <c r="G60" s="74"/>
      <c r="H60" s="73"/>
      <c r="I60" s="73"/>
      <c r="J60" s="73"/>
      <c r="K60" s="114" t="s">
        <v>1042</v>
      </c>
      <c r="L60" s="73"/>
      <c r="M60" s="73"/>
      <c r="N60" s="73"/>
      <c r="O60" s="73"/>
      <c r="P60" s="73"/>
      <c r="Q60" s="73"/>
      <c r="R60" s="73"/>
      <c r="S60" s="73"/>
      <c r="T60" s="73"/>
      <c r="U60" s="73"/>
      <c r="V60" s="73"/>
      <c r="W60" s="73"/>
      <c r="X60" s="73"/>
      <c r="Y60" s="73"/>
      <c r="Z60" s="73"/>
      <c r="AA60" s="73"/>
      <c r="AB60" s="73"/>
      <c r="AC60" s="73"/>
      <c r="AD60" s="73"/>
      <c r="AE60" s="73"/>
      <c r="AF60" s="73"/>
    </row>
    <row r="61" spans="1:32" ht="15.75" customHeight="1" x14ac:dyDescent="0.2">
      <c r="A61" s="73"/>
      <c r="B61" s="73"/>
      <c r="C61" s="74"/>
      <c r="D61" s="74"/>
      <c r="E61" s="74"/>
      <c r="F61" s="73"/>
      <c r="G61" s="74"/>
      <c r="H61" s="73"/>
      <c r="I61" s="73"/>
      <c r="J61" s="73"/>
      <c r="K61" s="114" t="s">
        <v>1043</v>
      </c>
      <c r="L61" s="73"/>
      <c r="M61" s="73"/>
      <c r="N61" s="73"/>
      <c r="O61" s="73"/>
      <c r="P61" s="73"/>
      <c r="Q61" s="73"/>
      <c r="R61" s="73"/>
      <c r="S61" s="73"/>
      <c r="T61" s="73"/>
      <c r="U61" s="73"/>
      <c r="V61" s="73"/>
      <c r="W61" s="73"/>
      <c r="X61" s="73"/>
      <c r="Y61" s="73"/>
      <c r="Z61" s="73"/>
      <c r="AA61" s="73"/>
      <c r="AB61" s="73"/>
      <c r="AC61" s="73"/>
      <c r="AD61" s="73"/>
      <c r="AE61" s="73"/>
      <c r="AF61" s="73"/>
    </row>
    <row r="62" spans="1:32" ht="15.75" customHeight="1" x14ac:dyDescent="0.2">
      <c r="A62" s="73"/>
      <c r="B62" s="73"/>
      <c r="C62" s="74"/>
      <c r="D62" s="74"/>
      <c r="E62" s="74"/>
      <c r="F62" s="73"/>
      <c r="G62" s="74"/>
      <c r="H62" s="73"/>
      <c r="I62" s="73"/>
      <c r="J62" s="73"/>
      <c r="K62" s="114" t="s">
        <v>1044</v>
      </c>
      <c r="L62" s="73"/>
      <c r="M62" s="73"/>
      <c r="N62" s="73"/>
      <c r="O62" s="73"/>
      <c r="P62" s="73"/>
      <c r="Q62" s="73"/>
      <c r="R62" s="73"/>
      <c r="S62" s="73"/>
      <c r="T62" s="73"/>
      <c r="U62" s="73"/>
      <c r="V62" s="73"/>
      <c r="W62" s="73"/>
      <c r="X62" s="73"/>
      <c r="Y62" s="73"/>
      <c r="Z62" s="73"/>
      <c r="AA62" s="73"/>
      <c r="AB62" s="73"/>
      <c r="AC62" s="73"/>
      <c r="AD62" s="73"/>
      <c r="AE62" s="73"/>
      <c r="AF62" s="73"/>
    </row>
    <row r="63" spans="1:32" ht="15.75" customHeight="1" x14ac:dyDescent="0.2">
      <c r="A63" s="73"/>
      <c r="B63" s="73"/>
      <c r="C63" s="74"/>
      <c r="D63" s="74"/>
      <c r="E63" s="74"/>
      <c r="F63" s="73"/>
      <c r="G63" s="74"/>
      <c r="H63" s="73"/>
      <c r="I63" s="73"/>
      <c r="J63" s="73"/>
      <c r="K63" s="114" t="s">
        <v>1214</v>
      </c>
      <c r="L63" s="73"/>
      <c r="M63" s="73"/>
      <c r="N63" s="73"/>
      <c r="O63" s="73"/>
      <c r="P63" s="73"/>
      <c r="Q63" s="73"/>
      <c r="R63" s="73"/>
      <c r="S63" s="73"/>
      <c r="T63" s="73"/>
      <c r="U63" s="73"/>
      <c r="V63" s="73"/>
      <c r="W63" s="73"/>
      <c r="X63" s="73"/>
      <c r="Y63" s="73"/>
      <c r="Z63" s="73"/>
      <c r="AA63" s="73"/>
      <c r="AB63" s="73"/>
      <c r="AC63" s="73"/>
      <c r="AD63" s="73"/>
      <c r="AE63" s="73"/>
      <c r="AF63" s="73"/>
    </row>
    <row r="64" spans="1:32" ht="15.75" customHeight="1" x14ac:dyDescent="0.2">
      <c r="A64" s="73"/>
      <c r="B64" s="73"/>
      <c r="C64" s="74"/>
      <c r="D64" s="74"/>
      <c r="E64" s="74"/>
      <c r="F64" s="73"/>
      <c r="G64" s="74"/>
      <c r="H64" s="73"/>
      <c r="I64" s="73"/>
      <c r="J64" s="73"/>
      <c r="K64" s="114" t="s">
        <v>1046</v>
      </c>
      <c r="L64" s="73"/>
      <c r="M64" s="73"/>
      <c r="N64" s="73"/>
      <c r="O64" s="73"/>
      <c r="P64" s="73"/>
      <c r="Q64" s="73"/>
      <c r="R64" s="73"/>
      <c r="S64" s="73"/>
      <c r="T64" s="73"/>
      <c r="U64" s="73"/>
      <c r="V64" s="73"/>
      <c r="W64" s="73"/>
      <c r="X64" s="73"/>
      <c r="Y64" s="73"/>
      <c r="Z64" s="73"/>
      <c r="AA64" s="73"/>
      <c r="AB64" s="73"/>
      <c r="AC64" s="73"/>
      <c r="AD64" s="73"/>
      <c r="AE64" s="73"/>
      <c r="AF64" s="73"/>
    </row>
    <row r="65" spans="1:32" ht="15.75" customHeight="1" x14ac:dyDescent="0.2">
      <c r="A65" s="73"/>
      <c r="B65" s="73"/>
      <c r="C65" s="74"/>
      <c r="D65" s="74"/>
      <c r="E65" s="74"/>
      <c r="F65" s="73"/>
      <c r="G65" s="74"/>
      <c r="H65" s="73"/>
      <c r="I65" s="73"/>
      <c r="J65" s="73"/>
      <c r="K65" s="114" t="s">
        <v>1047</v>
      </c>
      <c r="L65" s="73"/>
      <c r="M65" s="73"/>
      <c r="N65" s="73"/>
      <c r="O65" s="73"/>
      <c r="P65" s="73"/>
      <c r="Q65" s="73"/>
      <c r="R65" s="73"/>
      <c r="S65" s="73"/>
      <c r="T65" s="73"/>
      <c r="U65" s="73"/>
      <c r="V65" s="73"/>
      <c r="W65" s="73"/>
      <c r="X65" s="73"/>
      <c r="Y65" s="73"/>
      <c r="Z65" s="73"/>
      <c r="AA65" s="73"/>
      <c r="AB65" s="73"/>
      <c r="AC65" s="73"/>
      <c r="AD65" s="73"/>
      <c r="AE65" s="73"/>
      <c r="AF65" s="73"/>
    </row>
    <row r="66" spans="1:32" ht="15.75" customHeight="1" x14ac:dyDescent="0.2">
      <c r="A66" s="73"/>
      <c r="B66" s="73"/>
      <c r="C66" s="74"/>
      <c r="D66" s="74"/>
      <c r="E66" s="74"/>
      <c r="F66" s="73"/>
      <c r="G66" s="74"/>
      <c r="H66" s="73"/>
      <c r="I66" s="73"/>
      <c r="J66" s="73"/>
      <c r="K66" s="114" t="s">
        <v>1048</v>
      </c>
      <c r="L66" s="73"/>
      <c r="M66" s="73"/>
      <c r="N66" s="73"/>
      <c r="O66" s="73"/>
      <c r="P66" s="73"/>
      <c r="Q66" s="73"/>
      <c r="R66" s="73"/>
      <c r="S66" s="73"/>
      <c r="T66" s="73"/>
      <c r="U66" s="73"/>
      <c r="V66" s="73"/>
      <c r="W66" s="73"/>
      <c r="X66" s="73"/>
      <c r="Y66" s="73"/>
      <c r="Z66" s="73"/>
      <c r="AA66" s="73"/>
      <c r="AB66" s="73"/>
      <c r="AC66" s="73"/>
      <c r="AD66" s="73"/>
      <c r="AE66" s="73"/>
      <c r="AF66" s="73"/>
    </row>
    <row r="67" spans="1:32" ht="15.75" customHeight="1" x14ac:dyDescent="0.2">
      <c r="A67" s="73"/>
      <c r="B67" s="73"/>
      <c r="C67" s="74"/>
      <c r="D67" s="74"/>
      <c r="E67" s="74"/>
      <c r="F67" s="73"/>
      <c r="G67" s="74"/>
      <c r="H67" s="73"/>
      <c r="I67" s="73"/>
      <c r="J67" s="73"/>
      <c r="K67" s="114" t="s">
        <v>1049</v>
      </c>
      <c r="L67" s="73"/>
      <c r="M67" s="73"/>
      <c r="N67" s="73"/>
      <c r="O67" s="73"/>
      <c r="P67" s="73"/>
      <c r="Q67" s="73"/>
      <c r="R67" s="73"/>
      <c r="S67" s="73"/>
      <c r="T67" s="73"/>
      <c r="U67" s="73"/>
      <c r="V67" s="73"/>
      <c r="W67" s="73"/>
      <c r="X67" s="73"/>
      <c r="Y67" s="73"/>
      <c r="Z67" s="73"/>
      <c r="AA67" s="73"/>
      <c r="AB67" s="73"/>
      <c r="AC67" s="73"/>
      <c r="AD67" s="73"/>
      <c r="AE67" s="73"/>
      <c r="AF67" s="73"/>
    </row>
    <row r="68" spans="1:32" ht="15.75" customHeight="1" x14ac:dyDescent="0.2">
      <c r="A68" s="73"/>
      <c r="B68" s="73"/>
      <c r="C68" s="74"/>
      <c r="D68" s="74"/>
      <c r="E68" s="74"/>
      <c r="F68" s="73"/>
      <c r="G68" s="74"/>
      <c r="H68" s="73"/>
      <c r="I68" s="73"/>
      <c r="J68" s="73"/>
      <c r="K68" s="114" t="s">
        <v>1050</v>
      </c>
      <c r="L68" s="73"/>
      <c r="M68" s="73"/>
      <c r="N68" s="73"/>
      <c r="O68" s="73"/>
      <c r="P68" s="73"/>
      <c r="Q68" s="73"/>
      <c r="R68" s="73"/>
      <c r="S68" s="73"/>
      <c r="T68" s="73"/>
      <c r="U68" s="73"/>
      <c r="V68" s="73"/>
      <c r="W68" s="73"/>
      <c r="X68" s="73"/>
      <c r="Y68" s="73"/>
      <c r="Z68" s="73"/>
      <c r="AA68" s="73"/>
      <c r="AB68" s="73"/>
      <c r="AC68" s="73"/>
      <c r="AD68" s="73"/>
      <c r="AE68" s="73"/>
      <c r="AF68" s="73"/>
    </row>
    <row r="69" spans="1:32" ht="15.75" customHeight="1" x14ac:dyDescent="0.2">
      <c r="A69" s="73"/>
      <c r="B69" s="73"/>
      <c r="C69" s="74"/>
      <c r="D69" s="74"/>
      <c r="E69" s="74"/>
      <c r="F69" s="73"/>
      <c r="G69" s="74"/>
      <c r="H69" s="73"/>
      <c r="I69" s="73"/>
      <c r="J69" s="73"/>
      <c r="K69" s="114" t="s">
        <v>1040</v>
      </c>
      <c r="L69" s="73"/>
      <c r="M69" s="73"/>
      <c r="N69" s="73"/>
      <c r="O69" s="73"/>
      <c r="P69" s="73"/>
      <c r="Q69" s="73"/>
      <c r="R69" s="73"/>
      <c r="S69" s="73"/>
      <c r="T69" s="73"/>
      <c r="U69" s="73"/>
      <c r="V69" s="73"/>
      <c r="W69" s="73"/>
      <c r="X69" s="73"/>
      <c r="Y69" s="73"/>
      <c r="Z69" s="73"/>
      <c r="AA69" s="73"/>
      <c r="AB69" s="73"/>
      <c r="AC69" s="73"/>
      <c r="AD69" s="73"/>
      <c r="AE69" s="73"/>
      <c r="AF69" s="73"/>
    </row>
    <row r="70" spans="1:32" ht="15.75" customHeight="1" x14ac:dyDescent="0.2">
      <c r="A70" s="73"/>
      <c r="B70" s="73"/>
      <c r="C70" s="74"/>
      <c r="D70" s="74"/>
      <c r="E70" s="74"/>
      <c r="F70" s="73"/>
      <c r="G70" s="74"/>
      <c r="H70" s="73"/>
      <c r="I70" s="73"/>
      <c r="J70" s="73"/>
      <c r="K70" s="114" t="s">
        <v>1051</v>
      </c>
      <c r="L70" s="73"/>
      <c r="M70" s="73"/>
      <c r="N70" s="73"/>
      <c r="O70" s="73"/>
      <c r="P70" s="73"/>
      <c r="Q70" s="73"/>
      <c r="R70" s="73"/>
      <c r="S70" s="73"/>
      <c r="T70" s="73"/>
      <c r="U70" s="73"/>
      <c r="V70" s="73"/>
      <c r="W70" s="73"/>
      <c r="X70" s="73"/>
      <c r="Y70" s="73"/>
      <c r="Z70" s="73"/>
      <c r="AA70" s="73"/>
      <c r="AB70" s="73"/>
      <c r="AC70" s="73"/>
      <c r="AD70" s="73"/>
      <c r="AE70" s="73"/>
      <c r="AF70" s="73"/>
    </row>
    <row r="71" spans="1:32" ht="15.75" customHeight="1" x14ac:dyDescent="0.2">
      <c r="A71" s="73"/>
      <c r="B71" s="73"/>
      <c r="C71" s="74"/>
      <c r="D71" s="74"/>
      <c r="E71" s="74"/>
      <c r="F71" s="73"/>
      <c r="G71" s="74"/>
      <c r="H71" s="73"/>
      <c r="I71" s="73"/>
      <c r="J71" s="73"/>
      <c r="K71" s="114" t="s">
        <v>1052</v>
      </c>
      <c r="L71" s="73"/>
      <c r="M71" s="73"/>
      <c r="N71" s="73"/>
      <c r="O71" s="73"/>
      <c r="P71" s="73"/>
      <c r="Q71" s="73"/>
      <c r="R71" s="73"/>
      <c r="S71" s="73"/>
      <c r="T71" s="73"/>
      <c r="U71" s="73"/>
      <c r="V71" s="73"/>
      <c r="W71" s="73"/>
      <c r="X71" s="73"/>
      <c r="Y71" s="73"/>
      <c r="Z71" s="73"/>
      <c r="AA71" s="73"/>
      <c r="AB71" s="73"/>
      <c r="AC71" s="73"/>
      <c r="AD71" s="73"/>
      <c r="AE71" s="73"/>
      <c r="AF71" s="73"/>
    </row>
    <row r="72" spans="1:32" ht="15.75" customHeight="1" x14ac:dyDescent="0.2">
      <c r="A72" s="73"/>
      <c r="B72" s="73"/>
      <c r="C72" s="74"/>
      <c r="D72" s="74"/>
      <c r="E72" s="74"/>
      <c r="F72" s="73"/>
      <c r="G72" s="74"/>
      <c r="H72" s="73"/>
      <c r="I72" s="73"/>
      <c r="J72" s="73"/>
      <c r="K72" s="114" t="s">
        <v>1053</v>
      </c>
      <c r="L72" s="73"/>
      <c r="M72" s="73"/>
      <c r="N72" s="73"/>
      <c r="O72" s="73"/>
      <c r="P72" s="73"/>
      <c r="Q72" s="73"/>
      <c r="R72" s="73"/>
      <c r="S72" s="73"/>
      <c r="T72" s="73"/>
      <c r="U72" s="73"/>
      <c r="V72" s="73"/>
      <c r="W72" s="73"/>
      <c r="X72" s="73"/>
      <c r="Y72" s="73"/>
      <c r="Z72" s="73"/>
      <c r="AA72" s="73"/>
      <c r="AB72" s="73"/>
      <c r="AC72" s="73"/>
      <c r="AD72" s="73"/>
      <c r="AE72" s="73"/>
      <c r="AF72" s="73"/>
    </row>
    <row r="73" spans="1:32" ht="15.75" customHeight="1" x14ac:dyDescent="0.2">
      <c r="A73" s="73"/>
      <c r="B73" s="73"/>
      <c r="C73" s="74"/>
      <c r="D73" s="74"/>
      <c r="E73" s="74"/>
      <c r="F73" s="73"/>
      <c r="G73" s="74"/>
      <c r="H73" s="73"/>
      <c r="I73" s="73"/>
      <c r="J73" s="73"/>
      <c r="K73" s="114" t="s">
        <v>1215</v>
      </c>
      <c r="L73" s="73"/>
      <c r="M73" s="73"/>
      <c r="N73" s="73"/>
      <c r="O73" s="73"/>
      <c r="P73" s="73"/>
      <c r="Q73" s="73"/>
      <c r="R73" s="73"/>
      <c r="S73" s="73"/>
      <c r="T73" s="73"/>
      <c r="U73" s="73"/>
      <c r="V73" s="73"/>
      <c r="W73" s="73"/>
      <c r="X73" s="73"/>
      <c r="Y73" s="73"/>
      <c r="Z73" s="73"/>
      <c r="AA73" s="73"/>
      <c r="AB73" s="73"/>
      <c r="AC73" s="73"/>
      <c r="AD73" s="73"/>
      <c r="AE73" s="73"/>
      <c r="AF73" s="73"/>
    </row>
    <row r="74" spans="1:32" ht="15.75" customHeight="1" x14ac:dyDescent="0.2">
      <c r="A74" s="73"/>
      <c r="B74" s="73"/>
      <c r="C74" s="74"/>
      <c r="D74" s="74"/>
      <c r="E74" s="74"/>
      <c r="F74" s="73"/>
      <c r="G74" s="74"/>
      <c r="H74" s="73"/>
      <c r="I74" s="73"/>
      <c r="J74" s="73"/>
      <c r="K74" s="114" t="s">
        <v>1216</v>
      </c>
      <c r="L74" s="73"/>
      <c r="M74" s="73"/>
      <c r="N74" s="73"/>
      <c r="O74" s="73"/>
      <c r="P74" s="73"/>
      <c r="Q74" s="73"/>
      <c r="R74" s="73"/>
      <c r="S74" s="73"/>
      <c r="T74" s="73"/>
      <c r="U74" s="73"/>
      <c r="V74" s="73"/>
      <c r="W74" s="73"/>
      <c r="X74" s="73"/>
      <c r="Y74" s="73"/>
      <c r="Z74" s="73"/>
      <c r="AA74" s="73"/>
      <c r="AB74" s="73"/>
      <c r="AC74" s="73"/>
      <c r="AD74" s="73"/>
      <c r="AE74" s="73"/>
      <c r="AF74" s="73"/>
    </row>
    <row r="75" spans="1:32" ht="15.75" customHeight="1" x14ac:dyDescent="0.2">
      <c r="A75" s="73"/>
      <c r="B75" s="73"/>
      <c r="C75" s="74"/>
      <c r="D75" s="74"/>
      <c r="E75" s="74"/>
      <c r="F75" s="73"/>
      <c r="G75" s="74"/>
      <c r="H75" s="73"/>
      <c r="I75" s="73"/>
      <c r="J75" s="73"/>
      <c r="K75" s="114" t="s">
        <v>1217</v>
      </c>
      <c r="L75" s="73"/>
      <c r="M75" s="73"/>
      <c r="N75" s="73"/>
      <c r="O75" s="73"/>
      <c r="P75" s="73"/>
      <c r="Q75" s="73"/>
      <c r="R75" s="73"/>
      <c r="S75" s="73"/>
      <c r="T75" s="73"/>
      <c r="U75" s="73"/>
      <c r="V75" s="73"/>
      <c r="W75" s="73"/>
      <c r="X75" s="73"/>
      <c r="Y75" s="73"/>
      <c r="Z75" s="73"/>
      <c r="AA75" s="73"/>
      <c r="AB75" s="73"/>
      <c r="AC75" s="73"/>
      <c r="AD75" s="73"/>
      <c r="AE75" s="73"/>
      <c r="AF75" s="73"/>
    </row>
    <row r="76" spans="1:32" ht="15.75" customHeight="1" x14ac:dyDescent="0.2">
      <c r="A76" s="73"/>
      <c r="B76" s="73"/>
      <c r="C76" s="74"/>
      <c r="D76" s="74"/>
      <c r="E76" s="74"/>
      <c r="F76" s="73"/>
      <c r="G76" s="74"/>
      <c r="H76" s="73"/>
      <c r="I76" s="73"/>
      <c r="J76" s="73"/>
      <c r="K76" s="114" t="s">
        <v>1057</v>
      </c>
      <c r="L76" s="73"/>
      <c r="M76" s="73"/>
      <c r="N76" s="73"/>
      <c r="O76" s="73"/>
      <c r="P76" s="73"/>
      <c r="Q76" s="73"/>
      <c r="R76" s="73"/>
      <c r="S76" s="73"/>
      <c r="T76" s="73"/>
      <c r="U76" s="73"/>
      <c r="V76" s="73"/>
      <c r="W76" s="73"/>
      <c r="X76" s="73"/>
      <c r="Y76" s="73"/>
      <c r="Z76" s="73"/>
      <c r="AA76" s="73"/>
      <c r="AB76" s="73"/>
      <c r="AC76" s="73"/>
      <c r="AD76" s="73"/>
      <c r="AE76" s="73"/>
      <c r="AF76" s="73"/>
    </row>
    <row r="77" spans="1:32" ht="15.75" customHeight="1" x14ac:dyDescent="0.2">
      <c r="A77" s="73"/>
      <c r="B77" s="73"/>
      <c r="C77" s="74"/>
      <c r="D77" s="74"/>
      <c r="E77" s="74"/>
      <c r="F77" s="73"/>
      <c r="G77" s="74"/>
      <c r="H77" s="73"/>
      <c r="I77" s="73"/>
      <c r="J77" s="73"/>
      <c r="K77" s="114" t="s">
        <v>1218</v>
      </c>
      <c r="L77" s="73"/>
      <c r="M77" s="73"/>
      <c r="N77" s="73"/>
      <c r="O77" s="73"/>
      <c r="P77" s="73"/>
      <c r="Q77" s="73"/>
      <c r="R77" s="73"/>
      <c r="S77" s="73"/>
      <c r="T77" s="73"/>
      <c r="U77" s="73"/>
      <c r="V77" s="73"/>
      <c r="W77" s="73"/>
      <c r="X77" s="73"/>
      <c r="Y77" s="73"/>
      <c r="Z77" s="73"/>
      <c r="AA77" s="73"/>
      <c r="AB77" s="73"/>
      <c r="AC77" s="73"/>
      <c r="AD77" s="73"/>
      <c r="AE77" s="73"/>
      <c r="AF77" s="73"/>
    </row>
    <row r="78" spans="1:32" ht="15.75" customHeight="1" x14ac:dyDescent="0.2">
      <c r="A78" s="73"/>
      <c r="B78" s="73"/>
      <c r="C78" s="74"/>
      <c r="D78" s="74"/>
      <c r="E78" s="74"/>
      <c r="F78" s="73"/>
      <c r="G78" s="74"/>
      <c r="H78" s="73"/>
      <c r="I78" s="73"/>
      <c r="J78" s="73"/>
      <c r="K78" s="114" t="s">
        <v>1059</v>
      </c>
      <c r="L78" s="73"/>
      <c r="M78" s="73"/>
      <c r="N78" s="73"/>
      <c r="O78" s="73"/>
      <c r="P78" s="73"/>
      <c r="Q78" s="73"/>
      <c r="R78" s="73"/>
      <c r="S78" s="73"/>
      <c r="T78" s="73"/>
      <c r="U78" s="73"/>
      <c r="V78" s="73"/>
      <c r="W78" s="73"/>
      <c r="X78" s="73"/>
      <c r="Y78" s="73"/>
      <c r="Z78" s="73"/>
      <c r="AA78" s="73"/>
      <c r="AB78" s="73"/>
      <c r="AC78" s="73"/>
      <c r="AD78" s="73"/>
      <c r="AE78" s="73"/>
      <c r="AF78" s="73"/>
    </row>
    <row r="79" spans="1:32" ht="15.75" customHeight="1" x14ac:dyDescent="0.2">
      <c r="A79" s="73"/>
      <c r="B79" s="73"/>
      <c r="C79" s="74"/>
      <c r="D79" s="74"/>
      <c r="E79" s="74"/>
      <c r="F79" s="73"/>
      <c r="G79" s="74"/>
      <c r="H79" s="73"/>
      <c r="I79" s="73"/>
      <c r="J79" s="73"/>
      <c r="K79" s="114" t="s">
        <v>1219</v>
      </c>
      <c r="L79" s="73"/>
      <c r="M79" s="73"/>
      <c r="N79" s="73"/>
      <c r="O79" s="73"/>
      <c r="P79" s="73"/>
      <c r="Q79" s="73"/>
      <c r="R79" s="73"/>
      <c r="S79" s="73"/>
      <c r="T79" s="73"/>
      <c r="U79" s="73"/>
      <c r="V79" s="73"/>
      <c r="W79" s="73"/>
      <c r="X79" s="73"/>
      <c r="Y79" s="73"/>
      <c r="Z79" s="73"/>
      <c r="AA79" s="73"/>
      <c r="AB79" s="73"/>
      <c r="AC79" s="73"/>
      <c r="AD79" s="73"/>
      <c r="AE79" s="73"/>
      <c r="AF79" s="73"/>
    </row>
    <row r="80" spans="1:32" ht="15.75" customHeight="1" x14ac:dyDescent="0.2">
      <c r="A80" s="73"/>
      <c r="B80" s="73"/>
      <c r="C80" s="74"/>
      <c r="D80" s="74"/>
      <c r="E80" s="74"/>
      <c r="F80" s="73"/>
      <c r="G80" s="74"/>
      <c r="H80" s="73"/>
      <c r="I80" s="73"/>
      <c r="J80" s="73"/>
      <c r="K80" s="114" t="s">
        <v>1061</v>
      </c>
      <c r="L80" s="73"/>
      <c r="M80" s="73"/>
      <c r="N80" s="73"/>
      <c r="O80" s="73"/>
      <c r="P80" s="73"/>
      <c r="Q80" s="73"/>
      <c r="R80" s="73"/>
      <c r="S80" s="73"/>
      <c r="T80" s="73"/>
      <c r="U80" s="73"/>
      <c r="V80" s="73"/>
      <c r="W80" s="73"/>
      <c r="X80" s="73"/>
      <c r="Y80" s="73"/>
      <c r="Z80" s="73"/>
      <c r="AA80" s="73"/>
      <c r="AB80" s="73"/>
      <c r="AC80" s="73"/>
      <c r="AD80" s="73"/>
      <c r="AE80" s="73"/>
      <c r="AF80" s="73"/>
    </row>
    <row r="81" spans="1:32" ht="15.75" customHeight="1" x14ac:dyDescent="0.2">
      <c r="A81" s="73"/>
      <c r="B81" s="73"/>
      <c r="C81" s="74"/>
      <c r="D81" s="74"/>
      <c r="E81" s="74"/>
      <c r="F81" s="73"/>
      <c r="G81" s="74"/>
      <c r="H81" s="73"/>
      <c r="I81" s="73"/>
      <c r="J81" s="73"/>
      <c r="K81" s="114" t="s">
        <v>1062</v>
      </c>
      <c r="L81" s="73"/>
      <c r="M81" s="73"/>
      <c r="N81" s="73"/>
      <c r="O81" s="73"/>
      <c r="P81" s="73"/>
      <c r="Q81" s="73"/>
      <c r="R81" s="73"/>
      <c r="S81" s="73"/>
      <c r="T81" s="73"/>
      <c r="U81" s="73"/>
      <c r="V81" s="73"/>
      <c r="W81" s="73"/>
      <c r="X81" s="73"/>
      <c r="Y81" s="73"/>
      <c r="Z81" s="73"/>
      <c r="AA81" s="73"/>
      <c r="AB81" s="73"/>
      <c r="AC81" s="73"/>
      <c r="AD81" s="73"/>
      <c r="AE81" s="73"/>
      <c r="AF81" s="73"/>
    </row>
    <row r="82" spans="1:32" ht="15.75" customHeight="1" x14ac:dyDescent="0.2">
      <c r="A82" s="73"/>
      <c r="B82" s="73"/>
      <c r="C82" s="74"/>
      <c r="D82" s="74"/>
      <c r="E82" s="74"/>
      <c r="F82" s="73"/>
      <c r="G82" s="74"/>
      <c r="H82" s="73"/>
      <c r="I82" s="73"/>
      <c r="J82" s="73"/>
      <c r="K82" s="114" t="s">
        <v>1220</v>
      </c>
      <c r="L82" s="73"/>
      <c r="M82" s="73"/>
      <c r="N82" s="73"/>
      <c r="O82" s="73"/>
      <c r="P82" s="73"/>
      <c r="Q82" s="73"/>
      <c r="R82" s="73"/>
      <c r="S82" s="73"/>
      <c r="T82" s="73"/>
      <c r="U82" s="73"/>
      <c r="V82" s="73"/>
      <c r="W82" s="73"/>
      <c r="X82" s="73"/>
      <c r="Y82" s="73"/>
      <c r="Z82" s="73"/>
      <c r="AA82" s="73"/>
      <c r="AB82" s="73"/>
      <c r="AC82" s="73"/>
      <c r="AD82" s="73"/>
      <c r="AE82" s="73"/>
      <c r="AF82" s="73"/>
    </row>
    <row r="83" spans="1:32" ht="15.75" customHeight="1" x14ac:dyDescent="0.2">
      <c r="A83" s="73"/>
      <c r="B83" s="73"/>
      <c r="C83" s="74"/>
      <c r="D83" s="74"/>
      <c r="E83" s="74"/>
      <c r="F83" s="73"/>
      <c r="G83" s="74"/>
      <c r="H83" s="73"/>
      <c r="I83" s="73"/>
      <c r="J83" s="73"/>
      <c r="K83" s="114" t="s">
        <v>1064</v>
      </c>
      <c r="L83" s="73"/>
      <c r="M83" s="73"/>
      <c r="N83" s="73"/>
      <c r="O83" s="73"/>
      <c r="P83" s="73"/>
      <c r="Q83" s="73"/>
      <c r="R83" s="73"/>
      <c r="S83" s="73"/>
      <c r="T83" s="73"/>
      <c r="U83" s="73"/>
      <c r="V83" s="73"/>
      <c r="W83" s="73"/>
      <c r="X83" s="73"/>
      <c r="Y83" s="73"/>
      <c r="Z83" s="73"/>
      <c r="AA83" s="73"/>
      <c r="AB83" s="73"/>
      <c r="AC83" s="73"/>
      <c r="AD83" s="73"/>
      <c r="AE83" s="73"/>
      <c r="AF83" s="73"/>
    </row>
    <row r="84" spans="1:32" ht="15.75" customHeight="1" x14ac:dyDescent="0.2">
      <c r="A84" s="73"/>
      <c r="B84" s="73"/>
      <c r="C84" s="74"/>
      <c r="D84" s="74"/>
      <c r="E84" s="74"/>
      <c r="F84" s="73"/>
      <c r="G84" s="74"/>
      <c r="H84" s="73"/>
      <c r="I84" s="73"/>
      <c r="J84" s="73"/>
      <c r="K84" s="114" t="s">
        <v>1065</v>
      </c>
      <c r="L84" s="73"/>
      <c r="M84" s="73"/>
      <c r="N84" s="73"/>
      <c r="O84" s="73"/>
      <c r="P84" s="73"/>
      <c r="Q84" s="73"/>
      <c r="R84" s="73"/>
      <c r="S84" s="73"/>
      <c r="T84" s="73"/>
      <c r="U84" s="73"/>
      <c r="V84" s="73"/>
      <c r="W84" s="73"/>
      <c r="X84" s="73"/>
      <c r="Y84" s="73"/>
      <c r="Z84" s="73"/>
      <c r="AA84" s="73"/>
      <c r="AB84" s="73"/>
      <c r="AC84" s="73"/>
      <c r="AD84" s="73"/>
      <c r="AE84" s="73"/>
      <c r="AF84" s="73"/>
    </row>
    <row r="85" spans="1:32" ht="15.75" customHeight="1" x14ac:dyDescent="0.2">
      <c r="A85" s="73"/>
      <c r="B85" s="73"/>
      <c r="C85" s="74"/>
      <c r="D85" s="74"/>
      <c r="E85" s="74"/>
      <c r="F85" s="73"/>
      <c r="G85" s="74"/>
      <c r="H85" s="73"/>
      <c r="I85" s="73"/>
      <c r="J85" s="73"/>
      <c r="K85" s="114" t="s">
        <v>1066</v>
      </c>
      <c r="L85" s="73"/>
      <c r="M85" s="73"/>
      <c r="N85" s="73"/>
      <c r="O85" s="73"/>
      <c r="P85" s="73"/>
      <c r="Q85" s="73"/>
      <c r="R85" s="73"/>
      <c r="S85" s="73"/>
      <c r="T85" s="73"/>
      <c r="U85" s="73"/>
      <c r="V85" s="73"/>
      <c r="W85" s="73"/>
      <c r="X85" s="73"/>
      <c r="Y85" s="73"/>
      <c r="Z85" s="73"/>
      <c r="AA85" s="73"/>
      <c r="AB85" s="73"/>
      <c r="AC85" s="73"/>
      <c r="AD85" s="73"/>
      <c r="AE85" s="73"/>
      <c r="AF85" s="73"/>
    </row>
    <row r="86" spans="1:32" ht="15.75" customHeight="1" x14ac:dyDescent="0.2">
      <c r="A86" s="73"/>
      <c r="B86" s="73"/>
      <c r="C86" s="74"/>
      <c r="D86" s="74"/>
      <c r="E86" s="74"/>
      <c r="F86" s="73"/>
      <c r="G86" s="74"/>
      <c r="H86" s="73"/>
      <c r="I86" s="73"/>
      <c r="J86" s="73"/>
      <c r="K86" s="114" t="s">
        <v>1067</v>
      </c>
      <c r="L86" s="73"/>
      <c r="M86" s="73"/>
      <c r="N86" s="73"/>
      <c r="O86" s="73"/>
      <c r="P86" s="73"/>
      <c r="Q86" s="73"/>
      <c r="R86" s="73"/>
      <c r="S86" s="73"/>
      <c r="T86" s="73"/>
      <c r="U86" s="73"/>
      <c r="V86" s="73"/>
      <c r="W86" s="73"/>
      <c r="X86" s="73"/>
      <c r="Y86" s="73"/>
      <c r="Z86" s="73"/>
      <c r="AA86" s="73"/>
      <c r="AB86" s="73"/>
      <c r="AC86" s="73"/>
      <c r="AD86" s="73"/>
      <c r="AE86" s="73"/>
      <c r="AF86" s="73"/>
    </row>
    <row r="87" spans="1:32" ht="15.75" customHeight="1" x14ac:dyDescent="0.2">
      <c r="A87" s="73"/>
      <c r="B87" s="73"/>
      <c r="C87" s="74"/>
      <c r="D87" s="74"/>
      <c r="E87" s="74"/>
      <c r="F87" s="73"/>
      <c r="G87" s="74"/>
      <c r="H87" s="73"/>
      <c r="I87" s="73"/>
      <c r="J87" s="73"/>
      <c r="K87" s="114" t="s">
        <v>1068</v>
      </c>
      <c r="L87" s="73"/>
      <c r="M87" s="73"/>
      <c r="N87" s="73"/>
      <c r="O87" s="73"/>
      <c r="P87" s="73"/>
      <c r="Q87" s="73"/>
      <c r="R87" s="73"/>
      <c r="S87" s="73"/>
      <c r="T87" s="73"/>
      <c r="U87" s="73"/>
      <c r="V87" s="73"/>
      <c r="W87" s="73"/>
      <c r="X87" s="73"/>
      <c r="Y87" s="73"/>
      <c r="Z87" s="73"/>
      <c r="AA87" s="73"/>
      <c r="AB87" s="73"/>
      <c r="AC87" s="73"/>
      <c r="AD87" s="73"/>
      <c r="AE87" s="73"/>
      <c r="AF87" s="73"/>
    </row>
    <row r="88" spans="1:32" ht="15.75" customHeight="1" x14ac:dyDescent="0.2">
      <c r="A88" s="73"/>
      <c r="B88" s="73"/>
      <c r="C88" s="74"/>
      <c r="D88" s="74"/>
      <c r="E88" s="74"/>
      <c r="F88" s="73"/>
      <c r="G88" s="74"/>
      <c r="H88" s="73"/>
      <c r="I88" s="73"/>
      <c r="J88" s="73"/>
      <c r="K88" s="114" t="s">
        <v>1069</v>
      </c>
      <c r="L88" s="73"/>
      <c r="M88" s="73"/>
      <c r="N88" s="73"/>
      <c r="O88" s="73"/>
      <c r="P88" s="73"/>
      <c r="Q88" s="73"/>
      <c r="R88" s="73"/>
      <c r="S88" s="73"/>
      <c r="T88" s="73"/>
      <c r="U88" s="73"/>
      <c r="V88" s="73"/>
      <c r="W88" s="73"/>
      <c r="X88" s="73"/>
      <c r="Y88" s="73"/>
      <c r="Z88" s="73"/>
      <c r="AA88" s="73"/>
      <c r="AB88" s="73"/>
      <c r="AC88" s="73"/>
      <c r="AD88" s="73"/>
      <c r="AE88" s="73"/>
      <c r="AF88" s="73"/>
    </row>
    <row r="89" spans="1:32" ht="15.75" customHeight="1" x14ac:dyDescent="0.2">
      <c r="A89" s="73"/>
      <c r="B89" s="73"/>
      <c r="C89" s="74"/>
      <c r="D89" s="74"/>
      <c r="E89" s="74"/>
      <c r="F89" s="73"/>
      <c r="G89" s="74"/>
      <c r="H89" s="73"/>
      <c r="I89" s="73"/>
      <c r="J89" s="73"/>
      <c r="K89" s="114" t="s">
        <v>1221</v>
      </c>
      <c r="L89" s="73"/>
      <c r="M89" s="73"/>
      <c r="N89" s="73"/>
      <c r="O89" s="73"/>
      <c r="P89" s="73"/>
      <c r="Q89" s="73"/>
      <c r="R89" s="73"/>
      <c r="S89" s="73"/>
      <c r="T89" s="73"/>
      <c r="U89" s="73"/>
      <c r="V89" s="73"/>
      <c r="W89" s="73"/>
      <c r="X89" s="73"/>
      <c r="Y89" s="73"/>
      <c r="Z89" s="73"/>
      <c r="AA89" s="73"/>
      <c r="AB89" s="73"/>
      <c r="AC89" s="73"/>
      <c r="AD89" s="73"/>
      <c r="AE89" s="73"/>
      <c r="AF89" s="73"/>
    </row>
    <row r="90" spans="1:32" ht="15.75" customHeight="1" x14ac:dyDescent="0.2">
      <c r="A90" s="73"/>
      <c r="B90" s="73"/>
      <c r="C90" s="74"/>
      <c r="D90" s="74"/>
      <c r="E90" s="74"/>
      <c r="F90" s="73"/>
      <c r="G90" s="74"/>
      <c r="H90" s="73"/>
      <c r="I90" s="73"/>
      <c r="J90" s="73"/>
      <c r="K90" s="114" t="s">
        <v>1071</v>
      </c>
      <c r="L90" s="73"/>
      <c r="M90" s="73"/>
      <c r="N90" s="73"/>
      <c r="O90" s="73"/>
      <c r="P90" s="73"/>
      <c r="Q90" s="73"/>
      <c r="R90" s="73"/>
      <c r="S90" s="73"/>
      <c r="T90" s="73"/>
      <c r="U90" s="73"/>
      <c r="V90" s="73"/>
      <c r="W90" s="73"/>
      <c r="X90" s="73"/>
      <c r="Y90" s="73"/>
      <c r="Z90" s="73"/>
      <c r="AA90" s="73"/>
      <c r="AB90" s="73"/>
      <c r="AC90" s="73"/>
      <c r="AD90" s="73"/>
      <c r="AE90" s="73"/>
      <c r="AF90" s="73"/>
    </row>
    <row r="91" spans="1:32" ht="15.75" customHeight="1" x14ac:dyDescent="0.2">
      <c r="A91" s="73"/>
      <c r="B91" s="73"/>
      <c r="C91" s="74"/>
      <c r="D91" s="74"/>
      <c r="E91" s="74"/>
      <c r="F91" s="73"/>
      <c r="G91" s="74"/>
      <c r="H91" s="73"/>
      <c r="I91" s="73"/>
      <c r="J91" s="73"/>
      <c r="K91" s="114" t="s">
        <v>1222</v>
      </c>
      <c r="L91" s="73"/>
      <c r="M91" s="73"/>
      <c r="N91" s="73"/>
      <c r="O91" s="73"/>
      <c r="P91" s="73"/>
      <c r="Q91" s="73"/>
      <c r="R91" s="73"/>
      <c r="S91" s="73"/>
      <c r="T91" s="73"/>
      <c r="U91" s="73"/>
      <c r="V91" s="73"/>
      <c r="W91" s="73"/>
      <c r="X91" s="73"/>
      <c r="Y91" s="73"/>
      <c r="Z91" s="73"/>
      <c r="AA91" s="73"/>
      <c r="AB91" s="73"/>
      <c r="AC91" s="73"/>
      <c r="AD91" s="73"/>
      <c r="AE91" s="73"/>
      <c r="AF91" s="73"/>
    </row>
    <row r="92" spans="1:32" ht="15.75" customHeight="1" x14ac:dyDescent="0.2">
      <c r="A92" s="73"/>
      <c r="B92" s="73"/>
      <c r="C92" s="74"/>
      <c r="D92" s="74"/>
      <c r="E92" s="74"/>
      <c r="F92" s="73"/>
      <c r="G92" s="74"/>
      <c r="H92" s="73"/>
      <c r="I92" s="73"/>
      <c r="J92" s="73"/>
      <c r="K92" s="114" t="s">
        <v>1073</v>
      </c>
      <c r="L92" s="73"/>
      <c r="M92" s="73"/>
      <c r="N92" s="73"/>
      <c r="O92" s="73"/>
      <c r="P92" s="73"/>
      <c r="Q92" s="73"/>
      <c r="R92" s="73"/>
      <c r="S92" s="73"/>
      <c r="T92" s="73"/>
      <c r="U92" s="73"/>
      <c r="V92" s="73"/>
      <c r="W92" s="73"/>
      <c r="X92" s="73"/>
      <c r="Y92" s="73"/>
      <c r="Z92" s="73"/>
      <c r="AA92" s="73"/>
      <c r="AB92" s="73"/>
      <c r="AC92" s="73"/>
      <c r="AD92" s="73"/>
      <c r="AE92" s="73"/>
      <c r="AF92" s="73"/>
    </row>
    <row r="93" spans="1:32" ht="15.75" customHeight="1" x14ac:dyDescent="0.2">
      <c r="A93" s="73"/>
      <c r="B93" s="73"/>
      <c r="C93" s="74"/>
      <c r="D93" s="74"/>
      <c r="E93" s="74"/>
      <c r="F93" s="73"/>
      <c r="G93" s="74"/>
      <c r="H93" s="73"/>
      <c r="I93" s="73"/>
      <c r="J93" s="73"/>
      <c r="K93" s="114" t="s">
        <v>1223</v>
      </c>
      <c r="L93" s="73"/>
      <c r="M93" s="73"/>
      <c r="N93" s="73"/>
      <c r="O93" s="73"/>
      <c r="P93" s="73"/>
      <c r="Q93" s="73"/>
      <c r="R93" s="73"/>
      <c r="S93" s="73"/>
      <c r="T93" s="73"/>
      <c r="U93" s="73"/>
      <c r="V93" s="73"/>
      <c r="W93" s="73"/>
      <c r="X93" s="73"/>
      <c r="Y93" s="73"/>
      <c r="Z93" s="73"/>
      <c r="AA93" s="73"/>
      <c r="AB93" s="73"/>
      <c r="AC93" s="73"/>
      <c r="AD93" s="73"/>
      <c r="AE93" s="73"/>
      <c r="AF93" s="73"/>
    </row>
    <row r="94" spans="1:32" ht="15.75" customHeight="1" x14ac:dyDescent="0.2">
      <c r="A94" s="73"/>
      <c r="B94" s="73"/>
      <c r="C94" s="74"/>
      <c r="D94" s="74"/>
      <c r="E94" s="74"/>
      <c r="F94" s="73"/>
      <c r="G94" s="74"/>
      <c r="H94" s="73"/>
      <c r="I94" s="73"/>
      <c r="J94" s="73"/>
      <c r="K94" s="114" t="s">
        <v>1224</v>
      </c>
      <c r="L94" s="73"/>
      <c r="M94" s="73"/>
      <c r="N94" s="73"/>
      <c r="O94" s="73"/>
      <c r="P94" s="73"/>
      <c r="Q94" s="73"/>
      <c r="R94" s="73"/>
      <c r="S94" s="73"/>
      <c r="T94" s="73"/>
      <c r="U94" s="73"/>
      <c r="V94" s="73"/>
      <c r="W94" s="73"/>
      <c r="X94" s="73"/>
      <c r="Y94" s="73"/>
      <c r="Z94" s="73"/>
      <c r="AA94" s="73"/>
      <c r="AB94" s="73"/>
      <c r="AC94" s="73"/>
      <c r="AD94" s="73"/>
      <c r="AE94" s="73"/>
      <c r="AF94" s="73"/>
    </row>
    <row r="95" spans="1:32" ht="15.75" customHeight="1" x14ac:dyDescent="0.2">
      <c r="A95" s="73"/>
      <c r="B95" s="73"/>
      <c r="C95" s="74"/>
      <c r="D95" s="74"/>
      <c r="E95" s="74"/>
      <c r="F95" s="73"/>
      <c r="G95" s="74"/>
      <c r="H95" s="73"/>
      <c r="I95" s="73"/>
      <c r="J95" s="73"/>
      <c r="K95" s="114" t="s">
        <v>1076</v>
      </c>
      <c r="L95" s="73"/>
      <c r="M95" s="73"/>
      <c r="N95" s="73"/>
      <c r="O95" s="73"/>
      <c r="P95" s="73"/>
      <c r="Q95" s="73"/>
      <c r="R95" s="73"/>
      <c r="S95" s="73"/>
      <c r="T95" s="73"/>
      <c r="U95" s="73"/>
      <c r="V95" s="73"/>
      <c r="W95" s="73"/>
      <c r="X95" s="73"/>
      <c r="Y95" s="73"/>
      <c r="Z95" s="73"/>
      <c r="AA95" s="73"/>
      <c r="AB95" s="73"/>
      <c r="AC95" s="73"/>
      <c r="AD95" s="73"/>
      <c r="AE95" s="73"/>
      <c r="AF95" s="73"/>
    </row>
    <row r="96" spans="1:32" ht="15.75" customHeight="1" x14ac:dyDescent="0.2">
      <c r="A96" s="73"/>
      <c r="B96" s="73"/>
      <c r="C96" s="74"/>
      <c r="D96" s="74"/>
      <c r="E96" s="74"/>
      <c r="F96" s="73"/>
      <c r="G96" s="74"/>
      <c r="H96" s="73"/>
      <c r="I96" s="73"/>
      <c r="J96" s="73"/>
      <c r="K96" s="114" t="s">
        <v>1077</v>
      </c>
      <c r="L96" s="73"/>
      <c r="M96" s="73"/>
      <c r="N96" s="73"/>
      <c r="O96" s="73"/>
      <c r="P96" s="73"/>
      <c r="Q96" s="73"/>
      <c r="R96" s="73"/>
      <c r="S96" s="73"/>
      <c r="T96" s="73"/>
      <c r="U96" s="73"/>
      <c r="V96" s="73"/>
      <c r="W96" s="73"/>
      <c r="X96" s="73"/>
      <c r="Y96" s="73"/>
      <c r="Z96" s="73"/>
      <c r="AA96" s="73"/>
      <c r="AB96" s="73"/>
      <c r="AC96" s="73"/>
      <c r="AD96" s="73"/>
      <c r="AE96" s="73"/>
      <c r="AF96" s="73"/>
    </row>
    <row r="97" spans="1:32" ht="15.75" customHeight="1" x14ac:dyDescent="0.2">
      <c r="A97" s="73"/>
      <c r="B97" s="73"/>
      <c r="C97" s="74"/>
      <c r="D97" s="74"/>
      <c r="E97" s="74"/>
      <c r="F97" s="73"/>
      <c r="G97" s="74"/>
      <c r="H97" s="73"/>
      <c r="I97" s="73"/>
      <c r="J97" s="73"/>
      <c r="K97" s="114" t="s">
        <v>1078</v>
      </c>
      <c r="L97" s="73"/>
      <c r="M97" s="73"/>
      <c r="N97" s="73"/>
      <c r="O97" s="73"/>
      <c r="P97" s="73"/>
      <c r="Q97" s="73"/>
      <c r="R97" s="73"/>
      <c r="S97" s="73"/>
      <c r="T97" s="73"/>
      <c r="U97" s="73"/>
      <c r="V97" s="73"/>
      <c r="W97" s="73"/>
      <c r="X97" s="73"/>
      <c r="Y97" s="73"/>
      <c r="Z97" s="73"/>
      <c r="AA97" s="73"/>
      <c r="AB97" s="73"/>
      <c r="AC97" s="73"/>
      <c r="AD97" s="73"/>
      <c r="AE97" s="73"/>
      <c r="AF97" s="73"/>
    </row>
    <row r="98" spans="1:32" ht="15.75" customHeight="1" x14ac:dyDescent="0.2">
      <c r="A98" s="73"/>
      <c r="B98" s="73"/>
      <c r="C98" s="74"/>
      <c r="D98" s="74"/>
      <c r="E98" s="74"/>
      <c r="F98" s="73"/>
      <c r="G98" s="74"/>
      <c r="H98" s="73"/>
      <c r="I98" s="73"/>
      <c r="J98" s="73"/>
      <c r="K98" s="114" t="s">
        <v>1225</v>
      </c>
      <c r="L98" s="73"/>
      <c r="M98" s="73"/>
      <c r="N98" s="73"/>
      <c r="O98" s="73"/>
      <c r="P98" s="73"/>
      <c r="Q98" s="73"/>
      <c r="R98" s="73"/>
      <c r="S98" s="73"/>
      <c r="T98" s="73"/>
      <c r="U98" s="73"/>
      <c r="V98" s="73"/>
      <c r="W98" s="73"/>
      <c r="X98" s="73"/>
      <c r="Y98" s="73"/>
      <c r="Z98" s="73"/>
      <c r="AA98" s="73"/>
      <c r="AB98" s="73"/>
      <c r="AC98" s="73"/>
      <c r="AD98" s="73"/>
      <c r="AE98" s="73"/>
      <c r="AF98" s="73"/>
    </row>
    <row r="99" spans="1:32" ht="15.75" customHeight="1" x14ac:dyDescent="0.2">
      <c r="A99" s="73"/>
      <c r="B99" s="73"/>
      <c r="C99" s="74"/>
      <c r="D99" s="74"/>
      <c r="E99" s="74"/>
      <c r="F99" s="73"/>
      <c r="G99" s="74"/>
      <c r="H99" s="73"/>
      <c r="I99" s="73"/>
      <c r="J99" s="73"/>
      <c r="K99" s="114" t="s">
        <v>1080</v>
      </c>
      <c r="L99" s="73"/>
      <c r="M99" s="73"/>
      <c r="N99" s="73"/>
      <c r="O99" s="73"/>
      <c r="P99" s="73"/>
      <c r="Q99" s="73"/>
      <c r="R99" s="73"/>
      <c r="S99" s="73"/>
      <c r="T99" s="73"/>
      <c r="U99" s="73"/>
      <c r="V99" s="73"/>
      <c r="W99" s="73"/>
      <c r="X99" s="73"/>
      <c r="Y99" s="73"/>
      <c r="Z99" s="73"/>
      <c r="AA99" s="73"/>
      <c r="AB99" s="73"/>
      <c r="AC99" s="73"/>
      <c r="AD99" s="73"/>
      <c r="AE99" s="73"/>
      <c r="AF99" s="73"/>
    </row>
    <row r="100" spans="1:32" ht="15.75" customHeight="1" x14ac:dyDescent="0.2">
      <c r="A100" s="73"/>
      <c r="B100" s="73"/>
      <c r="C100" s="74"/>
      <c r="D100" s="74"/>
      <c r="E100" s="74"/>
      <c r="F100" s="73"/>
      <c r="G100" s="74"/>
      <c r="H100" s="73"/>
      <c r="I100" s="73"/>
      <c r="J100" s="73"/>
      <c r="K100" s="114" t="s">
        <v>1081</v>
      </c>
      <c r="L100" s="73"/>
      <c r="M100" s="73"/>
      <c r="N100" s="73"/>
      <c r="O100" s="73"/>
      <c r="P100" s="73"/>
      <c r="Q100" s="73"/>
      <c r="R100" s="73"/>
      <c r="S100" s="73"/>
      <c r="T100" s="73"/>
      <c r="U100" s="73"/>
      <c r="V100" s="73"/>
      <c r="W100" s="73"/>
      <c r="X100" s="73"/>
      <c r="Y100" s="73"/>
      <c r="Z100" s="73"/>
      <c r="AA100" s="73"/>
      <c r="AB100" s="73"/>
      <c r="AC100" s="73"/>
      <c r="AD100" s="73"/>
      <c r="AE100" s="73"/>
      <c r="AF100" s="73"/>
    </row>
    <row r="101" spans="1:32" ht="15.75" customHeight="1" x14ac:dyDescent="0.2">
      <c r="A101" s="73"/>
      <c r="B101" s="73"/>
      <c r="C101" s="74"/>
      <c r="D101" s="74"/>
      <c r="E101" s="74"/>
      <c r="F101" s="73"/>
      <c r="G101" s="74"/>
      <c r="H101" s="73"/>
      <c r="I101" s="73"/>
      <c r="J101" s="73"/>
      <c r="K101" s="114" t="s">
        <v>1082</v>
      </c>
      <c r="L101" s="73"/>
      <c r="M101" s="73"/>
      <c r="N101" s="73"/>
      <c r="O101" s="73"/>
      <c r="P101" s="73"/>
      <c r="Q101" s="73"/>
      <c r="R101" s="73"/>
      <c r="S101" s="73"/>
      <c r="T101" s="73"/>
      <c r="U101" s="73"/>
      <c r="V101" s="73"/>
      <c r="W101" s="73"/>
      <c r="X101" s="73"/>
      <c r="Y101" s="73"/>
      <c r="Z101" s="73"/>
      <c r="AA101" s="73"/>
      <c r="AB101" s="73"/>
      <c r="AC101" s="73"/>
      <c r="AD101" s="73"/>
      <c r="AE101" s="73"/>
      <c r="AF101" s="73"/>
    </row>
    <row r="102" spans="1:32" ht="15.75" customHeight="1" x14ac:dyDescent="0.2">
      <c r="A102" s="73"/>
      <c r="B102" s="73"/>
      <c r="C102" s="74"/>
      <c r="D102" s="74"/>
      <c r="E102" s="74"/>
      <c r="F102" s="73"/>
      <c r="G102" s="74"/>
      <c r="H102" s="73"/>
      <c r="I102" s="73"/>
      <c r="J102" s="73"/>
      <c r="K102" s="114" t="s">
        <v>1083</v>
      </c>
      <c r="L102" s="73"/>
      <c r="M102" s="73"/>
      <c r="N102" s="73"/>
      <c r="O102" s="73"/>
      <c r="P102" s="73"/>
      <c r="Q102" s="73"/>
      <c r="R102" s="73"/>
      <c r="S102" s="73"/>
      <c r="T102" s="73"/>
      <c r="U102" s="73"/>
      <c r="V102" s="73"/>
      <c r="W102" s="73"/>
      <c r="X102" s="73"/>
      <c r="Y102" s="73"/>
      <c r="Z102" s="73"/>
      <c r="AA102" s="73"/>
      <c r="AB102" s="73"/>
      <c r="AC102" s="73"/>
      <c r="AD102" s="73"/>
      <c r="AE102" s="73"/>
      <c r="AF102" s="73"/>
    </row>
    <row r="103" spans="1:32" ht="15.75" customHeight="1" x14ac:dyDescent="0.2">
      <c r="A103" s="73"/>
      <c r="B103" s="73"/>
      <c r="C103" s="74"/>
      <c r="D103" s="74"/>
      <c r="E103" s="74"/>
      <c r="F103" s="73"/>
      <c r="G103" s="74"/>
      <c r="H103" s="73"/>
      <c r="I103" s="73"/>
      <c r="J103" s="73"/>
      <c r="K103" s="114" t="s">
        <v>1226</v>
      </c>
      <c r="L103" s="73"/>
      <c r="M103" s="73"/>
      <c r="N103" s="73"/>
      <c r="O103" s="73"/>
      <c r="P103" s="73"/>
      <c r="Q103" s="73"/>
      <c r="R103" s="73"/>
      <c r="S103" s="73"/>
      <c r="T103" s="73"/>
      <c r="U103" s="73"/>
      <c r="V103" s="73"/>
      <c r="W103" s="73"/>
      <c r="X103" s="73"/>
      <c r="Y103" s="73"/>
      <c r="Z103" s="73"/>
      <c r="AA103" s="73"/>
      <c r="AB103" s="73"/>
      <c r="AC103" s="73"/>
      <c r="AD103" s="73"/>
      <c r="AE103" s="73"/>
      <c r="AF103" s="73"/>
    </row>
    <row r="104" spans="1:32" ht="15.75" customHeight="1" x14ac:dyDescent="0.2">
      <c r="A104" s="73"/>
      <c r="B104" s="73"/>
      <c r="C104" s="74"/>
      <c r="D104" s="74"/>
      <c r="E104" s="74"/>
      <c r="F104" s="73"/>
      <c r="G104" s="74"/>
      <c r="H104" s="73"/>
      <c r="I104" s="73"/>
      <c r="J104" s="73"/>
      <c r="K104" s="114" t="s">
        <v>1085</v>
      </c>
      <c r="L104" s="73"/>
      <c r="M104" s="73"/>
      <c r="N104" s="73"/>
      <c r="O104" s="73"/>
      <c r="P104" s="73"/>
      <c r="Q104" s="73"/>
      <c r="R104" s="73"/>
      <c r="S104" s="73"/>
      <c r="T104" s="73"/>
      <c r="U104" s="73"/>
      <c r="V104" s="73"/>
      <c r="W104" s="73"/>
      <c r="X104" s="73"/>
      <c r="Y104" s="73"/>
      <c r="Z104" s="73"/>
      <c r="AA104" s="73"/>
      <c r="AB104" s="73"/>
      <c r="AC104" s="73"/>
      <c r="AD104" s="73"/>
      <c r="AE104" s="73"/>
      <c r="AF104" s="73"/>
    </row>
    <row r="105" spans="1:32" ht="15.75" customHeight="1" x14ac:dyDescent="0.2">
      <c r="A105" s="73"/>
      <c r="B105" s="73"/>
      <c r="C105" s="74"/>
      <c r="D105" s="74"/>
      <c r="E105" s="74"/>
      <c r="F105" s="73"/>
      <c r="G105" s="74"/>
      <c r="H105" s="73"/>
      <c r="I105" s="73"/>
      <c r="J105" s="73"/>
      <c r="K105" s="114" t="s">
        <v>1227</v>
      </c>
      <c r="L105" s="73"/>
      <c r="M105" s="73"/>
      <c r="N105" s="73"/>
      <c r="O105" s="73"/>
      <c r="P105" s="73"/>
      <c r="Q105" s="73"/>
      <c r="R105" s="73"/>
      <c r="S105" s="73"/>
      <c r="T105" s="73"/>
      <c r="U105" s="73"/>
      <c r="V105" s="73"/>
      <c r="W105" s="73"/>
      <c r="X105" s="73"/>
      <c r="Y105" s="73"/>
      <c r="Z105" s="73"/>
      <c r="AA105" s="73"/>
      <c r="AB105" s="73"/>
      <c r="AC105" s="73"/>
      <c r="AD105" s="73"/>
      <c r="AE105" s="73"/>
      <c r="AF105" s="73"/>
    </row>
    <row r="106" spans="1:32" ht="15.75" customHeight="1" x14ac:dyDescent="0.2">
      <c r="A106" s="73"/>
      <c r="B106" s="73"/>
      <c r="C106" s="74"/>
      <c r="D106" s="74"/>
      <c r="E106" s="74"/>
      <c r="F106" s="73"/>
      <c r="G106" s="74"/>
      <c r="H106" s="73"/>
      <c r="I106" s="73"/>
      <c r="J106" s="73"/>
      <c r="K106" s="114" t="s">
        <v>1087</v>
      </c>
      <c r="L106" s="73"/>
      <c r="M106" s="73"/>
      <c r="N106" s="73"/>
      <c r="O106" s="73"/>
      <c r="P106" s="73"/>
      <c r="Q106" s="73"/>
      <c r="R106" s="73"/>
      <c r="S106" s="73"/>
      <c r="T106" s="73"/>
      <c r="U106" s="73"/>
      <c r="V106" s="73"/>
      <c r="W106" s="73"/>
      <c r="X106" s="73"/>
      <c r="Y106" s="73"/>
      <c r="Z106" s="73"/>
      <c r="AA106" s="73"/>
      <c r="AB106" s="73"/>
      <c r="AC106" s="73"/>
      <c r="AD106" s="73"/>
      <c r="AE106" s="73"/>
      <c r="AF106" s="73"/>
    </row>
    <row r="107" spans="1:32" ht="15.75" customHeight="1" x14ac:dyDescent="0.2">
      <c r="A107" s="73"/>
      <c r="B107" s="73"/>
      <c r="C107" s="74"/>
      <c r="D107" s="74"/>
      <c r="E107" s="74"/>
      <c r="F107" s="73"/>
      <c r="G107" s="74"/>
      <c r="H107" s="73"/>
      <c r="I107" s="73"/>
      <c r="J107" s="73"/>
      <c r="K107" s="114" t="s">
        <v>1088</v>
      </c>
      <c r="L107" s="73"/>
      <c r="M107" s="73"/>
      <c r="N107" s="73"/>
      <c r="O107" s="73"/>
      <c r="P107" s="73"/>
      <c r="Q107" s="73"/>
      <c r="R107" s="73"/>
      <c r="S107" s="73"/>
      <c r="T107" s="73"/>
      <c r="U107" s="73"/>
      <c r="V107" s="73"/>
      <c r="W107" s="73"/>
      <c r="X107" s="73"/>
      <c r="Y107" s="73"/>
      <c r="Z107" s="73"/>
      <c r="AA107" s="73"/>
      <c r="AB107" s="73"/>
      <c r="AC107" s="73"/>
      <c r="AD107" s="73"/>
      <c r="AE107" s="73"/>
      <c r="AF107" s="73"/>
    </row>
    <row r="108" spans="1:32" ht="15.75" customHeight="1" x14ac:dyDescent="0.2">
      <c r="A108" s="73"/>
      <c r="B108" s="73"/>
      <c r="C108" s="74"/>
      <c r="D108" s="74"/>
      <c r="E108" s="74"/>
      <c r="F108" s="73"/>
      <c r="G108" s="74"/>
      <c r="H108" s="73"/>
      <c r="I108" s="73"/>
      <c r="J108" s="73"/>
      <c r="K108" s="114" t="s">
        <v>1228</v>
      </c>
      <c r="L108" s="73"/>
      <c r="M108" s="73"/>
      <c r="N108" s="73"/>
      <c r="O108" s="73"/>
      <c r="P108" s="73"/>
      <c r="Q108" s="73"/>
      <c r="R108" s="73"/>
      <c r="S108" s="73"/>
      <c r="T108" s="73"/>
      <c r="U108" s="73"/>
      <c r="V108" s="73"/>
      <c r="W108" s="73"/>
      <c r="X108" s="73"/>
      <c r="Y108" s="73"/>
      <c r="Z108" s="73"/>
      <c r="AA108" s="73"/>
      <c r="AB108" s="73"/>
      <c r="AC108" s="73"/>
      <c r="AD108" s="73"/>
      <c r="AE108" s="73"/>
      <c r="AF108" s="73"/>
    </row>
    <row r="109" spans="1:32" ht="15.75" customHeight="1" x14ac:dyDescent="0.2">
      <c r="A109" s="73"/>
      <c r="B109" s="73"/>
      <c r="C109" s="74"/>
      <c r="D109" s="74"/>
      <c r="E109" s="74"/>
      <c r="F109" s="73"/>
      <c r="G109" s="74"/>
      <c r="H109" s="73"/>
      <c r="I109" s="73"/>
      <c r="J109" s="73"/>
      <c r="K109" s="114" t="s">
        <v>955</v>
      </c>
      <c r="L109" s="73"/>
      <c r="M109" s="73"/>
      <c r="N109" s="73"/>
      <c r="O109" s="73"/>
      <c r="P109" s="73"/>
      <c r="Q109" s="73"/>
      <c r="R109" s="73"/>
      <c r="S109" s="73"/>
      <c r="T109" s="73"/>
      <c r="U109" s="73"/>
      <c r="V109" s="73"/>
      <c r="W109" s="73"/>
      <c r="X109" s="73"/>
      <c r="Y109" s="73"/>
      <c r="Z109" s="73"/>
      <c r="AA109" s="73"/>
      <c r="AB109" s="73"/>
      <c r="AC109" s="73"/>
      <c r="AD109" s="73"/>
      <c r="AE109" s="73"/>
      <c r="AF109" s="73"/>
    </row>
    <row r="110" spans="1:32" ht="15.75" customHeight="1" x14ac:dyDescent="0.2">
      <c r="A110" s="73"/>
      <c r="B110" s="73"/>
      <c r="C110" s="74"/>
      <c r="D110" s="74"/>
      <c r="E110" s="74"/>
      <c r="F110" s="73"/>
      <c r="G110" s="74"/>
      <c r="H110" s="73"/>
      <c r="I110" s="73"/>
      <c r="J110" s="73"/>
      <c r="K110" s="114" t="s">
        <v>956</v>
      </c>
      <c r="L110" s="73"/>
      <c r="M110" s="73"/>
      <c r="N110" s="73"/>
      <c r="O110" s="73"/>
      <c r="P110" s="73"/>
      <c r="Q110" s="73"/>
      <c r="R110" s="73"/>
      <c r="S110" s="73"/>
      <c r="T110" s="73"/>
      <c r="U110" s="73"/>
      <c r="V110" s="73"/>
      <c r="W110" s="73"/>
      <c r="X110" s="73"/>
      <c r="Y110" s="73"/>
      <c r="Z110" s="73"/>
      <c r="AA110" s="73"/>
      <c r="AB110" s="73"/>
      <c r="AC110" s="73"/>
      <c r="AD110" s="73"/>
      <c r="AE110" s="73"/>
      <c r="AF110" s="73"/>
    </row>
    <row r="111" spans="1:32" ht="15.75" customHeight="1" x14ac:dyDescent="0.2">
      <c r="A111" s="73"/>
      <c r="B111" s="73"/>
      <c r="C111" s="74"/>
      <c r="D111" s="74"/>
      <c r="E111" s="74"/>
      <c r="F111" s="73"/>
      <c r="G111" s="74"/>
      <c r="H111" s="73"/>
      <c r="I111" s="73"/>
      <c r="J111" s="73"/>
      <c r="K111" s="114" t="s">
        <v>957</v>
      </c>
      <c r="L111" s="73"/>
      <c r="M111" s="73"/>
      <c r="N111" s="73"/>
      <c r="O111" s="73"/>
      <c r="P111" s="73"/>
      <c r="Q111" s="73"/>
      <c r="R111" s="73"/>
      <c r="S111" s="73"/>
      <c r="T111" s="73"/>
      <c r="U111" s="73"/>
      <c r="V111" s="73"/>
      <c r="W111" s="73"/>
      <c r="X111" s="73"/>
      <c r="Y111" s="73"/>
      <c r="Z111" s="73"/>
      <c r="AA111" s="73"/>
      <c r="AB111" s="73"/>
      <c r="AC111" s="73"/>
      <c r="AD111" s="73"/>
      <c r="AE111" s="73"/>
      <c r="AF111" s="73"/>
    </row>
    <row r="112" spans="1:32" ht="15.75" customHeight="1" x14ac:dyDescent="0.2">
      <c r="A112" s="73"/>
      <c r="B112" s="73"/>
      <c r="C112" s="74"/>
      <c r="D112" s="74"/>
      <c r="E112" s="74"/>
      <c r="F112" s="73"/>
      <c r="G112" s="74"/>
      <c r="H112" s="73"/>
      <c r="I112" s="73"/>
      <c r="J112" s="73"/>
      <c r="K112" s="114" t="s">
        <v>958</v>
      </c>
      <c r="L112" s="73"/>
      <c r="M112" s="73"/>
      <c r="N112" s="73"/>
      <c r="O112" s="73"/>
      <c r="P112" s="73"/>
      <c r="Q112" s="73"/>
      <c r="R112" s="73"/>
      <c r="S112" s="73"/>
      <c r="T112" s="73"/>
      <c r="U112" s="73"/>
      <c r="V112" s="73"/>
      <c r="W112" s="73"/>
      <c r="X112" s="73"/>
      <c r="Y112" s="73"/>
      <c r="Z112" s="73"/>
      <c r="AA112" s="73"/>
      <c r="AB112" s="73"/>
      <c r="AC112" s="73"/>
      <c r="AD112" s="73"/>
      <c r="AE112" s="73"/>
      <c r="AF112" s="73"/>
    </row>
    <row r="113" spans="1:32" ht="15.75" customHeight="1" x14ac:dyDescent="0.2">
      <c r="A113" s="73"/>
      <c r="B113" s="73"/>
      <c r="C113" s="74"/>
      <c r="D113" s="74"/>
      <c r="E113" s="74"/>
      <c r="F113" s="73"/>
      <c r="G113" s="74"/>
      <c r="H113" s="73"/>
      <c r="I113" s="73"/>
      <c r="J113" s="73"/>
      <c r="K113" s="114" t="s">
        <v>959</v>
      </c>
      <c r="L113" s="73"/>
      <c r="M113" s="73"/>
      <c r="N113" s="73"/>
      <c r="O113" s="73"/>
      <c r="P113" s="73"/>
      <c r="Q113" s="73"/>
      <c r="R113" s="73"/>
      <c r="S113" s="73"/>
      <c r="T113" s="73"/>
      <c r="U113" s="73"/>
      <c r="V113" s="73"/>
      <c r="W113" s="73"/>
      <c r="X113" s="73"/>
      <c r="Y113" s="73"/>
      <c r="Z113" s="73"/>
      <c r="AA113" s="73"/>
      <c r="AB113" s="73"/>
      <c r="AC113" s="73"/>
      <c r="AD113" s="73"/>
      <c r="AE113" s="73"/>
      <c r="AF113" s="73"/>
    </row>
    <row r="114" spans="1:32" ht="15.75" customHeight="1" x14ac:dyDescent="0.2">
      <c r="A114" s="73"/>
      <c r="B114" s="73"/>
      <c r="C114" s="74"/>
      <c r="D114" s="74"/>
      <c r="E114" s="74"/>
      <c r="F114" s="73"/>
      <c r="G114" s="74"/>
      <c r="H114" s="73"/>
      <c r="I114" s="73"/>
      <c r="J114" s="73"/>
      <c r="K114" s="114" t="s">
        <v>960</v>
      </c>
      <c r="L114" s="73"/>
      <c r="M114" s="73"/>
      <c r="N114" s="73"/>
      <c r="O114" s="73"/>
      <c r="P114" s="73"/>
      <c r="Q114" s="73"/>
      <c r="R114" s="73"/>
      <c r="S114" s="73"/>
      <c r="T114" s="73"/>
      <c r="U114" s="73"/>
      <c r="V114" s="73"/>
      <c r="W114" s="73"/>
      <c r="X114" s="73"/>
      <c r="Y114" s="73"/>
      <c r="Z114" s="73"/>
      <c r="AA114" s="73"/>
      <c r="AB114" s="73"/>
      <c r="AC114" s="73"/>
      <c r="AD114" s="73"/>
      <c r="AE114" s="73"/>
      <c r="AF114" s="73"/>
    </row>
    <row r="115" spans="1:32" ht="15.75" customHeight="1" x14ac:dyDescent="0.2">
      <c r="A115" s="73"/>
      <c r="B115" s="73"/>
      <c r="C115" s="74"/>
      <c r="D115" s="74"/>
      <c r="E115" s="74"/>
      <c r="F115" s="73"/>
      <c r="G115" s="74"/>
      <c r="H115" s="73"/>
      <c r="I115" s="73"/>
      <c r="J115" s="73"/>
      <c r="K115" s="114" t="s">
        <v>961</v>
      </c>
      <c r="L115" s="73"/>
      <c r="M115" s="73"/>
      <c r="N115" s="73"/>
      <c r="O115" s="73"/>
      <c r="P115" s="73"/>
      <c r="Q115" s="73"/>
      <c r="R115" s="73"/>
      <c r="S115" s="73"/>
      <c r="T115" s="73"/>
      <c r="U115" s="73"/>
      <c r="V115" s="73"/>
      <c r="W115" s="73"/>
      <c r="X115" s="73"/>
      <c r="Y115" s="73"/>
      <c r="Z115" s="73"/>
      <c r="AA115" s="73"/>
      <c r="AB115" s="73"/>
      <c r="AC115" s="73"/>
      <c r="AD115" s="73"/>
      <c r="AE115" s="73"/>
      <c r="AF115" s="73"/>
    </row>
    <row r="116" spans="1:32" ht="15.75" customHeight="1" x14ac:dyDescent="0.2">
      <c r="A116" s="73"/>
      <c r="B116" s="73"/>
      <c r="C116" s="74"/>
      <c r="D116" s="74"/>
      <c r="E116" s="74"/>
      <c r="F116" s="73"/>
      <c r="G116" s="74"/>
      <c r="H116" s="73"/>
      <c r="I116" s="73"/>
      <c r="J116" s="73"/>
      <c r="K116" s="114" t="s">
        <v>962</v>
      </c>
      <c r="L116" s="73"/>
      <c r="M116" s="73"/>
      <c r="N116" s="73"/>
      <c r="O116" s="73"/>
      <c r="P116" s="73"/>
      <c r="Q116" s="73"/>
      <c r="R116" s="73"/>
      <c r="S116" s="73"/>
      <c r="T116" s="73"/>
      <c r="U116" s="73"/>
      <c r="V116" s="73"/>
      <c r="W116" s="73"/>
      <c r="X116" s="73"/>
      <c r="Y116" s="73"/>
      <c r="Z116" s="73"/>
      <c r="AA116" s="73"/>
      <c r="AB116" s="73"/>
      <c r="AC116" s="73"/>
      <c r="AD116" s="73"/>
      <c r="AE116" s="73"/>
      <c r="AF116" s="73"/>
    </row>
    <row r="117" spans="1:32" ht="15.75" customHeight="1" x14ac:dyDescent="0.2">
      <c r="A117" s="73"/>
      <c r="B117" s="73"/>
      <c r="C117" s="74"/>
      <c r="D117" s="74"/>
      <c r="E117" s="74"/>
      <c r="F117" s="73"/>
      <c r="G117" s="74"/>
      <c r="H117" s="73"/>
      <c r="I117" s="73"/>
      <c r="J117" s="73"/>
      <c r="K117" s="114" t="s">
        <v>431</v>
      </c>
      <c r="L117" s="73"/>
      <c r="M117" s="73"/>
      <c r="N117" s="73"/>
      <c r="O117" s="73"/>
      <c r="P117" s="73"/>
      <c r="Q117" s="73"/>
      <c r="R117" s="73"/>
      <c r="S117" s="73"/>
      <c r="T117" s="73"/>
      <c r="U117" s="73"/>
      <c r="V117" s="73"/>
      <c r="W117" s="73"/>
      <c r="X117" s="73"/>
      <c r="Y117" s="73"/>
      <c r="Z117" s="73"/>
      <c r="AA117" s="73"/>
      <c r="AB117" s="73"/>
      <c r="AC117" s="73"/>
      <c r="AD117" s="73"/>
      <c r="AE117" s="73"/>
      <c r="AF117" s="73"/>
    </row>
    <row r="118" spans="1:32" ht="15.75" customHeight="1" x14ac:dyDescent="0.2">
      <c r="A118" s="73"/>
      <c r="B118" s="73"/>
      <c r="C118" s="74"/>
      <c r="D118" s="74"/>
      <c r="E118" s="74"/>
      <c r="F118" s="73"/>
      <c r="G118" s="74"/>
      <c r="H118" s="73"/>
      <c r="I118" s="73"/>
      <c r="J118" s="73"/>
      <c r="K118" s="114" t="s">
        <v>963</v>
      </c>
      <c r="L118" s="73"/>
      <c r="M118" s="73"/>
      <c r="N118" s="73"/>
      <c r="O118" s="73"/>
      <c r="P118" s="73"/>
      <c r="Q118" s="73"/>
      <c r="R118" s="73"/>
      <c r="S118" s="73"/>
      <c r="T118" s="73"/>
      <c r="U118" s="73"/>
      <c r="V118" s="73"/>
      <c r="W118" s="73"/>
      <c r="X118" s="73"/>
      <c r="Y118" s="73"/>
      <c r="Z118" s="73"/>
      <c r="AA118" s="73"/>
      <c r="AB118" s="73"/>
      <c r="AC118" s="73"/>
      <c r="AD118" s="73"/>
      <c r="AE118" s="73"/>
      <c r="AF118" s="73"/>
    </row>
    <row r="119" spans="1:32" ht="15.75" customHeight="1" x14ac:dyDescent="0.2">
      <c r="A119" s="73"/>
      <c r="B119" s="73"/>
      <c r="C119" s="74"/>
      <c r="D119" s="74"/>
      <c r="E119" s="74"/>
      <c r="F119" s="73"/>
      <c r="G119" s="74"/>
      <c r="H119" s="73"/>
      <c r="I119" s="73"/>
      <c r="J119" s="73"/>
      <c r="K119" s="114" t="s">
        <v>45</v>
      </c>
      <c r="L119" s="73"/>
      <c r="M119" s="73"/>
      <c r="N119" s="73"/>
      <c r="O119" s="73"/>
      <c r="P119" s="73"/>
      <c r="Q119" s="73"/>
      <c r="R119" s="73"/>
      <c r="S119" s="73"/>
      <c r="T119" s="73"/>
      <c r="U119" s="73"/>
      <c r="V119" s="73"/>
      <c r="W119" s="73"/>
      <c r="X119" s="73"/>
      <c r="Y119" s="73"/>
      <c r="Z119" s="73"/>
      <c r="AA119" s="73"/>
      <c r="AB119" s="73"/>
      <c r="AC119" s="73"/>
      <c r="AD119" s="73"/>
      <c r="AE119" s="73"/>
      <c r="AF119" s="73"/>
    </row>
    <row r="120" spans="1:32" ht="15.75" customHeight="1" x14ac:dyDescent="0.2">
      <c r="A120" s="73"/>
      <c r="B120" s="73"/>
      <c r="C120" s="74"/>
      <c r="D120" s="74"/>
      <c r="E120" s="74"/>
      <c r="F120" s="73"/>
      <c r="G120" s="74"/>
      <c r="H120" s="73"/>
      <c r="I120" s="73"/>
      <c r="J120" s="73"/>
      <c r="K120" s="114" t="s">
        <v>804</v>
      </c>
      <c r="L120" s="73"/>
      <c r="M120" s="73"/>
      <c r="N120" s="73"/>
      <c r="O120" s="73"/>
      <c r="P120" s="73"/>
      <c r="Q120" s="73"/>
      <c r="R120" s="73"/>
      <c r="S120" s="73"/>
      <c r="T120" s="73"/>
      <c r="U120" s="73"/>
      <c r="V120" s="73"/>
      <c r="W120" s="73"/>
      <c r="X120" s="73"/>
      <c r="Y120" s="73"/>
      <c r="Z120" s="73"/>
      <c r="AA120" s="73"/>
      <c r="AB120" s="73"/>
      <c r="AC120" s="73"/>
      <c r="AD120" s="73"/>
      <c r="AE120" s="73"/>
      <c r="AF120" s="73"/>
    </row>
    <row r="121" spans="1:32" ht="15.75" customHeight="1" x14ac:dyDescent="0.2">
      <c r="A121" s="73"/>
      <c r="B121" s="73"/>
      <c r="C121" s="74"/>
      <c r="D121" s="74"/>
      <c r="E121" s="74"/>
      <c r="F121" s="73"/>
      <c r="G121" s="74"/>
      <c r="H121" s="73"/>
      <c r="I121" s="73"/>
      <c r="J121" s="73"/>
      <c r="K121" s="114" t="s">
        <v>964</v>
      </c>
      <c r="L121" s="73"/>
      <c r="M121" s="73"/>
      <c r="N121" s="73"/>
      <c r="O121" s="73"/>
      <c r="P121" s="73"/>
      <c r="Q121" s="73"/>
      <c r="R121" s="73"/>
      <c r="S121" s="73"/>
      <c r="T121" s="73"/>
      <c r="U121" s="73"/>
      <c r="V121" s="73"/>
      <c r="W121" s="73"/>
      <c r="X121" s="73"/>
      <c r="Y121" s="73"/>
      <c r="Z121" s="73"/>
      <c r="AA121" s="73"/>
      <c r="AB121" s="73"/>
      <c r="AC121" s="73"/>
      <c r="AD121" s="73"/>
      <c r="AE121" s="73"/>
      <c r="AF121" s="73"/>
    </row>
    <row r="122" spans="1:32" ht="15.75" customHeight="1" x14ac:dyDescent="0.2">
      <c r="A122" s="73"/>
      <c r="B122" s="73"/>
      <c r="C122" s="74"/>
      <c r="D122" s="74"/>
      <c r="E122" s="74"/>
      <c r="F122" s="73"/>
      <c r="G122" s="74"/>
      <c r="H122" s="73"/>
      <c r="I122" s="73"/>
      <c r="J122" s="73"/>
      <c r="K122" s="114" t="s">
        <v>362</v>
      </c>
      <c r="L122" s="73"/>
      <c r="M122" s="73"/>
      <c r="N122" s="73"/>
      <c r="O122" s="73"/>
      <c r="P122" s="73"/>
      <c r="Q122" s="73"/>
      <c r="R122" s="73"/>
      <c r="S122" s="73"/>
      <c r="T122" s="73"/>
      <c r="U122" s="73"/>
      <c r="V122" s="73"/>
      <c r="W122" s="73"/>
      <c r="X122" s="73"/>
      <c r="Y122" s="73"/>
      <c r="Z122" s="73"/>
      <c r="AA122" s="73"/>
      <c r="AB122" s="73"/>
      <c r="AC122" s="73"/>
      <c r="AD122" s="73"/>
      <c r="AE122" s="73"/>
      <c r="AF122" s="73"/>
    </row>
    <row r="123" spans="1:32" ht="15.75" customHeight="1" x14ac:dyDescent="0.2">
      <c r="A123" s="73"/>
      <c r="B123" s="73"/>
      <c r="C123" s="74"/>
      <c r="D123" s="74"/>
      <c r="E123" s="74"/>
      <c r="F123" s="73"/>
      <c r="G123" s="74"/>
      <c r="H123" s="73"/>
      <c r="I123" s="73"/>
      <c r="J123" s="73"/>
      <c r="K123" s="114" t="s">
        <v>188</v>
      </c>
      <c r="L123" s="73"/>
      <c r="M123" s="73"/>
      <c r="N123" s="73"/>
      <c r="O123" s="73"/>
      <c r="P123" s="73"/>
      <c r="Q123" s="73"/>
      <c r="R123" s="73"/>
      <c r="S123" s="73"/>
      <c r="T123" s="73"/>
      <c r="U123" s="73"/>
      <c r="V123" s="73"/>
      <c r="W123" s="73"/>
      <c r="X123" s="73"/>
      <c r="Y123" s="73"/>
      <c r="Z123" s="73"/>
      <c r="AA123" s="73"/>
      <c r="AB123" s="73"/>
      <c r="AC123" s="73"/>
      <c r="AD123" s="73"/>
      <c r="AE123" s="73"/>
      <c r="AF123" s="73"/>
    </row>
    <row r="124" spans="1:32" ht="15.75" customHeight="1" x14ac:dyDescent="0.2">
      <c r="A124" s="73"/>
      <c r="B124" s="73"/>
      <c r="C124" s="74"/>
      <c r="D124" s="74"/>
      <c r="E124" s="74"/>
      <c r="F124" s="73"/>
      <c r="G124" s="74"/>
      <c r="H124" s="73"/>
      <c r="I124" s="73"/>
      <c r="J124" s="73"/>
      <c r="K124" s="114" t="s">
        <v>965</v>
      </c>
      <c r="L124" s="73"/>
      <c r="M124" s="73"/>
      <c r="N124" s="73"/>
      <c r="O124" s="73"/>
      <c r="P124" s="73"/>
      <c r="Q124" s="73"/>
      <c r="R124" s="73"/>
      <c r="S124" s="73"/>
      <c r="T124" s="73"/>
      <c r="U124" s="73"/>
      <c r="V124" s="73"/>
      <c r="W124" s="73"/>
      <c r="X124" s="73"/>
      <c r="Y124" s="73"/>
      <c r="Z124" s="73"/>
      <c r="AA124" s="73"/>
      <c r="AB124" s="73"/>
      <c r="AC124" s="73"/>
      <c r="AD124" s="73"/>
      <c r="AE124" s="73"/>
      <c r="AF124" s="73"/>
    </row>
    <row r="125" spans="1:32" ht="15.75" customHeight="1" x14ac:dyDescent="0.2">
      <c r="A125" s="73"/>
      <c r="B125" s="73"/>
      <c r="C125" s="74"/>
      <c r="D125" s="74"/>
      <c r="E125" s="74"/>
      <c r="F125" s="73"/>
      <c r="G125" s="74"/>
      <c r="H125" s="73"/>
      <c r="I125" s="73"/>
      <c r="J125" s="73"/>
      <c r="K125" s="114" t="s">
        <v>966</v>
      </c>
      <c r="L125" s="73"/>
      <c r="M125" s="73"/>
      <c r="N125" s="73"/>
      <c r="O125" s="73"/>
      <c r="P125" s="73"/>
      <c r="Q125" s="73"/>
      <c r="R125" s="73"/>
      <c r="S125" s="73"/>
      <c r="T125" s="73"/>
      <c r="U125" s="73"/>
      <c r="V125" s="73"/>
      <c r="W125" s="73"/>
      <c r="X125" s="73"/>
      <c r="Y125" s="73"/>
      <c r="Z125" s="73"/>
      <c r="AA125" s="73"/>
      <c r="AB125" s="73"/>
      <c r="AC125" s="73"/>
      <c r="AD125" s="73"/>
      <c r="AE125" s="73"/>
      <c r="AF125" s="73"/>
    </row>
    <row r="126" spans="1:32" ht="15.75" customHeight="1" x14ac:dyDescent="0.2">
      <c r="A126" s="73"/>
      <c r="B126" s="73"/>
      <c r="C126" s="74"/>
      <c r="D126" s="74"/>
      <c r="E126" s="74"/>
      <c r="F126" s="73"/>
      <c r="G126" s="74"/>
      <c r="H126" s="73"/>
      <c r="I126" s="73"/>
      <c r="J126" s="73"/>
      <c r="K126" s="114" t="s">
        <v>967</v>
      </c>
      <c r="L126" s="73"/>
      <c r="M126" s="73"/>
      <c r="N126" s="73"/>
      <c r="O126" s="73"/>
      <c r="P126" s="73"/>
      <c r="Q126" s="73"/>
      <c r="R126" s="73"/>
      <c r="S126" s="73"/>
      <c r="T126" s="73"/>
      <c r="U126" s="73"/>
      <c r="V126" s="73"/>
      <c r="W126" s="73"/>
      <c r="X126" s="73"/>
      <c r="Y126" s="73"/>
      <c r="Z126" s="73"/>
      <c r="AA126" s="73"/>
      <c r="AB126" s="73"/>
      <c r="AC126" s="73"/>
      <c r="AD126" s="73"/>
      <c r="AE126" s="73"/>
      <c r="AF126" s="73"/>
    </row>
    <row r="127" spans="1:32" ht="15.75" customHeight="1" x14ac:dyDescent="0.2">
      <c r="A127" s="73"/>
      <c r="B127" s="73"/>
      <c r="C127" s="74"/>
      <c r="D127" s="74"/>
      <c r="E127" s="74"/>
      <c r="F127" s="73"/>
      <c r="G127" s="74"/>
      <c r="H127" s="73"/>
      <c r="I127" s="73"/>
      <c r="J127" s="73"/>
      <c r="K127" s="114" t="s">
        <v>471</v>
      </c>
      <c r="L127" s="73"/>
      <c r="M127" s="73"/>
      <c r="N127" s="73"/>
      <c r="O127" s="73"/>
      <c r="P127" s="73"/>
      <c r="Q127" s="73"/>
      <c r="R127" s="73"/>
      <c r="S127" s="73"/>
      <c r="T127" s="73"/>
      <c r="U127" s="73"/>
      <c r="V127" s="73"/>
      <c r="W127" s="73"/>
      <c r="X127" s="73"/>
      <c r="Y127" s="73"/>
      <c r="Z127" s="73"/>
      <c r="AA127" s="73"/>
      <c r="AB127" s="73"/>
      <c r="AC127" s="73"/>
      <c r="AD127" s="73"/>
      <c r="AE127" s="73"/>
      <c r="AF127" s="73"/>
    </row>
    <row r="128" spans="1:32" ht="15.75" customHeight="1" x14ac:dyDescent="0.2">
      <c r="A128" s="73"/>
      <c r="B128" s="73"/>
      <c r="C128" s="74"/>
      <c r="D128" s="74"/>
      <c r="E128" s="74"/>
      <c r="F128" s="73"/>
      <c r="G128" s="74"/>
      <c r="H128" s="73"/>
      <c r="I128" s="73"/>
      <c r="J128" s="73"/>
      <c r="K128" s="114" t="s">
        <v>968</v>
      </c>
      <c r="L128" s="73"/>
      <c r="M128" s="73"/>
      <c r="N128" s="73"/>
      <c r="O128" s="73"/>
      <c r="P128" s="73"/>
      <c r="Q128" s="73"/>
      <c r="R128" s="73"/>
      <c r="S128" s="73"/>
      <c r="T128" s="73"/>
      <c r="U128" s="73"/>
      <c r="V128" s="73"/>
      <c r="W128" s="73"/>
      <c r="X128" s="73"/>
      <c r="Y128" s="73"/>
      <c r="Z128" s="73"/>
      <c r="AA128" s="73"/>
      <c r="AB128" s="73"/>
      <c r="AC128" s="73"/>
      <c r="AD128" s="73"/>
      <c r="AE128" s="73"/>
      <c r="AF128" s="73"/>
    </row>
    <row r="129" spans="1:32" ht="15.75" customHeight="1" x14ac:dyDescent="0.2">
      <c r="A129" s="73"/>
      <c r="B129" s="73"/>
      <c r="C129" s="74"/>
      <c r="D129" s="74"/>
      <c r="E129" s="74"/>
      <c r="F129" s="73"/>
      <c r="G129" s="74"/>
      <c r="H129" s="73"/>
      <c r="I129" s="73"/>
      <c r="J129" s="73"/>
      <c r="K129" s="114" t="s">
        <v>596</v>
      </c>
      <c r="L129" s="73"/>
      <c r="M129" s="73"/>
      <c r="N129" s="73"/>
      <c r="O129" s="73"/>
      <c r="P129" s="73"/>
      <c r="Q129" s="73"/>
      <c r="R129" s="73"/>
      <c r="S129" s="73"/>
      <c r="T129" s="73"/>
      <c r="U129" s="73"/>
      <c r="V129" s="73"/>
      <c r="W129" s="73"/>
      <c r="X129" s="73"/>
      <c r="Y129" s="73"/>
      <c r="Z129" s="73"/>
      <c r="AA129" s="73"/>
      <c r="AB129" s="73"/>
      <c r="AC129" s="73"/>
      <c r="AD129" s="73"/>
      <c r="AE129" s="73"/>
      <c r="AF129" s="73"/>
    </row>
    <row r="130" spans="1:32" ht="15.75" customHeight="1" x14ac:dyDescent="0.2">
      <c r="A130" s="73"/>
      <c r="B130" s="73"/>
      <c r="C130" s="74"/>
      <c r="D130" s="74"/>
      <c r="E130" s="74"/>
      <c r="F130" s="73"/>
      <c r="G130" s="74"/>
      <c r="H130" s="73"/>
      <c r="I130" s="73"/>
      <c r="J130" s="73"/>
      <c r="K130" s="114" t="s">
        <v>969</v>
      </c>
      <c r="L130" s="73"/>
      <c r="M130" s="73"/>
      <c r="N130" s="73"/>
      <c r="O130" s="73"/>
      <c r="P130" s="73"/>
      <c r="Q130" s="73"/>
      <c r="R130" s="73"/>
      <c r="S130" s="73"/>
      <c r="T130" s="73"/>
      <c r="U130" s="73"/>
      <c r="V130" s="73"/>
      <c r="W130" s="73"/>
      <c r="X130" s="73"/>
      <c r="Y130" s="73"/>
      <c r="Z130" s="73"/>
      <c r="AA130" s="73"/>
      <c r="AB130" s="73"/>
      <c r="AC130" s="73"/>
      <c r="AD130" s="73"/>
      <c r="AE130" s="73"/>
      <c r="AF130" s="73"/>
    </row>
    <row r="131" spans="1:32" ht="15.75" customHeight="1" x14ac:dyDescent="0.2">
      <c r="A131" s="73"/>
      <c r="B131" s="73"/>
      <c r="C131" s="74"/>
      <c r="D131" s="74"/>
      <c r="E131" s="74"/>
      <c r="F131" s="73"/>
      <c r="G131" s="74"/>
      <c r="H131" s="73"/>
      <c r="I131" s="73"/>
      <c r="J131" s="73"/>
      <c r="K131" s="114" t="s">
        <v>970</v>
      </c>
      <c r="L131" s="73"/>
      <c r="M131" s="73"/>
      <c r="N131" s="73"/>
      <c r="O131" s="73"/>
      <c r="P131" s="73"/>
      <c r="Q131" s="73"/>
      <c r="R131" s="73"/>
      <c r="S131" s="73"/>
      <c r="T131" s="73"/>
      <c r="U131" s="73"/>
      <c r="V131" s="73"/>
      <c r="W131" s="73"/>
      <c r="X131" s="73"/>
      <c r="Y131" s="73"/>
      <c r="Z131" s="73"/>
      <c r="AA131" s="73"/>
      <c r="AB131" s="73"/>
      <c r="AC131" s="73"/>
      <c r="AD131" s="73"/>
      <c r="AE131" s="73"/>
      <c r="AF131" s="73"/>
    </row>
    <row r="132" spans="1:32" ht="15.75" customHeight="1" x14ac:dyDescent="0.2">
      <c r="A132" s="73"/>
      <c r="B132" s="73"/>
      <c r="C132" s="74"/>
      <c r="D132" s="74"/>
      <c r="E132" s="74"/>
      <c r="F132" s="73"/>
      <c r="G132" s="74"/>
      <c r="H132" s="73"/>
      <c r="I132" s="73"/>
      <c r="J132" s="73"/>
      <c r="K132" s="114" t="s">
        <v>971</v>
      </c>
      <c r="L132" s="73"/>
      <c r="M132" s="73"/>
      <c r="N132" s="73"/>
      <c r="O132" s="73"/>
      <c r="P132" s="73"/>
      <c r="Q132" s="73"/>
      <c r="R132" s="73"/>
      <c r="S132" s="73"/>
      <c r="T132" s="73"/>
      <c r="U132" s="73"/>
      <c r="V132" s="73"/>
      <c r="W132" s="73"/>
      <c r="X132" s="73"/>
      <c r="Y132" s="73"/>
      <c r="Z132" s="73"/>
      <c r="AA132" s="73"/>
      <c r="AB132" s="73"/>
      <c r="AC132" s="73"/>
      <c r="AD132" s="73"/>
      <c r="AE132" s="73"/>
      <c r="AF132" s="73"/>
    </row>
    <row r="133" spans="1:32" ht="15.75" customHeight="1" x14ac:dyDescent="0.2">
      <c r="A133" s="73"/>
      <c r="B133" s="73"/>
      <c r="C133" s="74"/>
      <c r="D133" s="74"/>
      <c r="E133" s="74"/>
      <c r="F133" s="73"/>
      <c r="G133" s="74"/>
      <c r="H133" s="73"/>
      <c r="I133" s="73"/>
      <c r="J133" s="73"/>
      <c r="K133" s="114" t="s">
        <v>483</v>
      </c>
      <c r="L133" s="73"/>
      <c r="M133" s="73"/>
      <c r="N133" s="73"/>
      <c r="O133" s="73"/>
      <c r="P133" s="73"/>
      <c r="Q133" s="73"/>
      <c r="R133" s="73"/>
      <c r="S133" s="73"/>
      <c r="T133" s="73"/>
      <c r="U133" s="73"/>
      <c r="V133" s="73"/>
      <c r="W133" s="73"/>
      <c r="X133" s="73"/>
      <c r="Y133" s="73"/>
      <c r="Z133" s="73"/>
      <c r="AA133" s="73"/>
      <c r="AB133" s="73"/>
      <c r="AC133" s="73"/>
      <c r="AD133" s="73"/>
      <c r="AE133" s="73"/>
      <c r="AF133" s="73"/>
    </row>
    <row r="134" spans="1:32" ht="15.75" customHeight="1" x14ac:dyDescent="0.2">
      <c r="A134" s="73"/>
      <c r="B134" s="73"/>
      <c r="C134" s="74"/>
      <c r="D134" s="74"/>
      <c r="E134" s="74"/>
      <c r="F134" s="73"/>
      <c r="G134" s="74"/>
      <c r="H134" s="73"/>
      <c r="I134" s="73"/>
      <c r="J134" s="73"/>
      <c r="K134" s="114" t="s">
        <v>972</v>
      </c>
      <c r="L134" s="73"/>
      <c r="M134" s="73"/>
      <c r="N134" s="73"/>
      <c r="O134" s="73"/>
      <c r="P134" s="73"/>
      <c r="Q134" s="73"/>
      <c r="R134" s="73"/>
      <c r="S134" s="73"/>
      <c r="T134" s="73"/>
      <c r="U134" s="73"/>
      <c r="V134" s="73"/>
      <c r="W134" s="73"/>
      <c r="X134" s="73"/>
      <c r="Y134" s="73"/>
      <c r="Z134" s="73"/>
      <c r="AA134" s="73"/>
      <c r="AB134" s="73"/>
      <c r="AC134" s="73"/>
      <c r="AD134" s="73"/>
      <c r="AE134" s="73"/>
      <c r="AF134" s="73"/>
    </row>
    <row r="135" spans="1:32" ht="15.75" customHeight="1" x14ac:dyDescent="0.2">
      <c r="A135" s="73"/>
      <c r="B135" s="73"/>
      <c r="C135" s="74"/>
      <c r="D135" s="74"/>
      <c r="E135" s="74"/>
      <c r="F135" s="73"/>
      <c r="G135" s="74"/>
      <c r="H135" s="73"/>
      <c r="I135" s="73"/>
      <c r="J135" s="73"/>
      <c r="K135" s="114" t="s">
        <v>973</v>
      </c>
      <c r="L135" s="73"/>
      <c r="M135" s="73"/>
      <c r="N135" s="73"/>
      <c r="O135" s="73"/>
      <c r="P135" s="73"/>
      <c r="Q135" s="73"/>
      <c r="R135" s="73"/>
      <c r="S135" s="73"/>
      <c r="T135" s="73"/>
      <c r="U135" s="73"/>
      <c r="V135" s="73"/>
      <c r="W135" s="73"/>
      <c r="X135" s="73"/>
      <c r="Y135" s="73"/>
      <c r="Z135" s="73"/>
      <c r="AA135" s="73"/>
      <c r="AB135" s="73"/>
      <c r="AC135" s="73"/>
      <c r="AD135" s="73"/>
      <c r="AE135" s="73"/>
      <c r="AF135" s="73"/>
    </row>
    <row r="136" spans="1:32" ht="15.75" customHeight="1" x14ac:dyDescent="0.2">
      <c r="A136" s="73"/>
      <c r="B136" s="73"/>
      <c r="C136" s="74"/>
      <c r="D136" s="74"/>
      <c r="E136" s="74"/>
      <c r="F136" s="73"/>
      <c r="G136" s="74"/>
      <c r="H136" s="73"/>
      <c r="I136" s="73"/>
      <c r="J136" s="73"/>
      <c r="K136" s="114" t="s">
        <v>974</v>
      </c>
      <c r="L136" s="73"/>
      <c r="M136" s="73"/>
      <c r="N136" s="73"/>
      <c r="O136" s="73"/>
      <c r="P136" s="73"/>
      <c r="Q136" s="73"/>
      <c r="R136" s="73"/>
      <c r="S136" s="73"/>
      <c r="T136" s="73"/>
      <c r="U136" s="73"/>
      <c r="V136" s="73"/>
      <c r="W136" s="73"/>
      <c r="X136" s="73"/>
      <c r="Y136" s="73"/>
      <c r="Z136" s="73"/>
      <c r="AA136" s="73"/>
      <c r="AB136" s="73"/>
      <c r="AC136" s="73"/>
      <c r="AD136" s="73"/>
      <c r="AE136" s="73"/>
      <c r="AF136" s="73"/>
    </row>
    <row r="137" spans="1:32" ht="15.75" customHeight="1" x14ac:dyDescent="0.2">
      <c r="A137" s="73"/>
      <c r="B137" s="73"/>
      <c r="C137" s="74"/>
      <c r="D137" s="74"/>
      <c r="E137" s="74"/>
      <c r="F137" s="73"/>
      <c r="G137" s="74"/>
      <c r="H137" s="73"/>
      <c r="I137" s="73"/>
      <c r="J137" s="73"/>
      <c r="K137" s="114" t="s">
        <v>975</v>
      </c>
      <c r="L137" s="73"/>
      <c r="M137" s="73"/>
      <c r="N137" s="73"/>
      <c r="O137" s="73"/>
      <c r="P137" s="73"/>
      <c r="Q137" s="73"/>
      <c r="R137" s="73"/>
      <c r="S137" s="73"/>
      <c r="T137" s="73"/>
      <c r="U137" s="73"/>
      <c r="V137" s="73"/>
      <c r="W137" s="73"/>
      <c r="X137" s="73"/>
      <c r="Y137" s="73"/>
      <c r="Z137" s="73"/>
      <c r="AA137" s="73"/>
      <c r="AB137" s="73"/>
      <c r="AC137" s="73"/>
      <c r="AD137" s="73"/>
      <c r="AE137" s="73"/>
      <c r="AF137" s="73"/>
    </row>
    <row r="138" spans="1:32" ht="15.75" customHeight="1" x14ac:dyDescent="0.2">
      <c r="A138" s="73"/>
      <c r="B138" s="73"/>
      <c r="C138" s="74"/>
      <c r="D138" s="74"/>
      <c r="E138" s="74"/>
      <c r="F138" s="73"/>
      <c r="G138" s="74"/>
      <c r="H138" s="73"/>
      <c r="I138" s="73"/>
      <c r="J138" s="73"/>
      <c r="K138" s="114" t="s">
        <v>976</v>
      </c>
      <c r="L138" s="73"/>
      <c r="M138" s="73"/>
      <c r="N138" s="73"/>
      <c r="O138" s="73"/>
      <c r="P138" s="73"/>
      <c r="Q138" s="73"/>
      <c r="R138" s="73"/>
      <c r="S138" s="73"/>
      <c r="T138" s="73"/>
      <c r="U138" s="73"/>
      <c r="V138" s="73"/>
      <c r="W138" s="73"/>
      <c r="X138" s="73"/>
      <c r="Y138" s="73"/>
      <c r="Z138" s="73"/>
      <c r="AA138" s="73"/>
      <c r="AB138" s="73"/>
      <c r="AC138" s="73"/>
      <c r="AD138" s="73"/>
      <c r="AE138" s="73"/>
      <c r="AF138" s="73"/>
    </row>
    <row r="139" spans="1:32" ht="15.75" customHeight="1" x14ac:dyDescent="0.2">
      <c r="A139" s="73"/>
      <c r="B139" s="73"/>
      <c r="C139" s="74"/>
      <c r="D139" s="74"/>
      <c r="E139" s="74"/>
      <c r="F139" s="73"/>
      <c r="G139" s="74"/>
      <c r="H139" s="73"/>
      <c r="I139" s="73"/>
      <c r="J139" s="73"/>
      <c r="K139" s="114" t="s">
        <v>977</v>
      </c>
      <c r="L139" s="73"/>
      <c r="M139" s="73"/>
      <c r="N139" s="73"/>
      <c r="O139" s="73"/>
      <c r="P139" s="73"/>
      <c r="Q139" s="73"/>
      <c r="R139" s="73"/>
      <c r="S139" s="73"/>
      <c r="T139" s="73"/>
      <c r="U139" s="73"/>
      <c r="V139" s="73"/>
      <c r="W139" s="73"/>
      <c r="X139" s="73"/>
      <c r="Y139" s="73"/>
      <c r="Z139" s="73"/>
      <c r="AA139" s="73"/>
      <c r="AB139" s="73"/>
      <c r="AC139" s="73"/>
      <c r="AD139" s="73"/>
      <c r="AE139" s="73"/>
      <c r="AF139" s="73"/>
    </row>
    <row r="140" spans="1:32" ht="15.75" customHeight="1" x14ac:dyDescent="0.2">
      <c r="A140" s="73"/>
      <c r="B140" s="73"/>
      <c r="C140" s="74"/>
      <c r="D140" s="74"/>
      <c r="E140" s="74"/>
      <c r="F140" s="73"/>
      <c r="G140" s="74"/>
      <c r="H140" s="73"/>
      <c r="I140" s="73"/>
      <c r="J140" s="73"/>
      <c r="K140" s="114" t="s">
        <v>1039</v>
      </c>
      <c r="L140" s="73"/>
      <c r="M140" s="73"/>
      <c r="N140" s="73"/>
      <c r="O140" s="73"/>
      <c r="P140" s="73"/>
      <c r="Q140" s="73"/>
      <c r="R140" s="73"/>
      <c r="S140" s="73"/>
      <c r="T140" s="73"/>
      <c r="U140" s="73"/>
      <c r="V140" s="73"/>
      <c r="W140" s="73"/>
      <c r="X140" s="73"/>
      <c r="Y140" s="73"/>
      <c r="Z140" s="73"/>
      <c r="AA140" s="73"/>
      <c r="AB140" s="73"/>
      <c r="AC140" s="73"/>
      <c r="AD140" s="73"/>
      <c r="AE140" s="73"/>
      <c r="AF140" s="73"/>
    </row>
    <row r="141" spans="1:32" ht="15.75" customHeight="1" x14ac:dyDescent="0.2">
      <c r="A141" s="73"/>
      <c r="B141" s="73"/>
      <c r="C141" s="74"/>
      <c r="D141" s="74"/>
      <c r="E141" s="74"/>
      <c r="F141" s="73"/>
      <c r="G141" s="74"/>
      <c r="H141" s="73"/>
      <c r="I141" s="73"/>
      <c r="J141" s="73"/>
      <c r="K141" s="114" t="s">
        <v>39</v>
      </c>
      <c r="L141" s="73"/>
      <c r="M141" s="73"/>
      <c r="N141" s="73"/>
      <c r="O141" s="73"/>
      <c r="P141" s="73"/>
      <c r="Q141" s="73"/>
      <c r="R141" s="73"/>
      <c r="S141" s="73"/>
      <c r="T141" s="73"/>
      <c r="U141" s="73"/>
      <c r="V141" s="73"/>
      <c r="W141" s="73"/>
      <c r="X141" s="73"/>
      <c r="Y141" s="73"/>
      <c r="Z141" s="73"/>
      <c r="AA141" s="73"/>
      <c r="AB141" s="73"/>
      <c r="AC141" s="73"/>
      <c r="AD141" s="73"/>
      <c r="AE141" s="73"/>
      <c r="AF141" s="73"/>
    </row>
    <row r="142" spans="1:32" ht="15.75" customHeight="1" x14ac:dyDescent="0.2">
      <c r="A142" s="73"/>
      <c r="B142" s="73"/>
      <c r="C142" s="74"/>
      <c r="D142" s="74"/>
      <c r="E142" s="74"/>
      <c r="F142" s="73"/>
      <c r="G142" s="74"/>
      <c r="H142" s="73"/>
      <c r="I142" s="73"/>
      <c r="J142" s="73"/>
      <c r="K142" s="114" t="s">
        <v>978</v>
      </c>
      <c r="L142" s="73"/>
      <c r="M142" s="73"/>
      <c r="N142" s="73"/>
      <c r="O142" s="73"/>
      <c r="P142" s="73"/>
      <c r="Q142" s="73"/>
      <c r="R142" s="73"/>
      <c r="S142" s="73"/>
      <c r="T142" s="73"/>
      <c r="U142" s="73"/>
      <c r="V142" s="73"/>
      <c r="W142" s="73"/>
      <c r="X142" s="73"/>
      <c r="Y142" s="73"/>
      <c r="Z142" s="73"/>
      <c r="AA142" s="73"/>
      <c r="AB142" s="73"/>
      <c r="AC142" s="73"/>
      <c r="AD142" s="73"/>
      <c r="AE142" s="73"/>
      <c r="AF142" s="73"/>
    </row>
    <row r="143" spans="1:32" ht="15.75" customHeight="1" x14ac:dyDescent="0.2">
      <c r="A143" s="73"/>
      <c r="B143" s="73"/>
      <c r="C143" s="74"/>
      <c r="D143" s="74"/>
      <c r="E143" s="74"/>
      <c r="F143" s="73"/>
      <c r="G143" s="74"/>
      <c r="H143" s="73"/>
      <c r="I143" s="73"/>
      <c r="J143" s="73"/>
      <c r="K143" s="114" t="s">
        <v>979</v>
      </c>
      <c r="L143" s="73"/>
      <c r="M143" s="73"/>
      <c r="N143" s="73"/>
      <c r="O143" s="73"/>
      <c r="P143" s="73"/>
      <c r="Q143" s="73"/>
      <c r="R143" s="73"/>
      <c r="S143" s="73"/>
      <c r="T143" s="73"/>
      <c r="U143" s="73"/>
      <c r="V143" s="73"/>
      <c r="W143" s="73"/>
      <c r="X143" s="73"/>
      <c r="Y143" s="73"/>
      <c r="Z143" s="73"/>
      <c r="AA143" s="73"/>
      <c r="AB143" s="73"/>
      <c r="AC143" s="73"/>
      <c r="AD143" s="73"/>
      <c r="AE143" s="73"/>
      <c r="AF143" s="73"/>
    </row>
    <row r="144" spans="1:32" ht="15.75" customHeight="1" x14ac:dyDescent="0.2">
      <c r="A144" s="73"/>
      <c r="B144" s="73"/>
      <c r="C144" s="74"/>
      <c r="D144" s="74"/>
      <c r="E144" s="74"/>
      <c r="F144" s="73"/>
      <c r="G144" s="74"/>
      <c r="H144" s="73"/>
      <c r="I144" s="73"/>
      <c r="J144" s="73"/>
      <c r="K144" s="114" t="s">
        <v>980</v>
      </c>
      <c r="L144" s="73"/>
      <c r="M144" s="73"/>
      <c r="N144" s="73"/>
      <c r="O144" s="73"/>
      <c r="P144" s="73"/>
      <c r="Q144" s="73"/>
      <c r="R144" s="73"/>
      <c r="S144" s="73"/>
      <c r="T144" s="73"/>
      <c r="U144" s="73"/>
      <c r="V144" s="73"/>
      <c r="W144" s="73"/>
      <c r="X144" s="73"/>
      <c r="Y144" s="73"/>
      <c r="Z144" s="73"/>
      <c r="AA144" s="73"/>
      <c r="AB144" s="73"/>
      <c r="AC144" s="73"/>
      <c r="AD144" s="73"/>
      <c r="AE144" s="73"/>
      <c r="AF144" s="73"/>
    </row>
    <row r="145" spans="1:32" ht="15.75" customHeight="1" x14ac:dyDescent="0.2">
      <c r="A145" s="73"/>
      <c r="B145" s="73"/>
      <c r="C145" s="74"/>
      <c r="D145" s="74"/>
      <c r="E145" s="74"/>
      <c r="F145" s="73"/>
      <c r="G145" s="74"/>
      <c r="H145" s="73"/>
      <c r="I145" s="73"/>
      <c r="J145" s="73"/>
      <c r="K145" s="114" t="s">
        <v>1090</v>
      </c>
      <c r="L145" s="73"/>
      <c r="M145" s="73"/>
      <c r="N145" s="73"/>
      <c r="O145" s="73"/>
      <c r="P145" s="73"/>
      <c r="Q145" s="73"/>
      <c r="R145" s="73"/>
      <c r="S145" s="73"/>
      <c r="T145" s="73"/>
      <c r="U145" s="73"/>
      <c r="V145" s="73"/>
      <c r="W145" s="73"/>
      <c r="X145" s="73"/>
      <c r="Y145" s="73"/>
      <c r="Z145" s="73"/>
      <c r="AA145" s="73"/>
      <c r="AB145" s="73"/>
      <c r="AC145" s="73"/>
      <c r="AD145" s="73"/>
      <c r="AE145" s="73"/>
      <c r="AF145" s="73"/>
    </row>
    <row r="146" spans="1:32" ht="15.75" customHeight="1" x14ac:dyDescent="0.2">
      <c r="A146" s="73"/>
      <c r="B146" s="73"/>
      <c r="C146" s="74"/>
      <c r="D146" s="74"/>
      <c r="E146" s="74"/>
      <c r="F146" s="73"/>
      <c r="G146" s="74"/>
      <c r="H146" s="73"/>
      <c r="I146" s="73"/>
      <c r="J146" s="73"/>
      <c r="K146" s="114" t="s">
        <v>981</v>
      </c>
      <c r="L146" s="73"/>
      <c r="M146" s="73"/>
      <c r="N146" s="73"/>
      <c r="O146" s="73"/>
      <c r="P146" s="73"/>
      <c r="Q146" s="73"/>
      <c r="R146" s="73"/>
      <c r="S146" s="73"/>
      <c r="T146" s="73"/>
      <c r="U146" s="73"/>
      <c r="V146" s="73"/>
      <c r="W146" s="73"/>
      <c r="X146" s="73"/>
      <c r="Y146" s="73"/>
      <c r="Z146" s="73"/>
      <c r="AA146" s="73"/>
      <c r="AB146" s="73"/>
      <c r="AC146" s="73"/>
      <c r="AD146" s="73"/>
      <c r="AE146" s="73"/>
      <c r="AF146" s="73"/>
    </row>
    <row r="147" spans="1:32" ht="15.75" customHeight="1" x14ac:dyDescent="0.2">
      <c r="A147" s="73"/>
      <c r="B147" s="73"/>
      <c r="C147" s="74"/>
      <c r="D147" s="74"/>
      <c r="E147" s="74"/>
      <c r="F147" s="73"/>
      <c r="G147" s="74"/>
      <c r="H147" s="73"/>
      <c r="I147" s="73"/>
      <c r="J147" s="73"/>
      <c r="K147" s="114" t="s">
        <v>982</v>
      </c>
      <c r="L147" s="73"/>
      <c r="M147" s="73"/>
      <c r="N147" s="73"/>
      <c r="O147" s="73"/>
      <c r="P147" s="73"/>
      <c r="Q147" s="73"/>
      <c r="R147" s="73"/>
      <c r="S147" s="73"/>
      <c r="T147" s="73"/>
      <c r="U147" s="73"/>
      <c r="V147" s="73"/>
      <c r="W147" s="73"/>
      <c r="X147" s="73"/>
      <c r="Y147" s="73"/>
      <c r="Z147" s="73"/>
      <c r="AA147" s="73"/>
      <c r="AB147" s="73"/>
      <c r="AC147" s="73"/>
      <c r="AD147" s="73"/>
      <c r="AE147" s="73"/>
      <c r="AF147" s="73"/>
    </row>
    <row r="148" spans="1:32" ht="15.75" customHeight="1" x14ac:dyDescent="0.2">
      <c r="A148" s="73"/>
      <c r="B148" s="73"/>
      <c r="C148" s="74"/>
      <c r="D148" s="74"/>
      <c r="E148" s="74"/>
      <c r="F148" s="73"/>
      <c r="G148" s="74"/>
      <c r="H148" s="73"/>
      <c r="I148" s="73"/>
      <c r="J148" s="73"/>
      <c r="K148" s="114" t="s">
        <v>983</v>
      </c>
      <c r="L148" s="73"/>
      <c r="M148" s="73"/>
      <c r="N148" s="73"/>
      <c r="O148" s="73"/>
      <c r="P148" s="73"/>
      <c r="Q148" s="73"/>
      <c r="R148" s="73"/>
      <c r="S148" s="73"/>
      <c r="T148" s="73"/>
      <c r="U148" s="73"/>
      <c r="V148" s="73"/>
      <c r="W148" s="73"/>
      <c r="X148" s="73"/>
      <c r="Y148" s="73"/>
      <c r="Z148" s="73"/>
      <c r="AA148" s="73"/>
      <c r="AB148" s="73"/>
      <c r="AC148" s="73"/>
      <c r="AD148" s="73"/>
      <c r="AE148" s="73"/>
      <c r="AF148" s="73"/>
    </row>
    <row r="149" spans="1:32" ht="15.75" customHeight="1" x14ac:dyDescent="0.2">
      <c r="A149" s="73"/>
      <c r="B149" s="73"/>
      <c r="C149" s="74"/>
      <c r="D149" s="74"/>
      <c r="E149" s="74"/>
      <c r="F149" s="73"/>
      <c r="G149" s="74"/>
      <c r="H149" s="73"/>
      <c r="I149" s="73"/>
      <c r="J149" s="73"/>
      <c r="K149" s="114" t="s">
        <v>984</v>
      </c>
      <c r="L149" s="73"/>
      <c r="M149" s="73"/>
      <c r="N149" s="73"/>
      <c r="O149" s="73"/>
      <c r="P149" s="73"/>
      <c r="Q149" s="73"/>
      <c r="R149" s="73"/>
      <c r="S149" s="73"/>
      <c r="T149" s="73"/>
      <c r="U149" s="73"/>
      <c r="V149" s="73"/>
      <c r="W149" s="73"/>
      <c r="X149" s="73"/>
      <c r="Y149" s="73"/>
      <c r="Z149" s="73"/>
      <c r="AA149" s="73"/>
      <c r="AB149" s="73"/>
      <c r="AC149" s="73"/>
      <c r="AD149" s="73"/>
      <c r="AE149" s="73"/>
      <c r="AF149" s="73"/>
    </row>
    <row r="150" spans="1:32" ht="15.75" customHeight="1" x14ac:dyDescent="0.2">
      <c r="A150" s="73"/>
      <c r="B150" s="73"/>
      <c r="C150" s="74"/>
      <c r="D150" s="74"/>
      <c r="E150" s="74"/>
      <c r="F150" s="73"/>
      <c r="G150" s="74"/>
      <c r="H150" s="73"/>
      <c r="I150" s="73"/>
      <c r="J150" s="73"/>
      <c r="K150" s="114" t="s">
        <v>985</v>
      </c>
      <c r="L150" s="73"/>
      <c r="M150" s="73"/>
      <c r="N150" s="73"/>
      <c r="O150" s="73"/>
      <c r="P150" s="73"/>
      <c r="Q150" s="73"/>
      <c r="R150" s="73"/>
      <c r="S150" s="73"/>
      <c r="T150" s="73"/>
      <c r="U150" s="73"/>
      <c r="V150" s="73"/>
      <c r="W150" s="73"/>
      <c r="X150" s="73"/>
      <c r="Y150" s="73"/>
      <c r="Z150" s="73"/>
      <c r="AA150" s="73"/>
      <c r="AB150" s="73"/>
      <c r="AC150" s="73"/>
      <c r="AD150" s="73"/>
      <c r="AE150" s="73"/>
      <c r="AF150" s="73"/>
    </row>
    <row r="151" spans="1:32" ht="15.75" customHeight="1" x14ac:dyDescent="0.2">
      <c r="A151" s="73"/>
      <c r="B151" s="73"/>
      <c r="C151" s="74"/>
      <c r="D151" s="74"/>
      <c r="E151" s="74"/>
      <c r="F151" s="73"/>
      <c r="G151" s="74"/>
      <c r="H151" s="73"/>
      <c r="I151" s="73"/>
      <c r="J151" s="73"/>
      <c r="K151" s="114" t="s">
        <v>242</v>
      </c>
      <c r="L151" s="73"/>
      <c r="M151" s="73"/>
      <c r="N151" s="73"/>
      <c r="O151" s="73"/>
      <c r="P151" s="73"/>
      <c r="Q151" s="73"/>
      <c r="R151" s="73"/>
      <c r="S151" s="73"/>
      <c r="T151" s="73"/>
      <c r="U151" s="73"/>
      <c r="V151" s="73"/>
      <c r="W151" s="73"/>
      <c r="X151" s="73"/>
      <c r="Y151" s="73"/>
      <c r="Z151" s="73"/>
      <c r="AA151" s="73"/>
      <c r="AB151" s="73"/>
      <c r="AC151" s="73"/>
      <c r="AD151" s="73"/>
      <c r="AE151" s="73"/>
      <c r="AF151" s="73"/>
    </row>
    <row r="152" spans="1:32" ht="15.75" customHeight="1" x14ac:dyDescent="0.2">
      <c r="A152" s="73"/>
      <c r="B152" s="73"/>
      <c r="C152" s="74"/>
      <c r="D152" s="74"/>
      <c r="E152" s="74"/>
      <c r="F152" s="73"/>
      <c r="G152" s="74"/>
      <c r="H152" s="73"/>
      <c r="I152" s="73"/>
      <c r="J152" s="73"/>
      <c r="K152" s="114" t="s">
        <v>986</v>
      </c>
      <c r="L152" s="73"/>
      <c r="M152" s="73"/>
      <c r="N152" s="73"/>
      <c r="O152" s="73"/>
      <c r="P152" s="73"/>
      <c r="Q152" s="73"/>
      <c r="R152" s="73"/>
      <c r="S152" s="73"/>
      <c r="T152" s="73"/>
      <c r="U152" s="73"/>
      <c r="V152" s="73"/>
      <c r="W152" s="73"/>
      <c r="X152" s="73"/>
      <c r="Y152" s="73"/>
      <c r="Z152" s="73"/>
      <c r="AA152" s="73"/>
      <c r="AB152" s="73"/>
      <c r="AC152" s="73"/>
      <c r="AD152" s="73"/>
      <c r="AE152" s="73"/>
      <c r="AF152" s="73"/>
    </row>
    <row r="153" spans="1:32" ht="15.75" customHeight="1" x14ac:dyDescent="0.2">
      <c r="A153" s="73"/>
      <c r="B153" s="73"/>
      <c r="C153" s="74"/>
      <c r="D153" s="74"/>
      <c r="E153" s="74"/>
      <c r="F153" s="73"/>
      <c r="G153" s="74"/>
      <c r="H153" s="73"/>
      <c r="I153" s="73"/>
      <c r="J153" s="73"/>
      <c r="K153" s="114" t="s">
        <v>987</v>
      </c>
      <c r="L153" s="73"/>
      <c r="M153" s="73"/>
      <c r="N153" s="73"/>
      <c r="O153" s="73"/>
      <c r="P153" s="73"/>
      <c r="Q153" s="73"/>
      <c r="R153" s="73"/>
      <c r="S153" s="73"/>
      <c r="T153" s="73"/>
      <c r="U153" s="73"/>
      <c r="V153" s="73"/>
      <c r="W153" s="73"/>
      <c r="X153" s="73"/>
      <c r="Y153" s="73"/>
      <c r="Z153" s="73"/>
      <c r="AA153" s="73"/>
      <c r="AB153" s="73"/>
      <c r="AC153" s="73"/>
      <c r="AD153" s="73"/>
      <c r="AE153" s="73"/>
      <c r="AF153" s="73"/>
    </row>
    <row r="154" spans="1:32" ht="15.75" customHeight="1" x14ac:dyDescent="0.2">
      <c r="A154" s="73"/>
      <c r="B154" s="73"/>
      <c r="C154" s="74"/>
      <c r="D154" s="74"/>
      <c r="E154" s="74"/>
      <c r="F154" s="73"/>
      <c r="G154" s="74"/>
      <c r="H154" s="73"/>
      <c r="I154" s="73"/>
      <c r="J154" s="73"/>
      <c r="K154" s="114" t="s">
        <v>378</v>
      </c>
      <c r="L154" s="73"/>
      <c r="M154" s="73"/>
      <c r="N154" s="73"/>
      <c r="O154" s="73"/>
      <c r="P154" s="73"/>
      <c r="Q154" s="73"/>
      <c r="R154" s="73"/>
      <c r="S154" s="73"/>
      <c r="T154" s="73"/>
      <c r="U154" s="73"/>
      <c r="V154" s="73"/>
      <c r="W154" s="73"/>
      <c r="X154" s="73"/>
      <c r="Y154" s="73"/>
      <c r="Z154" s="73"/>
      <c r="AA154" s="73"/>
      <c r="AB154" s="73"/>
      <c r="AC154" s="73"/>
      <c r="AD154" s="73"/>
      <c r="AE154" s="73"/>
      <c r="AF154" s="73"/>
    </row>
    <row r="155" spans="1:32" ht="15.75" customHeight="1" x14ac:dyDescent="0.2">
      <c r="A155" s="73"/>
      <c r="B155" s="73"/>
      <c r="C155" s="74"/>
      <c r="D155" s="74"/>
      <c r="E155" s="74"/>
      <c r="F155" s="73"/>
      <c r="G155" s="74"/>
      <c r="H155" s="73"/>
      <c r="I155" s="73"/>
      <c r="J155" s="73"/>
      <c r="K155" s="114" t="s">
        <v>988</v>
      </c>
      <c r="L155" s="73"/>
      <c r="M155" s="73"/>
      <c r="N155" s="73"/>
      <c r="O155" s="73"/>
      <c r="P155" s="73"/>
      <c r="Q155" s="73"/>
      <c r="R155" s="73"/>
      <c r="S155" s="73"/>
      <c r="T155" s="73"/>
      <c r="U155" s="73"/>
      <c r="V155" s="73"/>
      <c r="W155" s="73"/>
      <c r="X155" s="73"/>
      <c r="Y155" s="73"/>
      <c r="Z155" s="73"/>
      <c r="AA155" s="73"/>
      <c r="AB155" s="73"/>
      <c r="AC155" s="73"/>
      <c r="AD155" s="73"/>
      <c r="AE155" s="73"/>
      <c r="AF155" s="73"/>
    </row>
    <row r="156" spans="1:32" ht="15.75" customHeight="1" x14ac:dyDescent="0.2">
      <c r="A156" s="73"/>
      <c r="B156" s="73"/>
      <c r="C156" s="74"/>
      <c r="D156" s="74"/>
      <c r="E156" s="74"/>
      <c r="F156" s="73"/>
      <c r="G156" s="74"/>
      <c r="H156" s="73"/>
      <c r="I156" s="73"/>
      <c r="J156" s="73"/>
      <c r="K156" s="114" t="s">
        <v>989</v>
      </c>
      <c r="L156" s="73"/>
      <c r="M156" s="73"/>
      <c r="N156" s="73"/>
      <c r="O156" s="73"/>
      <c r="P156" s="73"/>
      <c r="Q156" s="73"/>
      <c r="R156" s="73"/>
      <c r="S156" s="73"/>
      <c r="T156" s="73"/>
      <c r="U156" s="73"/>
      <c r="V156" s="73"/>
      <c r="W156" s="73"/>
      <c r="X156" s="73"/>
      <c r="Y156" s="73"/>
      <c r="Z156" s="73"/>
      <c r="AA156" s="73"/>
      <c r="AB156" s="73"/>
      <c r="AC156" s="73"/>
      <c r="AD156" s="73"/>
      <c r="AE156" s="73"/>
      <c r="AF156" s="73"/>
    </row>
    <row r="157" spans="1:32" ht="15.75" customHeight="1" x14ac:dyDescent="0.2">
      <c r="A157" s="73"/>
      <c r="B157" s="73"/>
      <c r="C157" s="74"/>
      <c r="D157" s="74"/>
      <c r="E157" s="74"/>
      <c r="F157" s="73"/>
      <c r="G157" s="74"/>
      <c r="H157" s="73"/>
      <c r="I157" s="73"/>
      <c r="J157" s="73"/>
      <c r="K157" s="114" t="s">
        <v>990</v>
      </c>
      <c r="L157" s="73"/>
      <c r="M157" s="73"/>
      <c r="N157" s="73"/>
      <c r="O157" s="73"/>
      <c r="P157" s="73"/>
      <c r="Q157" s="73"/>
      <c r="R157" s="73"/>
      <c r="S157" s="73"/>
      <c r="T157" s="73"/>
      <c r="U157" s="73"/>
      <c r="V157" s="73"/>
      <c r="W157" s="73"/>
      <c r="X157" s="73"/>
      <c r="Y157" s="73"/>
      <c r="Z157" s="73"/>
      <c r="AA157" s="73"/>
      <c r="AB157" s="73"/>
      <c r="AC157" s="73"/>
      <c r="AD157" s="73"/>
      <c r="AE157" s="73"/>
      <c r="AF157" s="73"/>
    </row>
    <row r="158" spans="1:32" ht="15.75" customHeight="1" x14ac:dyDescent="0.2">
      <c r="A158" s="73"/>
      <c r="B158" s="73"/>
      <c r="C158" s="74"/>
      <c r="D158" s="74"/>
      <c r="E158" s="74"/>
      <c r="F158" s="73"/>
      <c r="G158" s="74"/>
      <c r="H158" s="73"/>
      <c r="I158" s="73"/>
      <c r="J158" s="73"/>
      <c r="K158" s="114" t="s">
        <v>991</v>
      </c>
      <c r="L158" s="73"/>
      <c r="M158" s="73"/>
      <c r="N158" s="73"/>
      <c r="O158" s="73"/>
      <c r="P158" s="73"/>
      <c r="Q158" s="73"/>
      <c r="R158" s="73"/>
      <c r="S158" s="73"/>
      <c r="T158" s="73"/>
      <c r="U158" s="73"/>
      <c r="V158" s="73"/>
      <c r="W158" s="73"/>
      <c r="X158" s="73"/>
      <c r="Y158" s="73"/>
      <c r="Z158" s="73"/>
      <c r="AA158" s="73"/>
      <c r="AB158" s="73"/>
      <c r="AC158" s="73"/>
      <c r="AD158" s="73"/>
      <c r="AE158" s="73"/>
      <c r="AF158" s="73"/>
    </row>
    <row r="159" spans="1:32" ht="15.75" customHeight="1" x14ac:dyDescent="0.2">
      <c r="A159" s="73"/>
      <c r="B159" s="73"/>
      <c r="C159" s="74"/>
      <c r="D159" s="74"/>
      <c r="E159" s="74"/>
      <c r="F159" s="73"/>
      <c r="G159" s="74"/>
      <c r="H159" s="73"/>
      <c r="I159" s="73"/>
      <c r="J159" s="73"/>
      <c r="K159" s="114" t="s">
        <v>992</v>
      </c>
      <c r="L159" s="73"/>
      <c r="M159" s="73"/>
      <c r="N159" s="73"/>
      <c r="O159" s="73"/>
      <c r="P159" s="73"/>
      <c r="Q159" s="73"/>
      <c r="R159" s="73"/>
      <c r="S159" s="73"/>
      <c r="T159" s="73"/>
      <c r="U159" s="73"/>
      <c r="V159" s="73"/>
      <c r="W159" s="73"/>
      <c r="X159" s="73"/>
      <c r="Y159" s="73"/>
      <c r="Z159" s="73"/>
      <c r="AA159" s="73"/>
      <c r="AB159" s="73"/>
      <c r="AC159" s="73"/>
      <c r="AD159" s="73"/>
      <c r="AE159" s="73"/>
      <c r="AF159" s="73"/>
    </row>
    <row r="160" spans="1:32" ht="15.75" customHeight="1" x14ac:dyDescent="0.2">
      <c r="A160" s="73"/>
      <c r="B160" s="73"/>
      <c r="C160" s="74"/>
      <c r="D160" s="74"/>
      <c r="E160" s="74"/>
      <c r="F160" s="73"/>
      <c r="G160" s="74"/>
      <c r="H160" s="73"/>
      <c r="I160" s="73"/>
      <c r="J160" s="73"/>
      <c r="K160" s="114" t="s">
        <v>262</v>
      </c>
      <c r="L160" s="73"/>
      <c r="M160" s="73"/>
      <c r="N160" s="73"/>
      <c r="O160" s="73"/>
      <c r="P160" s="73"/>
      <c r="Q160" s="73"/>
      <c r="R160" s="73"/>
      <c r="S160" s="73"/>
      <c r="T160" s="73"/>
      <c r="U160" s="73"/>
      <c r="V160" s="73"/>
      <c r="W160" s="73"/>
      <c r="X160" s="73"/>
      <c r="Y160" s="73"/>
      <c r="Z160" s="73"/>
      <c r="AA160" s="73"/>
      <c r="AB160" s="73"/>
      <c r="AC160" s="73"/>
      <c r="AD160" s="73"/>
      <c r="AE160" s="73"/>
      <c r="AF160" s="73"/>
    </row>
    <row r="161" spans="1:32" ht="15.75" customHeight="1" x14ac:dyDescent="0.2">
      <c r="A161" s="73"/>
      <c r="B161" s="73"/>
      <c r="C161" s="74"/>
      <c r="D161" s="74"/>
      <c r="E161" s="74"/>
      <c r="F161" s="73"/>
      <c r="G161" s="74"/>
      <c r="H161" s="73"/>
      <c r="I161" s="73"/>
      <c r="J161" s="73"/>
      <c r="K161" s="114" t="s">
        <v>993</v>
      </c>
      <c r="L161" s="73"/>
      <c r="M161" s="73"/>
      <c r="N161" s="73"/>
      <c r="O161" s="73"/>
      <c r="P161" s="73"/>
      <c r="Q161" s="73"/>
      <c r="R161" s="73"/>
      <c r="S161" s="73"/>
      <c r="T161" s="73"/>
      <c r="U161" s="73"/>
      <c r="V161" s="73"/>
      <c r="W161" s="73"/>
      <c r="X161" s="73"/>
      <c r="Y161" s="73"/>
      <c r="Z161" s="73"/>
      <c r="AA161" s="73"/>
      <c r="AB161" s="73"/>
      <c r="AC161" s="73"/>
      <c r="AD161" s="73"/>
      <c r="AE161" s="73"/>
      <c r="AF161" s="73"/>
    </row>
    <row r="162" spans="1:32" ht="15.75" customHeight="1" x14ac:dyDescent="0.2">
      <c r="A162" s="73"/>
      <c r="B162" s="73"/>
      <c r="C162" s="74"/>
      <c r="D162" s="74"/>
      <c r="E162" s="74"/>
      <c r="F162" s="73"/>
      <c r="G162" s="74"/>
      <c r="H162" s="73"/>
      <c r="I162" s="73"/>
      <c r="J162" s="73"/>
      <c r="K162" s="114" t="s">
        <v>994</v>
      </c>
      <c r="L162" s="73"/>
      <c r="M162" s="73"/>
      <c r="N162" s="73"/>
      <c r="O162" s="73"/>
      <c r="P162" s="73"/>
      <c r="Q162" s="73"/>
      <c r="R162" s="73"/>
      <c r="S162" s="73"/>
      <c r="T162" s="73"/>
      <c r="U162" s="73"/>
      <c r="V162" s="73"/>
      <c r="W162" s="73"/>
      <c r="X162" s="73"/>
      <c r="Y162" s="73"/>
      <c r="Z162" s="73"/>
      <c r="AA162" s="73"/>
      <c r="AB162" s="73"/>
      <c r="AC162" s="73"/>
      <c r="AD162" s="73"/>
      <c r="AE162" s="73"/>
      <c r="AF162" s="73"/>
    </row>
    <row r="163" spans="1:32" ht="15.75" customHeight="1" x14ac:dyDescent="0.2">
      <c r="A163" s="73"/>
      <c r="B163" s="73"/>
      <c r="C163" s="74"/>
      <c r="D163" s="74"/>
      <c r="E163" s="74"/>
      <c r="F163" s="73"/>
      <c r="G163" s="74"/>
      <c r="H163" s="73"/>
      <c r="I163" s="73"/>
      <c r="J163" s="73"/>
      <c r="K163" s="114" t="s">
        <v>995</v>
      </c>
      <c r="L163" s="73"/>
      <c r="M163" s="73"/>
      <c r="N163" s="73"/>
      <c r="O163" s="73"/>
      <c r="P163" s="73"/>
      <c r="Q163" s="73"/>
      <c r="R163" s="73"/>
      <c r="S163" s="73"/>
      <c r="T163" s="73"/>
      <c r="U163" s="73"/>
      <c r="V163" s="73"/>
      <c r="W163" s="73"/>
      <c r="X163" s="73"/>
      <c r="Y163" s="73"/>
      <c r="Z163" s="73"/>
      <c r="AA163" s="73"/>
      <c r="AB163" s="73"/>
      <c r="AC163" s="73"/>
      <c r="AD163" s="73"/>
      <c r="AE163" s="73"/>
      <c r="AF163" s="73"/>
    </row>
    <row r="164" spans="1:32" ht="15.75" customHeight="1" x14ac:dyDescent="0.2">
      <c r="A164" s="73"/>
      <c r="B164" s="73"/>
      <c r="C164" s="74"/>
      <c r="D164" s="74"/>
      <c r="E164" s="74"/>
      <c r="F164" s="73"/>
      <c r="G164" s="74"/>
      <c r="H164" s="73"/>
      <c r="I164" s="73"/>
      <c r="J164" s="73"/>
      <c r="K164" s="114" t="s">
        <v>996</v>
      </c>
      <c r="L164" s="73"/>
      <c r="M164" s="73"/>
      <c r="N164" s="73"/>
      <c r="O164" s="73"/>
      <c r="P164" s="73"/>
      <c r="Q164" s="73"/>
      <c r="R164" s="73"/>
      <c r="S164" s="73"/>
      <c r="T164" s="73"/>
      <c r="U164" s="73"/>
      <c r="V164" s="73"/>
      <c r="W164" s="73"/>
      <c r="X164" s="73"/>
      <c r="Y164" s="73"/>
      <c r="Z164" s="73"/>
      <c r="AA164" s="73"/>
      <c r="AB164" s="73"/>
      <c r="AC164" s="73"/>
      <c r="AD164" s="73"/>
      <c r="AE164" s="73"/>
      <c r="AF164" s="73"/>
    </row>
    <row r="165" spans="1:32" ht="15.75" customHeight="1" x14ac:dyDescent="0.2">
      <c r="A165" s="73"/>
      <c r="B165" s="73"/>
      <c r="C165" s="74"/>
      <c r="D165" s="74"/>
      <c r="E165" s="74"/>
      <c r="F165" s="73"/>
      <c r="G165" s="74"/>
      <c r="H165" s="73"/>
      <c r="I165" s="73"/>
      <c r="J165" s="73"/>
      <c r="K165" s="114" t="s">
        <v>997</v>
      </c>
      <c r="L165" s="73"/>
      <c r="M165" s="73"/>
      <c r="N165" s="73"/>
      <c r="O165" s="73"/>
      <c r="P165" s="73"/>
      <c r="Q165" s="73"/>
      <c r="R165" s="73"/>
      <c r="S165" s="73"/>
      <c r="T165" s="73"/>
      <c r="U165" s="73"/>
      <c r="V165" s="73"/>
      <c r="W165" s="73"/>
      <c r="X165" s="73"/>
      <c r="Y165" s="73"/>
      <c r="Z165" s="73"/>
      <c r="AA165" s="73"/>
      <c r="AB165" s="73"/>
      <c r="AC165" s="73"/>
      <c r="AD165" s="73"/>
      <c r="AE165" s="73"/>
      <c r="AF165" s="73"/>
    </row>
    <row r="166" spans="1:32" ht="15.75" customHeight="1" x14ac:dyDescent="0.2">
      <c r="A166" s="73"/>
      <c r="B166" s="73"/>
      <c r="C166" s="74"/>
      <c r="D166" s="74"/>
      <c r="E166" s="74"/>
      <c r="F166" s="73"/>
      <c r="G166" s="74"/>
      <c r="H166" s="73"/>
      <c r="I166" s="73"/>
      <c r="J166" s="73"/>
      <c r="K166" s="114" t="s">
        <v>998</v>
      </c>
      <c r="L166" s="73"/>
      <c r="M166" s="73"/>
      <c r="N166" s="73"/>
      <c r="O166" s="73"/>
      <c r="P166" s="73"/>
      <c r="Q166" s="73"/>
      <c r="R166" s="73"/>
      <c r="S166" s="73"/>
      <c r="T166" s="73"/>
      <c r="U166" s="73"/>
      <c r="V166" s="73"/>
      <c r="W166" s="73"/>
      <c r="X166" s="73"/>
      <c r="Y166" s="73"/>
      <c r="Z166" s="73"/>
      <c r="AA166" s="73"/>
      <c r="AB166" s="73"/>
      <c r="AC166" s="73"/>
      <c r="AD166" s="73"/>
      <c r="AE166" s="73"/>
      <c r="AF166" s="73"/>
    </row>
    <row r="167" spans="1:32" ht="15.75" customHeight="1" x14ac:dyDescent="0.2">
      <c r="A167" s="73"/>
      <c r="B167" s="73"/>
      <c r="C167" s="74"/>
      <c r="D167" s="74"/>
      <c r="E167" s="74"/>
      <c r="F167" s="73"/>
      <c r="G167" s="74"/>
      <c r="H167" s="73"/>
      <c r="I167" s="73"/>
      <c r="J167" s="73"/>
      <c r="K167" s="114" t="s">
        <v>999</v>
      </c>
      <c r="L167" s="73"/>
      <c r="M167" s="73"/>
      <c r="N167" s="73"/>
      <c r="O167" s="73"/>
      <c r="P167" s="73"/>
      <c r="Q167" s="73"/>
      <c r="R167" s="73"/>
      <c r="S167" s="73"/>
      <c r="T167" s="73"/>
      <c r="U167" s="73"/>
      <c r="V167" s="73"/>
      <c r="W167" s="73"/>
      <c r="X167" s="73"/>
      <c r="Y167" s="73"/>
      <c r="Z167" s="73"/>
      <c r="AA167" s="73"/>
      <c r="AB167" s="73"/>
      <c r="AC167" s="73"/>
      <c r="AD167" s="73"/>
      <c r="AE167" s="73"/>
      <c r="AF167" s="73"/>
    </row>
    <row r="168" spans="1:32" ht="15.75" customHeight="1" x14ac:dyDescent="0.2">
      <c r="A168" s="73"/>
      <c r="B168" s="73"/>
      <c r="C168" s="74"/>
      <c r="D168" s="74"/>
      <c r="E168" s="74"/>
      <c r="F168" s="73"/>
      <c r="G168" s="74"/>
      <c r="H168" s="73"/>
      <c r="I168" s="73"/>
      <c r="J168" s="73"/>
      <c r="K168" s="114" t="s">
        <v>1000</v>
      </c>
      <c r="L168" s="73"/>
      <c r="M168" s="73"/>
      <c r="N168" s="73"/>
      <c r="O168" s="73"/>
      <c r="P168" s="73"/>
      <c r="Q168" s="73"/>
      <c r="R168" s="73"/>
      <c r="S168" s="73"/>
      <c r="T168" s="73"/>
      <c r="U168" s="73"/>
      <c r="V168" s="73"/>
      <c r="W168" s="73"/>
      <c r="X168" s="73"/>
      <c r="Y168" s="73"/>
      <c r="Z168" s="73"/>
      <c r="AA168" s="73"/>
      <c r="AB168" s="73"/>
      <c r="AC168" s="73"/>
      <c r="AD168" s="73"/>
      <c r="AE168" s="73"/>
      <c r="AF168" s="73"/>
    </row>
    <row r="169" spans="1:32" ht="15.75" customHeight="1" x14ac:dyDescent="0.2">
      <c r="A169" s="73"/>
      <c r="B169" s="73"/>
      <c r="C169" s="74"/>
      <c r="D169" s="74"/>
      <c r="E169" s="74"/>
      <c r="F169" s="73"/>
      <c r="G169" s="74"/>
      <c r="H169" s="73"/>
      <c r="I169" s="73"/>
      <c r="J169" s="73"/>
      <c r="K169" s="114" t="s">
        <v>1001</v>
      </c>
      <c r="L169" s="73"/>
      <c r="M169" s="73"/>
      <c r="N169" s="73"/>
      <c r="O169" s="73"/>
      <c r="P169" s="73"/>
      <c r="Q169" s="73"/>
      <c r="R169" s="73"/>
      <c r="S169" s="73"/>
      <c r="T169" s="73"/>
      <c r="U169" s="73"/>
      <c r="V169" s="73"/>
      <c r="W169" s="73"/>
      <c r="X169" s="73"/>
      <c r="Y169" s="73"/>
      <c r="Z169" s="73"/>
      <c r="AA169" s="73"/>
      <c r="AB169" s="73"/>
      <c r="AC169" s="73"/>
      <c r="AD169" s="73"/>
      <c r="AE169" s="73"/>
      <c r="AF169" s="73"/>
    </row>
    <row r="170" spans="1:32" ht="15.75" customHeight="1" x14ac:dyDescent="0.2">
      <c r="A170" s="73"/>
      <c r="B170" s="73"/>
      <c r="C170" s="74"/>
      <c r="D170" s="74"/>
      <c r="E170" s="74"/>
      <c r="F170" s="73"/>
      <c r="G170" s="74"/>
      <c r="H170" s="73"/>
      <c r="I170" s="73"/>
      <c r="J170" s="73"/>
      <c r="K170" s="114" t="s">
        <v>1002</v>
      </c>
      <c r="L170" s="73"/>
      <c r="M170" s="73"/>
      <c r="N170" s="73"/>
      <c r="O170" s="73"/>
      <c r="P170" s="73"/>
      <c r="Q170" s="73"/>
      <c r="R170" s="73"/>
      <c r="S170" s="73"/>
      <c r="T170" s="73"/>
      <c r="U170" s="73"/>
      <c r="V170" s="73"/>
      <c r="W170" s="73"/>
      <c r="X170" s="73"/>
      <c r="Y170" s="73"/>
      <c r="Z170" s="73"/>
      <c r="AA170" s="73"/>
      <c r="AB170" s="73"/>
      <c r="AC170" s="73"/>
      <c r="AD170" s="73"/>
      <c r="AE170" s="73"/>
      <c r="AF170" s="73"/>
    </row>
    <row r="171" spans="1:32" ht="15.75" customHeight="1" x14ac:dyDescent="0.2">
      <c r="A171" s="73"/>
      <c r="B171" s="73"/>
      <c r="C171" s="74"/>
      <c r="D171" s="74"/>
      <c r="E171" s="74"/>
      <c r="F171" s="73"/>
      <c r="G171" s="74"/>
      <c r="H171" s="73"/>
      <c r="I171" s="73"/>
      <c r="J171" s="73"/>
      <c r="K171" s="114" t="s">
        <v>1003</v>
      </c>
      <c r="L171" s="73"/>
      <c r="M171" s="73"/>
      <c r="N171" s="73"/>
      <c r="O171" s="73"/>
      <c r="P171" s="73"/>
      <c r="Q171" s="73"/>
      <c r="R171" s="73"/>
      <c r="S171" s="73"/>
      <c r="T171" s="73"/>
      <c r="U171" s="73"/>
      <c r="V171" s="73"/>
      <c r="W171" s="73"/>
      <c r="X171" s="73"/>
      <c r="Y171" s="73"/>
      <c r="Z171" s="73"/>
      <c r="AA171" s="73"/>
      <c r="AB171" s="73"/>
      <c r="AC171" s="73"/>
      <c r="AD171" s="73"/>
      <c r="AE171" s="73"/>
      <c r="AF171" s="73"/>
    </row>
    <row r="172" spans="1:32" ht="15.75" customHeight="1" x14ac:dyDescent="0.2">
      <c r="A172" s="73"/>
      <c r="B172" s="73"/>
      <c r="C172" s="74"/>
      <c r="D172" s="74"/>
      <c r="E172" s="74"/>
      <c r="F172" s="73"/>
      <c r="G172" s="74"/>
      <c r="H172" s="73"/>
      <c r="I172" s="73"/>
      <c r="J172" s="73"/>
      <c r="K172" s="114" t="s">
        <v>1004</v>
      </c>
      <c r="L172" s="73"/>
      <c r="M172" s="73"/>
      <c r="N172" s="73"/>
      <c r="O172" s="73"/>
      <c r="P172" s="73"/>
      <c r="Q172" s="73"/>
      <c r="R172" s="73"/>
      <c r="S172" s="73"/>
      <c r="T172" s="73"/>
      <c r="U172" s="73"/>
      <c r="V172" s="73"/>
      <c r="W172" s="73"/>
      <c r="X172" s="73"/>
      <c r="Y172" s="73"/>
      <c r="Z172" s="73"/>
      <c r="AA172" s="73"/>
      <c r="AB172" s="73"/>
      <c r="AC172" s="73"/>
      <c r="AD172" s="73"/>
      <c r="AE172" s="73"/>
      <c r="AF172" s="73"/>
    </row>
    <row r="173" spans="1:32" ht="15.75" customHeight="1" x14ac:dyDescent="0.2">
      <c r="A173" s="73"/>
      <c r="B173" s="73"/>
      <c r="C173" s="74"/>
      <c r="D173" s="74"/>
      <c r="E173" s="74"/>
      <c r="F173" s="73"/>
      <c r="G173" s="74"/>
      <c r="H173" s="73"/>
      <c r="I173" s="73"/>
      <c r="J173" s="73"/>
      <c r="K173" s="114" t="s">
        <v>1005</v>
      </c>
      <c r="L173" s="73"/>
      <c r="M173" s="73"/>
      <c r="N173" s="73"/>
      <c r="O173" s="73"/>
      <c r="P173" s="73"/>
      <c r="Q173" s="73"/>
      <c r="R173" s="73"/>
      <c r="S173" s="73"/>
      <c r="T173" s="73"/>
      <c r="U173" s="73"/>
      <c r="V173" s="73"/>
      <c r="W173" s="73"/>
      <c r="X173" s="73"/>
      <c r="Y173" s="73"/>
      <c r="Z173" s="73"/>
      <c r="AA173" s="73"/>
      <c r="AB173" s="73"/>
      <c r="AC173" s="73"/>
      <c r="AD173" s="73"/>
      <c r="AE173" s="73"/>
      <c r="AF173" s="73"/>
    </row>
    <row r="174" spans="1:32" ht="15.75" customHeight="1" x14ac:dyDescent="0.2">
      <c r="A174" s="73"/>
      <c r="B174" s="73"/>
      <c r="C174" s="74"/>
      <c r="D174" s="74"/>
      <c r="E174" s="74"/>
      <c r="F174" s="73"/>
      <c r="G174" s="74"/>
      <c r="H174" s="73"/>
      <c r="I174" s="73"/>
      <c r="J174" s="73"/>
      <c r="K174" s="114" t="s">
        <v>1006</v>
      </c>
      <c r="L174" s="73"/>
      <c r="M174" s="73"/>
      <c r="N174" s="73"/>
      <c r="O174" s="73"/>
      <c r="P174" s="73"/>
      <c r="Q174" s="73"/>
      <c r="R174" s="73"/>
      <c r="S174" s="73"/>
      <c r="T174" s="73"/>
      <c r="U174" s="73"/>
      <c r="V174" s="73"/>
      <c r="W174" s="73"/>
      <c r="X174" s="73"/>
      <c r="Y174" s="73"/>
      <c r="Z174" s="73"/>
      <c r="AA174" s="73"/>
      <c r="AB174" s="73"/>
      <c r="AC174" s="73"/>
      <c r="AD174" s="73"/>
      <c r="AE174" s="73"/>
      <c r="AF174" s="73"/>
    </row>
    <row r="175" spans="1:32" ht="15.75" customHeight="1" x14ac:dyDescent="0.2">
      <c r="A175" s="73"/>
      <c r="B175" s="73"/>
      <c r="C175" s="74"/>
      <c r="D175" s="74"/>
      <c r="E175" s="74"/>
      <c r="F175" s="73"/>
      <c r="G175" s="74"/>
      <c r="H175" s="73"/>
      <c r="I175" s="73"/>
      <c r="J175" s="73"/>
      <c r="K175" s="114" t="s">
        <v>1007</v>
      </c>
      <c r="L175" s="73"/>
      <c r="M175" s="73"/>
      <c r="N175" s="73"/>
      <c r="O175" s="73"/>
      <c r="P175" s="73"/>
      <c r="Q175" s="73"/>
      <c r="R175" s="73"/>
      <c r="S175" s="73"/>
      <c r="T175" s="73"/>
      <c r="U175" s="73"/>
      <c r="V175" s="73"/>
      <c r="W175" s="73"/>
      <c r="X175" s="73"/>
      <c r="Y175" s="73"/>
      <c r="Z175" s="73"/>
      <c r="AA175" s="73"/>
      <c r="AB175" s="73"/>
      <c r="AC175" s="73"/>
      <c r="AD175" s="73"/>
      <c r="AE175" s="73"/>
      <c r="AF175" s="73"/>
    </row>
    <row r="176" spans="1:32" ht="15.75" customHeight="1" x14ac:dyDescent="0.2">
      <c r="A176" s="73"/>
      <c r="B176" s="73"/>
      <c r="C176" s="74"/>
      <c r="D176" s="74"/>
      <c r="E176" s="74"/>
      <c r="F176" s="73"/>
      <c r="G176" s="74"/>
      <c r="H176" s="73"/>
      <c r="I176" s="73"/>
      <c r="J176" s="73"/>
      <c r="K176" s="114" t="s">
        <v>1008</v>
      </c>
      <c r="L176" s="73"/>
      <c r="M176" s="73"/>
      <c r="N176" s="73"/>
      <c r="O176" s="73"/>
      <c r="P176" s="73"/>
      <c r="Q176" s="73"/>
      <c r="R176" s="73"/>
      <c r="S176" s="73"/>
      <c r="T176" s="73"/>
      <c r="U176" s="73"/>
      <c r="V176" s="73"/>
      <c r="W176" s="73"/>
      <c r="X176" s="73"/>
      <c r="Y176" s="73"/>
      <c r="Z176" s="73"/>
      <c r="AA176" s="73"/>
      <c r="AB176" s="73"/>
      <c r="AC176" s="73"/>
      <c r="AD176" s="73"/>
      <c r="AE176" s="73"/>
      <c r="AF176" s="73"/>
    </row>
    <row r="177" spans="1:32" ht="15.75" customHeight="1" x14ac:dyDescent="0.2">
      <c r="A177" s="73"/>
      <c r="B177" s="73"/>
      <c r="C177" s="74"/>
      <c r="D177" s="74"/>
      <c r="E177" s="74"/>
      <c r="F177" s="73"/>
      <c r="G177" s="74"/>
      <c r="H177" s="73"/>
      <c r="I177" s="73"/>
      <c r="J177" s="73"/>
      <c r="K177" s="114" t="s">
        <v>1009</v>
      </c>
      <c r="L177" s="73"/>
      <c r="M177" s="73"/>
      <c r="N177" s="73"/>
      <c r="O177" s="73"/>
      <c r="P177" s="73"/>
      <c r="Q177" s="73"/>
      <c r="R177" s="73"/>
      <c r="S177" s="73"/>
      <c r="T177" s="73"/>
      <c r="U177" s="73"/>
      <c r="V177" s="73"/>
      <c r="W177" s="73"/>
      <c r="X177" s="73"/>
      <c r="Y177" s="73"/>
      <c r="Z177" s="73"/>
      <c r="AA177" s="73"/>
      <c r="AB177" s="73"/>
      <c r="AC177" s="73"/>
      <c r="AD177" s="73"/>
      <c r="AE177" s="73"/>
      <c r="AF177" s="73"/>
    </row>
    <row r="178" spans="1:32" ht="15.75" customHeight="1" x14ac:dyDescent="0.2">
      <c r="A178" s="73"/>
      <c r="B178" s="73"/>
      <c r="C178" s="74"/>
      <c r="D178" s="74"/>
      <c r="E178" s="74"/>
      <c r="F178" s="73"/>
      <c r="G178" s="74"/>
      <c r="H178" s="73"/>
      <c r="I178" s="73"/>
      <c r="J178" s="73"/>
      <c r="K178" s="114" t="s">
        <v>96</v>
      </c>
      <c r="L178" s="73"/>
      <c r="M178" s="73"/>
      <c r="N178" s="73"/>
      <c r="O178" s="73"/>
      <c r="P178" s="73"/>
      <c r="Q178" s="73"/>
      <c r="R178" s="73"/>
      <c r="S178" s="73"/>
      <c r="T178" s="73"/>
      <c r="U178" s="73"/>
      <c r="V178" s="73"/>
      <c r="W178" s="73"/>
      <c r="X178" s="73"/>
      <c r="Y178" s="73"/>
      <c r="Z178" s="73"/>
      <c r="AA178" s="73"/>
      <c r="AB178" s="73"/>
      <c r="AC178" s="73"/>
      <c r="AD178" s="73"/>
      <c r="AE178" s="73"/>
      <c r="AF178" s="73"/>
    </row>
    <row r="179" spans="1:32" ht="15.75" customHeight="1" x14ac:dyDescent="0.2">
      <c r="A179" s="73"/>
      <c r="B179" s="73"/>
      <c r="C179" s="74"/>
      <c r="D179" s="74"/>
      <c r="E179" s="74"/>
      <c r="F179" s="73"/>
      <c r="G179" s="74"/>
      <c r="H179" s="73"/>
      <c r="I179" s="73"/>
      <c r="J179" s="73"/>
      <c r="K179" s="114" t="s">
        <v>1091</v>
      </c>
      <c r="L179" s="73"/>
      <c r="M179" s="73"/>
      <c r="N179" s="73"/>
      <c r="O179" s="73"/>
      <c r="P179" s="73"/>
      <c r="Q179" s="73"/>
      <c r="R179" s="73"/>
      <c r="S179" s="73"/>
      <c r="T179" s="73"/>
      <c r="U179" s="73"/>
      <c r="V179" s="73"/>
      <c r="W179" s="73"/>
      <c r="X179" s="73"/>
      <c r="Y179" s="73"/>
      <c r="Z179" s="73"/>
      <c r="AA179" s="73"/>
      <c r="AB179" s="73"/>
      <c r="AC179" s="73"/>
      <c r="AD179" s="73"/>
      <c r="AE179" s="73"/>
      <c r="AF179" s="73"/>
    </row>
    <row r="180" spans="1:32" ht="15.75" customHeight="1" x14ac:dyDescent="0.2">
      <c r="A180" s="73"/>
      <c r="B180" s="73"/>
      <c r="C180" s="74"/>
      <c r="D180" s="74"/>
      <c r="E180" s="74"/>
      <c r="F180" s="73"/>
      <c r="G180" s="74"/>
      <c r="H180" s="73"/>
      <c r="I180" s="73"/>
      <c r="J180" s="73"/>
      <c r="K180" s="114" t="s">
        <v>1092</v>
      </c>
      <c r="L180" s="73"/>
      <c r="M180" s="73"/>
      <c r="N180" s="73"/>
      <c r="O180" s="73"/>
      <c r="P180" s="73"/>
      <c r="Q180" s="73"/>
      <c r="R180" s="73"/>
      <c r="S180" s="73"/>
      <c r="T180" s="73"/>
      <c r="U180" s="73"/>
      <c r="V180" s="73"/>
      <c r="W180" s="73"/>
      <c r="X180" s="73"/>
      <c r="Y180" s="73"/>
      <c r="Z180" s="73"/>
      <c r="AA180" s="73"/>
      <c r="AB180" s="73"/>
      <c r="AC180" s="73"/>
      <c r="AD180" s="73"/>
      <c r="AE180" s="73"/>
      <c r="AF180" s="73"/>
    </row>
    <row r="181" spans="1:32" ht="15.75" customHeight="1" x14ac:dyDescent="0.2">
      <c r="A181" s="73"/>
      <c r="B181" s="73"/>
      <c r="C181" s="74"/>
      <c r="D181" s="74"/>
      <c r="E181" s="74"/>
      <c r="F181" s="73"/>
      <c r="G181" s="74"/>
      <c r="H181" s="73"/>
      <c r="I181" s="73"/>
      <c r="J181" s="73"/>
      <c r="K181" s="114" t="s">
        <v>1093</v>
      </c>
      <c r="L181" s="73"/>
      <c r="M181" s="73"/>
      <c r="N181" s="73"/>
      <c r="O181" s="73"/>
      <c r="P181" s="73"/>
      <c r="Q181" s="73"/>
      <c r="R181" s="73"/>
      <c r="S181" s="73"/>
      <c r="T181" s="73"/>
      <c r="U181" s="73"/>
      <c r="V181" s="73"/>
      <c r="W181" s="73"/>
      <c r="X181" s="73"/>
      <c r="Y181" s="73"/>
      <c r="Z181" s="73"/>
      <c r="AA181" s="73"/>
      <c r="AB181" s="73"/>
      <c r="AC181" s="73"/>
      <c r="AD181" s="73"/>
      <c r="AE181" s="73"/>
      <c r="AF181" s="73"/>
    </row>
    <row r="182" spans="1:32" ht="15.75" customHeight="1" x14ac:dyDescent="0.2">
      <c r="A182" s="73"/>
      <c r="B182" s="73"/>
      <c r="C182" s="74"/>
      <c r="D182" s="74"/>
      <c r="E182" s="74"/>
      <c r="F182" s="73"/>
      <c r="G182" s="74"/>
      <c r="H182" s="73"/>
      <c r="I182" s="73"/>
      <c r="J182" s="73"/>
      <c r="K182" s="114" t="s">
        <v>1094</v>
      </c>
      <c r="L182" s="73"/>
      <c r="M182" s="73"/>
      <c r="N182" s="73"/>
      <c r="O182" s="73"/>
      <c r="P182" s="73"/>
      <c r="Q182" s="73"/>
      <c r="R182" s="73"/>
      <c r="S182" s="73"/>
      <c r="T182" s="73"/>
      <c r="U182" s="73"/>
      <c r="V182" s="73"/>
      <c r="W182" s="73"/>
      <c r="X182" s="73"/>
      <c r="Y182" s="73"/>
      <c r="Z182" s="73"/>
      <c r="AA182" s="73"/>
      <c r="AB182" s="73"/>
      <c r="AC182" s="73"/>
      <c r="AD182" s="73"/>
      <c r="AE182" s="73"/>
      <c r="AF182" s="73"/>
    </row>
    <row r="183" spans="1:32" ht="15.75" customHeight="1" x14ac:dyDescent="0.2">
      <c r="A183" s="73"/>
      <c r="B183" s="73"/>
      <c r="C183" s="74"/>
      <c r="D183" s="74"/>
      <c r="E183" s="74"/>
      <c r="F183" s="73"/>
      <c r="G183" s="74"/>
      <c r="H183" s="73"/>
      <c r="I183" s="73"/>
      <c r="J183" s="73"/>
      <c r="K183" s="114" t="s">
        <v>1095</v>
      </c>
      <c r="L183" s="73"/>
      <c r="M183" s="73"/>
      <c r="N183" s="73"/>
      <c r="O183" s="73"/>
      <c r="P183" s="73"/>
      <c r="Q183" s="73"/>
      <c r="R183" s="73"/>
      <c r="S183" s="73"/>
      <c r="T183" s="73"/>
      <c r="U183" s="73"/>
      <c r="V183" s="73"/>
      <c r="W183" s="73"/>
      <c r="X183" s="73"/>
      <c r="Y183" s="73"/>
      <c r="Z183" s="73"/>
      <c r="AA183" s="73"/>
      <c r="AB183" s="73"/>
      <c r="AC183" s="73"/>
      <c r="AD183" s="73"/>
      <c r="AE183" s="73"/>
      <c r="AF183" s="73"/>
    </row>
    <row r="184" spans="1:32" ht="15.75" customHeight="1" x14ac:dyDescent="0.2">
      <c r="A184" s="73"/>
      <c r="B184" s="73"/>
      <c r="C184" s="74"/>
      <c r="D184" s="74"/>
      <c r="E184" s="74"/>
      <c r="F184" s="73"/>
      <c r="G184" s="74"/>
      <c r="H184" s="73"/>
      <c r="I184" s="73"/>
      <c r="J184" s="73"/>
      <c r="K184" s="114" t="s">
        <v>1096</v>
      </c>
      <c r="L184" s="73"/>
      <c r="M184" s="73"/>
      <c r="N184" s="73"/>
      <c r="O184" s="73"/>
      <c r="P184" s="73"/>
      <c r="Q184" s="73"/>
      <c r="R184" s="73"/>
      <c r="S184" s="73"/>
      <c r="T184" s="73"/>
      <c r="U184" s="73"/>
      <c r="V184" s="73"/>
      <c r="W184" s="73"/>
      <c r="X184" s="73"/>
      <c r="Y184" s="73"/>
      <c r="Z184" s="73"/>
      <c r="AA184" s="73"/>
      <c r="AB184" s="73"/>
      <c r="AC184" s="73"/>
      <c r="AD184" s="73"/>
      <c r="AE184" s="73"/>
      <c r="AF184" s="73"/>
    </row>
    <row r="185" spans="1:32" ht="15.75" customHeight="1" x14ac:dyDescent="0.2">
      <c r="A185" s="73"/>
      <c r="B185" s="73"/>
      <c r="C185" s="74"/>
      <c r="D185" s="74"/>
      <c r="E185" s="74"/>
      <c r="F185" s="73"/>
      <c r="G185" s="74"/>
      <c r="H185" s="73"/>
      <c r="I185" s="73"/>
      <c r="J185" s="73"/>
      <c r="K185" s="114" t="s">
        <v>1097</v>
      </c>
      <c r="L185" s="73"/>
      <c r="M185" s="73"/>
      <c r="N185" s="73"/>
      <c r="O185" s="73"/>
      <c r="P185" s="73"/>
      <c r="Q185" s="73"/>
      <c r="R185" s="73"/>
      <c r="S185" s="73"/>
      <c r="T185" s="73"/>
      <c r="U185" s="73"/>
      <c r="V185" s="73"/>
      <c r="W185" s="73"/>
      <c r="X185" s="73"/>
      <c r="Y185" s="73"/>
      <c r="Z185" s="73"/>
      <c r="AA185" s="73"/>
      <c r="AB185" s="73"/>
      <c r="AC185" s="73"/>
      <c r="AD185" s="73"/>
      <c r="AE185" s="73"/>
      <c r="AF185" s="73"/>
    </row>
    <row r="186" spans="1:32" ht="15.75" customHeight="1" x14ac:dyDescent="0.2">
      <c r="A186" s="73"/>
      <c r="B186" s="73"/>
      <c r="C186" s="74"/>
      <c r="D186" s="74"/>
      <c r="E186" s="74"/>
      <c r="F186" s="73"/>
      <c r="G186" s="74"/>
      <c r="H186" s="73"/>
      <c r="I186" s="73"/>
      <c r="J186" s="73"/>
      <c r="K186" s="114" t="s">
        <v>1098</v>
      </c>
      <c r="L186" s="73"/>
      <c r="M186" s="73"/>
      <c r="N186" s="73"/>
      <c r="O186" s="73"/>
      <c r="P186" s="73"/>
      <c r="Q186" s="73"/>
      <c r="R186" s="73"/>
      <c r="S186" s="73"/>
      <c r="T186" s="73"/>
      <c r="U186" s="73"/>
      <c r="V186" s="73"/>
      <c r="W186" s="73"/>
      <c r="X186" s="73"/>
      <c r="Y186" s="73"/>
      <c r="Z186" s="73"/>
      <c r="AA186" s="73"/>
      <c r="AB186" s="73"/>
      <c r="AC186" s="73"/>
      <c r="AD186" s="73"/>
      <c r="AE186" s="73"/>
      <c r="AF186" s="73"/>
    </row>
    <row r="187" spans="1:32" ht="15.75" customHeight="1" x14ac:dyDescent="0.2">
      <c r="A187" s="73"/>
      <c r="B187" s="73"/>
      <c r="C187" s="74"/>
      <c r="D187" s="74"/>
      <c r="E187" s="74"/>
      <c r="F187" s="73"/>
      <c r="G187" s="74"/>
      <c r="H187" s="73"/>
      <c r="I187" s="73"/>
      <c r="J187" s="73"/>
      <c r="K187" s="114" t="s">
        <v>1099</v>
      </c>
      <c r="L187" s="73"/>
      <c r="M187" s="73"/>
      <c r="N187" s="73"/>
      <c r="O187" s="73"/>
      <c r="P187" s="73"/>
      <c r="Q187" s="73"/>
      <c r="R187" s="73"/>
      <c r="S187" s="73"/>
      <c r="T187" s="73"/>
      <c r="U187" s="73"/>
      <c r="V187" s="73"/>
      <c r="W187" s="73"/>
      <c r="X187" s="73"/>
      <c r="Y187" s="73"/>
      <c r="Z187" s="73"/>
      <c r="AA187" s="73"/>
      <c r="AB187" s="73"/>
      <c r="AC187" s="73"/>
      <c r="AD187" s="73"/>
      <c r="AE187" s="73"/>
      <c r="AF187" s="73"/>
    </row>
    <row r="188" spans="1:32" ht="15.75" customHeight="1" x14ac:dyDescent="0.2">
      <c r="A188" s="73"/>
      <c r="B188" s="73"/>
      <c r="C188" s="74"/>
      <c r="D188" s="74"/>
      <c r="E188" s="74"/>
      <c r="F188" s="73"/>
      <c r="G188" s="74"/>
      <c r="H188" s="73"/>
      <c r="I188" s="73"/>
      <c r="J188" s="73"/>
      <c r="K188" s="114" t="s">
        <v>1100</v>
      </c>
      <c r="L188" s="73"/>
      <c r="M188" s="73"/>
      <c r="N188" s="73"/>
      <c r="O188" s="73"/>
      <c r="P188" s="73"/>
      <c r="Q188" s="73"/>
      <c r="R188" s="73"/>
      <c r="S188" s="73"/>
      <c r="T188" s="73"/>
      <c r="U188" s="73"/>
      <c r="V188" s="73"/>
      <c r="W188" s="73"/>
      <c r="X188" s="73"/>
      <c r="Y188" s="73"/>
      <c r="Z188" s="73"/>
      <c r="AA188" s="73"/>
      <c r="AB188" s="73"/>
      <c r="AC188" s="73"/>
      <c r="AD188" s="73"/>
      <c r="AE188" s="73"/>
      <c r="AF188" s="73"/>
    </row>
    <row r="189" spans="1:32" ht="15.75" customHeight="1" x14ac:dyDescent="0.2">
      <c r="A189" s="73"/>
      <c r="B189" s="73"/>
      <c r="C189" s="74"/>
      <c r="D189" s="74"/>
      <c r="E189" s="74"/>
      <c r="F189" s="73"/>
      <c r="G189" s="74"/>
      <c r="H189" s="73"/>
      <c r="I189" s="73"/>
      <c r="J189" s="73"/>
      <c r="K189" s="114" t="s">
        <v>1101</v>
      </c>
      <c r="L189" s="73"/>
      <c r="M189" s="73"/>
      <c r="N189" s="73"/>
      <c r="O189" s="73"/>
      <c r="P189" s="73"/>
      <c r="Q189" s="73"/>
      <c r="R189" s="73"/>
      <c r="S189" s="73"/>
      <c r="T189" s="73"/>
      <c r="U189" s="73"/>
      <c r="V189" s="73"/>
      <c r="W189" s="73"/>
      <c r="X189" s="73"/>
      <c r="Y189" s="73"/>
      <c r="Z189" s="73"/>
      <c r="AA189" s="73"/>
      <c r="AB189" s="73"/>
      <c r="AC189" s="73"/>
      <c r="AD189" s="73"/>
      <c r="AE189" s="73"/>
      <c r="AF189" s="73"/>
    </row>
    <row r="190" spans="1:32" ht="15.75" customHeight="1" x14ac:dyDescent="0.2">
      <c r="A190" s="73"/>
      <c r="B190" s="73"/>
      <c r="C190" s="74"/>
      <c r="D190" s="74"/>
      <c r="E190" s="74"/>
      <c r="F190" s="73"/>
      <c r="G190" s="74"/>
      <c r="H190" s="73"/>
      <c r="I190" s="73"/>
      <c r="J190" s="73"/>
      <c r="K190" s="114" t="s">
        <v>1102</v>
      </c>
      <c r="L190" s="73"/>
      <c r="M190" s="73"/>
      <c r="N190" s="73"/>
      <c r="O190" s="73"/>
      <c r="P190" s="73"/>
      <c r="Q190" s="73"/>
      <c r="R190" s="73"/>
      <c r="S190" s="73"/>
      <c r="T190" s="73"/>
      <c r="U190" s="73"/>
      <c r="V190" s="73"/>
      <c r="W190" s="73"/>
      <c r="X190" s="73"/>
      <c r="Y190" s="73"/>
      <c r="Z190" s="73"/>
      <c r="AA190" s="73"/>
      <c r="AB190" s="73"/>
      <c r="AC190" s="73"/>
      <c r="AD190" s="73"/>
      <c r="AE190" s="73"/>
      <c r="AF190" s="73"/>
    </row>
    <row r="191" spans="1:32" ht="15.75" customHeight="1" x14ac:dyDescent="0.2">
      <c r="A191" s="73"/>
      <c r="B191" s="73"/>
      <c r="C191" s="74"/>
      <c r="D191" s="74"/>
      <c r="E191" s="74"/>
      <c r="F191" s="73"/>
      <c r="G191" s="74"/>
      <c r="H191" s="73"/>
      <c r="I191" s="73"/>
      <c r="J191" s="73"/>
      <c r="K191" s="114" t="s">
        <v>1103</v>
      </c>
      <c r="L191" s="73"/>
      <c r="M191" s="73"/>
      <c r="N191" s="73"/>
      <c r="O191" s="73"/>
      <c r="P191" s="73"/>
      <c r="Q191" s="73"/>
      <c r="R191" s="73"/>
      <c r="S191" s="73"/>
      <c r="T191" s="73"/>
      <c r="U191" s="73"/>
      <c r="V191" s="73"/>
      <c r="W191" s="73"/>
      <c r="X191" s="73"/>
      <c r="Y191" s="73"/>
      <c r="Z191" s="73"/>
      <c r="AA191" s="73"/>
      <c r="AB191" s="73"/>
      <c r="AC191" s="73"/>
      <c r="AD191" s="73"/>
      <c r="AE191" s="73"/>
      <c r="AF191" s="73"/>
    </row>
    <row r="192" spans="1:32" ht="15.75" customHeight="1" x14ac:dyDescent="0.2">
      <c r="A192" s="73"/>
      <c r="B192" s="73"/>
      <c r="C192" s="74"/>
      <c r="D192" s="74"/>
      <c r="E192" s="74"/>
      <c r="F192" s="73"/>
      <c r="G192" s="74"/>
      <c r="H192" s="73"/>
      <c r="I192" s="73"/>
      <c r="J192" s="73"/>
      <c r="K192" s="114" t="s">
        <v>1104</v>
      </c>
      <c r="L192" s="73"/>
      <c r="M192" s="73"/>
      <c r="N192" s="73"/>
      <c r="O192" s="73"/>
      <c r="P192" s="73"/>
      <c r="Q192" s="73"/>
      <c r="R192" s="73"/>
      <c r="S192" s="73"/>
      <c r="T192" s="73"/>
      <c r="U192" s="73"/>
      <c r="V192" s="73"/>
      <c r="W192" s="73"/>
      <c r="X192" s="73"/>
      <c r="Y192" s="73"/>
      <c r="Z192" s="73"/>
      <c r="AA192" s="73"/>
      <c r="AB192" s="73"/>
      <c r="AC192" s="73"/>
      <c r="AD192" s="73"/>
      <c r="AE192" s="73"/>
      <c r="AF192" s="73"/>
    </row>
    <row r="193" spans="1:32" ht="15.75" customHeight="1" x14ac:dyDescent="0.2">
      <c r="A193" s="73"/>
      <c r="B193" s="73"/>
      <c r="C193" s="74"/>
      <c r="D193" s="74"/>
      <c r="E193" s="74"/>
      <c r="F193" s="73"/>
      <c r="G193" s="74"/>
      <c r="H193" s="73"/>
      <c r="I193" s="73"/>
      <c r="J193" s="73"/>
      <c r="K193" s="114" t="s">
        <v>1010</v>
      </c>
      <c r="L193" s="73"/>
      <c r="M193" s="73"/>
      <c r="N193" s="73"/>
      <c r="O193" s="73"/>
      <c r="P193" s="73"/>
      <c r="Q193" s="73"/>
      <c r="R193" s="73"/>
      <c r="S193" s="73"/>
      <c r="T193" s="73"/>
      <c r="U193" s="73"/>
      <c r="V193" s="73"/>
      <c r="W193" s="73"/>
      <c r="X193" s="73"/>
      <c r="Y193" s="73"/>
      <c r="Z193" s="73"/>
      <c r="AA193" s="73"/>
      <c r="AB193" s="73"/>
      <c r="AC193" s="73"/>
      <c r="AD193" s="73"/>
      <c r="AE193" s="73"/>
      <c r="AF193" s="73"/>
    </row>
    <row r="194" spans="1:32" ht="15.75" customHeight="1" x14ac:dyDescent="0.2">
      <c r="A194" s="73"/>
      <c r="B194" s="73"/>
      <c r="C194" s="74"/>
      <c r="D194" s="74"/>
      <c r="E194" s="74"/>
      <c r="F194" s="73"/>
      <c r="G194" s="74"/>
      <c r="H194" s="73"/>
      <c r="I194" s="73"/>
      <c r="J194" s="73"/>
      <c r="K194" s="114" t="s">
        <v>1011</v>
      </c>
      <c r="L194" s="73"/>
      <c r="M194" s="73"/>
      <c r="N194" s="73"/>
      <c r="O194" s="73"/>
      <c r="P194" s="73"/>
      <c r="Q194" s="73"/>
      <c r="R194" s="73"/>
      <c r="S194" s="73"/>
      <c r="T194" s="73"/>
      <c r="U194" s="73"/>
      <c r="V194" s="73"/>
      <c r="W194" s="73"/>
      <c r="X194" s="73"/>
      <c r="Y194" s="73"/>
      <c r="Z194" s="73"/>
      <c r="AA194" s="73"/>
      <c r="AB194" s="73"/>
      <c r="AC194" s="73"/>
      <c r="AD194" s="73"/>
      <c r="AE194" s="73"/>
      <c r="AF194" s="73"/>
    </row>
    <row r="195" spans="1:32" ht="15.75" customHeight="1" x14ac:dyDescent="0.2">
      <c r="A195" s="73"/>
      <c r="B195" s="73"/>
      <c r="C195" s="74"/>
      <c r="D195" s="74"/>
      <c r="E195" s="74"/>
      <c r="F195" s="73"/>
      <c r="G195" s="74"/>
      <c r="H195" s="73"/>
      <c r="I195" s="73"/>
      <c r="J195" s="73"/>
      <c r="K195" s="114" t="s">
        <v>1012</v>
      </c>
      <c r="L195" s="73"/>
      <c r="M195" s="73"/>
      <c r="N195" s="73"/>
      <c r="O195" s="73"/>
      <c r="P195" s="73"/>
      <c r="Q195" s="73"/>
      <c r="R195" s="73"/>
      <c r="S195" s="73"/>
      <c r="T195" s="73"/>
      <c r="U195" s="73"/>
      <c r="V195" s="73"/>
      <c r="W195" s="73"/>
      <c r="X195" s="73"/>
      <c r="Y195" s="73"/>
      <c r="Z195" s="73"/>
      <c r="AA195" s="73"/>
      <c r="AB195" s="73"/>
      <c r="AC195" s="73"/>
      <c r="AD195" s="73"/>
      <c r="AE195" s="73"/>
      <c r="AF195" s="73"/>
    </row>
    <row r="196" spans="1:32" ht="15.75" customHeight="1" x14ac:dyDescent="0.2">
      <c r="A196" s="73"/>
      <c r="B196" s="73"/>
      <c r="C196" s="74"/>
      <c r="D196" s="74"/>
      <c r="E196" s="74"/>
      <c r="F196" s="73"/>
      <c r="G196" s="74"/>
      <c r="H196" s="73"/>
      <c r="I196" s="73"/>
      <c r="J196" s="73"/>
      <c r="K196" s="114" t="s">
        <v>1013</v>
      </c>
      <c r="L196" s="73"/>
      <c r="M196" s="73"/>
      <c r="N196" s="73"/>
      <c r="O196" s="73"/>
      <c r="P196" s="73"/>
      <c r="Q196" s="73"/>
      <c r="R196" s="73"/>
      <c r="S196" s="73"/>
      <c r="T196" s="73"/>
      <c r="U196" s="73"/>
      <c r="V196" s="73"/>
      <c r="W196" s="73"/>
      <c r="X196" s="73"/>
      <c r="Y196" s="73"/>
      <c r="Z196" s="73"/>
      <c r="AA196" s="73"/>
      <c r="AB196" s="73"/>
      <c r="AC196" s="73"/>
      <c r="AD196" s="73"/>
      <c r="AE196" s="73"/>
      <c r="AF196" s="73"/>
    </row>
    <row r="197" spans="1:32" ht="15.75" customHeight="1" x14ac:dyDescent="0.2">
      <c r="A197" s="73"/>
      <c r="B197" s="73"/>
      <c r="C197" s="74"/>
      <c r="D197" s="74"/>
      <c r="E197" s="74"/>
      <c r="F197" s="73"/>
      <c r="G197" s="74"/>
      <c r="H197" s="73"/>
      <c r="I197" s="73"/>
      <c r="J197" s="73"/>
      <c r="K197" s="114" t="s">
        <v>1014</v>
      </c>
      <c r="L197" s="73"/>
      <c r="M197" s="73"/>
      <c r="N197" s="73"/>
      <c r="O197" s="73"/>
      <c r="P197" s="73"/>
      <c r="Q197" s="73"/>
      <c r="R197" s="73"/>
      <c r="S197" s="73"/>
      <c r="T197" s="73"/>
      <c r="U197" s="73"/>
      <c r="V197" s="73"/>
      <c r="W197" s="73"/>
      <c r="X197" s="73"/>
      <c r="Y197" s="73"/>
      <c r="Z197" s="73"/>
      <c r="AA197" s="73"/>
      <c r="AB197" s="73"/>
      <c r="AC197" s="73"/>
      <c r="AD197" s="73"/>
      <c r="AE197" s="73"/>
      <c r="AF197" s="73"/>
    </row>
    <row r="198" spans="1:32" ht="15.75" customHeight="1" x14ac:dyDescent="0.2">
      <c r="A198" s="73"/>
      <c r="B198" s="73"/>
      <c r="C198" s="74"/>
      <c r="D198" s="74"/>
      <c r="E198" s="74"/>
      <c r="F198" s="73"/>
      <c r="G198" s="74"/>
      <c r="H198" s="73"/>
      <c r="I198" s="73"/>
      <c r="J198" s="73"/>
      <c r="K198" s="114" t="s">
        <v>1015</v>
      </c>
      <c r="L198" s="73"/>
      <c r="M198" s="73"/>
      <c r="N198" s="73"/>
      <c r="O198" s="73"/>
      <c r="P198" s="73"/>
      <c r="Q198" s="73"/>
      <c r="R198" s="73"/>
      <c r="S198" s="73"/>
      <c r="T198" s="73"/>
      <c r="U198" s="73"/>
      <c r="V198" s="73"/>
      <c r="W198" s="73"/>
      <c r="X198" s="73"/>
      <c r="Y198" s="73"/>
      <c r="Z198" s="73"/>
      <c r="AA198" s="73"/>
      <c r="AB198" s="73"/>
      <c r="AC198" s="73"/>
      <c r="AD198" s="73"/>
      <c r="AE198" s="73"/>
      <c r="AF198" s="73"/>
    </row>
    <row r="199" spans="1:32" ht="15.75" customHeight="1" x14ac:dyDescent="0.2">
      <c r="A199" s="73"/>
      <c r="B199" s="73"/>
      <c r="C199" s="74"/>
      <c r="D199" s="74"/>
      <c r="E199" s="74"/>
      <c r="F199" s="73"/>
      <c r="G199" s="74"/>
      <c r="H199" s="73"/>
      <c r="I199" s="73"/>
      <c r="J199" s="73"/>
      <c r="K199" s="114" t="s">
        <v>1016</v>
      </c>
      <c r="L199" s="73"/>
      <c r="M199" s="73"/>
      <c r="N199" s="73"/>
      <c r="O199" s="73"/>
      <c r="P199" s="73"/>
      <c r="Q199" s="73"/>
      <c r="R199" s="73"/>
      <c r="S199" s="73"/>
      <c r="T199" s="73"/>
      <c r="U199" s="73"/>
      <c r="V199" s="73"/>
      <c r="W199" s="73"/>
      <c r="X199" s="73"/>
      <c r="Y199" s="73"/>
      <c r="Z199" s="73"/>
      <c r="AA199" s="73"/>
      <c r="AB199" s="73"/>
      <c r="AC199" s="73"/>
      <c r="AD199" s="73"/>
      <c r="AE199" s="73"/>
      <c r="AF199" s="73"/>
    </row>
    <row r="200" spans="1:32" ht="15.75" customHeight="1" x14ac:dyDescent="0.2">
      <c r="A200" s="73"/>
      <c r="B200" s="73"/>
      <c r="C200" s="74"/>
      <c r="D200" s="74"/>
      <c r="E200" s="74"/>
      <c r="F200" s="73"/>
      <c r="G200" s="74"/>
      <c r="H200" s="73"/>
      <c r="I200" s="73"/>
      <c r="J200" s="73"/>
      <c r="K200" s="114" t="s">
        <v>1017</v>
      </c>
      <c r="L200" s="73"/>
      <c r="M200" s="73"/>
      <c r="N200" s="73"/>
      <c r="O200" s="73"/>
      <c r="P200" s="73"/>
      <c r="Q200" s="73"/>
      <c r="R200" s="73"/>
      <c r="S200" s="73"/>
      <c r="T200" s="73"/>
      <c r="U200" s="73"/>
      <c r="V200" s="73"/>
      <c r="W200" s="73"/>
      <c r="X200" s="73"/>
      <c r="Y200" s="73"/>
      <c r="Z200" s="73"/>
      <c r="AA200" s="73"/>
      <c r="AB200" s="73"/>
      <c r="AC200" s="73"/>
      <c r="AD200" s="73"/>
      <c r="AE200" s="73"/>
      <c r="AF200" s="73"/>
    </row>
    <row r="201" spans="1:32" ht="15.75" customHeight="1" x14ac:dyDescent="0.2">
      <c r="A201" s="73"/>
      <c r="B201" s="73"/>
      <c r="C201" s="74"/>
      <c r="D201" s="74"/>
      <c r="E201" s="74"/>
      <c r="F201" s="73"/>
      <c r="G201" s="74"/>
      <c r="H201" s="73"/>
      <c r="I201" s="73"/>
      <c r="J201" s="73"/>
      <c r="K201" s="114" t="s">
        <v>1018</v>
      </c>
      <c r="L201" s="73"/>
      <c r="M201" s="73"/>
      <c r="N201" s="73"/>
      <c r="O201" s="73"/>
      <c r="P201" s="73"/>
      <c r="Q201" s="73"/>
      <c r="R201" s="73"/>
      <c r="S201" s="73"/>
      <c r="T201" s="73"/>
      <c r="U201" s="73"/>
      <c r="V201" s="73"/>
      <c r="W201" s="73"/>
      <c r="X201" s="73"/>
      <c r="Y201" s="73"/>
      <c r="Z201" s="73"/>
      <c r="AA201" s="73"/>
      <c r="AB201" s="73"/>
      <c r="AC201" s="73"/>
      <c r="AD201" s="73"/>
      <c r="AE201" s="73"/>
      <c r="AF201" s="73"/>
    </row>
    <row r="202" spans="1:32" ht="15.75" customHeight="1" x14ac:dyDescent="0.2">
      <c r="A202" s="73"/>
      <c r="B202" s="73"/>
      <c r="C202" s="74"/>
      <c r="D202" s="74"/>
      <c r="E202" s="74"/>
      <c r="F202" s="73"/>
      <c r="G202" s="74"/>
      <c r="H202" s="73"/>
      <c r="I202" s="73"/>
      <c r="J202" s="73"/>
      <c r="K202" s="114" t="s">
        <v>1019</v>
      </c>
      <c r="L202" s="73"/>
      <c r="M202" s="73"/>
      <c r="N202" s="73"/>
      <c r="O202" s="73"/>
      <c r="P202" s="73"/>
      <c r="Q202" s="73"/>
      <c r="R202" s="73"/>
      <c r="S202" s="73"/>
      <c r="T202" s="73"/>
      <c r="U202" s="73"/>
      <c r="V202" s="73"/>
      <c r="W202" s="73"/>
      <c r="X202" s="73"/>
      <c r="Y202" s="73"/>
      <c r="Z202" s="73"/>
      <c r="AA202" s="73"/>
      <c r="AB202" s="73"/>
      <c r="AC202" s="73"/>
      <c r="AD202" s="73"/>
      <c r="AE202" s="73"/>
      <c r="AF202" s="73"/>
    </row>
    <row r="203" spans="1:32" ht="15.75" customHeight="1" x14ac:dyDescent="0.2">
      <c r="A203" s="73"/>
      <c r="B203" s="73"/>
      <c r="C203" s="74"/>
      <c r="D203" s="74"/>
      <c r="E203" s="74"/>
      <c r="F203" s="73"/>
      <c r="G203" s="74"/>
      <c r="H203" s="73"/>
      <c r="I203" s="73"/>
      <c r="J203" s="73"/>
      <c r="K203" s="114" t="s">
        <v>1020</v>
      </c>
      <c r="L203" s="73"/>
      <c r="M203" s="73"/>
      <c r="N203" s="73"/>
      <c r="O203" s="73"/>
      <c r="P203" s="73"/>
      <c r="Q203" s="73"/>
      <c r="R203" s="73"/>
      <c r="S203" s="73"/>
      <c r="T203" s="73"/>
      <c r="U203" s="73"/>
      <c r="V203" s="73"/>
      <c r="W203" s="73"/>
      <c r="X203" s="73"/>
      <c r="Y203" s="73"/>
      <c r="Z203" s="73"/>
      <c r="AA203" s="73"/>
      <c r="AB203" s="73"/>
      <c r="AC203" s="73"/>
      <c r="AD203" s="73"/>
      <c r="AE203" s="73"/>
      <c r="AF203" s="73"/>
    </row>
    <row r="204" spans="1:32" ht="15.75" customHeight="1" x14ac:dyDescent="0.2">
      <c r="A204" s="73"/>
      <c r="B204" s="73"/>
      <c r="C204" s="74"/>
      <c r="D204" s="74"/>
      <c r="E204" s="74"/>
      <c r="F204" s="73"/>
      <c r="G204" s="74"/>
      <c r="H204" s="73"/>
      <c r="I204" s="73"/>
      <c r="J204" s="73"/>
      <c r="K204" s="114" t="s">
        <v>1021</v>
      </c>
      <c r="L204" s="73"/>
      <c r="M204" s="73"/>
      <c r="N204" s="73"/>
      <c r="O204" s="73"/>
      <c r="P204" s="73"/>
      <c r="Q204" s="73"/>
      <c r="R204" s="73"/>
      <c r="S204" s="73"/>
      <c r="T204" s="73"/>
      <c r="U204" s="73"/>
      <c r="V204" s="73"/>
      <c r="W204" s="73"/>
      <c r="X204" s="73"/>
      <c r="Y204" s="73"/>
      <c r="Z204" s="73"/>
      <c r="AA204" s="73"/>
      <c r="AB204" s="73"/>
      <c r="AC204" s="73"/>
      <c r="AD204" s="73"/>
      <c r="AE204" s="73"/>
      <c r="AF204" s="73"/>
    </row>
    <row r="205" spans="1:32" ht="15.75" customHeight="1" x14ac:dyDescent="0.2">
      <c r="A205" s="73"/>
      <c r="B205" s="73"/>
      <c r="C205" s="74"/>
      <c r="D205" s="74"/>
      <c r="E205" s="74"/>
      <c r="F205" s="73"/>
      <c r="G205" s="74"/>
      <c r="H205" s="73"/>
      <c r="I205" s="73"/>
      <c r="J205" s="73"/>
      <c r="K205" s="80"/>
      <c r="L205" s="73"/>
      <c r="M205" s="73"/>
      <c r="N205" s="73"/>
      <c r="O205" s="73"/>
      <c r="P205" s="73"/>
      <c r="Q205" s="73"/>
      <c r="R205" s="73"/>
      <c r="S205" s="73"/>
      <c r="T205" s="73"/>
      <c r="U205" s="73"/>
      <c r="V205" s="73"/>
      <c r="W205" s="73"/>
      <c r="X205" s="73"/>
      <c r="Y205" s="73"/>
      <c r="Z205" s="73"/>
      <c r="AA205" s="73"/>
      <c r="AB205" s="73"/>
      <c r="AC205" s="73"/>
      <c r="AD205" s="73"/>
      <c r="AE205" s="73"/>
      <c r="AF205" s="73"/>
    </row>
    <row r="206" spans="1:32" ht="15.75" customHeight="1" x14ac:dyDescent="0.2">
      <c r="A206" s="73"/>
      <c r="B206" s="73"/>
      <c r="C206" s="74"/>
      <c r="D206" s="74"/>
      <c r="E206" s="74"/>
      <c r="F206" s="73"/>
      <c r="G206" s="74"/>
      <c r="H206" s="73"/>
      <c r="I206" s="73"/>
      <c r="J206" s="73"/>
      <c r="K206" s="73"/>
      <c r="L206" s="73"/>
      <c r="M206" s="73"/>
      <c r="N206" s="73"/>
      <c r="O206" s="73"/>
      <c r="P206" s="73"/>
      <c r="Q206" s="73"/>
      <c r="R206" s="73"/>
      <c r="S206" s="73"/>
      <c r="T206" s="73"/>
      <c r="U206" s="73"/>
      <c r="V206" s="73"/>
      <c r="W206" s="73"/>
      <c r="X206" s="73"/>
      <c r="Y206" s="73"/>
      <c r="Z206" s="73"/>
      <c r="AA206" s="73"/>
      <c r="AB206" s="73"/>
      <c r="AC206" s="73"/>
      <c r="AD206" s="73"/>
      <c r="AE206" s="73"/>
      <c r="AF206" s="73"/>
    </row>
    <row r="207" spans="1:32" ht="15.75" customHeight="1" x14ac:dyDescent="0.2">
      <c r="A207" s="73"/>
      <c r="B207" s="73"/>
      <c r="C207" s="74"/>
      <c r="D207" s="74"/>
      <c r="E207" s="74"/>
      <c r="F207" s="73"/>
      <c r="G207" s="74"/>
      <c r="H207" s="73"/>
      <c r="I207" s="73"/>
      <c r="J207" s="73"/>
      <c r="K207" s="73"/>
      <c r="L207" s="73"/>
      <c r="M207" s="73"/>
      <c r="N207" s="73"/>
      <c r="O207" s="73"/>
      <c r="P207" s="73"/>
      <c r="Q207" s="73"/>
      <c r="R207" s="73"/>
      <c r="S207" s="73"/>
      <c r="T207" s="73"/>
      <c r="U207" s="73"/>
      <c r="V207" s="73"/>
      <c r="W207" s="73"/>
      <c r="X207" s="73"/>
      <c r="Y207" s="73"/>
      <c r="Z207" s="73"/>
      <c r="AA207" s="73"/>
      <c r="AB207" s="73"/>
      <c r="AC207" s="73"/>
      <c r="AD207" s="73"/>
      <c r="AE207" s="73"/>
      <c r="AF207" s="73"/>
    </row>
    <row r="208" spans="1:32" ht="15.75" customHeight="1" x14ac:dyDescent="0.2">
      <c r="A208" s="73"/>
      <c r="B208" s="73"/>
      <c r="C208" s="74"/>
      <c r="D208" s="74"/>
      <c r="E208" s="74"/>
      <c r="F208" s="73"/>
      <c r="G208" s="74"/>
      <c r="H208" s="73"/>
      <c r="I208" s="73"/>
      <c r="J208" s="73"/>
      <c r="K208" s="73"/>
      <c r="L208" s="73"/>
      <c r="M208" s="73"/>
      <c r="N208" s="73"/>
      <c r="O208" s="73"/>
      <c r="P208" s="73"/>
      <c r="Q208" s="73"/>
      <c r="R208" s="73"/>
      <c r="S208" s="73"/>
      <c r="T208" s="73"/>
      <c r="U208" s="73"/>
      <c r="V208" s="73"/>
      <c r="W208" s="73"/>
      <c r="X208" s="73"/>
      <c r="Y208" s="73"/>
      <c r="Z208" s="73"/>
      <c r="AA208" s="73"/>
      <c r="AB208" s="73"/>
      <c r="AC208" s="73"/>
      <c r="AD208" s="73"/>
      <c r="AE208" s="73"/>
      <c r="AF208" s="73"/>
    </row>
    <row r="209" spans="1:32" ht="15.75" customHeight="1" x14ac:dyDescent="0.2">
      <c r="A209" s="73"/>
      <c r="B209" s="73"/>
      <c r="C209" s="74"/>
      <c r="D209" s="74"/>
      <c r="E209" s="74"/>
      <c r="F209" s="73"/>
      <c r="G209" s="74"/>
      <c r="H209" s="73"/>
      <c r="I209" s="73"/>
      <c r="J209" s="73"/>
      <c r="K209" s="73"/>
      <c r="L209" s="73"/>
      <c r="M209" s="73"/>
      <c r="N209" s="73"/>
      <c r="O209" s="73"/>
      <c r="P209" s="73"/>
      <c r="Q209" s="73"/>
      <c r="R209" s="73"/>
      <c r="S209" s="73"/>
      <c r="T209" s="73"/>
      <c r="U209" s="73"/>
      <c r="V209" s="73"/>
      <c r="W209" s="73"/>
      <c r="X209" s="73"/>
      <c r="Y209" s="73"/>
      <c r="Z209" s="73"/>
      <c r="AA209" s="73"/>
      <c r="AB209" s="73"/>
      <c r="AC209" s="73"/>
      <c r="AD209" s="73"/>
      <c r="AE209" s="73"/>
      <c r="AF209" s="73"/>
    </row>
    <row r="210" spans="1:32" ht="15.75" customHeight="1" x14ac:dyDescent="0.2">
      <c r="A210" s="73"/>
      <c r="B210" s="73"/>
      <c r="C210" s="74"/>
      <c r="D210" s="74"/>
      <c r="E210" s="74"/>
      <c r="F210" s="73"/>
      <c r="G210" s="74"/>
      <c r="H210" s="73"/>
      <c r="I210" s="73"/>
      <c r="J210" s="73"/>
      <c r="K210" s="73"/>
      <c r="L210" s="73"/>
      <c r="M210" s="73"/>
      <c r="N210" s="73"/>
      <c r="O210" s="73"/>
      <c r="P210" s="73"/>
      <c r="Q210" s="73"/>
      <c r="R210" s="73"/>
      <c r="S210" s="73"/>
      <c r="T210" s="73"/>
      <c r="U210" s="73"/>
      <c r="V210" s="73"/>
      <c r="W210" s="73"/>
      <c r="X210" s="73"/>
      <c r="Y210" s="73"/>
      <c r="Z210" s="73"/>
      <c r="AA210" s="73"/>
      <c r="AB210" s="73"/>
      <c r="AC210" s="73"/>
      <c r="AD210" s="73"/>
      <c r="AE210" s="73"/>
      <c r="AF210" s="73"/>
    </row>
    <row r="211" spans="1:32" ht="15.75" customHeight="1" x14ac:dyDescent="0.2">
      <c r="A211" s="73"/>
      <c r="B211" s="73"/>
      <c r="C211" s="74"/>
      <c r="D211" s="74"/>
      <c r="E211" s="74"/>
      <c r="F211" s="73"/>
      <c r="G211" s="74"/>
      <c r="H211" s="73"/>
      <c r="I211" s="73"/>
      <c r="J211" s="73"/>
      <c r="K211" s="73"/>
      <c r="L211" s="73"/>
      <c r="M211" s="73"/>
      <c r="N211" s="73"/>
      <c r="O211" s="73"/>
      <c r="P211" s="73"/>
      <c r="Q211" s="73"/>
      <c r="R211" s="73"/>
      <c r="S211" s="73"/>
      <c r="T211" s="73"/>
      <c r="U211" s="73"/>
      <c r="V211" s="73"/>
      <c r="W211" s="73"/>
      <c r="X211" s="73"/>
      <c r="Y211" s="73"/>
      <c r="Z211" s="73"/>
      <c r="AA211" s="73"/>
      <c r="AB211" s="73"/>
      <c r="AC211" s="73"/>
      <c r="AD211" s="73"/>
      <c r="AE211" s="73"/>
      <c r="AF211" s="73"/>
    </row>
    <row r="212" spans="1:32" ht="15.75" customHeight="1" x14ac:dyDescent="0.2">
      <c r="A212" s="73"/>
      <c r="B212" s="73"/>
      <c r="C212" s="74"/>
      <c r="D212" s="74"/>
      <c r="E212" s="74"/>
      <c r="F212" s="73"/>
      <c r="G212" s="74"/>
      <c r="H212" s="73"/>
      <c r="I212" s="73"/>
      <c r="J212" s="73"/>
      <c r="K212" s="73"/>
      <c r="L212" s="73"/>
      <c r="M212" s="73"/>
      <c r="N212" s="73"/>
      <c r="O212" s="73"/>
      <c r="P212" s="73"/>
      <c r="Q212" s="73"/>
      <c r="R212" s="73"/>
      <c r="S212" s="73"/>
      <c r="T212" s="73"/>
      <c r="U212" s="73"/>
      <c r="V212" s="73"/>
      <c r="W212" s="73"/>
      <c r="X212" s="73"/>
      <c r="Y212" s="73"/>
      <c r="Z212" s="73"/>
      <c r="AA212" s="73"/>
      <c r="AB212" s="73"/>
      <c r="AC212" s="73"/>
      <c r="AD212" s="73"/>
      <c r="AE212" s="73"/>
      <c r="AF212" s="73"/>
    </row>
    <row r="213" spans="1:32" ht="15.75" customHeight="1" x14ac:dyDescent="0.2">
      <c r="A213" s="73"/>
      <c r="B213" s="73"/>
      <c r="C213" s="74"/>
      <c r="D213" s="74"/>
      <c r="E213" s="74"/>
      <c r="F213" s="73"/>
      <c r="G213" s="74"/>
      <c r="H213" s="73"/>
      <c r="I213" s="73"/>
      <c r="J213" s="73"/>
      <c r="K213" s="73"/>
      <c r="L213" s="73"/>
      <c r="M213" s="73"/>
      <c r="N213" s="73"/>
      <c r="O213" s="73"/>
      <c r="P213" s="73"/>
      <c r="Q213" s="73"/>
      <c r="R213" s="73"/>
      <c r="S213" s="73"/>
      <c r="T213" s="73"/>
      <c r="U213" s="73"/>
      <c r="V213" s="73"/>
      <c r="W213" s="73"/>
      <c r="X213" s="73"/>
      <c r="Y213" s="73"/>
      <c r="Z213" s="73"/>
      <c r="AA213" s="73"/>
      <c r="AB213" s="73"/>
      <c r="AC213" s="73"/>
      <c r="AD213" s="73"/>
      <c r="AE213" s="73"/>
      <c r="AF213" s="73"/>
    </row>
    <row r="214" spans="1:32" ht="15.75" customHeight="1" x14ac:dyDescent="0.2">
      <c r="A214" s="73"/>
      <c r="B214" s="73"/>
      <c r="C214" s="74"/>
      <c r="D214" s="74"/>
      <c r="E214" s="74"/>
      <c r="F214" s="73"/>
      <c r="G214" s="74"/>
      <c r="H214" s="73"/>
      <c r="I214" s="73"/>
      <c r="J214" s="73"/>
      <c r="K214" s="73"/>
      <c r="L214" s="73"/>
      <c r="M214" s="73"/>
      <c r="N214" s="73"/>
      <c r="O214" s="73"/>
      <c r="P214" s="73"/>
      <c r="Q214" s="73"/>
      <c r="R214" s="73"/>
      <c r="S214" s="73"/>
      <c r="T214" s="73"/>
      <c r="U214" s="73"/>
      <c r="V214" s="73"/>
      <c r="W214" s="73"/>
      <c r="X214" s="73"/>
      <c r="Y214" s="73"/>
      <c r="Z214" s="73"/>
      <c r="AA214" s="73"/>
      <c r="AB214" s="73"/>
      <c r="AC214" s="73"/>
      <c r="AD214" s="73"/>
      <c r="AE214" s="73"/>
      <c r="AF214" s="73"/>
    </row>
    <row r="215" spans="1:32" ht="15.75" customHeight="1" x14ac:dyDescent="0.2">
      <c r="A215" s="73"/>
      <c r="B215" s="73"/>
      <c r="C215" s="74"/>
      <c r="D215" s="74"/>
      <c r="E215" s="74"/>
      <c r="F215" s="73"/>
      <c r="G215" s="74"/>
      <c r="H215" s="73"/>
      <c r="I215" s="73"/>
      <c r="J215" s="73"/>
      <c r="K215" s="73"/>
      <c r="L215" s="73"/>
      <c r="M215" s="73"/>
      <c r="N215" s="73"/>
      <c r="O215" s="73"/>
      <c r="P215" s="73"/>
      <c r="Q215" s="73"/>
      <c r="R215" s="73"/>
      <c r="S215" s="73"/>
      <c r="T215" s="73"/>
      <c r="U215" s="73"/>
      <c r="V215" s="73"/>
      <c r="W215" s="73"/>
      <c r="X215" s="73"/>
      <c r="Y215" s="73"/>
      <c r="Z215" s="73"/>
      <c r="AA215" s="73"/>
      <c r="AB215" s="73"/>
      <c r="AC215" s="73"/>
      <c r="AD215" s="73"/>
      <c r="AE215" s="73"/>
      <c r="AF215" s="73"/>
    </row>
    <row r="216" spans="1:32" ht="15.75" customHeight="1" x14ac:dyDescent="0.2">
      <c r="A216" s="73"/>
      <c r="B216" s="73"/>
      <c r="C216" s="74"/>
      <c r="D216" s="74"/>
      <c r="E216" s="74"/>
      <c r="F216" s="73"/>
      <c r="G216" s="74"/>
      <c r="H216" s="73"/>
      <c r="I216" s="73"/>
      <c r="J216" s="73"/>
      <c r="K216" s="73"/>
      <c r="L216" s="73"/>
      <c r="M216" s="73"/>
      <c r="N216" s="73"/>
      <c r="O216" s="73"/>
      <c r="P216" s="73"/>
      <c r="Q216" s="73"/>
      <c r="R216" s="73"/>
      <c r="S216" s="73"/>
      <c r="T216" s="73"/>
      <c r="U216" s="73"/>
      <c r="V216" s="73"/>
      <c r="W216" s="73"/>
      <c r="X216" s="73"/>
      <c r="Y216" s="73"/>
      <c r="Z216" s="73"/>
      <c r="AA216" s="73"/>
      <c r="AB216" s="73"/>
      <c r="AC216" s="73"/>
      <c r="AD216" s="73"/>
      <c r="AE216" s="73"/>
      <c r="AF216" s="73"/>
    </row>
    <row r="217" spans="1:32" ht="15.75" customHeight="1" x14ac:dyDescent="0.2">
      <c r="A217" s="73"/>
      <c r="B217" s="73"/>
      <c r="C217" s="74"/>
      <c r="D217" s="74"/>
      <c r="E217" s="74"/>
      <c r="F217" s="73"/>
      <c r="G217" s="74"/>
      <c r="H217" s="73"/>
      <c r="I217" s="73"/>
      <c r="J217" s="73"/>
      <c r="K217" s="73"/>
      <c r="L217" s="73"/>
      <c r="M217" s="73"/>
      <c r="N217" s="73"/>
      <c r="O217" s="73"/>
      <c r="P217" s="73"/>
      <c r="Q217" s="73"/>
      <c r="R217" s="73"/>
      <c r="S217" s="73"/>
      <c r="T217" s="73"/>
      <c r="U217" s="73"/>
      <c r="V217" s="73"/>
      <c r="W217" s="73"/>
      <c r="X217" s="73"/>
      <c r="Y217" s="73"/>
      <c r="Z217" s="73"/>
      <c r="AA217" s="73"/>
      <c r="AB217" s="73"/>
      <c r="AC217" s="73"/>
      <c r="AD217" s="73"/>
      <c r="AE217" s="73"/>
      <c r="AF217" s="73"/>
    </row>
    <row r="218" spans="1:32" ht="15.75" customHeight="1" x14ac:dyDescent="0.2">
      <c r="A218" s="73"/>
      <c r="B218" s="73"/>
      <c r="C218" s="74"/>
      <c r="D218" s="74"/>
      <c r="E218" s="74"/>
      <c r="F218" s="73"/>
      <c r="G218" s="74"/>
      <c r="H218" s="73"/>
      <c r="I218" s="73"/>
      <c r="J218" s="73"/>
      <c r="K218" s="73"/>
      <c r="L218" s="73"/>
      <c r="M218" s="73"/>
      <c r="N218" s="73"/>
      <c r="O218" s="73"/>
      <c r="P218" s="73"/>
      <c r="Q218" s="73"/>
      <c r="R218" s="73"/>
      <c r="S218" s="73"/>
      <c r="T218" s="73"/>
      <c r="U218" s="73"/>
      <c r="V218" s="73"/>
      <c r="W218" s="73"/>
      <c r="X218" s="73"/>
      <c r="Y218" s="73"/>
      <c r="Z218" s="73"/>
      <c r="AA218" s="73"/>
      <c r="AB218" s="73"/>
      <c r="AC218" s="73"/>
      <c r="AD218" s="73"/>
      <c r="AE218" s="73"/>
      <c r="AF218" s="73"/>
    </row>
    <row r="219" spans="1:32" ht="15.75" customHeight="1" x14ac:dyDescent="0.2">
      <c r="A219" s="73"/>
      <c r="B219" s="73"/>
      <c r="C219" s="74"/>
      <c r="D219" s="74"/>
      <c r="E219" s="74"/>
      <c r="F219" s="73"/>
      <c r="G219" s="74"/>
      <c r="H219" s="73"/>
      <c r="I219" s="73"/>
      <c r="J219" s="73"/>
      <c r="K219" s="73"/>
      <c r="L219" s="73"/>
      <c r="M219" s="73"/>
      <c r="N219" s="73"/>
      <c r="O219" s="73"/>
      <c r="P219" s="73"/>
      <c r="Q219" s="73"/>
      <c r="R219" s="73"/>
      <c r="S219" s="73"/>
      <c r="T219" s="73"/>
      <c r="U219" s="73"/>
      <c r="V219" s="73"/>
      <c r="W219" s="73"/>
      <c r="X219" s="73"/>
      <c r="Y219" s="73"/>
      <c r="Z219" s="73"/>
      <c r="AA219" s="73"/>
      <c r="AB219" s="73"/>
      <c r="AC219" s="73"/>
      <c r="AD219" s="73"/>
      <c r="AE219" s="73"/>
      <c r="AF219" s="73"/>
    </row>
    <row r="220" spans="1:32" ht="15.75" customHeight="1" x14ac:dyDescent="0.2">
      <c r="A220" s="73"/>
      <c r="B220" s="73"/>
      <c r="C220" s="74"/>
      <c r="D220" s="74"/>
      <c r="E220" s="74"/>
      <c r="F220" s="73"/>
      <c r="G220" s="74"/>
      <c r="H220" s="73"/>
      <c r="I220" s="73"/>
      <c r="J220" s="73"/>
      <c r="K220" s="73"/>
      <c r="L220" s="73"/>
      <c r="M220" s="73"/>
      <c r="N220" s="73"/>
      <c r="O220" s="73"/>
      <c r="P220" s="73"/>
      <c r="Q220" s="73"/>
      <c r="R220" s="73"/>
      <c r="S220" s="73"/>
      <c r="T220" s="73"/>
      <c r="U220" s="73"/>
      <c r="V220" s="73"/>
      <c r="W220" s="73"/>
      <c r="X220" s="73"/>
      <c r="Y220" s="73"/>
      <c r="Z220" s="73"/>
      <c r="AA220" s="73"/>
      <c r="AB220" s="73"/>
      <c r="AC220" s="73"/>
      <c r="AD220" s="73"/>
      <c r="AE220" s="73"/>
      <c r="AF220" s="73"/>
    </row>
    <row r="221" spans="1:32" ht="15.75" customHeight="1" x14ac:dyDescent="0.2">
      <c r="A221" s="73"/>
      <c r="B221" s="73"/>
      <c r="C221" s="74"/>
      <c r="D221" s="74"/>
      <c r="E221" s="74"/>
      <c r="F221" s="73"/>
      <c r="G221" s="74"/>
      <c r="H221" s="73"/>
      <c r="I221" s="73"/>
      <c r="J221" s="73"/>
      <c r="K221" s="73"/>
      <c r="L221" s="73"/>
      <c r="M221" s="73"/>
      <c r="N221" s="73"/>
      <c r="O221" s="73"/>
      <c r="P221" s="73"/>
      <c r="Q221" s="73"/>
      <c r="R221" s="73"/>
      <c r="S221" s="73"/>
      <c r="T221" s="73"/>
      <c r="U221" s="73"/>
      <c r="V221" s="73"/>
      <c r="W221" s="73"/>
      <c r="X221" s="73"/>
      <c r="Y221" s="73"/>
      <c r="Z221" s="73"/>
      <c r="AA221" s="73"/>
      <c r="AB221" s="73"/>
      <c r="AC221" s="73"/>
      <c r="AD221" s="73"/>
      <c r="AE221" s="73"/>
      <c r="AF221" s="73"/>
    </row>
    <row r="222" spans="1:32" ht="15.75" customHeight="1" x14ac:dyDescent="0.2">
      <c r="A222" s="73"/>
      <c r="B222" s="73"/>
      <c r="C222" s="74"/>
      <c r="D222" s="74"/>
      <c r="E222" s="74"/>
      <c r="F222" s="73"/>
      <c r="G222" s="74"/>
      <c r="H222" s="73"/>
      <c r="I222" s="73"/>
      <c r="J222" s="73"/>
      <c r="K222" s="73"/>
      <c r="L222" s="73"/>
      <c r="M222" s="73"/>
      <c r="N222" s="73"/>
      <c r="O222" s="73"/>
      <c r="P222" s="73"/>
      <c r="Q222" s="73"/>
      <c r="R222" s="73"/>
      <c r="S222" s="73"/>
      <c r="T222" s="73"/>
      <c r="U222" s="73"/>
      <c r="V222" s="73"/>
      <c r="W222" s="73"/>
      <c r="X222" s="73"/>
      <c r="Y222" s="73"/>
      <c r="Z222" s="73"/>
      <c r="AA222" s="73"/>
      <c r="AB222" s="73"/>
      <c r="AC222" s="73"/>
      <c r="AD222" s="73"/>
      <c r="AE222" s="73"/>
      <c r="AF222" s="73"/>
    </row>
    <row r="223" spans="1:32" ht="15.75" customHeight="1" x14ac:dyDescent="0.2">
      <c r="A223" s="73"/>
      <c r="B223" s="73"/>
      <c r="C223" s="74"/>
      <c r="D223" s="74"/>
      <c r="E223" s="74"/>
      <c r="F223" s="73"/>
      <c r="G223" s="74"/>
      <c r="H223" s="73"/>
      <c r="I223" s="73"/>
      <c r="J223" s="73"/>
      <c r="K223" s="73"/>
      <c r="L223" s="73"/>
      <c r="M223" s="73"/>
      <c r="N223" s="73"/>
      <c r="O223" s="73"/>
      <c r="P223" s="73"/>
      <c r="Q223" s="73"/>
      <c r="R223" s="73"/>
      <c r="S223" s="73"/>
      <c r="T223" s="73"/>
      <c r="U223" s="73"/>
      <c r="V223" s="73"/>
      <c r="W223" s="73"/>
      <c r="X223" s="73"/>
      <c r="Y223" s="73"/>
      <c r="Z223" s="73"/>
      <c r="AA223" s="73"/>
      <c r="AB223" s="73"/>
      <c r="AC223" s="73"/>
      <c r="AD223" s="73"/>
      <c r="AE223" s="73"/>
      <c r="AF223" s="73"/>
    </row>
    <row r="224" spans="1:32" ht="15.75" customHeight="1" x14ac:dyDescent="0.2">
      <c r="A224" s="73"/>
      <c r="B224" s="73"/>
      <c r="C224" s="74"/>
      <c r="D224" s="74"/>
      <c r="E224" s="74"/>
      <c r="F224" s="73"/>
      <c r="G224" s="74"/>
      <c r="H224" s="73"/>
      <c r="I224" s="73"/>
      <c r="J224" s="73"/>
      <c r="K224" s="73"/>
      <c r="L224" s="73"/>
      <c r="M224" s="73"/>
      <c r="N224" s="73"/>
      <c r="O224" s="73"/>
      <c r="P224" s="73"/>
      <c r="Q224" s="73"/>
      <c r="R224" s="73"/>
      <c r="S224" s="73"/>
      <c r="T224" s="73"/>
      <c r="U224" s="73"/>
      <c r="V224" s="73"/>
      <c r="W224" s="73"/>
      <c r="X224" s="73"/>
      <c r="Y224" s="73"/>
      <c r="Z224" s="73"/>
      <c r="AA224" s="73"/>
      <c r="AB224" s="73"/>
      <c r="AC224" s="73"/>
      <c r="AD224" s="73"/>
      <c r="AE224" s="73"/>
      <c r="AF224" s="73"/>
    </row>
    <row r="225" spans="1:32" ht="15.75" customHeight="1" x14ac:dyDescent="0.2">
      <c r="A225" s="73"/>
      <c r="B225" s="73"/>
      <c r="C225" s="74"/>
      <c r="D225" s="74"/>
      <c r="E225" s="74"/>
      <c r="F225" s="73"/>
      <c r="G225" s="74"/>
      <c r="H225" s="73"/>
      <c r="I225" s="73"/>
      <c r="J225" s="73"/>
      <c r="K225" s="73"/>
      <c r="L225" s="73"/>
      <c r="M225" s="73"/>
      <c r="N225" s="73"/>
      <c r="O225" s="73"/>
      <c r="P225" s="73"/>
      <c r="Q225" s="73"/>
      <c r="R225" s="73"/>
      <c r="S225" s="73"/>
      <c r="T225" s="73"/>
      <c r="U225" s="73"/>
      <c r="V225" s="73"/>
      <c r="W225" s="73"/>
      <c r="X225" s="73"/>
      <c r="Y225" s="73"/>
      <c r="Z225" s="73"/>
      <c r="AA225" s="73"/>
      <c r="AB225" s="73"/>
      <c r="AC225" s="73"/>
      <c r="AD225" s="73"/>
      <c r="AE225" s="73"/>
      <c r="AF225" s="73"/>
    </row>
    <row r="226" spans="1:32" ht="15.75" customHeight="1" x14ac:dyDescent="0.2">
      <c r="A226" s="73"/>
      <c r="B226" s="73"/>
      <c r="C226" s="74"/>
      <c r="D226" s="74"/>
      <c r="E226" s="74"/>
      <c r="F226" s="73"/>
      <c r="G226" s="74"/>
      <c r="H226" s="73"/>
      <c r="I226" s="73"/>
      <c r="J226" s="73"/>
      <c r="K226" s="73"/>
      <c r="L226" s="73"/>
      <c r="M226" s="73"/>
      <c r="N226" s="73"/>
      <c r="O226" s="73"/>
      <c r="P226" s="73"/>
      <c r="Q226" s="73"/>
      <c r="R226" s="73"/>
      <c r="S226" s="73"/>
      <c r="T226" s="73"/>
      <c r="U226" s="73"/>
      <c r="V226" s="73"/>
      <c r="W226" s="73"/>
      <c r="X226" s="73"/>
      <c r="Y226" s="73"/>
      <c r="Z226" s="73"/>
      <c r="AA226" s="73"/>
      <c r="AB226" s="73"/>
      <c r="AC226" s="73"/>
      <c r="AD226" s="73"/>
      <c r="AE226" s="73"/>
      <c r="AF226" s="73"/>
    </row>
    <row r="227" spans="1:32" ht="15.75" customHeight="1" x14ac:dyDescent="0.2">
      <c r="A227" s="73"/>
      <c r="B227" s="73"/>
      <c r="C227" s="74"/>
      <c r="D227" s="74"/>
      <c r="E227" s="74"/>
      <c r="F227" s="73"/>
      <c r="G227" s="74"/>
      <c r="H227" s="73"/>
      <c r="I227" s="73"/>
      <c r="J227" s="73"/>
      <c r="K227" s="73"/>
      <c r="L227" s="73"/>
      <c r="M227" s="73"/>
      <c r="N227" s="73"/>
      <c r="O227" s="73"/>
      <c r="P227" s="73"/>
      <c r="Q227" s="73"/>
      <c r="R227" s="73"/>
      <c r="S227" s="73"/>
      <c r="T227" s="73"/>
      <c r="U227" s="73"/>
      <c r="V227" s="73"/>
      <c r="W227" s="73"/>
      <c r="X227" s="73"/>
      <c r="Y227" s="73"/>
      <c r="Z227" s="73"/>
      <c r="AA227" s="73"/>
      <c r="AB227" s="73"/>
      <c r="AC227" s="73"/>
      <c r="AD227" s="73"/>
      <c r="AE227" s="73"/>
      <c r="AF227" s="73"/>
    </row>
    <row r="228" spans="1:32" ht="15.75" customHeight="1" x14ac:dyDescent="0.2">
      <c r="A228" s="73"/>
      <c r="B228" s="73"/>
      <c r="C228" s="74"/>
      <c r="D228" s="74"/>
      <c r="E228" s="74"/>
      <c r="F228" s="73"/>
      <c r="G228" s="74"/>
      <c r="H228" s="73"/>
      <c r="I228" s="73"/>
      <c r="J228" s="73"/>
      <c r="K228" s="73"/>
      <c r="L228" s="73"/>
      <c r="M228" s="73"/>
      <c r="N228" s="73"/>
      <c r="O228" s="73"/>
      <c r="P228" s="73"/>
      <c r="Q228" s="73"/>
      <c r="R228" s="73"/>
      <c r="S228" s="73"/>
      <c r="T228" s="73"/>
      <c r="U228" s="73"/>
      <c r="V228" s="73"/>
      <c r="W228" s="73"/>
      <c r="X228" s="73"/>
      <c r="Y228" s="73"/>
      <c r="Z228" s="73"/>
      <c r="AA228" s="73"/>
      <c r="AB228" s="73"/>
      <c r="AC228" s="73"/>
      <c r="AD228" s="73"/>
      <c r="AE228" s="73"/>
      <c r="AF228" s="73"/>
    </row>
    <row r="229" spans="1:32" ht="15.75" customHeight="1" x14ac:dyDescent="0.2">
      <c r="A229" s="73"/>
      <c r="B229" s="73"/>
      <c r="C229" s="74"/>
      <c r="D229" s="74"/>
      <c r="E229" s="74"/>
      <c r="F229" s="73"/>
      <c r="G229" s="74"/>
      <c r="H229" s="73"/>
      <c r="I229" s="73"/>
      <c r="J229" s="73"/>
      <c r="K229" s="73"/>
      <c r="L229" s="73"/>
      <c r="M229" s="73"/>
      <c r="N229" s="73"/>
      <c r="O229" s="73"/>
      <c r="P229" s="73"/>
      <c r="Q229" s="73"/>
      <c r="R229" s="73"/>
      <c r="S229" s="73"/>
      <c r="T229" s="73"/>
      <c r="U229" s="73"/>
      <c r="V229" s="73"/>
      <c r="W229" s="73"/>
      <c r="X229" s="73"/>
      <c r="Y229" s="73"/>
      <c r="Z229" s="73"/>
      <c r="AA229" s="73"/>
      <c r="AB229" s="73"/>
      <c r="AC229" s="73"/>
      <c r="AD229" s="73"/>
      <c r="AE229" s="73"/>
      <c r="AF229" s="73"/>
    </row>
    <row r="230" spans="1:32" ht="15.75" customHeight="1" x14ac:dyDescent="0.2">
      <c r="A230" s="73"/>
      <c r="B230" s="73"/>
      <c r="C230" s="74"/>
      <c r="D230" s="74"/>
      <c r="E230" s="74"/>
      <c r="F230" s="73"/>
      <c r="G230" s="74"/>
      <c r="H230" s="73"/>
      <c r="I230" s="73"/>
      <c r="J230" s="73"/>
      <c r="K230" s="73"/>
      <c r="L230" s="73"/>
      <c r="M230" s="73"/>
      <c r="N230" s="73"/>
      <c r="O230" s="73"/>
      <c r="P230" s="73"/>
      <c r="Q230" s="73"/>
      <c r="R230" s="73"/>
      <c r="S230" s="73"/>
      <c r="T230" s="73"/>
      <c r="U230" s="73"/>
      <c r="V230" s="73"/>
      <c r="W230" s="73"/>
      <c r="X230" s="73"/>
      <c r="Y230" s="73"/>
      <c r="Z230" s="73"/>
      <c r="AA230" s="73"/>
      <c r="AB230" s="73"/>
      <c r="AC230" s="73"/>
      <c r="AD230" s="73"/>
      <c r="AE230" s="73"/>
      <c r="AF230" s="73"/>
    </row>
    <row r="231" spans="1:32" ht="15.75" customHeight="1" x14ac:dyDescent="0.2">
      <c r="A231" s="73"/>
      <c r="B231" s="73"/>
      <c r="C231" s="74"/>
      <c r="D231" s="74"/>
      <c r="E231" s="74"/>
      <c r="F231" s="73"/>
      <c r="G231" s="74"/>
      <c r="H231" s="73"/>
      <c r="I231" s="73"/>
      <c r="J231" s="73"/>
      <c r="K231" s="73"/>
      <c r="L231" s="73"/>
      <c r="M231" s="73"/>
      <c r="N231" s="73"/>
      <c r="O231" s="73"/>
      <c r="P231" s="73"/>
      <c r="Q231" s="73"/>
      <c r="R231" s="73"/>
      <c r="S231" s="73"/>
      <c r="T231" s="73"/>
      <c r="U231" s="73"/>
      <c r="V231" s="73"/>
      <c r="W231" s="73"/>
      <c r="X231" s="73"/>
      <c r="Y231" s="73"/>
      <c r="Z231" s="73"/>
      <c r="AA231" s="73"/>
      <c r="AB231" s="73"/>
      <c r="AC231" s="73"/>
      <c r="AD231" s="73"/>
      <c r="AE231" s="73"/>
      <c r="AF231" s="73"/>
    </row>
    <row r="232" spans="1:32" ht="15.75" customHeight="1" x14ac:dyDescent="0.2">
      <c r="A232" s="73"/>
      <c r="B232" s="73"/>
      <c r="C232" s="74"/>
      <c r="D232" s="74"/>
      <c r="E232" s="74"/>
      <c r="F232" s="73"/>
      <c r="G232" s="74"/>
      <c r="H232" s="73"/>
      <c r="I232" s="73"/>
      <c r="J232" s="73"/>
      <c r="K232" s="73"/>
      <c r="L232" s="73"/>
      <c r="M232" s="73"/>
      <c r="N232" s="73"/>
      <c r="O232" s="73"/>
      <c r="P232" s="73"/>
      <c r="Q232" s="73"/>
      <c r="R232" s="73"/>
      <c r="S232" s="73"/>
      <c r="T232" s="73"/>
      <c r="U232" s="73"/>
      <c r="V232" s="73"/>
      <c r="W232" s="73"/>
      <c r="X232" s="73"/>
      <c r="Y232" s="73"/>
      <c r="Z232" s="73"/>
      <c r="AA232" s="73"/>
      <c r="AB232" s="73"/>
      <c r="AC232" s="73"/>
      <c r="AD232" s="73"/>
      <c r="AE232" s="73"/>
      <c r="AF232" s="73"/>
    </row>
    <row r="233" spans="1:32" ht="15.75" customHeight="1" x14ac:dyDescent="0.2">
      <c r="A233" s="73"/>
      <c r="B233" s="73"/>
      <c r="C233" s="74"/>
      <c r="D233" s="74"/>
      <c r="E233" s="74"/>
      <c r="F233" s="73"/>
      <c r="G233" s="74"/>
      <c r="H233" s="73"/>
      <c r="I233" s="73"/>
      <c r="J233" s="73"/>
      <c r="K233" s="73"/>
      <c r="L233" s="73"/>
      <c r="M233" s="73"/>
      <c r="N233" s="73"/>
      <c r="O233" s="73"/>
      <c r="P233" s="73"/>
      <c r="Q233" s="73"/>
      <c r="R233" s="73"/>
      <c r="S233" s="73"/>
      <c r="T233" s="73"/>
      <c r="U233" s="73"/>
      <c r="V233" s="73"/>
      <c r="W233" s="73"/>
      <c r="X233" s="73"/>
      <c r="Y233" s="73"/>
      <c r="Z233" s="73"/>
      <c r="AA233" s="73"/>
      <c r="AB233" s="73"/>
      <c r="AC233" s="73"/>
      <c r="AD233" s="73"/>
      <c r="AE233" s="73"/>
      <c r="AF233" s="73"/>
    </row>
    <row r="234" spans="1:32" ht="15.75" customHeight="1" x14ac:dyDescent="0.2">
      <c r="A234" s="73"/>
      <c r="B234" s="73"/>
      <c r="C234" s="74"/>
      <c r="D234" s="74"/>
      <c r="E234" s="74"/>
      <c r="F234" s="73"/>
      <c r="G234" s="74"/>
      <c r="H234" s="73"/>
      <c r="I234" s="73"/>
      <c r="J234" s="73"/>
      <c r="K234" s="73"/>
      <c r="L234" s="73"/>
      <c r="M234" s="73"/>
      <c r="N234" s="73"/>
      <c r="O234" s="73"/>
      <c r="P234" s="73"/>
      <c r="Q234" s="73"/>
      <c r="R234" s="73"/>
      <c r="S234" s="73"/>
      <c r="T234" s="73"/>
      <c r="U234" s="73"/>
      <c r="V234" s="73"/>
      <c r="W234" s="73"/>
      <c r="X234" s="73"/>
      <c r="Y234" s="73"/>
      <c r="Z234" s="73"/>
      <c r="AA234" s="73"/>
      <c r="AB234" s="73"/>
      <c r="AC234" s="73"/>
      <c r="AD234" s="73"/>
      <c r="AE234" s="73"/>
      <c r="AF234" s="73"/>
    </row>
    <row r="235" spans="1:32" ht="15.75" customHeight="1" x14ac:dyDescent="0.2">
      <c r="A235" s="73"/>
      <c r="B235" s="73"/>
      <c r="C235" s="74"/>
      <c r="D235" s="74"/>
      <c r="E235" s="74"/>
      <c r="F235" s="73"/>
      <c r="G235" s="74"/>
      <c r="H235" s="73"/>
      <c r="I235" s="73"/>
      <c r="J235" s="73"/>
      <c r="K235" s="73"/>
      <c r="L235" s="73"/>
      <c r="M235" s="73"/>
      <c r="N235" s="73"/>
      <c r="O235" s="73"/>
      <c r="P235" s="73"/>
      <c r="Q235" s="73"/>
      <c r="R235" s="73"/>
      <c r="S235" s="73"/>
      <c r="T235" s="73"/>
      <c r="U235" s="73"/>
      <c r="V235" s="73"/>
      <c r="W235" s="73"/>
      <c r="X235" s="73"/>
      <c r="Y235" s="73"/>
      <c r="Z235" s="73"/>
      <c r="AA235" s="73"/>
      <c r="AB235" s="73"/>
      <c r="AC235" s="73"/>
      <c r="AD235" s="73"/>
      <c r="AE235" s="73"/>
      <c r="AF235" s="73"/>
    </row>
    <row r="236" spans="1:32" ht="15.75" customHeight="1" x14ac:dyDescent="0.2">
      <c r="A236" s="73"/>
      <c r="B236" s="73"/>
      <c r="C236" s="74"/>
      <c r="D236" s="74"/>
      <c r="E236" s="74"/>
      <c r="F236" s="73"/>
      <c r="G236" s="74"/>
      <c r="H236" s="73"/>
      <c r="I236" s="73"/>
      <c r="J236" s="73"/>
      <c r="K236" s="73"/>
      <c r="L236" s="73"/>
      <c r="M236" s="73"/>
      <c r="N236" s="73"/>
      <c r="O236" s="73"/>
      <c r="P236" s="73"/>
      <c r="Q236" s="73"/>
      <c r="R236" s="73"/>
      <c r="S236" s="73"/>
      <c r="T236" s="73"/>
      <c r="U236" s="73"/>
      <c r="V236" s="73"/>
      <c r="W236" s="73"/>
      <c r="X236" s="73"/>
      <c r="Y236" s="73"/>
      <c r="Z236" s="73"/>
      <c r="AA236" s="73"/>
      <c r="AB236" s="73"/>
      <c r="AC236" s="73"/>
      <c r="AD236" s="73"/>
      <c r="AE236" s="73"/>
      <c r="AF236" s="73"/>
    </row>
    <row r="237" spans="1:32" ht="15.75" customHeight="1" x14ac:dyDescent="0.2">
      <c r="A237" s="73"/>
      <c r="B237" s="73"/>
      <c r="C237" s="74"/>
      <c r="D237" s="74"/>
      <c r="E237" s="74"/>
      <c r="F237" s="73"/>
      <c r="G237" s="74"/>
      <c r="H237" s="73"/>
      <c r="I237" s="73"/>
      <c r="J237" s="73"/>
      <c r="K237" s="73"/>
      <c r="L237" s="73"/>
      <c r="M237" s="73"/>
      <c r="N237" s="73"/>
      <c r="O237" s="73"/>
      <c r="P237" s="73"/>
      <c r="Q237" s="73"/>
      <c r="R237" s="73"/>
      <c r="S237" s="73"/>
      <c r="T237" s="73"/>
      <c r="U237" s="73"/>
      <c r="V237" s="73"/>
      <c r="W237" s="73"/>
      <c r="X237" s="73"/>
      <c r="Y237" s="73"/>
      <c r="Z237" s="73"/>
      <c r="AA237" s="73"/>
      <c r="AB237" s="73"/>
      <c r="AC237" s="73"/>
      <c r="AD237" s="73"/>
      <c r="AE237" s="73"/>
      <c r="AF237" s="73"/>
    </row>
    <row r="238" spans="1:32" ht="15.75" customHeight="1" x14ac:dyDescent="0.2">
      <c r="A238" s="73"/>
      <c r="B238" s="73"/>
      <c r="C238" s="74"/>
      <c r="D238" s="74"/>
      <c r="E238" s="74"/>
      <c r="F238" s="73"/>
      <c r="G238" s="74"/>
      <c r="H238" s="73"/>
      <c r="I238" s="73"/>
      <c r="J238" s="73"/>
      <c r="K238" s="73"/>
      <c r="L238" s="73"/>
      <c r="M238" s="73"/>
      <c r="N238" s="73"/>
      <c r="O238" s="73"/>
      <c r="P238" s="73"/>
      <c r="Q238" s="73"/>
      <c r="R238" s="73"/>
      <c r="S238" s="73"/>
      <c r="T238" s="73"/>
      <c r="U238" s="73"/>
      <c r="V238" s="73"/>
      <c r="W238" s="73"/>
      <c r="X238" s="73"/>
      <c r="Y238" s="73"/>
      <c r="Z238" s="73"/>
      <c r="AA238" s="73"/>
      <c r="AB238" s="73"/>
      <c r="AC238" s="73"/>
      <c r="AD238" s="73"/>
      <c r="AE238" s="73"/>
      <c r="AF238" s="73"/>
    </row>
    <row r="239" spans="1:32" ht="15.75" customHeight="1" x14ac:dyDescent="0.2">
      <c r="A239" s="73"/>
      <c r="B239" s="73"/>
      <c r="C239" s="74"/>
      <c r="D239" s="74"/>
      <c r="E239" s="74"/>
      <c r="F239" s="73"/>
      <c r="G239" s="74"/>
      <c r="H239" s="73"/>
      <c r="I239" s="73"/>
      <c r="J239" s="73"/>
      <c r="K239" s="73"/>
      <c r="L239" s="73"/>
      <c r="M239" s="73"/>
      <c r="N239" s="73"/>
      <c r="O239" s="73"/>
      <c r="P239" s="73"/>
      <c r="Q239" s="73"/>
      <c r="R239" s="73"/>
      <c r="S239" s="73"/>
      <c r="T239" s="73"/>
      <c r="U239" s="73"/>
      <c r="V239" s="73"/>
      <c r="W239" s="73"/>
      <c r="X239" s="73"/>
      <c r="Y239" s="73"/>
      <c r="Z239" s="73"/>
      <c r="AA239" s="73"/>
      <c r="AB239" s="73"/>
      <c r="AC239" s="73"/>
      <c r="AD239" s="73"/>
      <c r="AE239" s="73"/>
      <c r="AF239" s="73"/>
    </row>
    <row r="240" spans="1:32" ht="15.75" customHeight="1" x14ac:dyDescent="0.2">
      <c r="A240" s="73"/>
      <c r="B240" s="73"/>
      <c r="C240" s="74"/>
      <c r="D240" s="74"/>
      <c r="E240" s="74"/>
      <c r="F240" s="73"/>
      <c r="G240" s="74"/>
      <c r="H240" s="73"/>
      <c r="I240" s="73"/>
      <c r="J240" s="73"/>
      <c r="K240" s="73"/>
      <c r="L240" s="73"/>
      <c r="M240" s="73"/>
      <c r="N240" s="73"/>
      <c r="O240" s="73"/>
      <c r="P240" s="73"/>
      <c r="Q240" s="73"/>
      <c r="R240" s="73"/>
      <c r="S240" s="73"/>
      <c r="T240" s="73"/>
      <c r="U240" s="73"/>
      <c r="V240" s="73"/>
      <c r="W240" s="73"/>
      <c r="X240" s="73"/>
      <c r="Y240" s="73"/>
      <c r="Z240" s="73"/>
      <c r="AA240" s="73"/>
      <c r="AB240" s="73"/>
      <c r="AC240" s="73"/>
      <c r="AD240" s="73"/>
      <c r="AE240" s="73"/>
      <c r="AF240" s="73"/>
    </row>
    <row r="241" spans="1:32" ht="15.75" customHeight="1" x14ac:dyDescent="0.2">
      <c r="A241" s="73"/>
      <c r="B241" s="73"/>
      <c r="C241" s="74"/>
      <c r="D241" s="74"/>
      <c r="E241" s="74"/>
      <c r="F241" s="73"/>
      <c r="G241" s="74"/>
      <c r="H241" s="73"/>
      <c r="I241" s="73"/>
      <c r="J241" s="73"/>
      <c r="K241" s="73"/>
      <c r="L241" s="73"/>
      <c r="M241" s="73"/>
      <c r="N241" s="73"/>
      <c r="O241" s="73"/>
      <c r="P241" s="73"/>
      <c r="Q241" s="73"/>
      <c r="R241" s="73"/>
      <c r="S241" s="73"/>
      <c r="T241" s="73"/>
      <c r="U241" s="73"/>
      <c r="V241" s="73"/>
      <c r="W241" s="73"/>
      <c r="X241" s="73"/>
      <c r="Y241" s="73"/>
      <c r="Z241" s="73"/>
      <c r="AA241" s="73"/>
      <c r="AB241" s="73"/>
      <c r="AC241" s="73"/>
      <c r="AD241" s="73"/>
      <c r="AE241" s="73"/>
      <c r="AF241" s="73"/>
    </row>
    <row r="242" spans="1:32" ht="15.75" customHeight="1" x14ac:dyDescent="0.2">
      <c r="A242" s="73"/>
      <c r="B242" s="73"/>
      <c r="C242" s="74"/>
      <c r="D242" s="74"/>
      <c r="E242" s="74"/>
      <c r="F242" s="73"/>
      <c r="G242" s="74"/>
      <c r="H242" s="73"/>
      <c r="I242" s="73"/>
      <c r="J242" s="73"/>
      <c r="K242" s="73"/>
      <c r="L242" s="73"/>
      <c r="M242" s="73"/>
      <c r="N242" s="73"/>
      <c r="O242" s="73"/>
      <c r="P242" s="73"/>
      <c r="Q242" s="73"/>
      <c r="R242" s="73"/>
      <c r="S242" s="73"/>
      <c r="T242" s="73"/>
      <c r="U242" s="73"/>
      <c r="V242" s="73"/>
      <c r="W242" s="73"/>
      <c r="X242" s="73"/>
      <c r="Y242" s="73"/>
      <c r="Z242" s="73"/>
      <c r="AA242" s="73"/>
      <c r="AB242" s="73"/>
      <c r="AC242" s="73"/>
      <c r="AD242" s="73"/>
      <c r="AE242" s="73"/>
      <c r="AF242" s="73"/>
    </row>
    <row r="243" spans="1:32" ht="15.75" customHeight="1" x14ac:dyDescent="0.2">
      <c r="A243" s="73"/>
      <c r="B243" s="73"/>
      <c r="C243" s="74"/>
      <c r="D243" s="74"/>
      <c r="E243" s="74"/>
      <c r="F243" s="73"/>
      <c r="G243" s="74"/>
      <c r="H243" s="73"/>
      <c r="I243" s="73"/>
      <c r="J243" s="73"/>
      <c r="K243" s="73"/>
      <c r="L243" s="73"/>
      <c r="M243" s="73"/>
      <c r="N243" s="73"/>
      <c r="O243" s="73"/>
      <c r="P243" s="73"/>
      <c r="Q243" s="73"/>
      <c r="R243" s="73"/>
      <c r="S243" s="73"/>
      <c r="T243" s="73"/>
      <c r="U243" s="73"/>
      <c r="V243" s="73"/>
      <c r="W243" s="73"/>
      <c r="X243" s="73"/>
      <c r="Y243" s="73"/>
      <c r="Z243" s="73"/>
      <c r="AA243" s="73"/>
      <c r="AB243" s="73"/>
      <c r="AC243" s="73"/>
      <c r="AD243" s="73"/>
      <c r="AE243" s="73"/>
      <c r="AF243" s="73"/>
    </row>
    <row r="244" spans="1:32" ht="15.75" customHeight="1" x14ac:dyDescent="0.2">
      <c r="A244" s="73"/>
      <c r="B244" s="73"/>
      <c r="C244" s="74"/>
      <c r="D244" s="74"/>
      <c r="E244" s="74"/>
      <c r="F244" s="73"/>
      <c r="G244" s="74"/>
      <c r="H244" s="73"/>
      <c r="I244" s="73"/>
      <c r="J244" s="73"/>
      <c r="K244" s="73"/>
      <c r="L244" s="73"/>
      <c r="M244" s="73"/>
      <c r="N244" s="73"/>
      <c r="O244" s="73"/>
      <c r="P244" s="73"/>
      <c r="Q244" s="73"/>
      <c r="R244" s="73"/>
      <c r="S244" s="73"/>
      <c r="T244" s="73"/>
      <c r="U244" s="73"/>
      <c r="V244" s="73"/>
      <c r="W244" s="73"/>
      <c r="X244" s="73"/>
      <c r="Y244" s="73"/>
      <c r="Z244" s="73"/>
      <c r="AA244" s="73"/>
      <c r="AB244" s="73"/>
      <c r="AC244" s="73"/>
      <c r="AD244" s="73"/>
      <c r="AE244" s="73"/>
      <c r="AF244" s="73"/>
    </row>
    <row r="245" spans="1:32" ht="15.75" customHeight="1" x14ac:dyDescent="0.2">
      <c r="A245" s="73"/>
      <c r="B245" s="73"/>
      <c r="C245" s="74"/>
      <c r="D245" s="74"/>
      <c r="E245" s="74"/>
      <c r="F245" s="73"/>
      <c r="G245" s="74"/>
      <c r="H245" s="73"/>
      <c r="I245" s="73"/>
      <c r="J245" s="73"/>
      <c r="K245" s="73"/>
      <c r="L245" s="73"/>
      <c r="M245" s="73"/>
      <c r="N245" s="73"/>
      <c r="O245" s="73"/>
      <c r="P245" s="73"/>
      <c r="Q245" s="73"/>
      <c r="R245" s="73"/>
      <c r="S245" s="73"/>
      <c r="T245" s="73"/>
      <c r="U245" s="73"/>
      <c r="V245" s="73"/>
      <c r="W245" s="73"/>
      <c r="X245" s="73"/>
      <c r="Y245" s="73"/>
      <c r="Z245" s="73"/>
      <c r="AA245" s="73"/>
      <c r="AB245" s="73"/>
      <c r="AC245" s="73"/>
      <c r="AD245" s="73"/>
      <c r="AE245" s="73"/>
      <c r="AF245" s="73"/>
    </row>
    <row r="246" spans="1:32" ht="15.75" customHeight="1" x14ac:dyDescent="0.2">
      <c r="A246" s="73"/>
      <c r="B246" s="73"/>
      <c r="C246" s="74"/>
      <c r="D246" s="74"/>
      <c r="E246" s="74"/>
      <c r="F246" s="73"/>
      <c r="G246" s="74"/>
      <c r="H246" s="73"/>
      <c r="I246" s="73"/>
      <c r="J246" s="73"/>
      <c r="K246" s="73"/>
      <c r="L246" s="73"/>
      <c r="M246" s="73"/>
      <c r="N246" s="73"/>
      <c r="O246" s="73"/>
      <c r="P246" s="73"/>
      <c r="Q246" s="73"/>
      <c r="R246" s="73"/>
      <c r="S246" s="73"/>
      <c r="T246" s="73"/>
      <c r="U246" s="73"/>
      <c r="V246" s="73"/>
      <c r="W246" s="73"/>
      <c r="X246" s="73"/>
      <c r="Y246" s="73"/>
      <c r="Z246" s="73"/>
      <c r="AA246" s="73"/>
      <c r="AB246" s="73"/>
      <c r="AC246" s="73"/>
      <c r="AD246" s="73"/>
      <c r="AE246" s="73"/>
      <c r="AF246" s="73"/>
    </row>
    <row r="247" spans="1:32" ht="15.75" customHeight="1" x14ac:dyDescent="0.2">
      <c r="A247" s="73"/>
      <c r="B247" s="73"/>
      <c r="C247" s="74"/>
      <c r="D247" s="74"/>
      <c r="E247" s="74"/>
      <c r="F247" s="73"/>
      <c r="G247" s="74"/>
      <c r="H247" s="73"/>
      <c r="I247" s="73"/>
      <c r="J247" s="73"/>
      <c r="K247" s="73"/>
      <c r="L247" s="73"/>
      <c r="M247" s="73"/>
      <c r="N247" s="73"/>
      <c r="O247" s="73"/>
      <c r="P247" s="73"/>
      <c r="Q247" s="73"/>
      <c r="R247" s="73"/>
      <c r="S247" s="73"/>
      <c r="T247" s="73"/>
      <c r="U247" s="73"/>
      <c r="V247" s="73"/>
      <c r="W247" s="73"/>
      <c r="X247" s="73"/>
      <c r="Y247" s="73"/>
      <c r="Z247" s="73"/>
      <c r="AA247" s="73"/>
      <c r="AB247" s="73"/>
      <c r="AC247" s="73"/>
      <c r="AD247" s="73"/>
      <c r="AE247" s="73"/>
      <c r="AF247" s="73"/>
    </row>
    <row r="248" spans="1:32" ht="15.75" customHeight="1" x14ac:dyDescent="0.2">
      <c r="A248" s="73"/>
      <c r="B248" s="73"/>
      <c r="C248" s="74"/>
      <c r="D248" s="74"/>
      <c r="E248" s="74"/>
      <c r="F248" s="73"/>
      <c r="G248" s="74"/>
      <c r="H248" s="73"/>
      <c r="I248" s="73"/>
      <c r="J248" s="73"/>
      <c r="K248" s="73"/>
      <c r="L248" s="73"/>
      <c r="M248" s="73"/>
      <c r="N248" s="73"/>
      <c r="O248" s="73"/>
      <c r="P248" s="73"/>
      <c r="Q248" s="73"/>
      <c r="R248" s="73"/>
      <c r="S248" s="73"/>
      <c r="T248" s="73"/>
      <c r="U248" s="73"/>
      <c r="V248" s="73"/>
      <c r="W248" s="73"/>
      <c r="X248" s="73"/>
      <c r="Y248" s="73"/>
      <c r="Z248" s="73"/>
      <c r="AA248" s="73"/>
      <c r="AB248" s="73"/>
      <c r="AC248" s="73"/>
      <c r="AD248" s="73"/>
      <c r="AE248" s="73"/>
      <c r="AF248" s="73"/>
    </row>
    <row r="249" spans="1:32" ht="15.75" customHeight="1" x14ac:dyDescent="0.2">
      <c r="A249" s="73"/>
      <c r="B249" s="73"/>
      <c r="C249" s="74"/>
      <c r="D249" s="74"/>
      <c r="E249" s="74"/>
      <c r="F249" s="73"/>
      <c r="G249" s="74"/>
      <c r="H249" s="73"/>
      <c r="I249" s="73"/>
      <c r="J249" s="73"/>
      <c r="K249" s="73"/>
      <c r="L249" s="73"/>
      <c r="M249" s="73"/>
      <c r="N249" s="73"/>
      <c r="O249" s="73"/>
      <c r="P249" s="73"/>
      <c r="Q249" s="73"/>
      <c r="R249" s="73"/>
      <c r="S249" s="73"/>
      <c r="T249" s="73"/>
      <c r="U249" s="73"/>
      <c r="V249" s="73"/>
      <c r="W249" s="73"/>
      <c r="X249" s="73"/>
      <c r="Y249" s="73"/>
      <c r="Z249" s="73"/>
      <c r="AA249" s="73"/>
      <c r="AB249" s="73"/>
      <c r="AC249" s="73"/>
      <c r="AD249" s="73"/>
      <c r="AE249" s="73"/>
      <c r="AF249" s="73"/>
    </row>
    <row r="250" spans="1:32" ht="15.75" customHeight="1" x14ac:dyDescent="0.2">
      <c r="A250" s="73"/>
      <c r="B250" s="73"/>
      <c r="C250" s="74"/>
      <c r="D250" s="74"/>
      <c r="E250" s="74"/>
      <c r="F250" s="73"/>
      <c r="G250" s="74"/>
      <c r="H250" s="73"/>
      <c r="I250" s="73"/>
      <c r="J250" s="73"/>
      <c r="K250" s="73"/>
      <c r="L250" s="73"/>
      <c r="M250" s="73"/>
      <c r="N250" s="73"/>
      <c r="O250" s="73"/>
      <c r="P250" s="73"/>
      <c r="Q250" s="73"/>
      <c r="R250" s="73"/>
      <c r="S250" s="73"/>
      <c r="T250" s="73"/>
      <c r="U250" s="73"/>
      <c r="V250" s="73"/>
      <c r="W250" s="73"/>
      <c r="X250" s="73"/>
      <c r="Y250" s="73"/>
      <c r="Z250" s="73"/>
      <c r="AA250" s="73"/>
      <c r="AB250" s="73"/>
      <c r="AC250" s="73"/>
      <c r="AD250" s="73"/>
      <c r="AE250" s="73"/>
      <c r="AF250" s="73"/>
    </row>
    <row r="251" spans="1:32" ht="15.75" customHeight="1" x14ac:dyDescent="0.2">
      <c r="A251" s="73"/>
      <c r="B251" s="73"/>
      <c r="C251" s="74"/>
      <c r="D251" s="74"/>
      <c r="E251" s="74"/>
      <c r="F251" s="73"/>
      <c r="G251" s="74"/>
      <c r="H251" s="73"/>
      <c r="I251" s="73"/>
      <c r="J251" s="73"/>
      <c r="K251" s="73"/>
      <c r="L251" s="73"/>
      <c r="M251" s="73"/>
      <c r="N251" s="73"/>
      <c r="O251" s="73"/>
      <c r="P251" s="73"/>
      <c r="Q251" s="73"/>
      <c r="R251" s="73"/>
      <c r="S251" s="73"/>
      <c r="T251" s="73"/>
      <c r="U251" s="73"/>
      <c r="V251" s="73"/>
      <c r="W251" s="73"/>
      <c r="X251" s="73"/>
      <c r="Y251" s="73"/>
      <c r="Z251" s="73"/>
      <c r="AA251" s="73"/>
      <c r="AB251" s="73"/>
      <c r="AC251" s="73"/>
      <c r="AD251" s="73"/>
      <c r="AE251" s="73"/>
      <c r="AF251" s="73"/>
    </row>
    <row r="252" spans="1:32" ht="15.75" customHeight="1" x14ac:dyDescent="0.2">
      <c r="A252" s="73"/>
      <c r="B252" s="73"/>
      <c r="C252" s="74"/>
      <c r="D252" s="74"/>
      <c r="E252" s="74"/>
      <c r="F252" s="73"/>
      <c r="G252" s="74"/>
      <c r="H252" s="73"/>
      <c r="I252" s="73"/>
      <c r="J252" s="73"/>
      <c r="K252" s="73"/>
      <c r="L252" s="73"/>
      <c r="M252" s="73"/>
      <c r="N252" s="73"/>
      <c r="O252" s="73"/>
      <c r="P252" s="73"/>
      <c r="Q252" s="73"/>
      <c r="R252" s="73"/>
      <c r="S252" s="73"/>
      <c r="T252" s="73"/>
      <c r="U252" s="73"/>
      <c r="V252" s="73"/>
      <c r="W252" s="73"/>
      <c r="X252" s="73"/>
      <c r="Y252" s="73"/>
      <c r="Z252" s="73"/>
      <c r="AA252" s="73"/>
      <c r="AB252" s="73"/>
      <c r="AC252" s="73"/>
      <c r="AD252" s="73"/>
      <c r="AE252" s="73"/>
      <c r="AF252" s="73"/>
    </row>
    <row r="253" spans="1:32" ht="15.75" customHeight="1" x14ac:dyDescent="0.2">
      <c r="A253" s="73"/>
      <c r="B253" s="73"/>
      <c r="C253" s="74"/>
      <c r="D253" s="74"/>
      <c r="E253" s="74"/>
      <c r="F253" s="73"/>
      <c r="G253" s="74"/>
      <c r="H253" s="73"/>
      <c r="I253" s="73"/>
      <c r="J253" s="73"/>
      <c r="K253" s="73"/>
      <c r="L253" s="73"/>
      <c r="M253" s="73"/>
      <c r="N253" s="73"/>
      <c r="O253" s="73"/>
      <c r="P253" s="73"/>
      <c r="Q253" s="73"/>
      <c r="R253" s="73"/>
      <c r="S253" s="73"/>
      <c r="T253" s="73"/>
      <c r="U253" s="73"/>
      <c r="V253" s="73"/>
      <c r="W253" s="73"/>
      <c r="X253" s="73"/>
      <c r="Y253" s="73"/>
      <c r="Z253" s="73"/>
      <c r="AA253" s="73"/>
      <c r="AB253" s="73"/>
      <c r="AC253" s="73"/>
      <c r="AD253" s="73"/>
      <c r="AE253" s="73"/>
      <c r="AF253" s="73"/>
    </row>
    <row r="254" spans="1:32" ht="15.75" customHeight="1" x14ac:dyDescent="0.2">
      <c r="A254" s="73"/>
      <c r="B254" s="73"/>
      <c r="C254" s="74"/>
      <c r="D254" s="74"/>
      <c r="E254" s="74"/>
      <c r="F254" s="73"/>
      <c r="G254" s="74"/>
      <c r="H254" s="73"/>
      <c r="I254" s="73"/>
      <c r="J254" s="73"/>
      <c r="K254" s="73"/>
      <c r="L254" s="73"/>
      <c r="M254" s="73"/>
      <c r="N254" s="73"/>
      <c r="O254" s="73"/>
      <c r="P254" s="73"/>
      <c r="Q254" s="73"/>
      <c r="R254" s="73"/>
      <c r="S254" s="73"/>
      <c r="T254" s="73"/>
      <c r="U254" s="73"/>
      <c r="V254" s="73"/>
      <c r="W254" s="73"/>
      <c r="X254" s="73"/>
      <c r="Y254" s="73"/>
      <c r="Z254" s="73"/>
      <c r="AA254" s="73"/>
      <c r="AB254" s="73"/>
      <c r="AC254" s="73"/>
      <c r="AD254" s="73"/>
      <c r="AE254" s="73"/>
      <c r="AF254" s="73"/>
    </row>
    <row r="255" spans="1:32" ht="15.75" customHeight="1" x14ac:dyDescent="0.2">
      <c r="A255" s="73"/>
      <c r="B255" s="73"/>
      <c r="C255" s="74"/>
      <c r="D255" s="74"/>
      <c r="E255" s="74"/>
      <c r="F255" s="73"/>
      <c r="G255" s="74"/>
      <c r="H255" s="73"/>
      <c r="I255" s="73"/>
      <c r="J255" s="73"/>
      <c r="K255" s="73"/>
      <c r="L255" s="73"/>
      <c r="M255" s="73"/>
      <c r="N255" s="73"/>
      <c r="O255" s="73"/>
      <c r="P255" s="73"/>
      <c r="Q255" s="73"/>
      <c r="R255" s="73"/>
      <c r="S255" s="73"/>
      <c r="T255" s="73"/>
      <c r="U255" s="73"/>
      <c r="V255" s="73"/>
      <c r="W255" s="73"/>
      <c r="X255" s="73"/>
      <c r="Y255" s="73"/>
      <c r="Z255" s="73"/>
      <c r="AA255" s="73"/>
      <c r="AB255" s="73"/>
      <c r="AC255" s="73"/>
      <c r="AD255" s="73"/>
      <c r="AE255" s="73"/>
      <c r="AF255" s="73"/>
    </row>
    <row r="256" spans="1:32" ht="15.75" customHeight="1" x14ac:dyDescent="0.2">
      <c r="A256" s="73"/>
      <c r="B256" s="73"/>
      <c r="C256" s="74"/>
      <c r="D256" s="74"/>
      <c r="E256" s="74"/>
      <c r="F256" s="73"/>
      <c r="G256" s="74"/>
      <c r="H256" s="73"/>
      <c r="I256" s="73"/>
      <c r="J256" s="73"/>
      <c r="K256" s="73"/>
      <c r="L256" s="73"/>
      <c r="M256" s="73"/>
      <c r="N256" s="73"/>
      <c r="O256" s="73"/>
      <c r="P256" s="73"/>
      <c r="Q256" s="73"/>
      <c r="R256" s="73"/>
      <c r="S256" s="73"/>
      <c r="T256" s="73"/>
      <c r="U256" s="73"/>
      <c r="V256" s="73"/>
      <c r="W256" s="73"/>
      <c r="X256" s="73"/>
      <c r="Y256" s="73"/>
      <c r="Z256" s="73"/>
      <c r="AA256" s="73"/>
      <c r="AB256" s="73"/>
      <c r="AC256" s="73"/>
      <c r="AD256" s="73"/>
      <c r="AE256" s="73"/>
      <c r="AF256" s="73"/>
    </row>
    <row r="257" spans="1:32" ht="15.75" customHeight="1" x14ac:dyDescent="0.2">
      <c r="A257" s="73"/>
      <c r="B257" s="73"/>
      <c r="C257" s="74"/>
      <c r="D257" s="74"/>
      <c r="E257" s="74"/>
      <c r="F257" s="73"/>
      <c r="G257" s="74"/>
      <c r="H257" s="73"/>
      <c r="I257" s="73"/>
      <c r="J257" s="73"/>
      <c r="K257" s="73"/>
      <c r="L257" s="73"/>
      <c r="M257" s="73"/>
      <c r="N257" s="73"/>
      <c r="O257" s="73"/>
      <c r="P257" s="73"/>
      <c r="Q257" s="73"/>
      <c r="R257" s="73"/>
      <c r="S257" s="73"/>
      <c r="T257" s="73"/>
      <c r="U257" s="73"/>
      <c r="V257" s="73"/>
      <c r="W257" s="73"/>
      <c r="X257" s="73"/>
      <c r="Y257" s="73"/>
      <c r="Z257" s="73"/>
      <c r="AA257" s="73"/>
      <c r="AB257" s="73"/>
      <c r="AC257" s="73"/>
      <c r="AD257" s="73"/>
      <c r="AE257" s="73"/>
      <c r="AF257" s="73"/>
    </row>
    <row r="258" spans="1:32" ht="15.75" customHeight="1" x14ac:dyDescent="0.2">
      <c r="A258" s="73"/>
      <c r="B258" s="73"/>
      <c r="C258" s="74"/>
      <c r="D258" s="74"/>
      <c r="E258" s="74"/>
      <c r="F258" s="73"/>
      <c r="G258" s="74"/>
      <c r="H258" s="73"/>
      <c r="I258" s="73"/>
      <c r="J258" s="73"/>
      <c r="K258" s="73"/>
      <c r="L258" s="73"/>
      <c r="M258" s="73"/>
      <c r="N258" s="73"/>
      <c r="O258" s="73"/>
      <c r="P258" s="73"/>
      <c r="Q258" s="73"/>
      <c r="R258" s="73"/>
      <c r="S258" s="73"/>
      <c r="T258" s="73"/>
      <c r="U258" s="73"/>
      <c r="V258" s="73"/>
      <c r="W258" s="73"/>
      <c r="X258" s="73"/>
      <c r="Y258" s="73"/>
      <c r="Z258" s="73"/>
      <c r="AA258" s="73"/>
      <c r="AB258" s="73"/>
      <c r="AC258" s="73"/>
      <c r="AD258" s="73"/>
      <c r="AE258" s="73"/>
      <c r="AF258" s="73"/>
    </row>
    <row r="259" spans="1:32" ht="15.75" customHeight="1" x14ac:dyDescent="0.2">
      <c r="A259" s="73"/>
      <c r="B259" s="73"/>
      <c r="C259" s="74"/>
      <c r="D259" s="74"/>
      <c r="E259" s="74"/>
      <c r="F259" s="73"/>
      <c r="G259" s="74"/>
      <c r="H259" s="73"/>
      <c r="I259" s="73"/>
      <c r="J259" s="73"/>
      <c r="K259" s="73"/>
      <c r="L259" s="73"/>
      <c r="M259" s="73"/>
      <c r="N259" s="73"/>
      <c r="O259" s="73"/>
      <c r="P259" s="73"/>
      <c r="Q259" s="73"/>
      <c r="R259" s="73"/>
      <c r="S259" s="73"/>
      <c r="T259" s="73"/>
      <c r="U259" s="73"/>
      <c r="V259" s="73"/>
      <c r="W259" s="73"/>
      <c r="X259" s="73"/>
      <c r="Y259" s="73"/>
      <c r="Z259" s="73"/>
      <c r="AA259" s="73"/>
      <c r="AB259" s="73"/>
      <c r="AC259" s="73"/>
      <c r="AD259" s="73"/>
      <c r="AE259" s="73"/>
      <c r="AF259" s="73"/>
    </row>
    <row r="260" spans="1:32" ht="15.75" customHeight="1" x14ac:dyDescent="0.2">
      <c r="A260" s="73"/>
      <c r="B260" s="73"/>
      <c r="C260" s="74"/>
      <c r="D260" s="74"/>
      <c r="E260" s="74"/>
      <c r="F260" s="73"/>
      <c r="G260" s="74"/>
      <c r="H260" s="73"/>
      <c r="I260" s="73"/>
      <c r="J260" s="73"/>
      <c r="K260" s="73"/>
      <c r="L260" s="73"/>
      <c r="M260" s="73"/>
      <c r="N260" s="73"/>
      <c r="O260" s="73"/>
      <c r="P260" s="73"/>
      <c r="Q260" s="73"/>
      <c r="R260" s="73"/>
      <c r="S260" s="73"/>
      <c r="T260" s="73"/>
      <c r="U260" s="73"/>
      <c r="V260" s="73"/>
      <c r="W260" s="73"/>
      <c r="X260" s="73"/>
      <c r="Y260" s="73"/>
      <c r="Z260" s="73"/>
      <c r="AA260" s="73"/>
      <c r="AB260" s="73"/>
      <c r="AC260" s="73"/>
      <c r="AD260" s="73"/>
      <c r="AE260" s="73"/>
      <c r="AF260" s="73"/>
    </row>
    <row r="261" spans="1:32" ht="15.75" customHeight="1" x14ac:dyDescent="0.2">
      <c r="A261" s="73"/>
      <c r="B261" s="73"/>
      <c r="C261" s="74"/>
      <c r="D261" s="74"/>
      <c r="E261" s="74"/>
      <c r="F261" s="73"/>
      <c r="G261" s="74"/>
      <c r="H261" s="73"/>
      <c r="I261" s="73"/>
      <c r="J261" s="73"/>
      <c r="K261" s="73"/>
      <c r="L261" s="73"/>
      <c r="M261" s="73"/>
      <c r="N261" s="73"/>
      <c r="O261" s="73"/>
      <c r="P261" s="73"/>
      <c r="Q261" s="73"/>
      <c r="R261" s="73"/>
      <c r="S261" s="73"/>
      <c r="T261" s="73"/>
      <c r="U261" s="73"/>
      <c r="V261" s="73"/>
      <c r="W261" s="73"/>
      <c r="X261" s="73"/>
      <c r="Y261" s="73"/>
      <c r="Z261" s="73"/>
      <c r="AA261" s="73"/>
      <c r="AB261" s="73"/>
      <c r="AC261" s="73"/>
      <c r="AD261" s="73"/>
      <c r="AE261" s="73"/>
      <c r="AF261" s="73"/>
    </row>
    <row r="262" spans="1:32" ht="15.75" customHeight="1" x14ac:dyDescent="0.2">
      <c r="A262" s="73"/>
      <c r="B262" s="73"/>
      <c r="C262" s="74"/>
      <c r="D262" s="74"/>
      <c r="E262" s="74"/>
      <c r="F262" s="73"/>
      <c r="G262" s="74"/>
      <c r="H262" s="73"/>
      <c r="I262" s="73"/>
      <c r="J262" s="73"/>
      <c r="K262" s="73"/>
      <c r="L262" s="73"/>
      <c r="M262" s="73"/>
      <c r="N262" s="73"/>
      <c r="O262" s="73"/>
      <c r="P262" s="73"/>
      <c r="Q262" s="73"/>
      <c r="R262" s="73"/>
      <c r="S262" s="73"/>
      <c r="T262" s="73"/>
      <c r="U262" s="73"/>
      <c r="V262" s="73"/>
      <c r="W262" s="73"/>
      <c r="X262" s="73"/>
      <c r="Y262" s="73"/>
      <c r="Z262" s="73"/>
      <c r="AA262" s="73"/>
      <c r="AB262" s="73"/>
      <c r="AC262" s="73"/>
      <c r="AD262" s="73"/>
      <c r="AE262" s="73"/>
      <c r="AF262" s="73"/>
    </row>
    <row r="263" spans="1:32" ht="15.75" customHeight="1" x14ac:dyDescent="0.2">
      <c r="A263" s="73"/>
      <c r="B263" s="73"/>
      <c r="C263" s="74"/>
      <c r="D263" s="74"/>
      <c r="E263" s="74"/>
      <c r="F263" s="73"/>
      <c r="G263" s="74"/>
      <c r="H263" s="73"/>
      <c r="I263" s="73"/>
      <c r="J263" s="73"/>
      <c r="K263" s="73"/>
      <c r="L263" s="73"/>
      <c r="M263" s="73"/>
      <c r="N263" s="73"/>
      <c r="O263" s="73"/>
      <c r="P263" s="73"/>
      <c r="Q263" s="73"/>
      <c r="R263" s="73"/>
      <c r="S263" s="73"/>
      <c r="T263" s="73"/>
      <c r="U263" s="73"/>
      <c r="V263" s="73"/>
      <c r="W263" s="73"/>
      <c r="X263" s="73"/>
      <c r="Y263" s="73"/>
      <c r="Z263" s="73"/>
      <c r="AA263" s="73"/>
      <c r="AB263" s="73"/>
      <c r="AC263" s="73"/>
      <c r="AD263" s="73"/>
      <c r="AE263" s="73"/>
      <c r="AF263" s="73"/>
    </row>
    <row r="264" spans="1:32" ht="15.75" customHeight="1" x14ac:dyDescent="0.2">
      <c r="A264" s="73"/>
      <c r="B264" s="73"/>
      <c r="C264" s="74"/>
      <c r="D264" s="74"/>
      <c r="E264" s="74"/>
      <c r="F264" s="73"/>
      <c r="G264" s="74"/>
      <c r="H264" s="73"/>
      <c r="I264" s="73"/>
      <c r="J264" s="73"/>
      <c r="K264" s="73"/>
      <c r="L264" s="73"/>
      <c r="M264" s="73"/>
      <c r="N264" s="73"/>
      <c r="O264" s="73"/>
      <c r="P264" s="73"/>
      <c r="Q264" s="73"/>
      <c r="R264" s="73"/>
      <c r="S264" s="73"/>
      <c r="T264" s="73"/>
      <c r="U264" s="73"/>
      <c r="V264" s="73"/>
      <c r="W264" s="73"/>
      <c r="X264" s="73"/>
      <c r="Y264" s="73"/>
      <c r="Z264" s="73"/>
      <c r="AA264" s="73"/>
      <c r="AB264" s="73"/>
      <c r="AC264" s="73"/>
      <c r="AD264" s="73"/>
      <c r="AE264" s="73"/>
      <c r="AF264" s="73"/>
    </row>
    <row r="265" spans="1:32" ht="15.75" customHeight="1" x14ac:dyDescent="0.2">
      <c r="A265" s="73"/>
      <c r="B265" s="73"/>
      <c r="C265" s="74"/>
      <c r="D265" s="74"/>
      <c r="E265" s="74"/>
      <c r="F265" s="73"/>
      <c r="G265" s="74"/>
      <c r="H265" s="73"/>
      <c r="I265" s="73"/>
      <c r="J265" s="73"/>
      <c r="K265" s="73"/>
      <c r="L265" s="73"/>
      <c r="M265" s="73"/>
      <c r="N265" s="73"/>
      <c r="O265" s="73"/>
      <c r="P265" s="73"/>
      <c r="Q265" s="73"/>
      <c r="R265" s="73"/>
      <c r="S265" s="73"/>
      <c r="T265" s="73"/>
      <c r="U265" s="73"/>
      <c r="V265" s="73"/>
      <c r="W265" s="73"/>
      <c r="X265" s="73"/>
      <c r="Y265" s="73"/>
      <c r="Z265" s="73"/>
      <c r="AA265" s="73"/>
      <c r="AB265" s="73"/>
      <c r="AC265" s="73"/>
      <c r="AD265" s="73"/>
      <c r="AE265" s="73"/>
      <c r="AF265" s="73"/>
    </row>
    <row r="266" spans="1:32" ht="15.75" customHeight="1" x14ac:dyDescent="0.2">
      <c r="A266" s="73"/>
      <c r="B266" s="73"/>
      <c r="C266" s="74"/>
      <c r="D266" s="74"/>
      <c r="E266" s="74"/>
      <c r="F266" s="73"/>
      <c r="G266" s="74"/>
      <c r="H266" s="73"/>
      <c r="I266" s="73"/>
      <c r="J266" s="73"/>
      <c r="K266" s="73"/>
      <c r="L266" s="73"/>
      <c r="M266" s="73"/>
      <c r="N266" s="73"/>
      <c r="O266" s="73"/>
      <c r="P266" s="73"/>
      <c r="Q266" s="73"/>
      <c r="R266" s="73"/>
      <c r="S266" s="73"/>
      <c r="T266" s="73"/>
      <c r="U266" s="73"/>
      <c r="V266" s="73"/>
      <c r="W266" s="73"/>
      <c r="X266" s="73"/>
      <c r="Y266" s="73"/>
      <c r="Z266" s="73"/>
      <c r="AA266" s="73"/>
      <c r="AB266" s="73"/>
      <c r="AC266" s="73"/>
      <c r="AD266" s="73"/>
      <c r="AE266" s="73"/>
      <c r="AF266" s="73"/>
    </row>
    <row r="267" spans="1:32" ht="15.75" customHeight="1" x14ac:dyDescent="0.2">
      <c r="A267" s="73"/>
      <c r="B267" s="73"/>
      <c r="C267" s="74"/>
      <c r="D267" s="74"/>
      <c r="E267" s="74"/>
      <c r="F267" s="73"/>
      <c r="G267" s="74"/>
      <c r="H267" s="73"/>
      <c r="I267" s="73"/>
      <c r="J267" s="73"/>
      <c r="K267" s="73"/>
      <c r="L267" s="73"/>
      <c r="M267" s="73"/>
      <c r="N267" s="73"/>
      <c r="O267" s="73"/>
      <c r="P267" s="73"/>
      <c r="Q267" s="73"/>
      <c r="R267" s="73"/>
      <c r="S267" s="73"/>
      <c r="T267" s="73"/>
      <c r="U267" s="73"/>
      <c r="V267" s="73"/>
      <c r="W267" s="73"/>
      <c r="X267" s="73"/>
      <c r="Y267" s="73"/>
      <c r="Z267" s="73"/>
      <c r="AA267" s="73"/>
      <c r="AB267" s="73"/>
      <c r="AC267" s="73"/>
      <c r="AD267" s="73"/>
      <c r="AE267" s="73"/>
      <c r="AF267" s="73"/>
    </row>
    <row r="268" spans="1:32" ht="15.75" customHeight="1" x14ac:dyDescent="0.2">
      <c r="A268" s="73"/>
      <c r="B268" s="73"/>
      <c r="C268" s="74"/>
      <c r="D268" s="74"/>
      <c r="E268" s="74"/>
      <c r="F268" s="73"/>
      <c r="G268" s="74"/>
      <c r="H268" s="73"/>
      <c r="I268" s="73"/>
      <c r="J268" s="73"/>
      <c r="K268" s="73"/>
      <c r="L268" s="73"/>
      <c r="M268" s="73"/>
      <c r="N268" s="73"/>
      <c r="O268" s="73"/>
      <c r="P268" s="73"/>
      <c r="Q268" s="73"/>
      <c r="R268" s="73"/>
      <c r="S268" s="73"/>
      <c r="T268" s="73"/>
      <c r="U268" s="73"/>
      <c r="V268" s="73"/>
      <c r="W268" s="73"/>
      <c r="X268" s="73"/>
      <c r="Y268" s="73"/>
      <c r="Z268" s="73"/>
      <c r="AA268" s="73"/>
      <c r="AB268" s="73"/>
      <c r="AC268" s="73"/>
      <c r="AD268" s="73"/>
      <c r="AE268" s="73"/>
      <c r="AF268" s="73"/>
    </row>
    <row r="269" spans="1:32" ht="15.75" customHeight="1" x14ac:dyDescent="0.2">
      <c r="A269" s="73"/>
      <c r="B269" s="73"/>
      <c r="C269" s="74"/>
      <c r="D269" s="74"/>
      <c r="E269" s="74"/>
      <c r="F269" s="73"/>
      <c r="G269" s="74"/>
      <c r="H269" s="73"/>
      <c r="I269" s="73"/>
      <c r="J269" s="73"/>
      <c r="K269" s="73"/>
      <c r="L269" s="73"/>
      <c r="M269" s="73"/>
      <c r="N269" s="73"/>
      <c r="O269" s="73"/>
      <c r="P269" s="73"/>
      <c r="Q269" s="73"/>
      <c r="R269" s="73"/>
      <c r="S269" s="73"/>
      <c r="T269" s="73"/>
      <c r="U269" s="73"/>
      <c r="V269" s="73"/>
      <c r="W269" s="73"/>
      <c r="X269" s="73"/>
      <c r="Y269" s="73"/>
      <c r="Z269" s="73"/>
      <c r="AA269" s="73"/>
      <c r="AB269" s="73"/>
      <c r="AC269" s="73"/>
      <c r="AD269" s="73"/>
      <c r="AE269" s="73"/>
      <c r="AF269" s="73"/>
    </row>
    <row r="270" spans="1:32" ht="15.75" customHeight="1" x14ac:dyDescent="0.2">
      <c r="A270" s="73"/>
      <c r="B270" s="73"/>
      <c r="C270" s="74"/>
      <c r="D270" s="74"/>
      <c r="E270" s="74"/>
      <c r="F270" s="73"/>
      <c r="G270" s="74"/>
      <c r="H270" s="73"/>
      <c r="I270" s="73"/>
      <c r="J270" s="73"/>
      <c r="K270" s="73"/>
      <c r="L270" s="73"/>
      <c r="M270" s="73"/>
      <c r="N270" s="73"/>
      <c r="O270" s="73"/>
      <c r="P270" s="73"/>
      <c r="Q270" s="73"/>
      <c r="R270" s="73"/>
      <c r="S270" s="73"/>
      <c r="T270" s="73"/>
      <c r="U270" s="73"/>
      <c r="V270" s="73"/>
      <c r="W270" s="73"/>
      <c r="X270" s="73"/>
      <c r="Y270" s="73"/>
      <c r="Z270" s="73"/>
      <c r="AA270" s="73"/>
      <c r="AB270" s="73"/>
      <c r="AC270" s="73"/>
      <c r="AD270" s="73"/>
      <c r="AE270" s="73"/>
      <c r="AF270" s="73"/>
    </row>
    <row r="271" spans="1:32" ht="15.75" customHeight="1" x14ac:dyDescent="0.2">
      <c r="A271" s="73"/>
      <c r="B271" s="73"/>
      <c r="C271" s="74"/>
      <c r="D271" s="74"/>
      <c r="E271" s="74"/>
      <c r="F271" s="73"/>
      <c r="G271" s="74"/>
      <c r="H271" s="73"/>
      <c r="I271" s="73"/>
      <c r="J271" s="73"/>
      <c r="K271" s="73"/>
      <c r="L271" s="73"/>
      <c r="M271" s="73"/>
      <c r="N271" s="73"/>
      <c r="O271" s="73"/>
      <c r="P271" s="73"/>
      <c r="Q271" s="73"/>
      <c r="R271" s="73"/>
      <c r="S271" s="73"/>
      <c r="T271" s="73"/>
      <c r="U271" s="73"/>
      <c r="V271" s="73"/>
      <c r="W271" s="73"/>
      <c r="X271" s="73"/>
      <c r="Y271" s="73"/>
      <c r="Z271" s="73"/>
      <c r="AA271" s="73"/>
      <c r="AB271" s="73"/>
      <c r="AC271" s="73"/>
      <c r="AD271" s="73"/>
      <c r="AE271" s="73"/>
      <c r="AF271" s="73"/>
    </row>
    <row r="272" spans="1:32" ht="15.75" customHeight="1" x14ac:dyDescent="0.2">
      <c r="A272" s="73"/>
      <c r="B272" s="73"/>
      <c r="C272" s="74"/>
      <c r="D272" s="74"/>
      <c r="E272" s="74"/>
      <c r="F272" s="73"/>
      <c r="G272" s="74"/>
      <c r="H272" s="73"/>
      <c r="I272" s="73"/>
      <c r="J272" s="73"/>
      <c r="K272" s="73"/>
      <c r="L272" s="73"/>
      <c r="M272" s="73"/>
      <c r="N272" s="73"/>
      <c r="O272" s="73"/>
      <c r="P272" s="73"/>
      <c r="Q272" s="73"/>
      <c r="R272" s="73"/>
      <c r="S272" s="73"/>
      <c r="T272" s="73"/>
      <c r="U272" s="73"/>
      <c r="V272" s="73"/>
      <c r="W272" s="73"/>
      <c r="X272" s="73"/>
      <c r="Y272" s="73"/>
      <c r="Z272" s="73"/>
      <c r="AA272" s="73"/>
      <c r="AB272" s="73"/>
      <c r="AC272" s="73"/>
      <c r="AD272" s="73"/>
      <c r="AE272" s="73"/>
      <c r="AF272" s="73"/>
    </row>
    <row r="273" spans="1:32" ht="15.75" customHeight="1" x14ac:dyDescent="0.2">
      <c r="A273" s="73"/>
      <c r="B273" s="73"/>
      <c r="C273" s="74"/>
      <c r="D273" s="74"/>
      <c r="E273" s="74"/>
      <c r="F273" s="73"/>
      <c r="G273" s="74"/>
      <c r="H273" s="73"/>
      <c r="I273" s="73"/>
      <c r="J273" s="73"/>
      <c r="K273" s="73"/>
      <c r="L273" s="73"/>
      <c r="M273" s="73"/>
      <c r="N273" s="73"/>
      <c r="O273" s="73"/>
      <c r="P273" s="73"/>
      <c r="Q273" s="73"/>
      <c r="R273" s="73"/>
      <c r="S273" s="73"/>
      <c r="T273" s="73"/>
      <c r="U273" s="73"/>
      <c r="V273" s="73"/>
      <c r="W273" s="73"/>
      <c r="X273" s="73"/>
      <c r="Y273" s="73"/>
      <c r="Z273" s="73"/>
      <c r="AA273" s="73"/>
      <c r="AB273" s="73"/>
      <c r="AC273" s="73"/>
      <c r="AD273" s="73"/>
      <c r="AE273" s="73"/>
      <c r="AF273" s="73"/>
    </row>
    <row r="274" spans="1:32" ht="15.75" customHeight="1" x14ac:dyDescent="0.2">
      <c r="A274" s="73"/>
      <c r="B274" s="73"/>
      <c r="C274" s="74"/>
      <c r="D274" s="74"/>
      <c r="E274" s="74"/>
      <c r="F274" s="73"/>
      <c r="G274" s="74"/>
      <c r="H274" s="73"/>
      <c r="I274" s="73"/>
      <c r="J274" s="73"/>
      <c r="K274" s="73"/>
      <c r="L274" s="73"/>
      <c r="M274" s="73"/>
      <c r="N274" s="73"/>
      <c r="O274" s="73"/>
      <c r="P274" s="73"/>
      <c r="Q274" s="73"/>
      <c r="R274" s="73"/>
      <c r="S274" s="73"/>
      <c r="T274" s="73"/>
      <c r="U274" s="73"/>
      <c r="V274" s="73"/>
      <c r="W274" s="73"/>
      <c r="X274" s="73"/>
      <c r="Y274" s="73"/>
      <c r="Z274" s="73"/>
      <c r="AA274" s="73"/>
      <c r="AB274" s="73"/>
      <c r="AC274" s="73"/>
      <c r="AD274" s="73"/>
      <c r="AE274" s="73"/>
      <c r="AF274" s="73"/>
    </row>
    <row r="275" spans="1:32" ht="15.75" customHeight="1" x14ac:dyDescent="0.2">
      <c r="A275" s="73"/>
      <c r="B275" s="73"/>
      <c r="C275" s="74"/>
      <c r="D275" s="74"/>
      <c r="E275" s="74"/>
      <c r="F275" s="73"/>
      <c r="G275" s="74"/>
      <c r="H275" s="73"/>
      <c r="I275" s="73"/>
      <c r="J275" s="73"/>
      <c r="K275" s="73"/>
      <c r="L275" s="73"/>
      <c r="M275" s="73"/>
      <c r="N275" s="73"/>
      <c r="O275" s="73"/>
      <c r="P275" s="73"/>
      <c r="Q275" s="73"/>
      <c r="R275" s="73"/>
      <c r="S275" s="73"/>
      <c r="T275" s="73"/>
      <c r="U275" s="73"/>
      <c r="V275" s="73"/>
      <c r="W275" s="73"/>
      <c r="X275" s="73"/>
      <c r="Y275" s="73"/>
      <c r="Z275" s="73"/>
      <c r="AA275" s="73"/>
      <c r="AB275" s="73"/>
      <c r="AC275" s="73"/>
      <c r="AD275" s="73"/>
      <c r="AE275" s="73"/>
      <c r="AF275" s="73"/>
    </row>
    <row r="276" spans="1:32" ht="15.75" customHeight="1" x14ac:dyDescent="0.2">
      <c r="A276" s="73"/>
      <c r="B276" s="73"/>
      <c r="C276" s="74"/>
      <c r="D276" s="74"/>
      <c r="E276" s="74"/>
      <c r="F276" s="73"/>
      <c r="G276" s="74"/>
      <c r="H276" s="73"/>
      <c r="I276" s="73"/>
      <c r="J276" s="73"/>
      <c r="K276" s="73"/>
      <c r="L276" s="73"/>
      <c r="M276" s="73"/>
      <c r="N276" s="73"/>
      <c r="O276" s="73"/>
      <c r="P276" s="73"/>
      <c r="Q276" s="73"/>
      <c r="R276" s="73"/>
      <c r="S276" s="73"/>
      <c r="T276" s="73"/>
      <c r="U276" s="73"/>
      <c r="V276" s="73"/>
      <c r="W276" s="73"/>
      <c r="X276" s="73"/>
      <c r="Y276" s="73"/>
      <c r="Z276" s="73"/>
      <c r="AA276" s="73"/>
      <c r="AB276" s="73"/>
      <c r="AC276" s="73"/>
      <c r="AD276" s="73"/>
      <c r="AE276" s="73"/>
      <c r="AF276" s="73"/>
    </row>
    <row r="277" spans="1:32" ht="15.75" customHeight="1" x14ac:dyDescent="0.2">
      <c r="A277" s="73"/>
      <c r="B277" s="73"/>
      <c r="C277" s="74"/>
      <c r="D277" s="74"/>
      <c r="E277" s="74"/>
      <c r="F277" s="73"/>
      <c r="G277" s="74"/>
      <c r="H277" s="73"/>
      <c r="I277" s="73"/>
      <c r="J277" s="73"/>
      <c r="K277" s="73"/>
      <c r="L277" s="73"/>
      <c r="M277" s="73"/>
      <c r="N277" s="73"/>
      <c r="O277" s="73"/>
      <c r="P277" s="73"/>
      <c r="Q277" s="73"/>
      <c r="R277" s="73"/>
      <c r="S277" s="73"/>
      <c r="T277" s="73"/>
      <c r="U277" s="73"/>
      <c r="V277" s="73"/>
      <c r="W277" s="73"/>
      <c r="X277" s="73"/>
      <c r="Y277" s="73"/>
      <c r="Z277" s="73"/>
      <c r="AA277" s="73"/>
      <c r="AB277" s="73"/>
      <c r="AC277" s="73"/>
      <c r="AD277" s="73"/>
      <c r="AE277" s="73"/>
      <c r="AF277" s="73"/>
    </row>
    <row r="278" spans="1:32" ht="15.75" customHeight="1" x14ac:dyDescent="0.2">
      <c r="A278" s="73"/>
      <c r="B278" s="73"/>
      <c r="C278" s="74"/>
      <c r="D278" s="74"/>
      <c r="E278" s="74"/>
      <c r="F278" s="73"/>
      <c r="G278" s="74"/>
      <c r="H278" s="73"/>
      <c r="I278" s="73"/>
      <c r="J278" s="73"/>
      <c r="K278" s="73"/>
      <c r="L278" s="73"/>
      <c r="M278" s="73"/>
      <c r="N278" s="73"/>
      <c r="O278" s="73"/>
      <c r="P278" s="73"/>
      <c r="Q278" s="73"/>
      <c r="R278" s="73"/>
      <c r="S278" s="73"/>
      <c r="T278" s="73"/>
      <c r="U278" s="73"/>
      <c r="V278" s="73"/>
      <c r="W278" s="73"/>
      <c r="X278" s="73"/>
      <c r="Y278" s="73"/>
      <c r="Z278" s="73"/>
      <c r="AA278" s="73"/>
      <c r="AB278" s="73"/>
      <c r="AC278" s="73"/>
      <c r="AD278" s="73"/>
      <c r="AE278" s="73"/>
      <c r="AF278" s="73"/>
    </row>
    <row r="279" spans="1:32" ht="15.75" customHeight="1" x14ac:dyDescent="0.2">
      <c r="A279" s="73"/>
      <c r="B279" s="73"/>
      <c r="C279" s="74"/>
      <c r="D279" s="74"/>
      <c r="E279" s="74"/>
      <c r="F279" s="73"/>
      <c r="G279" s="74"/>
      <c r="H279" s="73"/>
      <c r="I279" s="73"/>
      <c r="J279" s="73"/>
      <c r="K279" s="73"/>
      <c r="L279" s="73"/>
      <c r="M279" s="73"/>
      <c r="N279" s="73"/>
      <c r="O279" s="73"/>
      <c r="P279" s="73"/>
      <c r="Q279" s="73"/>
      <c r="R279" s="73"/>
      <c r="S279" s="73"/>
      <c r="T279" s="73"/>
      <c r="U279" s="73"/>
      <c r="V279" s="73"/>
      <c r="W279" s="73"/>
      <c r="X279" s="73"/>
      <c r="Y279" s="73"/>
      <c r="Z279" s="73"/>
      <c r="AA279" s="73"/>
      <c r="AB279" s="73"/>
      <c r="AC279" s="73"/>
      <c r="AD279" s="73"/>
      <c r="AE279" s="73"/>
      <c r="AF279" s="73"/>
    </row>
    <row r="280" spans="1:32" ht="15.75" customHeight="1" x14ac:dyDescent="0.2">
      <c r="A280" s="73"/>
      <c r="B280" s="73"/>
      <c r="C280" s="74"/>
      <c r="D280" s="74"/>
      <c r="E280" s="74"/>
      <c r="F280" s="73"/>
      <c r="G280" s="74"/>
      <c r="H280" s="73"/>
      <c r="I280" s="73"/>
      <c r="J280" s="73"/>
      <c r="K280" s="73"/>
      <c r="L280" s="73"/>
      <c r="M280" s="73"/>
      <c r="N280" s="73"/>
      <c r="O280" s="73"/>
      <c r="P280" s="73"/>
      <c r="Q280" s="73"/>
      <c r="R280" s="73"/>
      <c r="S280" s="73"/>
      <c r="T280" s="73"/>
      <c r="U280" s="73"/>
      <c r="V280" s="73"/>
      <c r="W280" s="73"/>
      <c r="X280" s="73"/>
      <c r="Y280" s="73"/>
      <c r="Z280" s="73"/>
      <c r="AA280" s="73"/>
      <c r="AB280" s="73"/>
      <c r="AC280" s="73"/>
      <c r="AD280" s="73"/>
      <c r="AE280" s="73"/>
      <c r="AF280" s="73"/>
    </row>
    <row r="281" spans="1:32" ht="15.75" customHeight="1" x14ac:dyDescent="0.2">
      <c r="A281" s="73"/>
      <c r="B281" s="73"/>
      <c r="C281" s="74"/>
      <c r="D281" s="74"/>
      <c r="E281" s="74"/>
      <c r="F281" s="73"/>
      <c r="G281" s="74"/>
      <c r="H281" s="73"/>
      <c r="I281" s="73"/>
      <c r="J281" s="73"/>
      <c r="K281" s="73"/>
      <c r="L281" s="73"/>
      <c r="M281" s="73"/>
      <c r="N281" s="73"/>
      <c r="O281" s="73"/>
      <c r="P281" s="73"/>
      <c r="Q281" s="73"/>
      <c r="R281" s="73"/>
      <c r="S281" s="73"/>
      <c r="T281" s="73"/>
      <c r="U281" s="73"/>
      <c r="V281" s="73"/>
      <c r="W281" s="73"/>
      <c r="X281" s="73"/>
      <c r="Y281" s="73"/>
      <c r="Z281" s="73"/>
      <c r="AA281" s="73"/>
      <c r="AB281" s="73"/>
      <c r="AC281" s="73"/>
      <c r="AD281" s="73"/>
      <c r="AE281" s="73"/>
      <c r="AF281" s="73"/>
    </row>
    <row r="282" spans="1:32" ht="15.75" customHeight="1" x14ac:dyDescent="0.2">
      <c r="A282" s="73"/>
      <c r="B282" s="73"/>
      <c r="C282" s="74"/>
      <c r="D282" s="74"/>
      <c r="E282" s="74"/>
      <c r="F282" s="73"/>
      <c r="G282" s="74"/>
      <c r="H282" s="73"/>
      <c r="I282" s="73"/>
      <c r="J282" s="73"/>
      <c r="K282" s="73"/>
      <c r="L282" s="73"/>
      <c r="M282" s="73"/>
      <c r="N282" s="73"/>
      <c r="O282" s="73"/>
      <c r="P282" s="73"/>
      <c r="Q282" s="73"/>
      <c r="R282" s="73"/>
      <c r="S282" s="73"/>
      <c r="T282" s="73"/>
      <c r="U282" s="73"/>
      <c r="V282" s="73"/>
      <c r="W282" s="73"/>
      <c r="X282" s="73"/>
      <c r="Y282" s="73"/>
      <c r="Z282" s="73"/>
      <c r="AA282" s="73"/>
      <c r="AB282" s="73"/>
      <c r="AC282" s="73"/>
      <c r="AD282" s="73"/>
      <c r="AE282" s="73"/>
      <c r="AF282" s="73"/>
    </row>
    <row r="283" spans="1:32" ht="15.75" customHeight="1" x14ac:dyDescent="0.2">
      <c r="A283" s="73"/>
      <c r="B283" s="73"/>
      <c r="C283" s="74"/>
      <c r="D283" s="74"/>
      <c r="E283" s="74"/>
      <c r="F283" s="73"/>
      <c r="G283" s="74"/>
      <c r="H283" s="73"/>
      <c r="I283" s="73"/>
      <c r="J283" s="73"/>
      <c r="K283" s="73"/>
      <c r="L283" s="73"/>
      <c r="M283" s="73"/>
      <c r="N283" s="73"/>
      <c r="O283" s="73"/>
      <c r="P283" s="73"/>
      <c r="Q283" s="73"/>
      <c r="R283" s="73"/>
      <c r="S283" s="73"/>
      <c r="T283" s="73"/>
      <c r="U283" s="73"/>
      <c r="V283" s="73"/>
      <c r="W283" s="73"/>
      <c r="X283" s="73"/>
      <c r="Y283" s="73"/>
      <c r="Z283" s="73"/>
      <c r="AA283" s="73"/>
      <c r="AB283" s="73"/>
      <c r="AC283" s="73"/>
      <c r="AD283" s="73"/>
      <c r="AE283" s="73"/>
      <c r="AF283" s="73"/>
    </row>
    <row r="284" spans="1:32" ht="15.75" customHeight="1" x14ac:dyDescent="0.2">
      <c r="A284" s="73"/>
      <c r="B284" s="73"/>
      <c r="C284" s="74"/>
      <c r="D284" s="74"/>
      <c r="E284" s="74"/>
      <c r="F284" s="73"/>
      <c r="G284" s="74"/>
      <c r="H284" s="73"/>
      <c r="I284" s="73"/>
      <c r="J284" s="73"/>
      <c r="K284" s="73"/>
      <c r="L284" s="73"/>
      <c r="M284" s="73"/>
      <c r="N284" s="73"/>
      <c r="O284" s="73"/>
      <c r="P284" s="73"/>
      <c r="Q284" s="73"/>
      <c r="R284" s="73"/>
      <c r="S284" s="73"/>
      <c r="T284" s="73"/>
      <c r="U284" s="73"/>
      <c r="V284" s="73"/>
      <c r="W284" s="73"/>
      <c r="X284" s="73"/>
      <c r="Y284" s="73"/>
      <c r="Z284" s="73"/>
      <c r="AA284" s="73"/>
      <c r="AB284" s="73"/>
      <c r="AC284" s="73"/>
      <c r="AD284" s="73"/>
      <c r="AE284" s="73"/>
      <c r="AF284" s="73"/>
    </row>
    <row r="285" spans="1:32" ht="15.75" customHeight="1" x14ac:dyDescent="0.2">
      <c r="A285" s="73"/>
      <c r="B285" s="73"/>
      <c r="C285" s="74"/>
      <c r="D285" s="74"/>
      <c r="E285" s="74"/>
      <c r="F285" s="73"/>
      <c r="G285" s="74"/>
      <c r="H285" s="73"/>
      <c r="I285" s="73"/>
      <c r="J285" s="73"/>
      <c r="K285" s="73"/>
      <c r="L285" s="73"/>
      <c r="M285" s="73"/>
      <c r="N285" s="73"/>
      <c r="O285" s="73"/>
      <c r="P285" s="73"/>
      <c r="Q285" s="73"/>
      <c r="R285" s="73"/>
      <c r="S285" s="73"/>
      <c r="T285" s="73"/>
      <c r="U285" s="73"/>
      <c r="V285" s="73"/>
      <c r="W285" s="73"/>
      <c r="X285" s="73"/>
      <c r="Y285" s="73"/>
      <c r="Z285" s="73"/>
      <c r="AA285" s="73"/>
      <c r="AB285" s="73"/>
      <c r="AC285" s="73"/>
      <c r="AD285" s="73"/>
      <c r="AE285" s="73"/>
      <c r="AF285" s="73"/>
    </row>
    <row r="286" spans="1:32" ht="15.75" customHeight="1" x14ac:dyDescent="0.2">
      <c r="A286" s="73"/>
      <c r="B286" s="73"/>
      <c r="C286" s="74"/>
      <c r="D286" s="74"/>
      <c r="E286" s="74"/>
      <c r="F286" s="73"/>
      <c r="G286" s="74"/>
      <c r="H286" s="73"/>
      <c r="I286" s="73"/>
      <c r="J286" s="73"/>
      <c r="K286" s="73"/>
      <c r="L286" s="73"/>
      <c r="M286" s="73"/>
      <c r="N286" s="73"/>
      <c r="O286" s="73"/>
      <c r="P286" s="73"/>
      <c r="Q286" s="73"/>
      <c r="R286" s="73"/>
      <c r="S286" s="73"/>
      <c r="T286" s="73"/>
      <c r="U286" s="73"/>
      <c r="V286" s="73"/>
      <c r="W286" s="73"/>
      <c r="X286" s="73"/>
      <c r="Y286" s="73"/>
      <c r="Z286" s="73"/>
      <c r="AA286" s="73"/>
      <c r="AB286" s="73"/>
      <c r="AC286" s="73"/>
      <c r="AD286" s="73"/>
      <c r="AE286" s="73"/>
      <c r="AF286" s="73"/>
    </row>
    <row r="287" spans="1:32" ht="15.75" customHeight="1" x14ac:dyDescent="0.2">
      <c r="A287" s="73"/>
      <c r="B287" s="73"/>
      <c r="C287" s="74"/>
      <c r="D287" s="74"/>
      <c r="E287" s="74"/>
      <c r="F287" s="73"/>
      <c r="G287" s="74"/>
      <c r="H287" s="73"/>
      <c r="I287" s="73"/>
      <c r="J287" s="73"/>
      <c r="K287" s="73"/>
      <c r="L287" s="73"/>
      <c r="M287" s="73"/>
      <c r="N287" s="73"/>
      <c r="O287" s="73"/>
      <c r="P287" s="73"/>
      <c r="Q287" s="73"/>
      <c r="R287" s="73"/>
      <c r="S287" s="73"/>
      <c r="T287" s="73"/>
      <c r="U287" s="73"/>
      <c r="V287" s="73"/>
      <c r="W287" s="73"/>
      <c r="X287" s="73"/>
      <c r="Y287" s="73"/>
      <c r="Z287" s="73"/>
      <c r="AA287" s="73"/>
      <c r="AB287" s="73"/>
      <c r="AC287" s="73"/>
      <c r="AD287" s="73"/>
      <c r="AE287" s="73"/>
      <c r="AF287" s="73"/>
    </row>
    <row r="288" spans="1:32" ht="15.75" customHeight="1" x14ac:dyDescent="0.2">
      <c r="A288" s="73"/>
      <c r="B288" s="73"/>
      <c r="C288" s="74"/>
      <c r="D288" s="74"/>
      <c r="E288" s="74"/>
      <c r="F288" s="73"/>
      <c r="G288" s="74"/>
      <c r="H288" s="73"/>
      <c r="I288" s="73"/>
      <c r="J288" s="73"/>
      <c r="K288" s="73"/>
      <c r="L288" s="73"/>
      <c r="M288" s="73"/>
      <c r="N288" s="73"/>
      <c r="O288" s="73"/>
      <c r="P288" s="73"/>
      <c r="Q288" s="73"/>
      <c r="R288" s="73"/>
      <c r="S288" s="73"/>
      <c r="T288" s="73"/>
      <c r="U288" s="73"/>
      <c r="V288" s="73"/>
      <c r="W288" s="73"/>
      <c r="X288" s="73"/>
      <c r="Y288" s="73"/>
      <c r="Z288" s="73"/>
      <c r="AA288" s="73"/>
      <c r="AB288" s="73"/>
      <c r="AC288" s="73"/>
      <c r="AD288" s="73"/>
      <c r="AE288" s="73"/>
      <c r="AF288" s="73"/>
    </row>
    <row r="289" spans="1:32" ht="15.75" customHeight="1" x14ac:dyDescent="0.2">
      <c r="A289" s="73"/>
      <c r="B289" s="73"/>
      <c r="C289" s="74"/>
      <c r="D289" s="74"/>
      <c r="E289" s="74"/>
      <c r="F289" s="73"/>
      <c r="G289" s="74"/>
      <c r="H289" s="73"/>
      <c r="I289" s="73"/>
      <c r="J289" s="73"/>
      <c r="K289" s="73"/>
      <c r="L289" s="73"/>
      <c r="M289" s="73"/>
      <c r="N289" s="73"/>
      <c r="O289" s="73"/>
      <c r="P289" s="73"/>
      <c r="Q289" s="73"/>
      <c r="R289" s="73"/>
      <c r="S289" s="73"/>
      <c r="T289" s="73"/>
      <c r="U289" s="73"/>
      <c r="V289" s="73"/>
      <c r="W289" s="73"/>
      <c r="X289" s="73"/>
      <c r="Y289" s="73"/>
      <c r="Z289" s="73"/>
      <c r="AA289" s="73"/>
      <c r="AB289" s="73"/>
      <c r="AC289" s="73"/>
      <c r="AD289" s="73"/>
      <c r="AE289" s="73"/>
      <c r="AF289" s="73"/>
    </row>
    <row r="290" spans="1:32" ht="15.75" customHeight="1" x14ac:dyDescent="0.2">
      <c r="A290" s="73"/>
      <c r="B290" s="73"/>
      <c r="C290" s="74"/>
      <c r="D290" s="74"/>
      <c r="E290" s="74"/>
      <c r="F290" s="73"/>
      <c r="G290" s="74"/>
      <c r="H290" s="73"/>
      <c r="I290" s="73"/>
      <c r="J290" s="73"/>
      <c r="K290" s="73"/>
      <c r="L290" s="73"/>
      <c r="M290" s="73"/>
      <c r="N290" s="73"/>
      <c r="O290" s="73"/>
      <c r="P290" s="73"/>
      <c r="Q290" s="73"/>
      <c r="R290" s="73"/>
      <c r="S290" s="73"/>
      <c r="T290" s="73"/>
      <c r="U290" s="73"/>
      <c r="V290" s="73"/>
      <c r="W290" s="73"/>
      <c r="X290" s="73"/>
      <c r="Y290" s="73"/>
      <c r="Z290" s="73"/>
      <c r="AA290" s="73"/>
      <c r="AB290" s="73"/>
      <c r="AC290" s="73"/>
      <c r="AD290" s="73"/>
      <c r="AE290" s="73"/>
      <c r="AF290" s="73"/>
    </row>
    <row r="291" spans="1:32" ht="15.75" customHeight="1" x14ac:dyDescent="0.2">
      <c r="A291" s="73"/>
      <c r="B291" s="73"/>
      <c r="C291" s="74"/>
      <c r="D291" s="74"/>
      <c r="E291" s="74"/>
      <c r="F291" s="73"/>
      <c r="G291" s="74"/>
      <c r="H291" s="73"/>
      <c r="I291" s="73"/>
      <c r="J291" s="73"/>
      <c r="K291" s="73"/>
      <c r="L291" s="73"/>
      <c r="M291" s="73"/>
      <c r="N291" s="73"/>
      <c r="O291" s="73"/>
      <c r="P291" s="73"/>
      <c r="Q291" s="73"/>
      <c r="R291" s="73"/>
      <c r="S291" s="73"/>
      <c r="T291" s="73"/>
      <c r="U291" s="73"/>
      <c r="V291" s="73"/>
      <c r="W291" s="73"/>
      <c r="X291" s="73"/>
      <c r="Y291" s="73"/>
      <c r="Z291" s="73"/>
      <c r="AA291" s="73"/>
      <c r="AB291" s="73"/>
      <c r="AC291" s="73"/>
      <c r="AD291" s="73"/>
      <c r="AE291" s="73"/>
      <c r="AF291" s="73"/>
    </row>
    <row r="292" spans="1:32" ht="15.75" customHeight="1" x14ac:dyDescent="0.2">
      <c r="A292" s="73"/>
      <c r="B292" s="73"/>
      <c r="C292" s="74"/>
      <c r="D292" s="74"/>
      <c r="E292" s="74"/>
      <c r="F292" s="73"/>
      <c r="G292" s="74"/>
      <c r="H292" s="73"/>
      <c r="I292" s="73"/>
      <c r="J292" s="73"/>
      <c r="K292" s="73"/>
      <c r="L292" s="73"/>
      <c r="M292" s="73"/>
      <c r="N292" s="73"/>
      <c r="O292" s="73"/>
      <c r="P292" s="73"/>
      <c r="Q292" s="73"/>
      <c r="R292" s="73"/>
      <c r="S292" s="73"/>
      <c r="T292" s="73"/>
      <c r="U292" s="73"/>
      <c r="V292" s="73"/>
      <c r="W292" s="73"/>
      <c r="X292" s="73"/>
      <c r="Y292" s="73"/>
      <c r="Z292" s="73"/>
      <c r="AA292" s="73"/>
      <c r="AB292" s="73"/>
      <c r="AC292" s="73"/>
      <c r="AD292" s="73"/>
      <c r="AE292" s="73"/>
      <c r="AF292" s="73"/>
    </row>
    <row r="293" spans="1:32" ht="15.75" customHeight="1" x14ac:dyDescent="0.2">
      <c r="A293" s="73"/>
      <c r="B293" s="73"/>
      <c r="C293" s="74"/>
      <c r="D293" s="74"/>
      <c r="E293" s="74"/>
      <c r="F293" s="73"/>
      <c r="G293" s="74"/>
      <c r="H293" s="73"/>
      <c r="I293" s="73"/>
      <c r="J293" s="73"/>
      <c r="K293" s="73"/>
      <c r="L293" s="73"/>
      <c r="M293" s="73"/>
      <c r="N293" s="73"/>
      <c r="O293" s="73"/>
      <c r="P293" s="73"/>
      <c r="Q293" s="73"/>
      <c r="R293" s="73"/>
      <c r="S293" s="73"/>
      <c r="T293" s="73"/>
      <c r="U293" s="73"/>
      <c r="V293" s="73"/>
      <c r="W293" s="73"/>
      <c r="X293" s="73"/>
      <c r="Y293" s="73"/>
      <c r="Z293" s="73"/>
      <c r="AA293" s="73"/>
      <c r="AB293" s="73"/>
      <c r="AC293" s="73"/>
      <c r="AD293" s="73"/>
      <c r="AE293" s="73"/>
      <c r="AF293" s="73"/>
    </row>
    <row r="294" spans="1:32" ht="15.75" customHeight="1" x14ac:dyDescent="0.2">
      <c r="A294" s="73"/>
      <c r="B294" s="73"/>
      <c r="C294" s="74"/>
      <c r="D294" s="74"/>
      <c r="E294" s="74"/>
      <c r="F294" s="73"/>
      <c r="G294" s="74"/>
      <c r="H294" s="73"/>
      <c r="I294" s="73"/>
      <c r="J294" s="73"/>
      <c r="K294" s="73"/>
      <c r="L294" s="73"/>
      <c r="M294" s="73"/>
      <c r="N294" s="73"/>
      <c r="O294" s="73"/>
      <c r="P294" s="73"/>
      <c r="Q294" s="73"/>
      <c r="R294" s="73"/>
      <c r="S294" s="73"/>
      <c r="T294" s="73"/>
      <c r="U294" s="73"/>
      <c r="V294" s="73"/>
      <c r="W294" s="73"/>
      <c r="X294" s="73"/>
      <c r="Y294" s="73"/>
      <c r="Z294" s="73"/>
      <c r="AA294" s="73"/>
      <c r="AB294" s="73"/>
      <c r="AC294" s="73"/>
      <c r="AD294" s="73"/>
      <c r="AE294" s="73"/>
      <c r="AF294" s="73"/>
    </row>
    <row r="295" spans="1:32" ht="15.75" customHeight="1" x14ac:dyDescent="0.2">
      <c r="A295" s="73"/>
      <c r="B295" s="73"/>
      <c r="C295" s="74"/>
      <c r="D295" s="74"/>
      <c r="E295" s="74"/>
      <c r="F295" s="73"/>
      <c r="G295" s="74"/>
      <c r="H295" s="73"/>
      <c r="I295" s="73"/>
      <c r="J295" s="73"/>
      <c r="K295" s="73"/>
      <c r="L295" s="73"/>
      <c r="M295" s="73"/>
      <c r="N295" s="73"/>
      <c r="O295" s="73"/>
      <c r="P295" s="73"/>
      <c r="Q295" s="73"/>
      <c r="R295" s="73"/>
      <c r="S295" s="73"/>
      <c r="T295" s="73"/>
      <c r="U295" s="73"/>
      <c r="V295" s="73"/>
      <c r="W295" s="73"/>
      <c r="X295" s="73"/>
      <c r="Y295" s="73"/>
      <c r="Z295" s="73"/>
      <c r="AA295" s="73"/>
      <c r="AB295" s="73"/>
      <c r="AC295" s="73"/>
      <c r="AD295" s="73"/>
      <c r="AE295" s="73"/>
      <c r="AF295" s="73"/>
    </row>
    <row r="296" spans="1:32" ht="15.75" customHeight="1" x14ac:dyDescent="0.2">
      <c r="A296" s="73"/>
      <c r="B296" s="73"/>
      <c r="C296" s="74"/>
      <c r="D296" s="74"/>
      <c r="E296" s="74"/>
      <c r="F296" s="73"/>
      <c r="G296" s="74"/>
      <c r="H296" s="73"/>
      <c r="I296" s="73"/>
      <c r="J296" s="73"/>
      <c r="K296" s="73"/>
      <c r="L296" s="73"/>
      <c r="M296" s="73"/>
      <c r="N296" s="73"/>
      <c r="O296" s="73"/>
      <c r="P296" s="73"/>
      <c r="Q296" s="73"/>
      <c r="R296" s="73"/>
      <c r="S296" s="73"/>
      <c r="T296" s="73"/>
      <c r="U296" s="73"/>
      <c r="V296" s="73"/>
      <c r="W296" s="73"/>
      <c r="X296" s="73"/>
      <c r="Y296" s="73"/>
      <c r="Z296" s="73"/>
      <c r="AA296" s="73"/>
      <c r="AB296" s="73"/>
      <c r="AC296" s="73"/>
      <c r="AD296" s="73"/>
      <c r="AE296" s="73"/>
      <c r="AF296" s="73"/>
    </row>
    <row r="297" spans="1:32" ht="15.75" customHeight="1" x14ac:dyDescent="0.2">
      <c r="A297" s="73"/>
      <c r="B297" s="73"/>
      <c r="C297" s="74"/>
      <c r="D297" s="74"/>
      <c r="E297" s="74"/>
      <c r="F297" s="73"/>
      <c r="G297" s="74"/>
      <c r="H297" s="73"/>
      <c r="I297" s="73"/>
      <c r="J297" s="73"/>
      <c r="K297" s="73"/>
      <c r="L297" s="73"/>
      <c r="M297" s="73"/>
      <c r="N297" s="73"/>
      <c r="O297" s="73"/>
      <c r="P297" s="73"/>
      <c r="Q297" s="73"/>
      <c r="R297" s="73"/>
      <c r="S297" s="73"/>
      <c r="T297" s="73"/>
      <c r="U297" s="73"/>
      <c r="V297" s="73"/>
      <c r="W297" s="73"/>
      <c r="X297" s="73"/>
      <c r="Y297" s="73"/>
      <c r="Z297" s="73"/>
      <c r="AA297" s="73"/>
      <c r="AB297" s="73"/>
      <c r="AC297" s="73"/>
      <c r="AD297" s="73"/>
      <c r="AE297" s="73"/>
      <c r="AF297" s="73"/>
    </row>
    <row r="298" spans="1:32" ht="15.75" customHeight="1" x14ac:dyDescent="0.2">
      <c r="A298" s="73"/>
      <c r="B298" s="73"/>
      <c r="C298" s="74"/>
      <c r="D298" s="74"/>
      <c r="E298" s="74"/>
      <c r="F298" s="73"/>
      <c r="G298" s="74"/>
      <c r="H298" s="73"/>
      <c r="I298" s="73"/>
      <c r="J298" s="73"/>
      <c r="K298" s="73"/>
      <c r="L298" s="73"/>
      <c r="M298" s="73"/>
      <c r="N298" s="73"/>
      <c r="O298" s="73"/>
      <c r="P298" s="73"/>
      <c r="Q298" s="73"/>
      <c r="R298" s="73"/>
      <c r="S298" s="73"/>
      <c r="T298" s="73"/>
      <c r="U298" s="73"/>
      <c r="V298" s="73"/>
      <c r="W298" s="73"/>
      <c r="X298" s="73"/>
      <c r="Y298" s="73"/>
      <c r="Z298" s="73"/>
      <c r="AA298" s="73"/>
      <c r="AB298" s="73"/>
      <c r="AC298" s="73"/>
      <c r="AD298" s="73"/>
      <c r="AE298" s="73"/>
      <c r="AF298" s="73"/>
    </row>
    <row r="299" spans="1:32" ht="15.75" customHeight="1" x14ac:dyDescent="0.2">
      <c r="A299" s="73"/>
      <c r="B299" s="73"/>
      <c r="C299" s="74"/>
      <c r="D299" s="74"/>
      <c r="E299" s="74"/>
      <c r="F299" s="73"/>
      <c r="G299" s="74"/>
      <c r="H299" s="73"/>
      <c r="I299" s="73"/>
      <c r="J299" s="73"/>
      <c r="K299" s="73"/>
      <c r="L299" s="73"/>
      <c r="M299" s="73"/>
      <c r="N299" s="73"/>
      <c r="O299" s="73"/>
      <c r="P299" s="73"/>
      <c r="Q299" s="73"/>
      <c r="R299" s="73"/>
      <c r="S299" s="73"/>
      <c r="T299" s="73"/>
      <c r="U299" s="73"/>
      <c r="V299" s="73"/>
      <c r="W299" s="73"/>
      <c r="X299" s="73"/>
      <c r="Y299" s="73"/>
      <c r="Z299" s="73"/>
      <c r="AA299" s="73"/>
      <c r="AB299" s="73"/>
      <c r="AC299" s="73"/>
      <c r="AD299" s="73"/>
      <c r="AE299" s="73"/>
      <c r="AF299" s="73"/>
    </row>
    <row r="300" spans="1:32" ht="15.75" customHeight="1" x14ac:dyDescent="0.2">
      <c r="A300" s="73"/>
      <c r="B300" s="73"/>
      <c r="C300" s="74"/>
      <c r="D300" s="74"/>
      <c r="E300" s="74"/>
      <c r="F300" s="73"/>
      <c r="G300" s="74"/>
      <c r="H300" s="73"/>
      <c r="I300" s="73"/>
      <c r="J300" s="73"/>
      <c r="K300" s="73"/>
      <c r="L300" s="73"/>
      <c r="M300" s="73"/>
      <c r="N300" s="73"/>
      <c r="O300" s="73"/>
      <c r="P300" s="73"/>
      <c r="Q300" s="73"/>
      <c r="R300" s="73"/>
      <c r="S300" s="73"/>
      <c r="T300" s="73"/>
      <c r="U300" s="73"/>
      <c r="V300" s="73"/>
      <c r="W300" s="73"/>
      <c r="X300" s="73"/>
      <c r="Y300" s="73"/>
      <c r="Z300" s="73"/>
      <c r="AA300" s="73"/>
      <c r="AB300" s="73"/>
      <c r="AC300" s="73"/>
      <c r="AD300" s="73"/>
      <c r="AE300" s="73"/>
      <c r="AF300" s="73"/>
    </row>
    <row r="301" spans="1:32" ht="15.75" customHeight="1" x14ac:dyDescent="0.2">
      <c r="A301" s="73"/>
      <c r="B301" s="73"/>
      <c r="C301" s="74"/>
      <c r="D301" s="74"/>
      <c r="E301" s="74"/>
      <c r="F301" s="73"/>
      <c r="G301" s="74"/>
      <c r="H301" s="73"/>
      <c r="I301" s="73"/>
      <c r="J301" s="73"/>
      <c r="K301" s="73"/>
      <c r="L301" s="73"/>
      <c r="M301" s="73"/>
      <c r="N301" s="73"/>
      <c r="O301" s="73"/>
      <c r="P301" s="73"/>
      <c r="Q301" s="73"/>
      <c r="R301" s="73"/>
      <c r="S301" s="73"/>
      <c r="T301" s="73"/>
      <c r="U301" s="73"/>
      <c r="V301" s="73"/>
      <c r="W301" s="73"/>
      <c r="X301" s="73"/>
      <c r="Y301" s="73"/>
      <c r="Z301" s="73"/>
      <c r="AA301" s="73"/>
      <c r="AB301" s="73"/>
      <c r="AC301" s="73"/>
      <c r="AD301" s="73"/>
      <c r="AE301" s="73"/>
      <c r="AF301" s="73"/>
    </row>
    <row r="302" spans="1:32" ht="15.75" customHeight="1" x14ac:dyDescent="0.2">
      <c r="A302" s="73"/>
      <c r="B302" s="73"/>
      <c r="C302" s="74"/>
      <c r="D302" s="74"/>
      <c r="E302" s="74"/>
      <c r="F302" s="73"/>
      <c r="G302" s="74"/>
      <c r="H302" s="73"/>
      <c r="I302" s="73"/>
      <c r="J302" s="73"/>
      <c r="K302" s="73"/>
      <c r="L302" s="73"/>
      <c r="M302" s="73"/>
      <c r="N302" s="73"/>
      <c r="O302" s="73"/>
      <c r="P302" s="73"/>
      <c r="Q302" s="73"/>
      <c r="R302" s="73"/>
      <c r="S302" s="73"/>
      <c r="T302" s="73"/>
      <c r="U302" s="73"/>
      <c r="V302" s="73"/>
      <c r="W302" s="73"/>
      <c r="X302" s="73"/>
      <c r="Y302" s="73"/>
      <c r="Z302" s="73"/>
      <c r="AA302" s="73"/>
      <c r="AB302" s="73"/>
      <c r="AC302" s="73"/>
      <c r="AD302" s="73"/>
      <c r="AE302" s="73"/>
      <c r="AF302" s="73"/>
    </row>
    <row r="303" spans="1:32" ht="15.75" customHeight="1" x14ac:dyDescent="0.2">
      <c r="A303" s="73"/>
      <c r="B303" s="73"/>
      <c r="C303" s="74"/>
      <c r="D303" s="74"/>
      <c r="E303" s="74"/>
      <c r="F303" s="73"/>
      <c r="G303" s="74"/>
      <c r="H303" s="73"/>
      <c r="I303" s="73"/>
      <c r="J303" s="73"/>
      <c r="K303" s="73"/>
      <c r="L303" s="73"/>
      <c r="M303" s="73"/>
      <c r="N303" s="73"/>
      <c r="O303" s="73"/>
      <c r="P303" s="73"/>
      <c r="Q303" s="73"/>
      <c r="R303" s="73"/>
      <c r="S303" s="73"/>
      <c r="T303" s="73"/>
      <c r="U303" s="73"/>
      <c r="V303" s="73"/>
      <c r="W303" s="73"/>
      <c r="X303" s="73"/>
      <c r="Y303" s="73"/>
      <c r="Z303" s="73"/>
      <c r="AA303" s="73"/>
      <c r="AB303" s="73"/>
      <c r="AC303" s="73"/>
      <c r="AD303" s="73"/>
      <c r="AE303" s="73"/>
      <c r="AF303" s="73"/>
    </row>
    <row r="304" spans="1:32" ht="15.75" customHeight="1" x14ac:dyDescent="0.2">
      <c r="A304" s="73"/>
      <c r="B304" s="73"/>
      <c r="C304" s="74"/>
      <c r="D304" s="74"/>
      <c r="E304" s="74"/>
      <c r="F304" s="73"/>
      <c r="G304" s="74"/>
      <c r="H304" s="73"/>
      <c r="I304" s="73"/>
      <c r="J304" s="73"/>
      <c r="K304" s="73"/>
      <c r="L304" s="73"/>
      <c r="M304" s="73"/>
      <c r="N304" s="73"/>
      <c r="O304" s="73"/>
      <c r="P304" s="73"/>
      <c r="Q304" s="73"/>
      <c r="R304" s="73"/>
      <c r="S304" s="73"/>
      <c r="T304" s="73"/>
      <c r="U304" s="73"/>
      <c r="V304" s="73"/>
      <c r="W304" s="73"/>
      <c r="X304" s="73"/>
      <c r="Y304" s="73"/>
      <c r="Z304" s="73"/>
      <c r="AA304" s="73"/>
      <c r="AB304" s="73"/>
      <c r="AC304" s="73"/>
      <c r="AD304" s="73"/>
      <c r="AE304" s="73"/>
      <c r="AF304" s="73"/>
    </row>
    <row r="305" spans="1:32" ht="15.75" customHeight="1" x14ac:dyDescent="0.2">
      <c r="A305" s="73"/>
      <c r="B305" s="73"/>
      <c r="C305" s="74"/>
      <c r="D305" s="74"/>
      <c r="E305" s="74"/>
      <c r="F305" s="73"/>
      <c r="G305" s="74"/>
      <c r="H305" s="73"/>
      <c r="I305" s="73"/>
      <c r="J305" s="73"/>
      <c r="K305" s="73"/>
      <c r="L305" s="73"/>
      <c r="M305" s="73"/>
      <c r="N305" s="73"/>
      <c r="O305" s="73"/>
      <c r="P305" s="73"/>
      <c r="Q305" s="73"/>
      <c r="R305" s="73"/>
      <c r="S305" s="73"/>
      <c r="T305" s="73"/>
      <c r="U305" s="73"/>
      <c r="V305" s="73"/>
      <c r="W305" s="73"/>
      <c r="X305" s="73"/>
      <c r="Y305" s="73"/>
      <c r="Z305" s="73"/>
      <c r="AA305" s="73"/>
      <c r="AB305" s="73"/>
      <c r="AC305" s="73"/>
      <c r="AD305" s="73"/>
      <c r="AE305" s="73"/>
      <c r="AF305" s="73"/>
    </row>
    <row r="306" spans="1:32" ht="15.75" customHeight="1" x14ac:dyDescent="0.2">
      <c r="A306" s="73"/>
      <c r="B306" s="73"/>
      <c r="C306" s="74"/>
      <c r="D306" s="74"/>
      <c r="E306" s="74"/>
      <c r="F306" s="73"/>
      <c r="G306" s="74"/>
      <c r="H306" s="73"/>
      <c r="I306" s="73"/>
      <c r="J306" s="73"/>
      <c r="K306" s="73"/>
      <c r="L306" s="73"/>
      <c r="M306" s="73"/>
      <c r="N306" s="73"/>
      <c r="O306" s="73"/>
      <c r="P306" s="73"/>
      <c r="Q306" s="73"/>
      <c r="R306" s="73"/>
      <c r="S306" s="73"/>
      <c r="T306" s="73"/>
      <c r="U306" s="73"/>
      <c r="V306" s="73"/>
      <c r="W306" s="73"/>
      <c r="X306" s="73"/>
      <c r="Y306" s="73"/>
      <c r="Z306" s="73"/>
      <c r="AA306" s="73"/>
      <c r="AB306" s="73"/>
      <c r="AC306" s="73"/>
      <c r="AD306" s="73"/>
      <c r="AE306" s="73"/>
      <c r="AF306" s="73"/>
    </row>
    <row r="307" spans="1:32" ht="15.75" customHeight="1" x14ac:dyDescent="0.2">
      <c r="A307" s="73"/>
      <c r="B307" s="73"/>
      <c r="C307" s="74"/>
      <c r="D307" s="74"/>
      <c r="E307" s="74"/>
      <c r="F307" s="73"/>
      <c r="G307" s="74"/>
      <c r="H307" s="73"/>
      <c r="I307" s="73"/>
      <c r="J307" s="73"/>
      <c r="K307" s="73"/>
      <c r="L307" s="73"/>
      <c r="M307" s="73"/>
      <c r="N307" s="73"/>
      <c r="O307" s="73"/>
      <c r="P307" s="73"/>
      <c r="Q307" s="73"/>
      <c r="R307" s="73"/>
      <c r="S307" s="73"/>
      <c r="T307" s="73"/>
      <c r="U307" s="73"/>
      <c r="V307" s="73"/>
      <c r="W307" s="73"/>
      <c r="X307" s="73"/>
      <c r="Y307" s="73"/>
      <c r="Z307" s="73"/>
      <c r="AA307" s="73"/>
      <c r="AB307" s="73"/>
      <c r="AC307" s="73"/>
      <c r="AD307" s="73"/>
      <c r="AE307" s="73"/>
      <c r="AF307" s="73"/>
    </row>
    <row r="308" spans="1:32" ht="15.75" customHeight="1" x14ac:dyDescent="0.2">
      <c r="A308" s="73"/>
      <c r="B308" s="73"/>
      <c r="C308" s="74"/>
      <c r="D308" s="74"/>
      <c r="E308" s="74"/>
      <c r="F308" s="73"/>
      <c r="G308" s="74"/>
      <c r="H308" s="73"/>
      <c r="I308" s="73"/>
      <c r="J308" s="73"/>
      <c r="K308" s="73"/>
      <c r="L308" s="73"/>
      <c r="M308" s="73"/>
      <c r="N308" s="73"/>
      <c r="O308" s="73"/>
      <c r="P308" s="73"/>
      <c r="Q308" s="73"/>
      <c r="R308" s="73"/>
      <c r="S308" s="73"/>
      <c r="T308" s="73"/>
      <c r="U308" s="73"/>
      <c r="V308" s="73"/>
      <c r="W308" s="73"/>
      <c r="X308" s="73"/>
      <c r="Y308" s="73"/>
      <c r="Z308" s="73"/>
      <c r="AA308" s="73"/>
      <c r="AB308" s="73"/>
      <c r="AC308" s="73"/>
      <c r="AD308" s="73"/>
      <c r="AE308" s="73"/>
      <c r="AF308" s="73"/>
    </row>
    <row r="309" spans="1:32" ht="15.75" customHeight="1" x14ac:dyDescent="0.2">
      <c r="A309" s="73"/>
      <c r="B309" s="73"/>
      <c r="C309" s="74"/>
      <c r="D309" s="74"/>
      <c r="E309" s="74"/>
      <c r="F309" s="73"/>
      <c r="G309" s="74"/>
      <c r="H309" s="73"/>
      <c r="I309" s="73"/>
      <c r="J309" s="73"/>
      <c r="K309" s="73"/>
      <c r="L309" s="73"/>
      <c r="M309" s="73"/>
      <c r="N309" s="73"/>
      <c r="O309" s="73"/>
      <c r="P309" s="73"/>
      <c r="Q309" s="73"/>
      <c r="R309" s="73"/>
      <c r="S309" s="73"/>
      <c r="T309" s="73"/>
      <c r="U309" s="73"/>
      <c r="V309" s="73"/>
      <c r="W309" s="73"/>
      <c r="X309" s="73"/>
      <c r="Y309" s="73"/>
      <c r="Z309" s="73"/>
      <c r="AA309" s="73"/>
      <c r="AB309" s="73"/>
      <c r="AC309" s="73"/>
      <c r="AD309" s="73"/>
      <c r="AE309" s="73"/>
      <c r="AF309" s="73"/>
    </row>
    <row r="310" spans="1:32" ht="15.75" customHeight="1" x14ac:dyDescent="0.2">
      <c r="A310" s="73"/>
      <c r="B310" s="73"/>
      <c r="C310" s="74"/>
      <c r="D310" s="74"/>
      <c r="E310" s="74"/>
      <c r="F310" s="73"/>
      <c r="G310" s="74"/>
      <c r="H310" s="73"/>
      <c r="I310" s="73"/>
      <c r="J310" s="73"/>
      <c r="K310" s="73"/>
      <c r="L310" s="73"/>
      <c r="M310" s="73"/>
      <c r="N310" s="73"/>
      <c r="O310" s="73"/>
      <c r="P310" s="73"/>
      <c r="Q310" s="73"/>
      <c r="R310" s="73"/>
      <c r="S310" s="73"/>
      <c r="T310" s="73"/>
      <c r="U310" s="73"/>
      <c r="V310" s="73"/>
      <c r="W310" s="73"/>
      <c r="X310" s="73"/>
      <c r="Y310" s="73"/>
      <c r="Z310" s="73"/>
      <c r="AA310" s="73"/>
      <c r="AB310" s="73"/>
      <c r="AC310" s="73"/>
      <c r="AD310" s="73"/>
      <c r="AE310" s="73"/>
      <c r="AF310" s="73"/>
    </row>
    <row r="311" spans="1:32" ht="15.75" customHeight="1" x14ac:dyDescent="0.2">
      <c r="A311" s="73"/>
      <c r="B311" s="73"/>
      <c r="C311" s="74"/>
      <c r="D311" s="74"/>
      <c r="E311" s="74"/>
      <c r="F311" s="73"/>
      <c r="G311" s="74"/>
      <c r="H311" s="73"/>
      <c r="I311" s="73"/>
      <c r="J311" s="73"/>
      <c r="K311" s="73"/>
      <c r="L311" s="73"/>
      <c r="M311" s="73"/>
      <c r="N311" s="73"/>
      <c r="O311" s="73"/>
      <c r="P311" s="73"/>
      <c r="Q311" s="73"/>
      <c r="R311" s="73"/>
      <c r="S311" s="73"/>
      <c r="T311" s="73"/>
      <c r="U311" s="73"/>
      <c r="V311" s="73"/>
      <c r="W311" s="73"/>
      <c r="X311" s="73"/>
      <c r="Y311" s="73"/>
      <c r="Z311" s="73"/>
      <c r="AA311" s="73"/>
      <c r="AB311" s="73"/>
      <c r="AC311" s="73"/>
      <c r="AD311" s="73"/>
      <c r="AE311" s="73"/>
      <c r="AF311" s="73"/>
    </row>
    <row r="312" spans="1:32" ht="15.75" customHeight="1" x14ac:dyDescent="0.2">
      <c r="A312" s="73"/>
      <c r="B312" s="73"/>
      <c r="C312" s="74"/>
      <c r="D312" s="74"/>
      <c r="E312" s="74"/>
      <c r="F312" s="73"/>
      <c r="G312" s="74"/>
      <c r="H312" s="73"/>
      <c r="I312" s="73"/>
      <c r="J312" s="73"/>
      <c r="K312" s="73"/>
      <c r="L312" s="73"/>
      <c r="M312" s="73"/>
      <c r="N312" s="73"/>
      <c r="O312" s="73"/>
      <c r="P312" s="73"/>
      <c r="Q312" s="73"/>
      <c r="R312" s="73"/>
      <c r="S312" s="73"/>
      <c r="T312" s="73"/>
      <c r="U312" s="73"/>
      <c r="V312" s="73"/>
      <c r="W312" s="73"/>
      <c r="X312" s="73"/>
      <c r="Y312" s="73"/>
      <c r="Z312" s="73"/>
      <c r="AA312" s="73"/>
      <c r="AB312" s="73"/>
      <c r="AC312" s="73"/>
      <c r="AD312" s="73"/>
      <c r="AE312" s="73"/>
      <c r="AF312" s="73"/>
    </row>
    <row r="313" spans="1:32" ht="15.75" customHeight="1" x14ac:dyDescent="0.2">
      <c r="A313" s="73"/>
      <c r="B313" s="73"/>
      <c r="C313" s="74"/>
      <c r="D313" s="74"/>
      <c r="E313" s="74"/>
      <c r="F313" s="73"/>
      <c r="G313" s="74"/>
      <c r="H313" s="73"/>
      <c r="I313" s="73"/>
      <c r="J313" s="73"/>
      <c r="K313" s="73"/>
      <c r="L313" s="73"/>
      <c r="M313" s="73"/>
      <c r="N313" s="73"/>
      <c r="O313" s="73"/>
      <c r="P313" s="73"/>
      <c r="Q313" s="73"/>
      <c r="R313" s="73"/>
      <c r="S313" s="73"/>
      <c r="T313" s="73"/>
      <c r="U313" s="73"/>
      <c r="V313" s="73"/>
      <c r="W313" s="73"/>
      <c r="X313" s="73"/>
      <c r="Y313" s="73"/>
      <c r="Z313" s="73"/>
      <c r="AA313" s="73"/>
      <c r="AB313" s="73"/>
      <c r="AC313" s="73"/>
      <c r="AD313" s="73"/>
      <c r="AE313" s="73"/>
      <c r="AF313" s="73"/>
    </row>
    <row r="314" spans="1:32" ht="15.75" customHeight="1" x14ac:dyDescent="0.2">
      <c r="A314" s="73"/>
      <c r="B314" s="73"/>
      <c r="C314" s="74"/>
      <c r="D314" s="74"/>
      <c r="E314" s="74"/>
      <c r="F314" s="73"/>
      <c r="G314" s="74"/>
      <c r="H314" s="73"/>
      <c r="I314" s="73"/>
      <c r="J314" s="73"/>
      <c r="K314" s="73"/>
      <c r="L314" s="73"/>
      <c r="M314" s="73"/>
      <c r="N314" s="73"/>
      <c r="O314" s="73"/>
      <c r="P314" s="73"/>
      <c r="Q314" s="73"/>
      <c r="R314" s="73"/>
      <c r="S314" s="73"/>
      <c r="T314" s="73"/>
      <c r="U314" s="73"/>
      <c r="V314" s="73"/>
      <c r="W314" s="73"/>
      <c r="X314" s="73"/>
      <c r="Y314" s="73"/>
      <c r="Z314" s="73"/>
      <c r="AA314" s="73"/>
      <c r="AB314" s="73"/>
      <c r="AC314" s="73"/>
      <c r="AD314" s="73"/>
      <c r="AE314" s="73"/>
      <c r="AF314" s="73"/>
    </row>
    <row r="315" spans="1:32" ht="15.75" customHeight="1" x14ac:dyDescent="0.2">
      <c r="A315" s="73"/>
      <c r="B315" s="73"/>
      <c r="C315" s="74"/>
      <c r="D315" s="74"/>
      <c r="E315" s="74"/>
      <c r="F315" s="73"/>
      <c r="G315" s="74"/>
      <c r="H315" s="73"/>
      <c r="I315" s="73"/>
      <c r="J315" s="73"/>
      <c r="K315" s="73"/>
      <c r="L315" s="73"/>
      <c r="M315" s="73"/>
      <c r="N315" s="73"/>
      <c r="O315" s="73"/>
      <c r="P315" s="73"/>
      <c r="Q315" s="73"/>
      <c r="R315" s="73"/>
      <c r="S315" s="73"/>
      <c r="T315" s="73"/>
      <c r="U315" s="73"/>
      <c r="V315" s="73"/>
      <c r="W315" s="73"/>
      <c r="X315" s="73"/>
      <c r="Y315" s="73"/>
      <c r="Z315" s="73"/>
      <c r="AA315" s="73"/>
      <c r="AB315" s="73"/>
      <c r="AC315" s="73"/>
      <c r="AD315" s="73"/>
      <c r="AE315" s="73"/>
      <c r="AF315" s="73"/>
    </row>
    <row r="316" spans="1:32" ht="15.75" customHeight="1" x14ac:dyDescent="0.2">
      <c r="A316" s="73"/>
      <c r="B316" s="73"/>
      <c r="C316" s="74"/>
      <c r="D316" s="74"/>
      <c r="E316" s="74"/>
      <c r="F316" s="73"/>
      <c r="G316" s="74"/>
      <c r="H316" s="73"/>
      <c r="I316" s="73"/>
      <c r="J316" s="73"/>
      <c r="K316" s="73"/>
      <c r="L316" s="73"/>
      <c r="M316" s="73"/>
      <c r="N316" s="73"/>
      <c r="O316" s="73"/>
      <c r="P316" s="73"/>
      <c r="Q316" s="73"/>
      <c r="R316" s="73"/>
      <c r="S316" s="73"/>
      <c r="T316" s="73"/>
      <c r="U316" s="73"/>
      <c r="V316" s="73"/>
      <c r="W316" s="73"/>
      <c r="X316" s="73"/>
      <c r="Y316" s="73"/>
      <c r="Z316" s="73"/>
      <c r="AA316" s="73"/>
      <c r="AB316" s="73"/>
      <c r="AC316" s="73"/>
      <c r="AD316" s="73"/>
      <c r="AE316" s="73"/>
      <c r="AF316" s="73"/>
    </row>
    <row r="317" spans="1:32" ht="15.75" customHeight="1" x14ac:dyDescent="0.2">
      <c r="A317" s="73"/>
      <c r="B317" s="73"/>
      <c r="C317" s="74"/>
      <c r="D317" s="74"/>
      <c r="E317" s="74"/>
      <c r="F317" s="73"/>
      <c r="G317" s="74"/>
      <c r="H317" s="73"/>
      <c r="I317" s="73"/>
      <c r="J317" s="73"/>
      <c r="K317" s="73"/>
      <c r="L317" s="73"/>
      <c r="M317" s="73"/>
      <c r="N317" s="73"/>
      <c r="O317" s="73"/>
      <c r="P317" s="73"/>
      <c r="Q317" s="73"/>
      <c r="R317" s="73"/>
      <c r="S317" s="73"/>
      <c r="T317" s="73"/>
      <c r="U317" s="73"/>
      <c r="V317" s="73"/>
      <c r="W317" s="73"/>
      <c r="X317" s="73"/>
      <c r="Y317" s="73"/>
      <c r="Z317" s="73"/>
      <c r="AA317" s="73"/>
      <c r="AB317" s="73"/>
      <c r="AC317" s="73"/>
      <c r="AD317" s="73"/>
      <c r="AE317" s="73"/>
      <c r="AF317" s="73"/>
    </row>
    <row r="318" spans="1:32" ht="15.75" customHeight="1" x14ac:dyDescent="0.2">
      <c r="A318" s="73"/>
      <c r="B318" s="73"/>
      <c r="C318" s="74"/>
      <c r="D318" s="74"/>
      <c r="E318" s="74"/>
      <c r="F318" s="73"/>
      <c r="G318" s="74"/>
      <c r="H318" s="73"/>
      <c r="I318" s="73"/>
      <c r="J318" s="73"/>
      <c r="K318" s="73"/>
      <c r="L318" s="73"/>
      <c r="M318" s="73"/>
      <c r="N318" s="73"/>
      <c r="O318" s="73"/>
      <c r="P318" s="73"/>
      <c r="Q318" s="73"/>
      <c r="R318" s="73"/>
      <c r="S318" s="73"/>
      <c r="T318" s="73"/>
      <c r="U318" s="73"/>
      <c r="V318" s="73"/>
      <c r="W318" s="73"/>
      <c r="X318" s="73"/>
      <c r="Y318" s="73"/>
      <c r="Z318" s="73"/>
      <c r="AA318" s="73"/>
      <c r="AB318" s="73"/>
      <c r="AC318" s="73"/>
      <c r="AD318" s="73"/>
      <c r="AE318" s="73"/>
      <c r="AF318" s="73"/>
    </row>
    <row r="319" spans="1:32" ht="15.75" customHeight="1" x14ac:dyDescent="0.2">
      <c r="A319" s="73"/>
      <c r="B319" s="73"/>
      <c r="C319" s="74"/>
      <c r="D319" s="74"/>
      <c r="E319" s="74"/>
      <c r="F319" s="73"/>
      <c r="G319" s="74"/>
      <c r="H319" s="73"/>
      <c r="I319" s="73"/>
      <c r="J319" s="73"/>
      <c r="K319" s="73"/>
      <c r="L319" s="73"/>
      <c r="M319" s="73"/>
      <c r="N319" s="73"/>
      <c r="O319" s="73"/>
      <c r="P319" s="73"/>
      <c r="Q319" s="73"/>
      <c r="R319" s="73"/>
      <c r="S319" s="73"/>
      <c r="T319" s="73"/>
      <c r="U319" s="73"/>
      <c r="V319" s="73"/>
      <c r="W319" s="73"/>
      <c r="X319" s="73"/>
      <c r="Y319" s="73"/>
      <c r="Z319" s="73"/>
      <c r="AA319" s="73"/>
      <c r="AB319" s="73"/>
      <c r="AC319" s="73"/>
      <c r="AD319" s="73"/>
      <c r="AE319" s="73"/>
      <c r="AF319" s="73"/>
    </row>
    <row r="320" spans="1:32" ht="15.75" customHeight="1" x14ac:dyDescent="0.2">
      <c r="A320" s="73"/>
      <c r="B320" s="73"/>
      <c r="C320" s="74"/>
      <c r="D320" s="74"/>
      <c r="E320" s="74"/>
      <c r="F320" s="73"/>
      <c r="G320" s="74"/>
      <c r="H320" s="73"/>
      <c r="I320" s="73"/>
      <c r="J320" s="73"/>
      <c r="K320" s="73"/>
      <c r="L320" s="73"/>
      <c r="M320" s="73"/>
      <c r="N320" s="73"/>
      <c r="O320" s="73"/>
      <c r="P320" s="73"/>
      <c r="Q320" s="73"/>
      <c r="R320" s="73"/>
      <c r="S320" s="73"/>
      <c r="T320" s="73"/>
      <c r="U320" s="73"/>
      <c r="V320" s="73"/>
      <c r="W320" s="73"/>
      <c r="X320" s="73"/>
      <c r="Y320" s="73"/>
      <c r="Z320" s="73"/>
      <c r="AA320" s="73"/>
      <c r="AB320" s="73"/>
      <c r="AC320" s="73"/>
      <c r="AD320" s="73"/>
      <c r="AE320" s="73"/>
      <c r="AF320" s="73"/>
    </row>
    <row r="321" spans="1:32" ht="15.75" customHeight="1" x14ac:dyDescent="0.2">
      <c r="A321" s="73"/>
      <c r="B321" s="73"/>
      <c r="C321" s="74"/>
      <c r="D321" s="74"/>
      <c r="E321" s="74"/>
      <c r="F321" s="73"/>
      <c r="G321" s="74"/>
      <c r="H321" s="73"/>
      <c r="I321" s="73"/>
      <c r="J321" s="73"/>
      <c r="K321" s="73"/>
      <c r="L321" s="73"/>
      <c r="M321" s="73"/>
      <c r="N321" s="73"/>
      <c r="O321" s="73"/>
      <c r="P321" s="73"/>
      <c r="Q321" s="73"/>
      <c r="R321" s="73"/>
      <c r="S321" s="73"/>
      <c r="T321" s="73"/>
      <c r="U321" s="73"/>
      <c r="V321" s="73"/>
      <c r="W321" s="73"/>
      <c r="X321" s="73"/>
      <c r="Y321" s="73"/>
      <c r="Z321" s="73"/>
      <c r="AA321" s="73"/>
      <c r="AB321" s="73"/>
      <c r="AC321" s="73"/>
      <c r="AD321" s="73"/>
      <c r="AE321" s="73"/>
      <c r="AF321" s="73"/>
    </row>
    <row r="322" spans="1:32" ht="15.75" customHeight="1" x14ac:dyDescent="0.2">
      <c r="A322" s="73"/>
      <c r="B322" s="73"/>
      <c r="C322" s="74"/>
      <c r="D322" s="74"/>
      <c r="E322" s="74"/>
      <c r="F322" s="73"/>
      <c r="G322" s="74"/>
      <c r="H322" s="73"/>
      <c r="I322" s="73"/>
      <c r="J322" s="73"/>
      <c r="K322" s="73"/>
      <c r="L322" s="73"/>
      <c r="M322" s="73"/>
      <c r="N322" s="73"/>
      <c r="O322" s="73"/>
      <c r="P322" s="73"/>
      <c r="Q322" s="73"/>
      <c r="R322" s="73"/>
      <c r="S322" s="73"/>
      <c r="T322" s="73"/>
      <c r="U322" s="73"/>
      <c r="V322" s="73"/>
      <c r="W322" s="73"/>
      <c r="X322" s="73"/>
      <c r="Y322" s="73"/>
      <c r="Z322" s="73"/>
      <c r="AA322" s="73"/>
      <c r="AB322" s="73"/>
      <c r="AC322" s="73"/>
      <c r="AD322" s="73"/>
      <c r="AE322" s="73"/>
      <c r="AF322" s="73"/>
    </row>
    <row r="323" spans="1:32" ht="15.75" customHeight="1" x14ac:dyDescent="0.2">
      <c r="A323" s="73"/>
      <c r="B323" s="73"/>
      <c r="C323" s="74"/>
      <c r="D323" s="74"/>
      <c r="E323" s="74"/>
      <c r="F323" s="73"/>
      <c r="G323" s="74"/>
      <c r="H323" s="73"/>
      <c r="I323" s="73"/>
      <c r="J323" s="73"/>
      <c r="K323" s="73"/>
      <c r="L323" s="73"/>
      <c r="M323" s="73"/>
      <c r="N323" s="73"/>
      <c r="O323" s="73"/>
      <c r="P323" s="73"/>
      <c r="Q323" s="73"/>
      <c r="R323" s="73"/>
      <c r="S323" s="73"/>
      <c r="T323" s="73"/>
      <c r="U323" s="73"/>
      <c r="V323" s="73"/>
      <c r="W323" s="73"/>
      <c r="X323" s="73"/>
      <c r="Y323" s="73"/>
      <c r="Z323" s="73"/>
      <c r="AA323" s="73"/>
      <c r="AB323" s="73"/>
      <c r="AC323" s="73"/>
      <c r="AD323" s="73"/>
      <c r="AE323" s="73"/>
      <c r="AF323" s="73"/>
    </row>
    <row r="324" spans="1:32" ht="15.75" customHeight="1" x14ac:dyDescent="0.2">
      <c r="A324" s="73"/>
      <c r="B324" s="73"/>
      <c r="C324" s="74"/>
      <c r="D324" s="74"/>
      <c r="E324" s="74"/>
      <c r="F324" s="73"/>
      <c r="G324" s="74"/>
      <c r="H324" s="73"/>
      <c r="I324" s="73"/>
      <c r="J324" s="73"/>
      <c r="K324" s="73"/>
      <c r="L324" s="73"/>
      <c r="M324" s="73"/>
      <c r="N324" s="73"/>
      <c r="O324" s="73"/>
      <c r="P324" s="73"/>
      <c r="Q324" s="73"/>
      <c r="R324" s="73"/>
      <c r="S324" s="73"/>
      <c r="T324" s="73"/>
      <c r="U324" s="73"/>
      <c r="V324" s="73"/>
      <c r="W324" s="73"/>
      <c r="X324" s="73"/>
      <c r="Y324" s="73"/>
      <c r="Z324" s="73"/>
      <c r="AA324" s="73"/>
      <c r="AB324" s="73"/>
      <c r="AC324" s="73"/>
      <c r="AD324" s="73"/>
      <c r="AE324" s="73"/>
      <c r="AF324" s="73"/>
    </row>
    <row r="325" spans="1:32" ht="15.75" customHeight="1" x14ac:dyDescent="0.2">
      <c r="A325" s="73"/>
      <c r="B325" s="73"/>
      <c r="C325" s="74"/>
      <c r="D325" s="74"/>
      <c r="E325" s="74"/>
      <c r="F325" s="73"/>
      <c r="G325" s="74"/>
      <c r="H325" s="73"/>
      <c r="I325" s="73"/>
      <c r="J325" s="73"/>
      <c r="K325" s="73"/>
      <c r="L325" s="73"/>
      <c r="M325" s="73"/>
      <c r="N325" s="73"/>
      <c r="O325" s="73"/>
      <c r="P325" s="73"/>
      <c r="Q325" s="73"/>
      <c r="R325" s="73"/>
      <c r="S325" s="73"/>
      <c r="T325" s="73"/>
      <c r="U325" s="73"/>
      <c r="V325" s="73"/>
      <c r="W325" s="73"/>
      <c r="X325" s="73"/>
      <c r="Y325" s="73"/>
      <c r="Z325" s="73"/>
      <c r="AA325" s="73"/>
      <c r="AB325" s="73"/>
      <c r="AC325" s="73"/>
      <c r="AD325" s="73"/>
      <c r="AE325" s="73"/>
      <c r="AF325" s="73"/>
    </row>
    <row r="326" spans="1:32" ht="15.75" customHeight="1" x14ac:dyDescent="0.2">
      <c r="A326" s="73"/>
      <c r="B326" s="73"/>
      <c r="C326" s="74"/>
      <c r="D326" s="74"/>
      <c r="E326" s="74"/>
      <c r="F326" s="73"/>
      <c r="G326" s="74"/>
      <c r="H326" s="73"/>
      <c r="I326" s="73"/>
      <c r="J326" s="73"/>
      <c r="K326" s="73"/>
      <c r="L326" s="73"/>
      <c r="M326" s="73"/>
      <c r="N326" s="73"/>
      <c r="O326" s="73"/>
      <c r="P326" s="73"/>
      <c r="Q326" s="73"/>
      <c r="R326" s="73"/>
      <c r="S326" s="73"/>
      <c r="T326" s="73"/>
      <c r="U326" s="73"/>
      <c r="V326" s="73"/>
      <c r="W326" s="73"/>
      <c r="X326" s="73"/>
      <c r="Y326" s="73"/>
      <c r="Z326" s="73"/>
      <c r="AA326" s="73"/>
      <c r="AB326" s="73"/>
      <c r="AC326" s="73"/>
      <c r="AD326" s="73"/>
      <c r="AE326" s="73"/>
      <c r="AF326" s="73"/>
    </row>
    <row r="327" spans="1:32" ht="15.75" customHeight="1" x14ac:dyDescent="0.2">
      <c r="A327" s="73"/>
      <c r="B327" s="73"/>
      <c r="C327" s="74"/>
      <c r="D327" s="74"/>
      <c r="E327" s="74"/>
      <c r="F327" s="73"/>
      <c r="G327" s="74"/>
      <c r="H327" s="73"/>
      <c r="I327" s="73"/>
      <c r="J327" s="73"/>
      <c r="K327" s="73"/>
      <c r="L327" s="73"/>
      <c r="M327" s="73"/>
      <c r="N327" s="73"/>
      <c r="O327" s="73"/>
      <c r="P327" s="73"/>
      <c r="Q327" s="73"/>
      <c r="R327" s="73"/>
      <c r="S327" s="73"/>
      <c r="T327" s="73"/>
      <c r="U327" s="73"/>
      <c r="V327" s="73"/>
      <c r="W327" s="73"/>
      <c r="X327" s="73"/>
      <c r="Y327" s="73"/>
      <c r="Z327" s="73"/>
      <c r="AA327" s="73"/>
      <c r="AB327" s="73"/>
      <c r="AC327" s="73"/>
      <c r="AD327" s="73"/>
      <c r="AE327" s="73"/>
      <c r="AF327" s="73"/>
    </row>
    <row r="328" spans="1:32" ht="15.75" customHeight="1" x14ac:dyDescent="0.2">
      <c r="A328" s="73"/>
      <c r="B328" s="73"/>
      <c r="C328" s="74"/>
      <c r="D328" s="74"/>
      <c r="E328" s="74"/>
      <c r="F328" s="73"/>
      <c r="G328" s="74"/>
      <c r="H328" s="73"/>
      <c r="I328" s="73"/>
      <c r="J328" s="73"/>
      <c r="K328" s="73"/>
      <c r="L328" s="73"/>
      <c r="M328" s="73"/>
      <c r="N328" s="73"/>
      <c r="O328" s="73"/>
      <c r="P328" s="73"/>
      <c r="Q328" s="73"/>
      <c r="R328" s="73"/>
      <c r="S328" s="73"/>
      <c r="T328" s="73"/>
      <c r="U328" s="73"/>
      <c r="V328" s="73"/>
      <c r="W328" s="73"/>
      <c r="X328" s="73"/>
      <c r="Y328" s="73"/>
      <c r="Z328" s="73"/>
      <c r="AA328" s="73"/>
      <c r="AB328" s="73"/>
      <c r="AC328" s="73"/>
      <c r="AD328" s="73"/>
      <c r="AE328" s="73"/>
      <c r="AF328" s="73"/>
    </row>
    <row r="329" spans="1:32" ht="15.75" customHeight="1" x14ac:dyDescent="0.2">
      <c r="A329" s="73"/>
      <c r="B329" s="73"/>
      <c r="C329" s="74"/>
      <c r="D329" s="74"/>
      <c r="E329" s="74"/>
      <c r="F329" s="73"/>
      <c r="G329" s="74"/>
      <c r="H329" s="73"/>
      <c r="I329" s="73"/>
      <c r="J329" s="73"/>
      <c r="K329" s="73"/>
      <c r="L329" s="73"/>
      <c r="M329" s="73"/>
      <c r="N329" s="73"/>
      <c r="O329" s="73"/>
      <c r="P329" s="73"/>
      <c r="Q329" s="73"/>
      <c r="R329" s="73"/>
      <c r="S329" s="73"/>
      <c r="T329" s="73"/>
      <c r="U329" s="73"/>
      <c r="V329" s="73"/>
      <c r="W329" s="73"/>
      <c r="X329" s="73"/>
      <c r="Y329" s="73"/>
      <c r="Z329" s="73"/>
      <c r="AA329" s="73"/>
      <c r="AB329" s="73"/>
      <c r="AC329" s="73"/>
      <c r="AD329" s="73"/>
      <c r="AE329" s="73"/>
      <c r="AF329" s="73"/>
    </row>
    <row r="330" spans="1:32" ht="15.75" customHeight="1" x14ac:dyDescent="0.2">
      <c r="A330" s="73"/>
      <c r="B330" s="73"/>
      <c r="C330" s="74"/>
      <c r="D330" s="74"/>
      <c r="E330" s="74"/>
      <c r="F330" s="73"/>
      <c r="G330" s="74"/>
      <c r="H330" s="73"/>
      <c r="I330" s="73"/>
      <c r="J330" s="73"/>
      <c r="K330" s="73"/>
      <c r="L330" s="73"/>
      <c r="M330" s="73"/>
      <c r="N330" s="73"/>
      <c r="O330" s="73"/>
      <c r="P330" s="73"/>
      <c r="Q330" s="73"/>
      <c r="R330" s="73"/>
      <c r="S330" s="73"/>
      <c r="T330" s="73"/>
      <c r="U330" s="73"/>
      <c r="V330" s="73"/>
      <c r="W330" s="73"/>
      <c r="X330" s="73"/>
      <c r="Y330" s="73"/>
      <c r="Z330" s="73"/>
      <c r="AA330" s="73"/>
      <c r="AB330" s="73"/>
      <c r="AC330" s="73"/>
      <c r="AD330" s="73"/>
      <c r="AE330" s="73"/>
      <c r="AF330" s="73"/>
    </row>
    <row r="331" spans="1:32" ht="15.75" customHeight="1" x14ac:dyDescent="0.2">
      <c r="A331" s="73"/>
      <c r="B331" s="73"/>
      <c r="C331" s="74"/>
      <c r="D331" s="74"/>
      <c r="E331" s="74"/>
      <c r="F331" s="73"/>
      <c r="G331" s="74"/>
      <c r="H331" s="73"/>
      <c r="I331" s="73"/>
      <c r="J331" s="73"/>
      <c r="K331" s="73"/>
      <c r="L331" s="73"/>
      <c r="M331" s="73"/>
      <c r="N331" s="73"/>
      <c r="O331" s="73"/>
      <c r="P331" s="73"/>
      <c r="Q331" s="73"/>
      <c r="R331" s="73"/>
      <c r="S331" s="73"/>
      <c r="T331" s="73"/>
      <c r="U331" s="73"/>
      <c r="V331" s="73"/>
      <c r="W331" s="73"/>
      <c r="X331" s="73"/>
      <c r="Y331" s="73"/>
      <c r="Z331" s="73"/>
      <c r="AA331" s="73"/>
      <c r="AB331" s="73"/>
      <c r="AC331" s="73"/>
      <c r="AD331" s="73"/>
      <c r="AE331" s="73"/>
      <c r="AF331" s="73"/>
    </row>
    <row r="332" spans="1:32" ht="15.75" customHeight="1" x14ac:dyDescent="0.2">
      <c r="A332" s="73"/>
      <c r="B332" s="73"/>
      <c r="C332" s="74"/>
      <c r="D332" s="74"/>
      <c r="E332" s="74"/>
      <c r="F332" s="73"/>
      <c r="G332" s="74"/>
      <c r="H332" s="73"/>
      <c r="I332" s="73"/>
      <c r="J332" s="73"/>
      <c r="K332" s="73"/>
      <c r="L332" s="73"/>
      <c r="M332" s="73"/>
      <c r="N332" s="73"/>
      <c r="O332" s="73"/>
      <c r="P332" s="73"/>
      <c r="Q332" s="73"/>
      <c r="R332" s="73"/>
      <c r="S332" s="73"/>
      <c r="T332" s="73"/>
      <c r="U332" s="73"/>
      <c r="V332" s="73"/>
      <c r="W332" s="73"/>
      <c r="X332" s="73"/>
      <c r="Y332" s="73"/>
      <c r="Z332" s="73"/>
      <c r="AA332" s="73"/>
      <c r="AB332" s="73"/>
      <c r="AC332" s="73"/>
      <c r="AD332" s="73"/>
      <c r="AE332" s="73"/>
      <c r="AF332" s="73"/>
    </row>
    <row r="333" spans="1:32" ht="15.75" customHeight="1" x14ac:dyDescent="0.2">
      <c r="A333" s="73"/>
      <c r="B333" s="73"/>
      <c r="C333" s="74"/>
      <c r="D333" s="74"/>
      <c r="E333" s="74"/>
      <c r="F333" s="73"/>
      <c r="G333" s="74"/>
      <c r="H333" s="73"/>
      <c r="I333" s="73"/>
      <c r="J333" s="73"/>
      <c r="K333" s="73"/>
      <c r="L333" s="73"/>
      <c r="M333" s="73"/>
      <c r="N333" s="73"/>
      <c r="O333" s="73"/>
      <c r="P333" s="73"/>
      <c r="Q333" s="73"/>
      <c r="R333" s="73"/>
      <c r="S333" s="73"/>
      <c r="T333" s="73"/>
      <c r="U333" s="73"/>
      <c r="V333" s="73"/>
      <c r="W333" s="73"/>
      <c r="X333" s="73"/>
      <c r="Y333" s="73"/>
      <c r="Z333" s="73"/>
      <c r="AA333" s="73"/>
      <c r="AB333" s="73"/>
      <c r="AC333" s="73"/>
      <c r="AD333" s="73"/>
      <c r="AE333" s="73"/>
      <c r="AF333" s="73"/>
    </row>
    <row r="334" spans="1:32" ht="15.75" customHeight="1" x14ac:dyDescent="0.2">
      <c r="A334" s="73"/>
      <c r="B334" s="73"/>
      <c r="C334" s="74"/>
      <c r="D334" s="74"/>
      <c r="E334" s="74"/>
      <c r="F334" s="73"/>
      <c r="G334" s="74"/>
      <c r="H334" s="73"/>
      <c r="I334" s="73"/>
      <c r="J334" s="73"/>
      <c r="K334" s="73"/>
      <c r="L334" s="73"/>
      <c r="M334" s="73"/>
      <c r="N334" s="73"/>
      <c r="O334" s="73"/>
      <c r="P334" s="73"/>
      <c r="Q334" s="73"/>
      <c r="R334" s="73"/>
      <c r="S334" s="73"/>
      <c r="T334" s="73"/>
      <c r="U334" s="73"/>
      <c r="V334" s="73"/>
      <c r="W334" s="73"/>
      <c r="X334" s="73"/>
      <c r="Y334" s="73"/>
      <c r="Z334" s="73"/>
      <c r="AA334" s="73"/>
      <c r="AB334" s="73"/>
      <c r="AC334" s="73"/>
      <c r="AD334" s="73"/>
      <c r="AE334" s="73"/>
      <c r="AF334" s="73"/>
    </row>
    <row r="335" spans="1:32" ht="15.75" customHeight="1" x14ac:dyDescent="0.2">
      <c r="A335" s="73"/>
      <c r="B335" s="73"/>
      <c r="C335" s="74"/>
      <c r="D335" s="74"/>
      <c r="E335" s="74"/>
      <c r="F335" s="73"/>
      <c r="G335" s="74"/>
      <c r="H335" s="73"/>
      <c r="I335" s="73"/>
      <c r="J335" s="73"/>
      <c r="K335" s="73"/>
      <c r="L335" s="73"/>
      <c r="M335" s="73"/>
      <c r="N335" s="73"/>
      <c r="O335" s="73"/>
      <c r="P335" s="73"/>
      <c r="Q335" s="73"/>
      <c r="R335" s="73"/>
      <c r="S335" s="73"/>
      <c r="T335" s="73"/>
      <c r="U335" s="73"/>
      <c r="V335" s="73"/>
      <c r="W335" s="73"/>
      <c r="X335" s="73"/>
      <c r="Y335" s="73"/>
      <c r="Z335" s="73"/>
      <c r="AA335" s="73"/>
      <c r="AB335" s="73"/>
      <c r="AC335" s="73"/>
      <c r="AD335" s="73"/>
      <c r="AE335" s="73"/>
      <c r="AF335" s="73"/>
    </row>
    <row r="336" spans="1:32" ht="15.75" customHeight="1" x14ac:dyDescent="0.2">
      <c r="A336" s="73"/>
      <c r="B336" s="73"/>
      <c r="C336" s="74"/>
      <c r="D336" s="74"/>
      <c r="E336" s="74"/>
      <c r="F336" s="73"/>
      <c r="G336" s="74"/>
      <c r="H336" s="73"/>
      <c r="I336" s="73"/>
      <c r="J336" s="73"/>
      <c r="K336" s="73"/>
      <c r="L336" s="73"/>
      <c r="M336" s="73"/>
      <c r="N336" s="73"/>
      <c r="O336" s="73"/>
      <c r="P336" s="73"/>
      <c r="Q336" s="73"/>
      <c r="R336" s="73"/>
      <c r="S336" s="73"/>
      <c r="T336" s="73"/>
      <c r="U336" s="73"/>
      <c r="V336" s="73"/>
      <c r="W336" s="73"/>
      <c r="X336" s="73"/>
      <c r="Y336" s="73"/>
      <c r="Z336" s="73"/>
      <c r="AA336" s="73"/>
      <c r="AB336" s="73"/>
      <c r="AC336" s="73"/>
      <c r="AD336" s="73"/>
      <c r="AE336" s="73"/>
      <c r="AF336" s="73"/>
    </row>
    <row r="337" spans="1:32" ht="15.75" customHeight="1" x14ac:dyDescent="0.2">
      <c r="A337" s="73"/>
      <c r="B337" s="73"/>
      <c r="C337" s="74"/>
      <c r="D337" s="74"/>
      <c r="E337" s="74"/>
      <c r="F337" s="73"/>
      <c r="G337" s="74"/>
      <c r="H337" s="73"/>
      <c r="I337" s="73"/>
      <c r="J337" s="73"/>
      <c r="K337" s="73"/>
      <c r="L337" s="73"/>
      <c r="M337" s="73"/>
      <c r="N337" s="73"/>
      <c r="O337" s="73"/>
      <c r="P337" s="73"/>
      <c r="Q337" s="73"/>
      <c r="R337" s="73"/>
      <c r="S337" s="73"/>
      <c r="T337" s="73"/>
      <c r="U337" s="73"/>
      <c r="V337" s="73"/>
      <c r="W337" s="73"/>
      <c r="X337" s="73"/>
      <c r="Y337" s="73"/>
      <c r="Z337" s="73"/>
      <c r="AA337" s="73"/>
      <c r="AB337" s="73"/>
      <c r="AC337" s="73"/>
      <c r="AD337" s="73"/>
      <c r="AE337" s="73"/>
      <c r="AF337" s="73"/>
    </row>
    <row r="338" spans="1:32" ht="15.75" customHeight="1" x14ac:dyDescent="0.2">
      <c r="A338" s="73"/>
      <c r="B338" s="73"/>
      <c r="C338" s="74"/>
      <c r="D338" s="74"/>
      <c r="E338" s="74"/>
      <c r="F338" s="73"/>
      <c r="G338" s="74"/>
      <c r="H338" s="73"/>
      <c r="I338" s="73"/>
      <c r="J338" s="73"/>
      <c r="K338" s="73"/>
      <c r="L338" s="73"/>
      <c r="M338" s="73"/>
      <c r="N338" s="73"/>
      <c r="O338" s="73"/>
      <c r="P338" s="73"/>
      <c r="Q338" s="73"/>
      <c r="R338" s="73"/>
      <c r="S338" s="73"/>
      <c r="T338" s="73"/>
      <c r="U338" s="73"/>
      <c r="V338" s="73"/>
      <c r="W338" s="73"/>
      <c r="X338" s="73"/>
      <c r="Y338" s="73"/>
      <c r="Z338" s="73"/>
      <c r="AA338" s="73"/>
      <c r="AB338" s="73"/>
      <c r="AC338" s="73"/>
      <c r="AD338" s="73"/>
      <c r="AE338" s="73"/>
      <c r="AF338" s="73"/>
    </row>
    <row r="339" spans="1:32" ht="15.75" customHeight="1" x14ac:dyDescent="0.2">
      <c r="A339" s="73"/>
      <c r="B339" s="73"/>
      <c r="C339" s="74"/>
      <c r="D339" s="74"/>
      <c r="E339" s="74"/>
      <c r="F339" s="73"/>
      <c r="G339" s="74"/>
      <c r="H339" s="73"/>
      <c r="I339" s="73"/>
      <c r="J339" s="73"/>
      <c r="K339" s="73"/>
      <c r="L339" s="73"/>
      <c r="M339" s="73"/>
      <c r="N339" s="73"/>
      <c r="O339" s="73"/>
      <c r="P339" s="73"/>
      <c r="Q339" s="73"/>
      <c r="R339" s="73"/>
      <c r="S339" s="73"/>
      <c r="T339" s="73"/>
      <c r="U339" s="73"/>
      <c r="V339" s="73"/>
      <c r="W339" s="73"/>
      <c r="X339" s="73"/>
      <c r="Y339" s="73"/>
      <c r="Z339" s="73"/>
      <c r="AA339" s="73"/>
      <c r="AB339" s="73"/>
      <c r="AC339" s="73"/>
      <c r="AD339" s="73"/>
      <c r="AE339" s="73"/>
      <c r="AF339" s="73"/>
    </row>
    <row r="340" spans="1:32" ht="15.75" customHeight="1" x14ac:dyDescent="0.2">
      <c r="A340" s="73"/>
      <c r="B340" s="73"/>
      <c r="C340" s="74"/>
      <c r="D340" s="74"/>
      <c r="E340" s="74"/>
      <c r="F340" s="73"/>
      <c r="G340" s="74"/>
      <c r="H340" s="73"/>
      <c r="I340" s="73"/>
      <c r="J340" s="73"/>
      <c r="K340" s="73"/>
      <c r="L340" s="73"/>
      <c r="M340" s="73"/>
      <c r="N340" s="73"/>
      <c r="O340" s="73"/>
      <c r="P340" s="73"/>
      <c r="Q340" s="73"/>
      <c r="R340" s="73"/>
      <c r="S340" s="73"/>
      <c r="T340" s="73"/>
      <c r="U340" s="73"/>
      <c r="V340" s="73"/>
      <c r="W340" s="73"/>
      <c r="X340" s="73"/>
      <c r="Y340" s="73"/>
      <c r="Z340" s="73"/>
      <c r="AA340" s="73"/>
      <c r="AB340" s="73"/>
      <c r="AC340" s="73"/>
      <c r="AD340" s="73"/>
      <c r="AE340" s="73"/>
      <c r="AF340" s="73"/>
    </row>
    <row r="341" spans="1:32" ht="15.75" customHeight="1" x14ac:dyDescent="0.2">
      <c r="A341" s="73"/>
      <c r="B341" s="73"/>
      <c r="C341" s="74"/>
      <c r="D341" s="74"/>
      <c r="E341" s="74"/>
      <c r="F341" s="73"/>
      <c r="G341" s="74"/>
      <c r="H341" s="73"/>
      <c r="I341" s="73"/>
      <c r="J341" s="73"/>
      <c r="K341" s="73"/>
      <c r="L341" s="73"/>
      <c r="M341" s="73"/>
      <c r="N341" s="73"/>
      <c r="O341" s="73"/>
      <c r="P341" s="73"/>
      <c r="Q341" s="73"/>
      <c r="R341" s="73"/>
      <c r="S341" s="73"/>
      <c r="T341" s="73"/>
      <c r="U341" s="73"/>
      <c r="V341" s="73"/>
      <c r="W341" s="73"/>
      <c r="X341" s="73"/>
      <c r="Y341" s="73"/>
      <c r="Z341" s="73"/>
      <c r="AA341" s="73"/>
      <c r="AB341" s="73"/>
      <c r="AC341" s="73"/>
      <c r="AD341" s="73"/>
      <c r="AE341" s="73"/>
      <c r="AF341" s="73"/>
    </row>
    <row r="342" spans="1:32" ht="15.75" customHeight="1" x14ac:dyDescent="0.2">
      <c r="A342" s="73"/>
      <c r="B342" s="73"/>
      <c r="C342" s="74"/>
      <c r="D342" s="74"/>
      <c r="E342" s="74"/>
      <c r="F342" s="73"/>
      <c r="G342" s="74"/>
      <c r="H342" s="73"/>
      <c r="I342" s="73"/>
      <c r="J342" s="73"/>
      <c r="K342" s="73"/>
      <c r="L342" s="73"/>
      <c r="M342" s="73"/>
      <c r="N342" s="73"/>
      <c r="O342" s="73"/>
      <c r="P342" s="73"/>
      <c r="Q342" s="73"/>
      <c r="R342" s="73"/>
      <c r="S342" s="73"/>
      <c r="T342" s="73"/>
      <c r="U342" s="73"/>
      <c r="V342" s="73"/>
      <c r="W342" s="73"/>
      <c r="X342" s="73"/>
      <c r="Y342" s="73"/>
      <c r="Z342" s="73"/>
      <c r="AA342" s="73"/>
      <c r="AB342" s="73"/>
      <c r="AC342" s="73"/>
      <c r="AD342" s="73"/>
      <c r="AE342" s="73"/>
      <c r="AF342" s="73"/>
    </row>
    <row r="343" spans="1:32" ht="15.75" customHeight="1" x14ac:dyDescent="0.2">
      <c r="A343" s="73"/>
      <c r="B343" s="73"/>
      <c r="C343" s="74"/>
      <c r="D343" s="74"/>
      <c r="E343" s="74"/>
      <c r="F343" s="73"/>
      <c r="G343" s="74"/>
      <c r="H343" s="73"/>
      <c r="I343" s="73"/>
      <c r="J343" s="73"/>
      <c r="K343" s="73"/>
      <c r="L343" s="73"/>
      <c r="M343" s="73"/>
      <c r="N343" s="73"/>
      <c r="O343" s="73"/>
      <c r="P343" s="73"/>
      <c r="Q343" s="73"/>
      <c r="R343" s="73"/>
      <c r="S343" s="73"/>
      <c r="T343" s="73"/>
      <c r="U343" s="73"/>
      <c r="V343" s="73"/>
      <c r="W343" s="73"/>
      <c r="X343" s="73"/>
      <c r="Y343" s="73"/>
      <c r="Z343" s="73"/>
      <c r="AA343" s="73"/>
      <c r="AB343" s="73"/>
      <c r="AC343" s="73"/>
      <c r="AD343" s="73"/>
      <c r="AE343" s="73"/>
      <c r="AF343" s="73"/>
    </row>
    <row r="344" spans="1:32" ht="15.75" customHeight="1" x14ac:dyDescent="0.2">
      <c r="A344" s="73"/>
      <c r="B344" s="73"/>
      <c r="C344" s="74"/>
      <c r="D344" s="74"/>
      <c r="E344" s="74"/>
      <c r="F344" s="73"/>
      <c r="G344" s="74"/>
      <c r="H344" s="73"/>
      <c r="I344" s="73"/>
      <c r="J344" s="73"/>
      <c r="K344" s="73"/>
      <c r="L344" s="73"/>
      <c r="M344" s="73"/>
      <c r="N344" s="73"/>
      <c r="O344" s="73"/>
      <c r="P344" s="73"/>
      <c r="Q344" s="73"/>
      <c r="R344" s="73"/>
      <c r="S344" s="73"/>
      <c r="T344" s="73"/>
      <c r="U344" s="73"/>
      <c r="V344" s="73"/>
      <c r="W344" s="73"/>
      <c r="X344" s="73"/>
      <c r="Y344" s="73"/>
      <c r="Z344" s="73"/>
      <c r="AA344" s="73"/>
      <c r="AB344" s="73"/>
      <c r="AC344" s="73"/>
      <c r="AD344" s="73"/>
      <c r="AE344" s="73"/>
      <c r="AF344" s="73"/>
    </row>
    <row r="345" spans="1:32" ht="15.75" customHeight="1" x14ac:dyDescent="0.2">
      <c r="A345" s="73"/>
      <c r="B345" s="73"/>
      <c r="C345" s="74"/>
      <c r="D345" s="74"/>
      <c r="E345" s="74"/>
      <c r="F345" s="73"/>
      <c r="G345" s="74"/>
      <c r="H345" s="73"/>
      <c r="I345" s="73"/>
      <c r="J345" s="73"/>
      <c r="K345" s="73"/>
      <c r="L345" s="73"/>
      <c r="M345" s="73"/>
      <c r="N345" s="73"/>
      <c r="O345" s="73"/>
      <c r="P345" s="73"/>
      <c r="Q345" s="73"/>
      <c r="R345" s="73"/>
      <c r="S345" s="73"/>
      <c r="T345" s="73"/>
      <c r="U345" s="73"/>
      <c r="V345" s="73"/>
      <c r="W345" s="73"/>
      <c r="X345" s="73"/>
      <c r="Y345" s="73"/>
      <c r="Z345" s="73"/>
      <c r="AA345" s="73"/>
      <c r="AB345" s="73"/>
      <c r="AC345" s="73"/>
      <c r="AD345" s="73"/>
      <c r="AE345" s="73"/>
      <c r="AF345" s="73"/>
    </row>
    <row r="346" spans="1:32" ht="15.75" customHeight="1" x14ac:dyDescent="0.2">
      <c r="A346" s="73"/>
      <c r="B346" s="73"/>
      <c r="C346" s="74"/>
      <c r="D346" s="74"/>
      <c r="E346" s="74"/>
      <c r="F346" s="73"/>
      <c r="G346" s="74"/>
      <c r="H346" s="73"/>
      <c r="I346" s="73"/>
      <c r="J346" s="73"/>
      <c r="K346" s="73"/>
      <c r="L346" s="73"/>
      <c r="M346" s="73"/>
      <c r="N346" s="73"/>
      <c r="O346" s="73"/>
      <c r="P346" s="73"/>
      <c r="Q346" s="73"/>
      <c r="R346" s="73"/>
      <c r="S346" s="73"/>
      <c r="T346" s="73"/>
      <c r="U346" s="73"/>
      <c r="V346" s="73"/>
      <c r="W346" s="73"/>
      <c r="X346" s="73"/>
      <c r="Y346" s="73"/>
      <c r="Z346" s="73"/>
      <c r="AA346" s="73"/>
      <c r="AB346" s="73"/>
      <c r="AC346" s="73"/>
      <c r="AD346" s="73"/>
      <c r="AE346" s="73"/>
      <c r="AF346" s="73"/>
    </row>
    <row r="347" spans="1:32" ht="15.75" customHeight="1" x14ac:dyDescent="0.2">
      <c r="A347" s="73"/>
      <c r="B347" s="73"/>
      <c r="C347" s="74"/>
      <c r="D347" s="74"/>
      <c r="E347" s="74"/>
      <c r="F347" s="73"/>
      <c r="G347" s="74"/>
      <c r="H347" s="73"/>
      <c r="I347" s="73"/>
      <c r="J347" s="73"/>
      <c r="K347" s="73"/>
      <c r="L347" s="73"/>
      <c r="M347" s="73"/>
      <c r="N347" s="73"/>
      <c r="O347" s="73"/>
      <c r="P347" s="73"/>
      <c r="Q347" s="73"/>
      <c r="R347" s="73"/>
      <c r="S347" s="73"/>
      <c r="T347" s="73"/>
      <c r="U347" s="73"/>
      <c r="V347" s="73"/>
      <c r="W347" s="73"/>
      <c r="X347" s="73"/>
      <c r="Y347" s="73"/>
      <c r="Z347" s="73"/>
      <c r="AA347" s="73"/>
      <c r="AB347" s="73"/>
      <c r="AC347" s="73"/>
      <c r="AD347" s="73"/>
      <c r="AE347" s="73"/>
      <c r="AF347" s="73"/>
    </row>
    <row r="348" spans="1:32" ht="15.75" customHeight="1" x14ac:dyDescent="0.2">
      <c r="A348" s="73"/>
      <c r="B348" s="73"/>
      <c r="C348" s="74"/>
      <c r="D348" s="74"/>
      <c r="E348" s="74"/>
      <c r="F348" s="73"/>
      <c r="G348" s="74"/>
      <c r="H348" s="73"/>
      <c r="I348" s="73"/>
      <c r="J348" s="73"/>
      <c r="K348" s="73"/>
      <c r="L348" s="73"/>
      <c r="M348" s="73"/>
      <c r="N348" s="73"/>
      <c r="O348" s="73"/>
      <c r="P348" s="73"/>
      <c r="Q348" s="73"/>
      <c r="R348" s="73"/>
      <c r="S348" s="73"/>
      <c r="T348" s="73"/>
      <c r="U348" s="73"/>
      <c r="V348" s="73"/>
      <c r="W348" s="73"/>
      <c r="X348" s="73"/>
      <c r="Y348" s="73"/>
      <c r="Z348" s="73"/>
      <c r="AA348" s="73"/>
      <c r="AB348" s="73"/>
      <c r="AC348" s="73"/>
      <c r="AD348" s="73"/>
      <c r="AE348" s="73"/>
      <c r="AF348" s="73"/>
    </row>
    <row r="349" spans="1:32" ht="15.75" customHeight="1" x14ac:dyDescent="0.2">
      <c r="A349" s="73"/>
      <c r="B349" s="73"/>
      <c r="C349" s="74"/>
      <c r="D349" s="74"/>
      <c r="E349" s="74"/>
      <c r="F349" s="73"/>
      <c r="G349" s="74"/>
      <c r="H349" s="73"/>
      <c r="I349" s="73"/>
      <c r="J349" s="73"/>
      <c r="K349" s="73"/>
      <c r="L349" s="73"/>
      <c r="M349" s="73"/>
      <c r="N349" s="73"/>
      <c r="O349" s="73"/>
      <c r="P349" s="73"/>
      <c r="Q349" s="73"/>
      <c r="R349" s="73"/>
      <c r="S349" s="73"/>
      <c r="T349" s="73"/>
      <c r="U349" s="73"/>
      <c r="V349" s="73"/>
      <c r="W349" s="73"/>
      <c r="X349" s="73"/>
      <c r="Y349" s="73"/>
      <c r="Z349" s="73"/>
      <c r="AA349" s="73"/>
      <c r="AB349" s="73"/>
      <c r="AC349" s="73"/>
      <c r="AD349" s="73"/>
      <c r="AE349" s="73"/>
      <c r="AF349" s="73"/>
    </row>
    <row r="350" spans="1:32" ht="15.75" customHeight="1" x14ac:dyDescent="0.2">
      <c r="A350" s="73"/>
      <c r="B350" s="73"/>
      <c r="C350" s="74"/>
      <c r="D350" s="74"/>
      <c r="E350" s="74"/>
      <c r="F350" s="73"/>
      <c r="G350" s="74"/>
      <c r="H350" s="73"/>
      <c r="I350" s="73"/>
      <c r="J350" s="73"/>
      <c r="K350" s="73"/>
      <c r="L350" s="73"/>
      <c r="M350" s="73"/>
      <c r="N350" s="73"/>
      <c r="O350" s="73"/>
      <c r="P350" s="73"/>
      <c r="Q350" s="73"/>
      <c r="R350" s="73"/>
      <c r="S350" s="73"/>
      <c r="T350" s="73"/>
      <c r="U350" s="73"/>
      <c r="V350" s="73"/>
      <c r="W350" s="73"/>
      <c r="X350" s="73"/>
      <c r="Y350" s="73"/>
      <c r="Z350" s="73"/>
      <c r="AA350" s="73"/>
      <c r="AB350" s="73"/>
      <c r="AC350" s="73"/>
      <c r="AD350" s="73"/>
      <c r="AE350" s="73"/>
      <c r="AF350" s="73"/>
    </row>
    <row r="351" spans="1:32" ht="15.75" customHeight="1" x14ac:dyDescent="0.2">
      <c r="A351" s="73"/>
      <c r="B351" s="73"/>
      <c r="C351" s="74"/>
      <c r="D351" s="74"/>
      <c r="E351" s="74"/>
      <c r="F351" s="73"/>
      <c r="G351" s="74"/>
      <c r="H351" s="73"/>
      <c r="I351" s="73"/>
      <c r="J351" s="73"/>
      <c r="K351" s="73"/>
      <c r="L351" s="73"/>
      <c r="M351" s="73"/>
      <c r="N351" s="73"/>
      <c r="O351" s="73"/>
      <c r="P351" s="73"/>
      <c r="Q351" s="73"/>
      <c r="R351" s="73"/>
      <c r="S351" s="73"/>
      <c r="T351" s="73"/>
      <c r="U351" s="73"/>
      <c r="V351" s="73"/>
      <c r="W351" s="73"/>
      <c r="X351" s="73"/>
      <c r="Y351" s="73"/>
      <c r="Z351" s="73"/>
      <c r="AA351" s="73"/>
      <c r="AB351" s="73"/>
      <c r="AC351" s="73"/>
      <c r="AD351" s="73"/>
      <c r="AE351" s="73"/>
      <c r="AF351" s="73"/>
    </row>
    <row r="352" spans="1:32" ht="15.75" customHeight="1" x14ac:dyDescent="0.2">
      <c r="A352" s="73"/>
      <c r="B352" s="73"/>
      <c r="C352" s="74"/>
      <c r="D352" s="74"/>
      <c r="E352" s="74"/>
      <c r="F352" s="73"/>
      <c r="G352" s="74"/>
      <c r="H352" s="73"/>
      <c r="I352" s="73"/>
      <c r="J352" s="73"/>
      <c r="K352" s="73"/>
      <c r="L352" s="73"/>
      <c r="M352" s="73"/>
      <c r="N352" s="73"/>
      <c r="O352" s="73"/>
      <c r="P352" s="73"/>
      <c r="Q352" s="73"/>
      <c r="R352" s="73"/>
      <c r="S352" s="73"/>
      <c r="T352" s="73"/>
      <c r="U352" s="73"/>
      <c r="V352" s="73"/>
      <c r="W352" s="73"/>
      <c r="X352" s="73"/>
      <c r="Y352" s="73"/>
      <c r="Z352" s="73"/>
      <c r="AA352" s="73"/>
      <c r="AB352" s="73"/>
      <c r="AC352" s="73"/>
      <c r="AD352" s="73"/>
      <c r="AE352" s="73"/>
      <c r="AF352" s="73"/>
    </row>
    <row r="353" spans="1:32" ht="15.75" customHeight="1" x14ac:dyDescent="0.2">
      <c r="A353" s="73"/>
      <c r="B353" s="73"/>
      <c r="C353" s="74"/>
      <c r="D353" s="74"/>
      <c r="E353" s="74"/>
      <c r="F353" s="73"/>
      <c r="G353" s="74"/>
      <c r="H353" s="73"/>
      <c r="I353" s="73"/>
      <c r="J353" s="73"/>
      <c r="K353" s="73"/>
      <c r="L353" s="73"/>
      <c r="M353" s="73"/>
      <c r="N353" s="73"/>
      <c r="O353" s="73"/>
      <c r="P353" s="73"/>
      <c r="Q353" s="73"/>
      <c r="R353" s="73"/>
      <c r="S353" s="73"/>
      <c r="T353" s="73"/>
      <c r="U353" s="73"/>
      <c r="V353" s="73"/>
      <c r="W353" s="73"/>
      <c r="X353" s="73"/>
      <c r="Y353" s="73"/>
      <c r="Z353" s="73"/>
      <c r="AA353" s="73"/>
      <c r="AB353" s="73"/>
      <c r="AC353" s="73"/>
      <c r="AD353" s="73"/>
      <c r="AE353" s="73"/>
      <c r="AF353" s="73"/>
    </row>
    <row r="354" spans="1:32" ht="15.75" customHeight="1" x14ac:dyDescent="0.2">
      <c r="A354" s="73"/>
      <c r="B354" s="73"/>
      <c r="C354" s="74"/>
      <c r="D354" s="74"/>
      <c r="E354" s="74"/>
      <c r="F354" s="73"/>
      <c r="G354" s="74"/>
      <c r="H354" s="73"/>
      <c r="I354" s="73"/>
      <c r="J354" s="73"/>
      <c r="K354" s="73"/>
      <c r="L354" s="73"/>
      <c r="M354" s="73"/>
      <c r="N354" s="73"/>
      <c r="O354" s="73"/>
      <c r="P354" s="73"/>
      <c r="Q354" s="73"/>
      <c r="R354" s="73"/>
      <c r="S354" s="73"/>
      <c r="T354" s="73"/>
      <c r="U354" s="73"/>
      <c r="V354" s="73"/>
      <c r="W354" s="73"/>
      <c r="X354" s="73"/>
      <c r="Y354" s="73"/>
      <c r="Z354" s="73"/>
      <c r="AA354" s="73"/>
      <c r="AB354" s="73"/>
      <c r="AC354" s="73"/>
      <c r="AD354" s="73"/>
      <c r="AE354" s="73"/>
      <c r="AF354" s="73"/>
    </row>
    <row r="355" spans="1:32" ht="15.75" customHeight="1" x14ac:dyDescent="0.2">
      <c r="A355" s="73"/>
      <c r="B355" s="73"/>
      <c r="C355" s="74"/>
      <c r="D355" s="74"/>
      <c r="E355" s="74"/>
      <c r="F355" s="73"/>
      <c r="G355" s="74"/>
      <c r="H355" s="73"/>
      <c r="I355" s="73"/>
      <c r="J355" s="73"/>
      <c r="K355" s="73"/>
      <c r="L355" s="73"/>
      <c r="M355" s="73"/>
      <c r="N355" s="73"/>
      <c r="O355" s="73"/>
      <c r="P355" s="73"/>
      <c r="Q355" s="73"/>
      <c r="R355" s="73"/>
      <c r="S355" s="73"/>
      <c r="T355" s="73"/>
      <c r="U355" s="73"/>
      <c r="V355" s="73"/>
      <c r="W355" s="73"/>
      <c r="X355" s="73"/>
      <c r="Y355" s="73"/>
      <c r="Z355" s="73"/>
      <c r="AA355" s="73"/>
      <c r="AB355" s="73"/>
      <c r="AC355" s="73"/>
      <c r="AD355" s="73"/>
      <c r="AE355" s="73"/>
      <c r="AF355" s="73"/>
    </row>
    <row r="356" spans="1:32" ht="15.75" customHeight="1" x14ac:dyDescent="0.2">
      <c r="A356" s="73"/>
      <c r="B356" s="73"/>
      <c r="C356" s="74"/>
      <c r="D356" s="74"/>
      <c r="E356" s="74"/>
      <c r="F356" s="73"/>
      <c r="G356" s="74"/>
      <c r="H356" s="73"/>
      <c r="I356" s="73"/>
      <c r="J356" s="73"/>
      <c r="K356" s="73"/>
      <c r="L356" s="73"/>
      <c r="M356" s="73"/>
      <c r="N356" s="73"/>
      <c r="O356" s="73"/>
      <c r="P356" s="73"/>
      <c r="Q356" s="73"/>
      <c r="R356" s="73"/>
      <c r="S356" s="73"/>
      <c r="T356" s="73"/>
      <c r="U356" s="73"/>
      <c r="V356" s="73"/>
      <c r="W356" s="73"/>
      <c r="X356" s="73"/>
      <c r="Y356" s="73"/>
      <c r="Z356" s="73"/>
      <c r="AA356" s="73"/>
      <c r="AB356" s="73"/>
      <c r="AC356" s="73"/>
      <c r="AD356" s="73"/>
      <c r="AE356" s="73"/>
      <c r="AF356" s="73"/>
    </row>
    <row r="357" spans="1:32" ht="15.75" customHeight="1" x14ac:dyDescent="0.2">
      <c r="A357" s="73"/>
      <c r="B357" s="73"/>
      <c r="C357" s="74"/>
      <c r="D357" s="74"/>
      <c r="E357" s="74"/>
      <c r="F357" s="73"/>
      <c r="G357" s="74"/>
      <c r="H357" s="73"/>
      <c r="I357" s="73"/>
      <c r="J357" s="73"/>
      <c r="K357" s="73"/>
      <c r="L357" s="73"/>
      <c r="M357" s="73"/>
      <c r="N357" s="73"/>
      <c r="O357" s="73"/>
      <c r="P357" s="73"/>
      <c r="Q357" s="73"/>
      <c r="R357" s="73"/>
      <c r="S357" s="73"/>
      <c r="T357" s="73"/>
      <c r="U357" s="73"/>
      <c r="V357" s="73"/>
      <c r="W357" s="73"/>
      <c r="X357" s="73"/>
      <c r="Y357" s="73"/>
      <c r="Z357" s="73"/>
      <c r="AA357" s="73"/>
      <c r="AB357" s="73"/>
      <c r="AC357" s="73"/>
      <c r="AD357" s="73"/>
      <c r="AE357" s="73"/>
      <c r="AF357" s="73"/>
    </row>
    <row r="358" spans="1:32" ht="15.75" customHeight="1" x14ac:dyDescent="0.2">
      <c r="A358" s="73"/>
      <c r="B358" s="73"/>
      <c r="C358" s="74"/>
      <c r="D358" s="74"/>
      <c r="E358" s="74"/>
      <c r="F358" s="73"/>
      <c r="G358" s="74"/>
      <c r="H358" s="73"/>
      <c r="I358" s="73"/>
      <c r="J358" s="73"/>
      <c r="K358" s="73"/>
      <c r="L358" s="73"/>
      <c r="M358" s="73"/>
      <c r="N358" s="73"/>
      <c r="O358" s="73"/>
      <c r="P358" s="73"/>
      <c r="Q358" s="73"/>
      <c r="R358" s="73"/>
      <c r="S358" s="73"/>
      <c r="T358" s="73"/>
      <c r="U358" s="73"/>
      <c r="V358" s="73"/>
      <c r="W358" s="73"/>
      <c r="X358" s="73"/>
      <c r="Y358" s="73"/>
      <c r="Z358" s="73"/>
      <c r="AA358" s="73"/>
      <c r="AB358" s="73"/>
      <c r="AC358" s="73"/>
      <c r="AD358" s="73"/>
      <c r="AE358" s="73"/>
      <c r="AF358" s="73"/>
    </row>
    <row r="359" spans="1:32" ht="15.75" customHeight="1" x14ac:dyDescent="0.2">
      <c r="A359" s="73"/>
      <c r="B359" s="73"/>
      <c r="C359" s="74"/>
      <c r="D359" s="74"/>
      <c r="E359" s="74"/>
      <c r="F359" s="73"/>
      <c r="G359" s="74"/>
      <c r="H359" s="73"/>
      <c r="I359" s="73"/>
      <c r="J359" s="73"/>
      <c r="K359" s="73"/>
      <c r="L359" s="73"/>
      <c r="M359" s="73"/>
      <c r="N359" s="73"/>
      <c r="O359" s="73"/>
      <c r="P359" s="73"/>
      <c r="Q359" s="73"/>
      <c r="R359" s="73"/>
      <c r="S359" s="73"/>
      <c r="T359" s="73"/>
      <c r="U359" s="73"/>
      <c r="V359" s="73"/>
      <c r="W359" s="73"/>
      <c r="X359" s="73"/>
      <c r="Y359" s="73"/>
      <c r="Z359" s="73"/>
      <c r="AA359" s="73"/>
      <c r="AB359" s="73"/>
      <c r="AC359" s="73"/>
      <c r="AD359" s="73"/>
      <c r="AE359" s="73"/>
      <c r="AF359" s="73"/>
    </row>
    <row r="360" spans="1:32" ht="15.75" customHeight="1" x14ac:dyDescent="0.2">
      <c r="A360" s="73"/>
      <c r="B360" s="73"/>
      <c r="C360" s="74"/>
      <c r="D360" s="74"/>
      <c r="E360" s="74"/>
      <c r="F360" s="73"/>
      <c r="G360" s="74"/>
      <c r="H360" s="73"/>
      <c r="I360" s="73"/>
      <c r="J360" s="73"/>
      <c r="K360" s="73"/>
      <c r="L360" s="73"/>
      <c r="M360" s="73"/>
      <c r="N360" s="73"/>
      <c r="O360" s="73"/>
      <c r="P360" s="73"/>
      <c r="Q360" s="73"/>
      <c r="R360" s="73"/>
      <c r="S360" s="73"/>
      <c r="T360" s="73"/>
      <c r="U360" s="73"/>
      <c r="V360" s="73"/>
      <c r="W360" s="73"/>
      <c r="X360" s="73"/>
      <c r="Y360" s="73"/>
      <c r="Z360" s="73"/>
      <c r="AA360" s="73"/>
      <c r="AB360" s="73"/>
      <c r="AC360" s="73"/>
      <c r="AD360" s="73"/>
      <c r="AE360" s="73"/>
      <c r="AF360" s="73"/>
    </row>
    <row r="361" spans="1:32" ht="15.75" customHeight="1" x14ac:dyDescent="0.2">
      <c r="A361" s="73"/>
      <c r="B361" s="73"/>
      <c r="C361" s="74"/>
      <c r="D361" s="74"/>
      <c r="E361" s="74"/>
      <c r="F361" s="73"/>
      <c r="G361" s="74"/>
      <c r="H361" s="73"/>
      <c r="I361" s="73"/>
      <c r="J361" s="73"/>
      <c r="K361" s="73"/>
      <c r="L361" s="73"/>
      <c r="M361" s="73"/>
      <c r="N361" s="73"/>
      <c r="O361" s="73"/>
      <c r="P361" s="73"/>
      <c r="Q361" s="73"/>
      <c r="R361" s="73"/>
      <c r="S361" s="73"/>
      <c r="T361" s="73"/>
      <c r="U361" s="73"/>
      <c r="V361" s="73"/>
      <c r="W361" s="73"/>
      <c r="X361" s="73"/>
      <c r="Y361" s="73"/>
      <c r="Z361" s="73"/>
      <c r="AA361" s="73"/>
      <c r="AB361" s="73"/>
      <c r="AC361" s="73"/>
      <c r="AD361" s="73"/>
      <c r="AE361" s="73"/>
      <c r="AF361" s="73"/>
    </row>
    <row r="362" spans="1:32" ht="15.75" customHeight="1" x14ac:dyDescent="0.2">
      <c r="A362" s="73"/>
      <c r="B362" s="73"/>
      <c r="C362" s="74"/>
      <c r="D362" s="74"/>
      <c r="E362" s="74"/>
      <c r="F362" s="73"/>
      <c r="G362" s="74"/>
      <c r="H362" s="73"/>
      <c r="I362" s="73"/>
      <c r="J362" s="73"/>
      <c r="K362" s="73"/>
      <c r="L362" s="73"/>
      <c r="M362" s="73"/>
      <c r="N362" s="73"/>
      <c r="O362" s="73"/>
      <c r="P362" s="73"/>
      <c r="Q362" s="73"/>
      <c r="R362" s="73"/>
      <c r="S362" s="73"/>
      <c r="T362" s="73"/>
      <c r="U362" s="73"/>
      <c r="V362" s="73"/>
      <c r="W362" s="73"/>
      <c r="X362" s="73"/>
      <c r="Y362" s="73"/>
      <c r="Z362" s="73"/>
      <c r="AA362" s="73"/>
      <c r="AB362" s="73"/>
      <c r="AC362" s="73"/>
      <c r="AD362" s="73"/>
      <c r="AE362" s="73"/>
      <c r="AF362" s="73"/>
    </row>
    <row r="363" spans="1:32" ht="15.75" customHeight="1" x14ac:dyDescent="0.2">
      <c r="A363" s="73"/>
      <c r="B363" s="73"/>
      <c r="C363" s="74"/>
      <c r="D363" s="74"/>
      <c r="E363" s="74"/>
      <c r="F363" s="73"/>
      <c r="G363" s="74"/>
      <c r="H363" s="73"/>
      <c r="I363" s="73"/>
      <c r="J363" s="73"/>
      <c r="K363" s="73"/>
      <c r="L363" s="73"/>
      <c r="M363" s="73"/>
      <c r="N363" s="73"/>
      <c r="O363" s="73"/>
      <c r="P363" s="73"/>
      <c r="Q363" s="73"/>
      <c r="R363" s="73"/>
      <c r="S363" s="73"/>
      <c r="T363" s="73"/>
      <c r="U363" s="73"/>
      <c r="V363" s="73"/>
      <c r="W363" s="73"/>
      <c r="X363" s="73"/>
      <c r="Y363" s="73"/>
      <c r="Z363" s="73"/>
      <c r="AA363" s="73"/>
      <c r="AB363" s="73"/>
      <c r="AC363" s="73"/>
      <c r="AD363" s="73"/>
      <c r="AE363" s="73"/>
      <c r="AF363" s="73"/>
    </row>
    <row r="364" spans="1:32" ht="15.75" customHeight="1" x14ac:dyDescent="0.2">
      <c r="A364" s="73"/>
      <c r="B364" s="73"/>
      <c r="C364" s="74"/>
      <c r="D364" s="74"/>
      <c r="E364" s="74"/>
      <c r="F364" s="73"/>
      <c r="G364" s="74"/>
      <c r="H364" s="73"/>
      <c r="I364" s="73"/>
      <c r="J364" s="73"/>
      <c r="K364" s="73"/>
      <c r="L364" s="73"/>
      <c r="M364" s="73"/>
      <c r="N364" s="73"/>
      <c r="O364" s="73"/>
      <c r="P364" s="73"/>
      <c r="Q364" s="73"/>
      <c r="R364" s="73"/>
      <c r="S364" s="73"/>
      <c r="T364" s="73"/>
      <c r="U364" s="73"/>
      <c r="V364" s="73"/>
      <c r="W364" s="73"/>
      <c r="X364" s="73"/>
      <c r="Y364" s="73"/>
      <c r="Z364" s="73"/>
      <c r="AA364" s="73"/>
      <c r="AB364" s="73"/>
      <c r="AC364" s="73"/>
      <c r="AD364" s="73"/>
      <c r="AE364" s="73"/>
      <c r="AF364" s="73"/>
    </row>
    <row r="365" spans="1:32" ht="15.75" customHeight="1" x14ac:dyDescent="0.2">
      <c r="A365" s="73"/>
      <c r="B365" s="73"/>
      <c r="C365" s="74"/>
      <c r="D365" s="74"/>
      <c r="E365" s="74"/>
      <c r="F365" s="73"/>
      <c r="G365" s="74"/>
      <c r="H365" s="73"/>
      <c r="I365" s="73"/>
      <c r="J365" s="73"/>
      <c r="K365" s="73"/>
      <c r="L365" s="73"/>
      <c r="M365" s="73"/>
      <c r="N365" s="73"/>
      <c r="O365" s="73"/>
      <c r="P365" s="73"/>
      <c r="Q365" s="73"/>
      <c r="R365" s="73"/>
      <c r="S365" s="73"/>
      <c r="T365" s="73"/>
      <c r="U365" s="73"/>
      <c r="V365" s="73"/>
      <c r="W365" s="73"/>
      <c r="X365" s="73"/>
      <c r="Y365" s="73"/>
      <c r="Z365" s="73"/>
      <c r="AA365" s="73"/>
      <c r="AB365" s="73"/>
      <c r="AC365" s="73"/>
      <c r="AD365" s="73"/>
      <c r="AE365" s="73"/>
      <c r="AF365" s="73"/>
    </row>
    <row r="366" spans="1:32" ht="15.75" customHeight="1" x14ac:dyDescent="0.2">
      <c r="A366" s="73"/>
      <c r="B366" s="73"/>
      <c r="C366" s="74"/>
      <c r="D366" s="74"/>
      <c r="E366" s="74"/>
      <c r="F366" s="73"/>
      <c r="G366" s="74"/>
      <c r="H366" s="73"/>
      <c r="I366" s="73"/>
      <c r="J366" s="73"/>
      <c r="K366" s="73"/>
      <c r="L366" s="73"/>
      <c r="M366" s="73"/>
      <c r="N366" s="73"/>
      <c r="O366" s="73"/>
      <c r="P366" s="73"/>
      <c r="Q366" s="73"/>
      <c r="R366" s="73"/>
      <c r="S366" s="73"/>
      <c r="T366" s="73"/>
      <c r="U366" s="73"/>
      <c r="V366" s="73"/>
      <c r="W366" s="73"/>
      <c r="X366" s="73"/>
      <c r="Y366" s="73"/>
      <c r="Z366" s="73"/>
      <c r="AA366" s="73"/>
      <c r="AB366" s="73"/>
      <c r="AC366" s="73"/>
      <c r="AD366" s="73"/>
      <c r="AE366" s="73"/>
      <c r="AF366" s="73"/>
    </row>
    <row r="367" spans="1:32" ht="15.75" customHeight="1" x14ac:dyDescent="0.2">
      <c r="A367" s="73"/>
      <c r="B367" s="73"/>
      <c r="C367" s="74"/>
      <c r="D367" s="74"/>
      <c r="E367" s="74"/>
      <c r="F367" s="73"/>
      <c r="G367" s="74"/>
      <c r="H367" s="73"/>
      <c r="I367" s="73"/>
      <c r="J367" s="73"/>
      <c r="K367" s="73"/>
      <c r="L367" s="73"/>
      <c r="M367" s="73"/>
      <c r="N367" s="73"/>
      <c r="O367" s="73"/>
      <c r="P367" s="73"/>
      <c r="Q367" s="73"/>
      <c r="R367" s="73"/>
      <c r="S367" s="73"/>
      <c r="T367" s="73"/>
      <c r="U367" s="73"/>
      <c r="V367" s="73"/>
      <c r="W367" s="73"/>
      <c r="X367" s="73"/>
      <c r="Y367" s="73"/>
      <c r="Z367" s="73"/>
      <c r="AA367" s="73"/>
      <c r="AB367" s="73"/>
      <c r="AC367" s="73"/>
      <c r="AD367" s="73"/>
      <c r="AE367" s="73"/>
      <c r="AF367" s="73"/>
    </row>
    <row r="368" spans="1:32" ht="15.75" customHeight="1" x14ac:dyDescent="0.2">
      <c r="A368" s="73"/>
      <c r="B368" s="73"/>
      <c r="C368" s="74"/>
      <c r="D368" s="74"/>
      <c r="E368" s="74"/>
      <c r="F368" s="73"/>
      <c r="G368" s="74"/>
      <c r="H368" s="73"/>
      <c r="I368" s="73"/>
      <c r="J368" s="73"/>
      <c r="K368" s="73"/>
      <c r="L368" s="73"/>
      <c r="M368" s="73"/>
      <c r="N368" s="73"/>
      <c r="O368" s="73"/>
      <c r="P368" s="73"/>
      <c r="Q368" s="73"/>
      <c r="R368" s="73"/>
      <c r="S368" s="73"/>
      <c r="T368" s="73"/>
      <c r="U368" s="73"/>
      <c r="V368" s="73"/>
      <c r="W368" s="73"/>
      <c r="X368" s="73"/>
      <c r="Y368" s="73"/>
      <c r="Z368" s="73"/>
      <c r="AA368" s="73"/>
      <c r="AB368" s="73"/>
      <c r="AC368" s="73"/>
      <c r="AD368" s="73"/>
      <c r="AE368" s="73"/>
      <c r="AF368" s="73"/>
    </row>
    <row r="369" spans="1:32" ht="15.75" customHeight="1" x14ac:dyDescent="0.2">
      <c r="A369" s="73"/>
      <c r="B369" s="73"/>
      <c r="C369" s="74"/>
      <c r="D369" s="74"/>
      <c r="E369" s="74"/>
      <c r="F369" s="73"/>
      <c r="G369" s="74"/>
      <c r="H369" s="73"/>
      <c r="I369" s="73"/>
      <c r="J369" s="73"/>
      <c r="K369" s="73"/>
      <c r="L369" s="73"/>
      <c r="M369" s="73"/>
      <c r="N369" s="73"/>
      <c r="O369" s="73"/>
      <c r="P369" s="73"/>
      <c r="Q369" s="73"/>
      <c r="R369" s="73"/>
      <c r="S369" s="73"/>
      <c r="T369" s="73"/>
      <c r="U369" s="73"/>
      <c r="V369" s="73"/>
      <c r="W369" s="73"/>
      <c r="X369" s="73"/>
      <c r="Y369" s="73"/>
      <c r="Z369" s="73"/>
      <c r="AA369" s="73"/>
      <c r="AB369" s="73"/>
      <c r="AC369" s="73"/>
      <c r="AD369" s="73"/>
      <c r="AE369" s="73"/>
      <c r="AF369" s="73"/>
    </row>
    <row r="370" spans="1:32" ht="15.75" customHeight="1" x14ac:dyDescent="0.2">
      <c r="A370" s="73"/>
      <c r="B370" s="73"/>
      <c r="C370" s="74"/>
      <c r="D370" s="74"/>
      <c r="E370" s="74"/>
      <c r="F370" s="73"/>
      <c r="G370" s="74"/>
      <c r="H370" s="73"/>
      <c r="I370" s="73"/>
      <c r="J370" s="73"/>
      <c r="K370" s="73"/>
      <c r="L370" s="73"/>
      <c r="M370" s="73"/>
      <c r="N370" s="73"/>
      <c r="O370" s="73"/>
      <c r="P370" s="73"/>
      <c r="Q370" s="73"/>
      <c r="R370" s="73"/>
      <c r="S370" s="73"/>
      <c r="T370" s="73"/>
      <c r="U370" s="73"/>
      <c r="V370" s="73"/>
      <c r="W370" s="73"/>
      <c r="X370" s="73"/>
      <c r="Y370" s="73"/>
      <c r="Z370" s="73"/>
      <c r="AA370" s="73"/>
      <c r="AB370" s="73"/>
      <c r="AC370" s="73"/>
      <c r="AD370" s="73"/>
      <c r="AE370" s="73"/>
      <c r="AF370" s="73"/>
    </row>
    <row r="371" spans="1:32" ht="15.75" customHeight="1" x14ac:dyDescent="0.2">
      <c r="A371" s="73"/>
      <c r="B371" s="73"/>
      <c r="C371" s="74"/>
      <c r="D371" s="74"/>
      <c r="E371" s="74"/>
      <c r="F371" s="73"/>
      <c r="G371" s="74"/>
      <c r="H371" s="73"/>
      <c r="I371" s="73"/>
      <c r="J371" s="73"/>
      <c r="K371" s="73"/>
      <c r="L371" s="73"/>
      <c r="M371" s="73"/>
      <c r="N371" s="73"/>
      <c r="O371" s="73"/>
      <c r="P371" s="73"/>
      <c r="Q371" s="73"/>
      <c r="R371" s="73"/>
      <c r="S371" s="73"/>
      <c r="T371" s="73"/>
      <c r="U371" s="73"/>
      <c r="V371" s="73"/>
      <c r="W371" s="73"/>
      <c r="X371" s="73"/>
      <c r="Y371" s="73"/>
      <c r="Z371" s="73"/>
      <c r="AA371" s="73"/>
      <c r="AB371" s="73"/>
      <c r="AC371" s="73"/>
      <c r="AD371" s="73"/>
      <c r="AE371" s="73"/>
      <c r="AF371" s="73"/>
    </row>
    <row r="372" spans="1:32" ht="15.75" customHeight="1" x14ac:dyDescent="0.2">
      <c r="A372" s="73"/>
      <c r="B372" s="73"/>
      <c r="C372" s="74"/>
      <c r="D372" s="74"/>
      <c r="E372" s="74"/>
      <c r="F372" s="73"/>
      <c r="G372" s="74"/>
      <c r="H372" s="73"/>
      <c r="I372" s="73"/>
      <c r="J372" s="73"/>
      <c r="K372" s="73"/>
      <c r="L372" s="73"/>
      <c r="M372" s="73"/>
      <c r="N372" s="73"/>
      <c r="O372" s="73"/>
      <c r="P372" s="73"/>
      <c r="Q372" s="73"/>
      <c r="R372" s="73"/>
      <c r="S372" s="73"/>
      <c r="T372" s="73"/>
      <c r="U372" s="73"/>
      <c r="V372" s="73"/>
      <c r="W372" s="73"/>
      <c r="X372" s="73"/>
      <c r="Y372" s="73"/>
      <c r="Z372" s="73"/>
      <c r="AA372" s="73"/>
      <c r="AB372" s="73"/>
      <c r="AC372" s="73"/>
      <c r="AD372" s="73"/>
      <c r="AE372" s="73"/>
      <c r="AF372" s="73"/>
    </row>
    <row r="373" spans="1:32" ht="15.75" customHeight="1" x14ac:dyDescent="0.2">
      <c r="A373" s="73"/>
      <c r="B373" s="73"/>
      <c r="C373" s="74"/>
      <c r="D373" s="74"/>
      <c r="E373" s="74"/>
      <c r="F373" s="73"/>
      <c r="G373" s="74"/>
      <c r="H373" s="73"/>
      <c r="I373" s="73"/>
      <c r="J373" s="73"/>
      <c r="K373" s="73"/>
      <c r="L373" s="73"/>
      <c r="M373" s="73"/>
      <c r="N373" s="73"/>
      <c r="O373" s="73"/>
      <c r="P373" s="73"/>
      <c r="Q373" s="73"/>
      <c r="R373" s="73"/>
      <c r="S373" s="73"/>
      <c r="T373" s="73"/>
      <c r="U373" s="73"/>
      <c r="V373" s="73"/>
      <c r="W373" s="73"/>
      <c r="X373" s="73"/>
      <c r="Y373" s="73"/>
      <c r="Z373" s="73"/>
      <c r="AA373" s="73"/>
      <c r="AB373" s="73"/>
      <c r="AC373" s="73"/>
      <c r="AD373" s="73"/>
      <c r="AE373" s="73"/>
      <c r="AF373" s="73"/>
    </row>
    <row r="374" spans="1:32" ht="15.75" customHeight="1" x14ac:dyDescent="0.2">
      <c r="A374" s="73"/>
      <c r="B374" s="73"/>
      <c r="C374" s="74"/>
      <c r="D374" s="74"/>
      <c r="E374" s="74"/>
      <c r="F374" s="73"/>
      <c r="G374" s="74"/>
      <c r="H374" s="73"/>
      <c r="I374" s="73"/>
      <c r="J374" s="73"/>
      <c r="K374" s="73"/>
      <c r="L374" s="73"/>
      <c r="M374" s="73"/>
      <c r="N374" s="73"/>
      <c r="O374" s="73"/>
      <c r="P374" s="73"/>
      <c r="Q374" s="73"/>
      <c r="R374" s="73"/>
      <c r="S374" s="73"/>
      <c r="T374" s="73"/>
      <c r="U374" s="73"/>
      <c r="V374" s="73"/>
      <c r="W374" s="73"/>
      <c r="X374" s="73"/>
      <c r="Y374" s="73"/>
      <c r="Z374" s="73"/>
      <c r="AA374" s="73"/>
      <c r="AB374" s="73"/>
      <c r="AC374" s="73"/>
      <c r="AD374" s="73"/>
      <c r="AE374" s="73"/>
      <c r="AF374" s="73"/>
    </row>
    <row r="375" spans="1:32" ht="15.75" customHeight="1" x14ac:dyDescent="0.2">
      <c r="A375" s="73"/>
      <c r="B375" s="73"/>
      <c r="C375" s="74"/>
      <c r="D375" s="74"/>
      <c r="E375" s="74"/>
      <c r="F375" s="73"/>
      <c r="G375" s="74"/>
      <c r="H375" s="73"/>
      <c r="I375" s="73"/>
      <c r="J375" s="73"/>
      <c r="K375" s="73"/>
      <c r="L375" s="73"/>
      <c r="M375" s="73"/>
      <c r="N375" s="73"/>
      <c r="O375" s="73"/>
      <c r="P375" s="73"/>
      <c r="Q375" s="73"/>
      <c r="R375" s="73"/>
      <c r="S375" s="73"/>
      <c r="T375" s="73"/>
      <c r="U375" s="73"/>
      <c r="V375" s="73"/>
      <c r="W375" s="73"/>
      <c r="X375" s="73"/>
      <c r="Y375" s="73"/>
      <c r="Z375" s="73"/>
      <c r="AA375" s="73"/>
      <c r="AB375" s="73"/>
      <c r="AC375" s="73"/>
      <c r="AD375" s="73"/>
      <c r="AE375" s="73"/>
      <c r="AF375" s="73"/>
    </row>
    <row r="376" spans="1:32" ht="15.75" customHeight="1" x14ac:dyDescent="0.2">
      <c r="A376" s="73"/>
      <c r="B376" s="73"/>
      <c r="C376" s="74"/>
      <c r="D376" s="74"/>
      <c r="E376" s="74"/>
      <c r="F376" s="73"/>
      <c r="G376" s="74"/>
      <c r="H376" s="73"/>
      <c r="I376" s="73"/>
      <c r="J376" s="73"/>
      <c r="K376" s="73"/>
      <c r="L376" s="73"/>
      <c r="M376" s="73"/>
      <c r="N376" s="73"/>
      <c r="O376" s="73"/>
      <c r="P376" s="73"/>
      <c r="Q376" s="73"/>
      <c r="R376" s="73"/>
      <c r="S376" s="73"/>
      <c r="T376" s="73"/>
      <c r="U376" s="73"/>
      <c r="V376" s="73"/>
      <c r="W376" s="73"/>
      <c r="X376" s="73"/>
      <c r="Y376" s="73"/>
      <c r="Z376" s="73"/>
      <c r="AA376" s="73"/>
      <c r="AB376" s="73"/>
      <c r="AC376" s="73"/>
      <c r="AD376" s="73"/>
      <c r="AE376" s="73"/>
      <c r="AF376" s="73"/>
    </row>
    <row r="377" spans="1:32" ht="15.75" customHeight="1" x14ac:dyDescent="0.2">
      <c r="A377" s="73"/>
      <c r="B377" s="73"/>
      <c r="C377" s="74"/>
      <c r="D377" s="74"/>
      <c r="E377" s="74"/>
      <c r="F377" s="73"/>
      <c r="G377" s="74"/>
      <c r="H377" s="73"/>
      <c r="I377" s="73"/>
      <c r="J377" s="73"/>
      <c r="K377" s="73"/>
      <c r="L377" s="73"/>
      <c r="M377" s="73"/>
      <c r="N377" s="73"/>
      <c r="O377" s="73"/>
      <c r="P377" s="73"/>
      <c r="Q377" s="73"/>
      <c r="R377" s="73"/>
      <c r="S377" s="73"/>
      <c r="T377" s="73"/>
      <c r="U377" s="73"/>
      <c r="V377" s="73"/>
      <c r="W377" s="73"/>
      <c r="X377" s="73"/>
      <c r="Y377" s="73"/>
      <c r="Z377" s="73"/>
      <c r="AA377" s="73"/>
      <c r="AB377" s="73"/>
      <c r="AC377" s="73"/>
      <c r="AD377" s="73"/>
      <c r="AE377" s="73"/>
      <c r="AF377" s="73"/>
    </row>
    <row r="378" spans="1:32" ht="15.75" customHeight="1" x14ac:dyDescent="0.2">
      <c r="A378" s="73"/>
      <c r="B378" s="73"/>
      <c r="C378" s="74"/>
      <c r="D378" s="74"/>
      <c r="E378" s="74"/>
      <c r="F378" s="73"/>
      <c r="G378" s="74"/>
      <c r="H378" s="73"/>
      <c r="I378" s="73"/>
      <c r="J378" s="73"/>
      <c r="K378" s="73"/>
      <c r="L378" s="73"/>
      <c r="M378" s="73"/>
      <c r="N378" s="73"/>
      <c r="O378" s="73"/>
      <c r="P378" s="73"/>
      <c r="Q378" s="73"/>
      <c r="R378" s="73"/>
      <c r="S378" s="73"/>
      <c r="T378" s="73"/>
      <c r="U378" s="73"/>
      <c r="V378" s="73"/>
      <c r="W378" s="73"/>
      <c r="X378" s="73"/>
      <c r="Y378" s="73"/>
      <c r="Z378" s="73"/>
      <c r="AA378" s="73"/>
      <c r="AB378" s="73"/>
      <c r="AC378" s="73"/>
      <c r="AD378" s="73"/>
      <c r="AE378" s="73"/>
      <c r="AF378" s="73"/>
    </row>
    <row r="379" spans="1:32" ht="15.75" customHeight="1" x14ac:dyDescent="0.2">
      <c r="A379" s="73"/>
      <c r="B379" s="73"/>
      <c r="C379" s="74"/>
      <c r="D379" s="74"/>
      <c r="E379" s="74"/>
      <c r="F379" s="73"/>
      <c r="G379" s="74"/>
      <c r="H379" s="73"/>
      <c r="I379" s="73"/>
      <c r="J379" s="73"/>
      <c r="K379" s="73"/>
      <c r="L379" s="73"/>
      <c r="M379" s="73"/>
      <c r="N379" s="73"/>
      <c r="O379" s="73"/>
      <c r="P379" s="73"/>
      <c r="Q379" s="73"/>
      <c r="R379" s="73"/>
      <c r="S379" s="73"/>
      <c r="T379" s="73"/>
      <c r="U379" s="73"/>
      <c r="V379" s="73"/>
      <c r="W379" s="73"/>
      <c r="X379" s="73"/>
      <c r="Y379" s="73"/>
      <c r="Z379" s="73"/>
      <c r="AA379" s="73"/>
      <c r="AB379" s="73"/>
      <c r="AC379" s="73"/>
      <c r="AD379" s="73"/>
      <c r="AE379" s="73"/>
      <c r="AF379" s="73"/>
    </row>
    <row r="380" spans="1:32" ht="15.75" customHeight="1" x14ac:dyDescent="0.2">
      <c r="A380" s="73"/>
      <c r="B380" s="73"/>
      <c r="C380" s="74"/>
      <c r="D380" s="74"/>
      <c r="E380" s="74"/>
      <c r="F380" s="73"/>
      <c r="G380" s="74"/>
      <c r="H380" s="73"/>
      <c r="I380" s="73"/>
      <c r="J380" s="73"/>
      <c r="K380" s="73"/>
      <c r="L380" s="73"/>
      <c r="M380" s="73"/>
      <c r="N380" s="73"/>
      <c r="O380" s="73"/>
      <c r="P380" s="73"/>
      <c r="Q380" s="73"/>
      <c r="R380" s="73"/>
      <c r="S380" s="73"/>
      <c r="T380" s="73"/>
      <c r="U380" s="73"/>
      <c r="V380" s="73"/>
      <c r="W380" s="73"/>
      <c r="X380" s="73"/>
      <c r="Y380" s="73"/>
      <c r="Z380" s="73"/>
      <c r="AA380" s="73"/>
      <c r="AB380" s="73"/>
      <c r="AC380" s="73"/>
      <c r="AD380" s="73"/>
      <c r="AE380" s="73"/>
      <c r="AF380" s="73"/>
    </row>
    <row r="381" spans="1:32" ht="15.75" customHeight="1" x14ac:dyDescent="0.2">
      <c r="A381" s="73"/>
      <c r="B381" s="73"/>
      <c r="C381" s="74"/>
      <c r="D381" s="74"/>
      <c r="E381" s="74"/>
      <c r="F381" s="73"/>
      <c r="G381" s="74"/>
      <c r="H381" s="73"/>
      <c r="I381" s="73"/>
      <c r="J381" s="73"/>
      <c r="K381" s="73"/>
      <c r="L381" s="73"/>
      <c r="M381" s="73"/>
      <c r="N381" s="73"/>
      <c r="O381" s="73"/>
      <c r="P381" s="73"/>
      <c r="Q381" s="73"/>
      <c r="R381" s="73"/>
      <c r="S381" s="73"/>
      <c r="T381" s="73"/>
      <c r="U381" s="73"/>
      <c r="V381" s="73"/>
      <c r="W381" s="73"/>
      <c r="X381" s="73"/>
      <c r="Y381" s="73"/>
      <c r="Z381" s="73"/>
      <c r="AA381" s="73"/>
      <c r="AB381" s="73"/>
      <c r="AC381" s="73"/>
      <c r="AD381" s="73"/>
      <c r="AE381" s="73"/>
      <c r="AF381" s="73"/>
    </row>
    <row r="382" spans="1:32" ht="15.75" customHeight="1" x14ac:dyDescent="0.2">
      <c r="A382" s="73"/>
      <c r="B382" s="73"/>
      <c r="C382" s="74"/>
      <c r="D382" s="74"/>
      <c r="E382" s="74"/>
      <c r="F382" s="73"/>
      <c r="G382" s="74"/>
      <c r="H382" s="73"/>
      <c r="I382" s="73"/>
      <c r="J382" s="73"/>
      <c r="K382" s="73"/>
      <c r="L382" s="73"/>
      <c r="M382" s="73"/>
      <c r="N382" s="73"/>
      <c r="O382" s="73"/>
      <c r="P382" s="73"/>
      <c r="Q382" s="73"/>
      <c r="R382" s="73"/>
      <c r="S382" s="73"/>
      <c r="T382" s="73"/>
      <c r="U382" s="73"/>
      <c r="V382" s="73"/>
      <c r="W382" s="73"/>
      <c r="X382" s="73"/>
      <c r="Y382" s="73"/>
      <c r="Z382" s="73"/>
      <c r="AA382" s="73"/>
      <c r="AB382" s="73"/>
      <c r="AC382" s="73"/>
      <c r="AD382" s="73"/>
      <c r="AE382" s="73"/>
      <c r="AF382" s="73"/>
    </row>
    <row r="383" spans="1:32" ht="15.75" customHeight="1" x14ac:dyDescent="0.2">
      <c r="A383" s="73"/>
      <c r="B383" s="73"/>
      <c r="C383" s="74"/>
      <c r="D383" s="74"/>
      <c r="E383" s="74"/>
      <c r="F383" s="73"/>
      <c r="G383" s="74"/>
      <c r="H383" s="73"/>
      <c r="I383" s="73"/>
      <c r="J383" s="73"/>
      <c r="K383" s="73"/>
      <c r="L383" s="73"/>
      <c r="M383" s="73"/>
      <c r="N383" s="73"/>
      <c r="O383" s="73"/>
      <c r="P383" s="73"/>
      <c r="Q383" s="73"/>
      <c r="R383" s="73"/>
      <c r="S383" s="73"/>
      <c r="T383" s="73"/>
      <c r="U383" s="73"/>
      <c r="V383" s="73"/>
      <c r="W383" s="73"/>
      <c r="X383" s="73"/>
      <c r="Y383" s="73"/>
      <c r="Z383" s="73"/>
      <c r="AA383" s="73"/>
      <c r="AB383" s="73"/>
      <c r="AC383" s="73"/>
      <c r="AD383" s="73"/>
      <c r="AE383" s="73"/>
      <c r="AF383" s="73"/>
    </row>
    <row r="384" spans="1:32" ht="15.75" customHeight="1" x14ac:dyDescent="0.2">
      <c r="A384" s="73"/>
      <c r="B384" s="73"/>
      <c r="C384" s="74"/>
      <c r="D384" s="74"/>
      <c r="E384" s="74"/>
      <c r="F384" s="73"/>
      <c r="G384" s="74"/>
      <c r="H384" s="73"/>
      <c r="I384" s="73"/>
      <c r="J384" s="73"/>
      <c r="K384" s="73"/>
      <c r="L384" s="73"/>
      <c r="M384" s="73"/>
      <c r="N384" s="73"/>
      <c r="O384" s="73"/>
      <c r="P384" s="73"/>
      <c r="Q384" s="73"/>
      <c r="R384" s="73"/>
      <c r="S384" s="73"/>
      <c r="T384" s="73"/>
      <c r="U384" s="73"/>
      <c r="V384" s="73"/>
      <c r="W384" s="73"/>
      <c r="X384" s="73"/>
      <c r="Y384" s="73"/>
      <c r="Z384" s="73"/>
      <c r="AA384" s="73"/>
      <c r="AB384" s="73"/>
      <c r="AC384" s="73"/>
      <c r="AD384" s="73"/>
      <c r="AE384" s="73"/>
      <c r="AF384" s="73"/>
    </row>
    <row r="385" spans="1:32" ht="15.75" customHeight="1" x14ac:dyDescent="0.2">
      <c r="A385" s="73"/>
      <c r="B385" s="73"/>
      <c r="C385" s="74"/>
      <c r="D385" s="74"/>
      <c r="E385" s="74"/>
      <c r="F385" s="73"/>
      <c r="G385" s="74"/>
      <c r="H385" s="73"/>
      <c r="I385" s="73"/>
      <c r="J385" s="73"/>
      <c r="K385" s="73"/>
      <c r="L385" s="73"/>
      <c r="M385" s="73"/>
      <c r="N385" s="73"/>
      <c r="O385" s="73"/>
      <c r="P385" s="73"/>
      <c r="Q385" s="73"/>
      <c r="R385" s="73"/>
      <c r="S385" s="73"/>
      <c r="T385" s="73"/>
      <c r="U385" s="73"/>
      <c r="V385" s="73"/>
      <c r="W385" s="73"/>
      <c r="X385" s="73"/>
      <c r="Y385" s="73"/>
      <c r="Z385" s="73"/>
      <c r="AA385" s="73"/>
      <c r="AB385" s="73"/>
      <c r="AC385" s="73"/>
      <c r="AD385" s="73"/>
      <c r="AE385" s="73"/>
      <c r="AF385" s="73"/>
    </row>
    <row r="386" spans="1:32" ht="15.75" customHeight="1" x14ac:dyDescent="0.2">
      <c r="A386" s="73"/>
      <c r="B386" s="73"/>
      <c r="C386" s="74"/>
      <c r="D386" s="74"/>
      <c r="E386" s="74"/>
      <c r="F386" s="73"/>
      <c r="G386" s="74"/>
      <c r="H386" s="73"/>
      <c r="I386" s="73"/>
      <c r="J386" s="73"/>
      <c r="K386" s="73"/>
      <c r="L386" s="73"/>
      <c r="M386" s="73"/>
      <c r="N386" s="73"/>
      <c r="O386" s="73"/>
      <c r="P386" s="73"/>
      <c r="Q386" s="73"/>
      <c r="R386" s="73"/>
      <c r="S386" s="73"/>
      <c r="T386" s="73"/>
      <c r="U386" s="73"/>
      <c r="V386" s="73"/>
      <c r="W386" s="73"/>
      <c r="X386" s="73"/>
      <c r="Y386" s="73"/>
      <c r="Z386" s="73"/>
      <c r="AA386" s="73"/>
      <c r="AB386" s="73"/>
      <c r="AC386" s="73"/>
      <c r="AD386" s="73"/>
      <c r="AE386" s="73"/>
      <c r="AF386" s="73"/>
    </row>
    <row r="387" spans="1:32" ht="15.75" customHeight="1" x14ac:dyDescent="0.2">
      <c r="A387" s="73"/>
      <c r="B387" s="73"/>
      <c r="C387" s="74"/>
      <c r="D387" s="74"/>
      <c r="E387" s="74"/>
      <c r="F387" s="73"/>
      <c r="G387" s="74"/>
      <c r="H387" s="73"/>
      <c r="I387" s="73"/>
      <c r="J387" s="73"/>
      <c r="K387" s="73"/>
      <c r="L387" s="73"/>
      <c r="M387" s="73"/>
      <c r="N387" s="73"/>
      <c r="O387" s="73"/>
      <c r="P387" s="73"/>
      <c r="Q387" s="73"/>
      <c r="R387" s="73"/>
      <c r="S387" s="73"/>
      <c r="T387" s="73"/>
      <c r="U387" s="73"/>
      <c r="V387" s="73"/>
      <c r="W387" s="73"/>
      <c r="X387" s="73"/>
      <c r="Y387" s="73"/>
      <c r="Z387" s="73"/>
      <c r="AA387" s="73"/>
      <c r="AB387" s="73"/>
      <c r="AC387" s="73"/>
      <c r="AD387" s="73"/>
      <c r="AE387" s="73"/>
      <c r="AF387" s="73"/>
    </row>
    <row r="388" spans="1:32" ht="15.75" customHeight="1" x14ac:dyDescent="0.2">
      <c r="A388" s="73"/>
      <c r="B388" s="73"/>
      <c r="C388" s="74"/>
      <c r="D388" s="74"/>
      <c r="E388" s="74"/>
      <c r="F388" s="73"/>
      <c r="G388" s="74"/>
      <c r="H388" s="73"/>
      <c r="I388" s="73"/>
      <c r="J388" s="73"/>
      <c r="K388" s="73"/>
      <c r="L388" s="73"/>
      <c r="M388" s="73"/>
      <c r="N388" s="73"/>
      <c r="O388" s="73"/>
      <c r="P388" s="73"/>
      <c r="Q388" s="73"/>
      <c r="R388" s="73"/>
      <c r="S388" s="73"/>
      <c r="T388" s="73"/>
      <c r="U388" s="73"/>
      <c r="V388" s="73"/>
      <c r="W388" s="73"/>
      <c r="X388" s="73"/>
      <c r="Y388" s="73"/>
      <c r="Z388" s="73"/>
      <c r="AA388" s="73"/>
      <c r="AB388" s="73"/>
      <c r="AC388" s="73"/>
      <c r="AD388" s="73"/>
      <c r="AE388" s="73"/>
      <c r="AF388" s="73"/>
    </row>
    <row r="389" spans="1:32" ht="15.75" customHeight="1" x14ac:dyDescent="0.2">
      <c r="A389" s="73"/>
      <c r="B389" s="73"/>
      <c r="C389" s="74"/>
      <c r="D389" s="74"/>
      <c r="E389" s="74"/>
      <c r="F389" s="73"/>
      <c r="G389" s="74"/>
      <c r="H389" s="73"/>
      <c r="I389" s="73"/>
      <c r="J389" s="73"/>
      <c r="K389" s="73"/>
      <c r="L389" s="73"/>
      <c r="M389" s="73"/>
      <c r="N389" s="73"/>
      <c r="O389" s="73"/>
      <c r="P389" s="73"/>
      <c r="Q389" s="73"/>
      <c r="R389" s="73"/>
      <c r="S389" s="73"/>
      <c r="T389" s="73"/>
      <c r="U389" s="73"/>
      <c r="V389" s="73"/>
      <c r="W389" s="73"/>
      <c r="X389" s="73"/>
      <c r="Y389" s="73"/>
      <c r="Z389" s="73"/>
      <c r="AA389" s="73"/>
      <c r="AB389" s="73"/>
      <c r="AC389" s="73"/>
      <c r="AD389" s="73"/>
      <c r="AE389" s="73"/>
      <c r="AF389" s="73"/>
    </row>
    <row r="390" spans="1:32" ht="15.75" customHeight="1" x14ac:dyDescent="0.2">
      <c r="A390" s="73"/>
      <c r="B390" s="73"/>
      <c r="C390" s="74"/>
      <c r="D390" s="74"/>
      <c r="E390" s="74"/>
      <c r="F390" s="73"/>
      <c r="G390" s="74"/>
      <c r="H390" s="73"/>
      <c r="I390" s="73"/>
      <c r="J390" s="73"/>
      <c r="K390" s="73"/>
      <c r="L390" s="73"/>
      <c r="M390" s="73"/>
      <c r="N390" s="73"/>
      <c r="O390" s="73"/>
      <c r="P390" s="73"/>
      <c r="Q390" s="73"/>
      <c r="R390" s="73"/>
      <c r="S390" s="73"/>
      <c r="T390" s="73"/>
      <c r="U390" s="73"/>
      <c r="V390" s="73"/>
      <c r="W390" s="73"/>
      <c r="X390" s="73"/>
      <c r="Y390" s="73"/>
      <c r="Z390" s="73"/>
      <c r="AA390" s="73"/>
      <c r="AB390" s="73"/>
      <c r="AC390" s="73"/>
      <c r="AD390" s="73"/>
      <c r="AE390" s="73"/>
      <c r="AF390" s="73"/>
    </row>
    <row r="391" spans="1:32" ht="15.75" customHeight="1" x14ac:dyDescent="0.2">
      <c r="A391" s="73"/>
      <c r="B391" s="73"/>
      <c r="C391" s="74"/>
      <c r="D391" s="74"/>
      <c r="E391" s="74"/>
      <c r="F391" s="73"/>
      <c r="G391" s="74"/>
      <c r="H391" s="73"/>
      <c r="I391" s="73"/>
      <c r="J391" s="73"/>
      <c r="K391" s="73"/>
      <c r="L391" s="73"/>
      <c r="M391" s="73"/>
      <c r="N391" s="73"/>
      <c r="O391" s="73"/>
      <c r="P391" s="73"/>
      <c r="Q391" s="73"/>
      <c r="R391" s="73"/>
      <c r="S391" s="73"/>
      <c r="T391" s="73"/>
      <c r="U391" s="73"/>
      <c r="V391" s="73"/>
      <c r="W391" s="73"/>
      <c r="X391" s="73"/>
      <c r="Y391" s="73"/>
      <c r="Z391" s="73"/>
      <c r="AA391" s="73"/>
      <c r="AB391" s="73"/>
      <c r="AC391" s="73"/>
      <c r="AD391" s="73"/>
      <c r="AE391" s="73"/>
      <c r="AF391" s="73"/>
    </row>
    <row r="392" spans="1:32" ht="15.75" customHeight="1" x14ac:dyDescent="0.2">
      <c r="A392" s="73"/>
      <c r="B392" s="73"/>
      <c r="C392" s="74"/>
      <c r="D392" s="74"/>
      <c r="E392" s="74"/>
      <c r="F392" s="73"/>
      <c r="G392" s="74"/>
      <c r="H392" s="73"/>
      <c r="I392" s="73"/>
      <c r="J392" s="73"/>
      <c r="K392" s="73"/>
      <c r="L392" s="73"/>
      <c r="M392" s="73"/>
      <c r="N392" s="73"/>
      <c r="O392" s="73"/>
      <c r="P392" s="73"/>
      <c r="Q392" s="73"/>
      <c r="R392" s="73"/>
      <c r="S392" s="73"/>
      <c r="T392" s="73"/>
      <c r="U392" s="73"/>
      <c r="V392" s="73"/>
      <c r="W392" s="73"/>
      <c r="X392" s="73"/>
      <c r="Y392" s="73"/>
      <c r="Z392" s="73"/>
      <c r="AA392" s="73"/>
      <c r="AB392" s="73"/>
      <c r="AC392" s="73"/>
      <c r="AD392" s="73"/>
      <c r="AE392" s="73"/>
      <c r="AF392" s="73"/>
    </row>
    <row r="393" spans="1:32" ht="15.75" customHeight="1" x14ac:dyDescent="0.2">
      <c r="A393" s="73"/>
      <c r="B393" s="73"/>
      <c r="C393" s="74"/>
      <c r="D393" s="74"/>
      <c r="E393" s="74"/>
      <c r="F393" s="73"/>
      <c r="G393" s="74"/>
      <c r="H393" s="73"/>
      <c r="I393" s="73"/>
      <c r="J393" s="73"/>
      <c r="K393" s="73"/>
      <c r="L393" s="73"/>
      <c r="M393" s="73"/>
      <c r="N393" s="73"/>
      <c r="O393" s="73"/>
      <c r="P393" s="73"/>
      <c r="Q393" s="73"/>
      <c r="R393" s="73"/>
      <c r="S393" s="73"/>
      <c r="T393" s="73"/>
      <c r="U393" s="73"/>
      <c r="V393" s="73"/>
      <c r="W393" s="73"/>
      <c r="X393" s="73"/>
      <c r="Y393" s="73"/>
      <c r="Z393" s="73"/>
      <c r="AA393" s="73"/>
      <c r="AB393" s="73"/>
      <c r="AC393" s="73"/>
      <c r="AD393" s="73"/>
      <c r="AE393" s="73"/>
      <c r="AF393" s="73"/>
    </row>
    <row r="394" spans="1:32" ht="15.75" customHeight="1" x14ac:dyDescent="0.2">
      <c r="A394" s="73"/>
      <c r="B394" s="73"/>
      <c r="C394" s="74"/>
      <c r="D394" s="74"/>
      <c r="E394" s="74"/>
      <c r="F394" s="73"/>
      <c r="G394" s="74"/>
      <c r="H394" s="73"/>
      <c r="I394" s="73"/>
      <c r="J394" s="73"/>
      <c r="K394" s="73"/>
      <c r="L394" s="73"/>
      <c r="M394" s="73"/>
      <c r="N394" s="73"/>
      <c r="O394" s="73"/>
      <c r="P394" s="73"/>
      <c r="Q394" s="73"/>
      <c r="R394" s="73"/>
      <c r="S394" s="73"/>
      <c r="T394" s="73"/>
      <c r="U394" s="73"/>
      <c r="V394" s="73"/>
      <c r="W394" s="73"/>
      <c r="X394" s="73"/>
      <c r="Y394" s="73"/>
      <c r="Z394" s="73"/>
      <c r="AA394" s="73"/>
      <c r="AB394" s="73"/>
      <c r="AC394" s="73"/>
      <c r="AD394" s="73"/>
      <c r="AE394" s="73"/>
      <c r="AF394" s="73"/>
    </row>
    <row r="395" spans="1:32" ht="15.75" customHeight="1" x14ac:dyDescent="0.2">
      <c r="A395" s="73"/>
      <c r="B395" s="73"/>
      <c r="C395" s="74"/>
      <c r="D395" s="74"/>
      <c r="E395" s="74"/>
      <c r="F395" s="73"/>
      <c r="G395" s="74"/>
      <c r="H395" s="73"/>
      <c r="I395" s="73"/>
      <c r="J395" s="73"/>
      <c r="K395" s="73"/>
      <c r="L395" s="73"/>
      <c r="M395" s="73"/>
      <c r="N395" s="73"/>
      <c r="O395" s="73"/>
      <c r="P395" s="73"/>
      <c r="Q395" s="73"/>
      <c r="R395" s="73"/>
      <c r="S395" s="73"/>
      <c r="T395" s="73"/>
      <c r="U395" s="73"/>
      <c r="V395" s="73"/>
      <c r="W395" s="73"/>
      <c r="X395" s="73"/>
      <c r="Y395" s="73"/>
      <c r="Z395" s="73"/>
      <c r="AA395" s="73"/>
      <c r="AB395" s="73"/>
      <c r="AC395" s="73"/>
      <c r="AD395" s="73"/>
      <c r="AE395" s="73"/>
      <c r="AF395" s="73"/>
    </row>
    <row r="396" spans="1:32" ht="15.75" customHeight="1" x14ac:dyDescent="0.2">
      <c r="A396" s="73"/>
      <c r="B396" s="73"/>
      <c r="C396" s="74"/>
      <c r="D396" s="74"/>
      <c r="E396" s="74"/>
      <c r="F396" s="73"/>
      <c r="G396" s="74"/>
      <c r="H396" s="73"/>
      <c r="I396" s="73"/>
      <c r="J396" s="73"/>
      <c r="K396" s="73"/>
      <c r="L396" s="73"/>
      <c r="M396" s="73"/>
      <c r="N396" s="73"/>
      <c r="O396" s="73"/>
      <c r="P396" s="73"/>
      <c r="Q396" s="73"/>
      <c r="R396" s="73"/>
      <c r="S396" s="73"/>
      <c r="T396" s="73"/>
      <c r="U396" s="73"/>
      <c r="V396" s="73"/>
      <c r="W396" s="73"/>
      <c r="X396" s="73"/>
      <c r="Y396" s="73"/>
      <c r="Z396" s="73"/>
      <c r="AA396" s="73"/>
      <c r="AB396" s="73"/>
      <c r="AC396" s="73"/>
      <c r="AD396" s="73"/>
      <c r="AE396" s="73"/>
      <c r="AF396" s="73"/>
    </row>
    <row r="397" spans="1:32" ht="15.75" customHeight="1" x14ac:dyDescent="0.2">
      <c r="A397" s="73"/>
      <c r="B397" s="73"/>
      <c r="C397" s="74"/>
      <c r="D397" s="74"/>
      <c r="E397" s="74"/>
      <c r="F397" s="73"/>
      <c r="G397" s="74"/>
      <c r="H397" s="73"/>
      <c r="I397" s="73"/>
      <c r="J397" s="73"/>
      <c r="K397" s="73"/>
      <c r="L397" s="73"/>
      <c r="M397" s="73"/>
      <c r="N397" s="73"/>
      <c r="O397" s="73"/>
      <c r="P397" s="73"/>
      <c r="Q397" s="73"/>
      <c r="R397" s="73"/>
      <c r="S397" s="73"/>
      <c r="T397" s="73"/>
      <c r="U397" s="73"/>
      <c r="V397" s="73"/>
      <c r="W397" s="73"/>
      <c r="X397" s="73"/>
      <c r="Y397" s="73"/>
      <c r="Z397" s="73"/>
      <c r="AA397" s="73"/>
      <c r="AB397" s="73"/>
      <c r="AC397" s="73"/>
      <c r="AD397" s="73"/>
      <c r="AE397" s="73"/>
      <c r="AF397" s="73"/>
    </row>
    <row r="398" spans="1:32" ht="15.75" customHeight="1" x14ac:dyDescent="0.2">
      <c r="A398" s="73"/>
      <c r="B398" s="73"/>
      <c r="C398" s="74"/>
      <c r="D398" s="74"/>
      <c r="E398" s="74"/>
      <c r="F398" s="73"/>
      <c r="G398" s="74"/>
      <c r="H398" s="73"/>
      <c r="I398" s="73"/>
      <c r="J398" s="73"/>
      <c r="K398" s="73"/>
      <c r="L398" s="73"/>
      <c r="M398" s="73"/>
      <c r="N398" s="73"/>
      <c r="O398" s="73"/>
      <c r="P398" s="73"/>
      <c r="Q398" s="73"/>
      <c r="R398" s="73"/>
      <c r="S398" s="73"/>
      <c r="T398" s="73"/>
      <c r="U398" s="73"/>
      <c r="V398" s="73"/>
      <c r="W398" s="73"/>
      <c r="X398" s="73"/>
      <c r="Y398" s="73"/>
      <c r="Z398" s="73"/>
      <c r="AA398" s="73"/>
      <c r="AB398" s="73"/>
      <c r="AC398" s="73"/>
      <c r="AD398" s="73"/>
      <c r="AE398" s="73"/>
      <c r="AF398" s="73"/>
    </row>
    <row r="399" spans="1:32" ht="15.75" customHeight="1" x14ac:dyDescent="0.2">
      <c r="A399" s="73"/>
      <c r="B399" s="73"/>
      <c r="C399" s="74"/>
      <c r="D399" s="74"/>
      <c r="E399" s="74"/>
      <c r="F399" s="73"/>
      <c r="G399" s="74"/>
      <c r="H399" s="73"/>
      <c r="I399" s="73"/>
      <c r="J399" s="73"/>
      <c r="K399" s="73"/>
      <c r="L399" s="73"/>
      <c r="M399" s="73"/>
      <c r="N399" s="73"/>
      <c r="O399" s="73"/>
      <c r="P399" s="73"/>
      <c r="Q399" s="73"/>
      <c r="R399" s="73"/>
      <c r="S399" s="73"/>
      <c r="T399" s="73"/>
      <c r="U399" s="73"/>
      <c r="V399" s="73"/>
      <c r="W399" s="73"/>
      <c r="X399" s="73"/>
      <c r="Y399" s="73"/>
      <c r="Z399" s="73"/>
      <c r="AA399" s="73"/>
      <c r="AB399" s="73"/>
      <c r="AC399" s="73"/>
      <c r="AD399" s="73"/>
      <c r="AE399" s="73"/>
      <c r="AF399" s="73"/>
    </row>
    <row r="400" spans="1:32" ht="15.75" customHeight="1" x14ac:dyDescent="0.2">
      <c r="A400" s="73"/>
      <c r="B400" s="73"/>
      <c r="C400" s="74"/>
      <c r="D400" s="74"/>
      <c r="E400" s="74"/>
      <c r="F400" s="73"/>
      <c r="G400" s="74"/>
      <c r="H400" s="73"/>
      <c r="I400" s="73"/>
      <c r="J400" s="73"/>
      <c r="K400" s="73"/>
      <c r="L400" s="73"/>
      <c r="M400" s="73"/>
      <c r="N400" s="73"/>
      <c r="O400" s="73"/>
      <c r="P400" s="73"/>
      <c r="Q400" s="73"/>
      <c r="R400" s="73"/>
      <c r="S400" s="73"/>
      <c r="T400" s="73"/>
      <c r="U400" s="73"/>
      <c r="V400" s="73"/>
      <c r="W400" s="73"/>
      <c r="X400" s="73"/>
      <c r="Y400" s="73"/>
      <c r="Z400" s="73"/>
      <c r="AA400" s="73"/>
      <c r="AB400" s="73"/>
      <c r="AC400" s="73"/>
      <c r="AD400" s="73"/>
      <c r="AE400" s="73"/>
      <c r="AF400" s="73"/>
    </row>
    <row r="401" spans="1:32" ht="15.75" customHeight="1" x14ac:dyDescent="0.2">
      <c r="A401" s="73"/>
      <c r="B401" s="73"/>
      <c r="C401" s="74"/>
      <c r="D401" s="74"/>
      <c r="E401" s="74"/>
      <c r="F401" s="73"/>
      <c r="G401" s="74"/>
      <c r="H401" s="73"/>
      <c r="I401" s="73"/>
      <c r="J401" s="73"/>
      <c r="K401" s="73"/>
      <c r="L401" s="73"/>
      <c r="M401" s="73"/>
      <c r="N401" s="73"/>
      <c r="O401" s="73"/>
      <c r="P401" s="73"/>
      <c r="Q401" s="73"/>
      <c r="R401" s="73"/>
      <c r="S401" s="73"/>
      <c r="T401" s="73"/>
      <c r="U401" s="73"/>
      <c r="V401" s="73"/>
      <c r="W401" s="73"/>
      <c r="X401" s="73"/>
      <c r="Y401" s="73"/>
      <c r="Z401" s="73"/>
      <c r="AA401" s="73"/>
      <c r="AB401" s="73"/>
      <c r="AC401" s="73"/>
      <c r="AD401" s="73"/>
      <c r="AE401" s="73"/>
      <c r="AF401" s="73"/>
    </row>
    <row r="402" spans="1:32" ht="15.75" customHeight="1" x14ac:dyDescent="0.2">
      <c r="A402" s="73"/>
      <c r="B402" s="73"/>
      <c r="C402" s="74"/>
      <c r="D402" s="74"/>
      <c r="E402" s="74"/>
      <c r="F402" s="73"/>
      <c r="G402" s="74"/>
      <c r="H402" s="73"/>
      <c r="I402" s="73"/>
      <c r="J402" s="73"/>
      <c r="K402" s="73"/>
      <c r="L402" s="73"/>
      <c r="M402" s="73"/>
      <c r="N402" s="73"/>
      <c r="O402" s="73"/>
      <c r="P402" s="73"/>
      <c r="Q402" s="73"/>
      <c r="R402" s="73"/>
      <c r="S402" s="73"/>
      <c r="T402" s="73"/>
      <c r="U402" s="73"/>
      <c r="V402" s="73"/>
      <c r="W402" s="73"/>
      <c r="X402" s="73"/>
      <c r="Y402" s="73"/>
      <c r="Z402" s="73"/>
      <c r="AA402" s="73"/>
      <c r="AB402" s="73"/>
      <c r="AC402" s="73"/>
      <c r="AD402" s="73"/>
      <c r="AE402" s="73"/>
      <c r="AF402" s="73"/>
    </row>
    <row r="403" spans="1:32" ht="15.75" customHeight="1" x14ac:dyDescent="0.2">
      <c r="A403" s="73"/>
      <c r="B403" s="73"/>
      <c r="C403" s="74"/>
      <c r="D403" s="74"/>
      <c r="E403" s="74"/>
      <c r="F403" s="73"/>
      <c r="G403" s="74"/>
      <c r="H403" s="73"/>
      <c r="I403" s="73"/>
      <c r="J403" s="73"/>
      <c r="K403" s="73"/>
      <c r="L403" s="73"/>
      <c r="M403" s="73"/>
      <c r="N403" s="73"/>
      <c r="O403" s="73"/>
      <c r="P403" s="73"/>
      <c r="Q403" s="73"/>
      <c r="R403" s="73"/>
      <c r="S403" s="73"/>
      <c r="T403" s="73"/>
      <c r="U403" s="73"/>
      <c r="V403" s="73"/>
      <c r="W403" s="73"/>
      <c r="X403" s="73"/>
      <c r="Y403" s="73"/>
      <c r="Z403" s="73"/>
      <c r="AA403" s="73"/>
      <c r="AB403" s="73"/>
      <c r="AC403" s="73"/>
      <c r="AD403" s="73"/>
      <c r="AE403" s="73"/>
      <c r="AF403" s="73"/>
    </row>
    <row r="404" spans="1:32" ht="15.75" customHeight="1" x14ac:dyDescent="0.2">
      <c r="A404" s="73"/>
      <c r="B404" s="73"/>
      <c r="C404" s="74"/>
      <c r="D404" s="74"/>
      <c r="E404" s="74"/>
      <c r="F404" s="73"/>
      <c r="G404" s="74"/>
      <c r="H404" s="73"/>
      <c r="I404" s="73"/>
      <c r="J404" s="73"/>
      <c r="K404" s="73"/>
      <c r="L404" s="73"/>
      <c r="M404" s="73"/>
      <c r="N404" s="73"/>
      <c r="O404" s="73"/>
      <c r="P404" s="73"/>
      <c r="Q404" s="73"/>
      <c r="R404" s="73"/>
      <c r="S404" s="73"/>
      <c r="T404" s="73"/>
      <c r="U404" s="73"/>
      <c r="V404" s="73"/>
      <c r="W404" s="73"/>
      <c r="X404" s="73"/>
      <c r="Y404" s="73"/>
      <c r="Z404" s="73"/>
      <c r="AA404" s="73"/>
      <c r="AB404" s="73"/>
      <c r="AC404" s="73"/>
      <c r="AD404" s="73"/>
      <c r="AE404" s="73"/>
      <c r="AF404" s="73"/>
    </row>
    <row r="405" spans="1:32" ht="15.75" customHeight="1" x14ac:dyDescent="0.2">
      <c r="A405" s="73"/>
      <c r="B405" s="73"/>
      <c r="C405" s="74"/>
      <c r="D405" s="74"/>
      <c r="E405" s="74"/>
      <c r="F405" s="73"/>
      <c r="G405" s="74"/>
      <c r="H405" s="73"/>
      <c r="I405" s="73"/>
      <c r="J405" s="73"/>
      <c r="K405" s="73"/>
      <c r="L405" s="73"/>
      <c r="M405" s="73"/>
      <c r="N405" s="73"/>
      <c r="O405" s="73"/>
      <c r="P405" s="73"/>
      <c r="Q405" s="73"/>
      <c r="R405" s="73"/>
      <c r="S405" s="73"/>
      <c r="T405" s="73"/>
      <c r="U405" s="73"/>
      <c r="V405" s="73"/>
      <c r="W405" s="73"/>
      <c r="X405" s="73"/>
      <c r="Y405" s="73"/>
      <c r="Z405" s="73"/>
      <c r="AA405" s="73"/>
      <c r="AB405" s="73"/>
      <c r="AC405" s="73"/>
      <c r="AD405" s="73"/>
      <c r="AE405" s="73"/>
      <c r="AF405" s="73"/>
    </row>
    <row r="406" spans="1:32" ht="15.75" customHeight="1" x14ac:dyDescent="0.2">
      <c r="A406" s="73"/>
      <c r="B406" s="73"/>
      <c r="C406" s="74"/>
      <c r="D406" s="74"/>
      <c r="E406" s="74"/>
      <c r="F406" s="73"/>
      <c r="G406" s="74"/>
      <c r="H406" s="73"/>
      <c r="I406" s="73"/>
      <c r="J406" s="73"/>
      <c r="K406" s="73"/>
      <c r="L406" s="73"/>
      <c r="M406" s="73"/>
      <c r="N406" s="73"/>
      <c r="O406" s="73"/>
      <c r="P406" s="73"/>
      <c r="Q406" s="73"/>
      <c r="R406" s="73"/>
      <c r="S406" s="73"/>
      <c r="T406" s="73"/>
      <c r="U406" s="73"/>
      <c r="V406" s="73"/>
      <c r="W406" s="73"/>
      <c r="X406" s="73"/>
      <c r="Y406" s="73"/>
      <c r="Z406" s="73"/>
      <c r="AA406" s="73"/>
      <c r="AB406" s="73"/>
      <c r="AC406" s="73"/>
      <c r="AD406" s="73"/>
      <c r="AE406" s="73"/>
      <c r="AF406" s="73"/>
    </row>
    <row r="407" spans="1:32" ht="15.75" customHeight="1" x14ac:dyDescent="0.2">
      <c r="A407" s="73"/>
      <c r="B407" s="73"/>
      <c r="C407" s="74"/>
      <c r="D407" s="74"/>
      <c r="E407" s="74"/>
      <c r="F407" s="73"/>
      <c r="G407" s="74"/>
      <c r="H407" s="73"/>
      <c r="I407" s="73"/>
      <c r="J407" s="73"/>
      <c r="K407" s="73"/>
      <c r="L407" s="73"/>
      <c r="M407" s="73"/>
      <c r="N407" s="73"/>
      <c r="O407" s="73"/>
      <c r="P407" s="73"/>
      <c r="Q407" s="73"/>
      <c r="R407" s="73"/>
      <c r="S407" s="73"/>
      <c r="T407" s="73"/>
      <c r="U407" s="73"/>
      <c r="V407" s="73"/>
      <c r="W407" s="73"/>
      <c r="X407" s="73"/>
      <c r="Y407" s="73"/>
      <c r="Z407" s="73"/>
      <c r="AA407" s="73"/>
      <c r="AB407" s="73"/>
      <c r="AC407" s="73"/>
      <c r="AD407" s="73"/>
      <c r="AE407" s="73"/>
      <c r="AF407" s="73"/>
    </row>
    <row r="408" spans="1:32" ht="15.75" customHeight="1" x14ac:dyDescent="0.2">
      <c r="A408" s="73"/>
      <c r="B408" s="73"/>
      <c r="C408" s="74"/>
      <c r="D408" s="74"/>
      <c r="E408" s="74"/>
      <c r="F408" s="73"/>
      <c r="G408" s="74"/>
      <c r="H408" s="73"/>
      <c r="I408" s="73"/>
      <c r="J408" s="73"/>
      <c r="K408" s="73"/>
      <c r="L408" s="73"/>
      <c r="M408" s="73"/>
      <c r="N408" s="73"/>
      <c r="O408" s="73"/>
      <c r="P408" s="73"/>
      <c r="Q408" s="73"/>
      <c r="R408" s="73"/>
      <c r="S408" s="73"/>
      <c r="T408" s="73"/>
      <c r="U408" s="73"/>
      <c r="V408" s="73"/>
      <c r="W408" s="73"/>
      <c r="X408" s="73"/>
      <c r="Y408" s="73"/>
      <c r="Z408" s="73"/>
      <c r="AA408" s="73"/>
      <c r="AB408" s="73"/>
      <c r="AC408" s="73"/>
      <c r="AD408" s="73"/>
      <c r="AE408" s="73"/>
      <c r="AF408" s="73"/>
    </row>
    <row r="409" spans="1:32" ht="15.75" customHeight="1" x14ac:dyDescent="0.2">
      <c r="A409" s="73"/>
      <c r="B409" s="73"/>
      <c r="C409" s="74"/>
      <c r="D409" s="74"/>
      <c r="E409" s="74"/>
      <c r="F409" s="73"/>
      <c r="G409" s="74"/>
      <c r="H409" s="73"/>
      <c r="I409" s="73"/>
      <c r="J409" s="73"/>
      <c r="K409" s="73"/>
      <c r="L409" s="73"/>
      <c r="M409" s="73"/>
      <c r="N409" s="73"/>
      <c r="O409" s="73"/>
      <c r="P409" s="73"/>
      <c r="Q409" s="73"/>
      <c r="R409" s="73"/>
      <c r="S409" s="73"/>
      <c r="T409" s="73"/>
      <c r="U409" s="73"/>
      <c r="V409" s="73"/>
      <c r="W409" s="73"/>
      <c r="X409" s="73"/>
      <c r="Y409" s="73"/>
      <c r="Z409" s="73"/>
      <c r="AA409" s="73"/>
      <c r="AB409" s="73"/>
      <c r="AC409" s="73"/>
      <c r="AD409" s="73"/>
      <c r="AE409" s="73"/>
      <c r="AF409" s="73"/>
    </row>
    <row r="410" spans="1:32" ht="15.75" customHeight="1" x14ac:dyDescent="0.2">
      <c r="A410" s="73"/>
      <c r="B410" s="73"/>
      <c r="C410" s="74"/>
      <c r="D410" s="74"/>
      <c r="E410" s="74"/>
      <c r="F410" s="73"/>
      <c r="G410" s="74"/>
      <c r="H410" s="73"/>
      <c r="I410" s="73"/>
      <c r="J410" s="73"/>
      <c r="K410" s="73"/>
      <c r="L410" s="73"/>
      <c r="M410" s="73"/>
      <c r="N410" s="73"/>
      <c r="O410" s="73"/>
      <c r="P410" s="73"/>
      <c r="Q410" s="73"/>
      <c r="R410" s="73"/>
      <c r="S410" s="73"/>
      <c r="T410" s="73"/>
      <c r="U410" s="73"/>
      <c r="V410" s="73"/>
      <c r="W410" s="73"/>
      <c r="X410" s="73"/>
      <c r="Y410" s="73"/>
      <c r="Z410" s="73"/>
      <c r="AA410" s="73"/>
      <c r="AB410" s="73"/>
      <c r="AC410" s="73"/>
      <c r="AD410" s="73"/>
      <c r="AE410" s="73"/>
      <c r="AF410" s="73"/>
    </row>
    <row r="411" spans="1:32" ht="15.75" customHeight="1" x14ac:dyDescent="0.2">
      <c r="A411" s="73"/>
      <c r="B411" s="73"/>
      <c r="C411" s="74"/>
      <c r="D411" s="74"/>
      <c r="E411" s="74"/>
      <c r="F411" s="73"/>
      <c r="G411" s="74"/>
      <c r="H411" s="73"/>
      <c r="I411" s="73"/>
      <c r="J411" s="73"/>
      <c r="K411" s="73"/>
      <c r="L411" s="73"/>
      <c r="M411" s="73"/>
      <c r="N411" s="73"/>
      <c r="O411" s="73"/>
      <c r="P411" s="73"/>
      <c r="Q411" s="73"/>
      <c r="R411" s="73"/>
      <c r="S411" s="73"/>
      <c r="T411" s="73"/>
      <c r="U411" s="73"/>
      <c r="V411" s="73"/>
      <c r="W411" s="73"/>
      <c r="X411" s="73"/>
      <c r="Y411" s="73"/>
      <c r="Z411" s="73"/>
      <c r="AA411" s="73"/>
      <c r="AB411" s="73"/>
      <c r="AC411" s="73"/>
      <c r="AD411" s="73"/>
      <c r="AE411" s="73"/>
      <c r="AF411" s="73"/>
    </row>
    <row r="412" spans="1:32" ht="15.75" customHeight="1" x14ac:dyDescent="0.2">
      <c r="A412" s="73"/>
      <c r="B412" s="73"/>
      <c r="C412" s="74"/>
      <c r="D412" s="74"/>
      <c r="E412" s="74"/>
      <c r="F412" s="73"/>
      <c r="G412" s="74"/>
      <c r="H412" s="73"/>
      <c r="I412" s="73"/>
      <c r="J412" s="73"/>
      <c r="K412" s="73"/>
      <c r="L412" s="73"/>
      <c r="M412" s="73"/>
      <c r="N412" s="73"/>
      <c r="O412" s="73"/>
      <c r="P412" s="73"/>
      <c r="Q412" s="73"/>
      <c r="R412" s="73"/>
      <c r="S412" s="73"/>
      <c r="T412" s="73"/>
      <c r="U412" s="73"/>
      <c r="V412" s="73"/>
      <c r="W412" s="73"/>
      <c r="X412" s="73"/>
      <c r="Y412" s="73"/>
      <c r="Z412" s="73"/>
      <c r="AA412" s="73"/>
      <c r="AB412" s="73"/>
      <c r="AC412" s="73"/>
      <c r="AD412" s="73"/>
      <c r="AE412" s="73"/>
      <c r="AF412" s="73"/>
    </row>
    <row r="413" spans="1:32" ht="15.75" customHeight="1" x14ac:dyDescent="0.2">
      <c r="A413" s="73"/>
      <c r="B413" s="73"/>
      <c r="C413" s="74"/>
      <c r="D413" s="74"/>
      <c r="E413" s="74"/>
      <c r="F413" s="73"/>
      <c r="G413" s="74"/>
      <c r="H413" s="73"/>
      <c r="I413" s="73"/>
      <c r="J413" s="73"/>
      <c r="K413" s="73"/>
      <c r="L413" s="73"/>
      <c r="M413" s="73"/>
      <c r="N413" s="73"/>
      <c r="O413" s="73"/>
      <c r="P413" s="73"/>
      <c r="Q413" s="73"/>
      <c r="R413" s="73"/>
      <c r="S413" s="73"/>
      <c r="T413" s="73"/>
      <c r="U413" s="73"/>
      <c r="V413" s="73"/>
      <c r="W413" s="73"/>
      <c r="X413" s="73"/>
      <c r="Y413" s="73"/>
      <c r="Z413" s="73"/>
      <c r="AA413" s="73"/>
      <c r="AB413" s="73"/>
      <c r="AC413" s="73"/>
      <c r="AD413" s="73"/>
      <c r="AE413" s="73"/>
      <c r="AF413" s="73"/>
    </row>
    <row r="414" spans="1:32" ht="15.75" customHeight="1" x14ac:dyDescent="0.2">
      <c r="A414" s="73"/>
      <c r="B414" s="73"/>
      <c r="C414" s="74"/>
      <c r="D414" s="74"/>
      <c r="E414" s="74"/>
      <c r="F414" s="73"/>
      <c r="G414" s="74"/>
      <c r="H414" s="73"/>
      <c r="I414" s="73"/>
      <c r="J414" s="73"/>
      <c r="K414" s="73"/>
      <c r="L414" s="73"/>
      <c r="M414" s="73"/>
      <c r="N414" s="73"/>
      <c r="O414" s="73"/>
      <c r="P414" s="73"/>
      <c r="Q414" s="73"/>
      <c r="R414" s="73"/>
      <c r="S414" s="73"/>
      <c r="T414" s="73"/>
      <c r="U414" s="73"/>
      <c r="V414" s="73"/>
      <c r="W414" s="73"/>
      <c r="X414" s="73"/>
      <c r="Y414" s="73"/>
      <c r="Z414" s="73"/>
      <c r="AA414" s="73"/>
      <c r="AB414" s="73"/>
      <c r="AC414" s="73"/>
      <c r="AD414" s="73"/>
      <c r="AE414" s="73"/>
      <c r="AF414" s="73"/>
    </row>
    <row r="415" spans="1:32" ht="15.75" customHeight="1" x14ac:dyDescent="0.2">
      <c r="A415" s="73"/>
      <c r="B415" s="73"/>
      <c r="C415" s="74"/>
      <c r="D415" s="74"/>
      <c r="E415" s="74"/>
      <c r="F415" s="73"/>
      <c r="G415" s="74"/>
      <c r="H415" s="73"/>
      <c r="I415" s="73"/>
      <c r="J415" s="73"/>
      <c r="K415" s="73"/>
      <c r="L415" s="73"/>
      <c r="M415" s="73"/>
      <c r="N415" s="73"/>
      <c r="O415" s="73"/>
      <c r="P415" s="73"/>
      <c r="Q415" s="73"/>
      <c r="R415" s="73"/>
      <c r="S415" s="73"/>
      <c r="T415" s="73"/>
      <c r="U415" s="73"/>
      <c r="V415" s="73"/>
      <c r="W415" s="73"/>
      <c r="X415" s="73"/>
      <c r="Y415" s="73"/>
      <c r="Z415" s="73"/>
      <c r="AA415" s="73"/>
      <c r="AB415" s="73"/>
      <c r="AC415" s="73"/>
      <c r="AD415" s="73"/>
      <c r="AE415" s="73"/>
      <c r="AF415" s="73"/>
    </row>
    <row r="416" spans="1:32" ht="15.75" customHeight="1" x14ac:dyDescent="0.2">
      <c r="A416" s="73"/>
      <c r="B416" s="73"/>
      <c r="C416" s="74"/>
      <c r="D416" s="74"/>
      <c r="E416" s="74"/>
      <c r="F416" s="73"/>
      <c r="G416" s="74"/>
      <c r="H416" s="73"/>
      <c r="I416" s="73"/>
      <c r="J416" s="73"/>
      <c r="K416" s="73"/>
      <c r="L416" s="73"/>
      <c r="M416" s="73"/>
      <c r="N416" s="73"/>
      <c r="O416" s="73"/>
      <c r="P416" s="73"/>
      <c r="Q416" s="73"/>
      <c r="R416" s="73"/>
      <c r="S416" s="73"/>
      <c r="T416" s="73"/>
      <c r="U416" s="73"/>
      <c r="V416" s="73"/>
      <c r="W416" s="73"/>
      <c r="X416" s="73"/>
      <c r="Y416" s="73"/>
      <c r="Z416" s="73"/>
      <c r="AA416" s="73"/>
      <c r="AB416" s="73"/>
      <c r="AC416" s="73"/>
      <c r="AD416" s="73"/>
      <c r="AE416" s="73"/>
      <c r="AF416" s="73"/>
    </row>
    <row r="417" spans="1:32" ht="15.75" customHeight="1" x14ac:dyDescent="0.2">
      <c r="A417" s="73"/>
      <c r="B417" s="73"/>
      <c r="C417" s="74"/>
      <c r="D417" s="74"/>
      <c r="E417" s="74"/>
      <c r="F417" s="73"/>
      <c r="G417" s="74"/>
      <c r="H417" s="73"/>
      <c r="I417" s="73"/>
      <c r="J417" s="73"/>
      <c r="K417" s="73"/>
      <c r="L417" s="73"/>
      <c r="M417" s="73"/>
      <c r="N417" s="73"/>
      <c r="O417" s="73"/>
      <c r="P417" s="73"/>
      <c r="Q417" s="73"/>
      <c r="R417" s="73"/>
      <c r="S417" s="73"/>
      <c r="T417" s="73"/>
      <c r="U417" s="73"/>
      <c r="V417" s="73"/>
      <c r="W417" s="73"/>
      <c r="X417" s="73"/>
      <c r="Y417" s="73"/>
      <c r="Z417" s="73"/>
      <c r="AA417" s="73"/>
      <c r="AB417" s="73"/>
      <c r="AC417" s="73"/>
      <c r="AD417" s="73"/>
      <c r="AE417" s="73"/>
      <c r="AF417" s="73"/>
    </row>
    <row r="418" spans="1:32" ht="15.75" customHeight="1" x14ac:dyDescent="0.2">
      <c r="A418" s="73"/>
      <c r="B418" s="73"/>
      <c r="C418" s="74"/>
      <c r="D418" s="74"/>
      <c r="E418" s="74"/>
      <c r="F418" s="73"/>
      <c r="G418" s="74"/>
      <c r="H418" s="73"/>
      <c r="I418" s="73"/>
      <c r="J418" s="73"/>
      <c r="K418" s="73"/>
      <c r="L418" s="73"/>
      <c r="M418" s="73"/>
      <c r="N418" s="73"/>
      <c r="O418" s="73"/>
      <c r="P418" s="73"/>
      <c r="Q418" s="73"/>
      <c r="R418" s="73"/>
      <c r="S418" s="73"/>
      <c r="T418" s="73"/>
      <c r="U418" s="73"/>
      <c r="V418" s="73"/>
      <c r="W418" s="73"/>
      <c r="X418" s="73"/>
      <c r="Y418" s="73"/>
      <c r="Z418" s="73"/>
      <c r="AA418" s="73"/>
      <c r="AB418" s="73"/>
      <c r="AC418" s="73"/>
      <c r="AD418" s="73"/>
      <c r="AE418" s="73"/>
      <c r="AF418" s="73"/>
    </row>
    <row r="419" spans="1:32" ht="15.75" customHeight="1" x14ac:dyDescent="0.2">
      <c r="A419" s="73"/>
      <c r="B419" s="73"/>
      <c r="C419" s="74"/>
      <c r="D419" s="74"/>
      <c r="E419" s="74"/>
      <c r="F419" s="73"/>
      <c r="G419" s="74"/>
      <c r="H419" s="73"/>
      <c r="I419" s="73"/>
      <c r="J419" s="73"/>
      <c r="K419" s="73"/>
      <c r="L419" s="73"/>
      <c r="M419" s="73"/>
      <c r="N419" s="73"/>
      <c r="O419" s="73"/>
      <c r="P419" s="73"/>
      <c r="Q419" s="73"/>
      <c r="R419" s="73"/>
      <c r="S419" s="73"/>
      <c r="T419" s="73"/>
      <c r="U419" s="73"/>
      <c r="V419" s="73"/>
      <c r="W419" s="73"/>
      <c r="X419" s="73"/>
      <c r="Y419" s="73"/>
      <c r="Z419" s="73"/>
      <c r="AA419" s="73"/>
      <c r="AB419" s="73"/>
      <c r="AC419" s="73"/>
      <c r="AD419" s="73"/>
      <c r="AE419" s="73"/>
      <c r="AF419" s="73"/>
    </row>
    <row r="420" spans="1:32" ht="15.75" customHeight="1" x14ac:dyDescent="0.2">
      <c r="A420" s="73"/>
      <c r="B420" s="73"/>
      <c r="C420" s="74"/>
      <c r="D420" s="74"/>
      <c r="E420" s="74"/>
      <c r="F420" s="73"/>
      <c r="G420" s="74"/>
      <c r="H420" s="73"/>
      <c r="I420" s="73"/>
      <c r="J420" s="73"/>
      <c r="K420" s="73"/>
      <c r="L420" s="73"/>
      <c r="M420" s="73"/>
      <c r="N420" s="73"/>
      <c r="O420" s="73"/>
      <c r="P420" s="73"/>
      <c r="Q420" s="73"/>
      <c r="R420" s="73"/>
      <c r="S420" s="73"/>
      <c r="T420" s="73"/>
      <c r="U420" s="73"/>
      <c r="V420" s="73"/>
      <c r="W420" s="73"/>
      <c r="X420" s="73"/>
      <c r="Y420" s="73"/>
      <c r="Z420" s="73"/>
      <c r="AA420" s="73"/>
      <c r="AB420" s="73"/>
      <c r="AC420" s="73"/>
      <c r="AD420" s="73"/>
      <c r="AE420" s="73"/>
      <c r="AF420" s="73"/>
    </row>
    <row r="421" spans="1:32" ht="15.75" customHeight="1" x14ac:dyDescent="0.2">
      <c r="A421" s="73"/>
      <c r="B421" s="73"/>
      <c r="C421" s="74"/>
      <c r="D421" s="74"/>
      <c r="E421" s="74"/>
      <c r="F421" s="73"/>
      <c r="G421" s="74"/>
      <c r="H421" s="73"/>
      <c r="I421" s="73"/>
      <c r="J421" s="73"/>
      <c r="K421" s="73"/>
      <c r="L421" s="73"/>
      <c r="M421" s="73"/>
      <c r="N421" s="73"/>
      <c r="O421" s="73"/>
      <c r="P421" s="73"/>
      <c r="Q421" s="73"/>
      <c r="R421" s="73"/>
      <c r="S421" s="73"/>
      <c r="T421" s="73"/>
      <c r="U421" s="73"/>
      <c r="V421" s="73"/>
      <c r="W421" s="73"/>
      <c r="X421" s="73"/>
      <c r="Y421" s="73"/>
      <c r="Z421" s="73"/>
      <c r="AA421" s="73"/>
      <c r="AB421" s="73"/>
      <c r="AC421" s="73"/>
      <c r="AD421" s="73"/>
      <c r="AE421" s="73"/>
      <c r="AF421" s="73"/>
    </row>
    <row r="422" spans="1:32" ht="15.75" customHeight="1" x14ac:dyDescent="0.2">
      <c r="A422" s="73"/>
      <c r="B422" s="73"/>
      <c r="C422" s="74"/>
      <c r="D422" s="74"/>
      <c r="E422" s="74"/>
      <c r="F422" s="73"/>
      <c r="G422" s="74"/>
      <c r="H422" s="73"/>
      <c r="I422" s="73"/>
      <c r="J422" s="73"/>
      <c r="K422" s="73"/>
      <c r="L422" s="73"/>
      <c r="M422" s="73"/>
      <c r="N422" s="73"/>
      <c r="O422" s="73"/>
      <c r="P422" s="73"/>
      <c r="Q422" s="73"/>
      <c r="R422" s="73"/>
      <c r="S422" s="73"/>
      <c r="T422" s="73"/>
      <c r="U422" s="73"/>
      <c r="V422" s="73"/>
      <c r="W422" s="73"/>
      <c r="X422" s="73"/>
      <c r="Y422" s="73"/>
      <c r="Z422" s="73"/>
      <c r="AA422" s="73"/>
      <c r="AB422" s="73"/>
      <c r="AC422" s="73"/>
      <c r="AD422" s="73"/>
      <c r="AE422" s="73"/>
      <c r="AF422" s="73"/>
    </row>
    <row r="423" spans="1:32" ht="15.75" customHeight="1" x14ac:dyDescent="0.2">
      <c r="A423" s="73"/>
      <c r="B423" s="73"/>
      <c r="C423" s="74"/>
      <c r="D423" s="74"/>
      <c r="E423" s="74"/>
      <c r="F423" s="73"/>
      <c r="G423" s="74"/>
      <c r="H423" s="73"/>
      <c r="I423" s="73"/>
      <c r="J423" s="73"/>
      <c r="K423" s="73"/>
      <c r="L423" s="73"/>
      <c r="M423" s="73"/>
      <c r="N423" s="73"/>
      <c r="O423" s="73"/>
      <c r="P423" s="73"/>
      <c r="Q423" s="73"/>
      <c r="R423" s="73"/>
      <c r="S423" s="73"/>
      <c r="T423" s="73"/>
      <c r="U423" s="73"/>
      <c r="V423" s="73"/>
      <c r="W423" s="73"/>
      <c r="X423" s="73"/>
      <c r="Y423" s="73"/>
      <c r="Z423" s="73"/>
      <c r="AA423" s="73"/>
      <c r="AB423" s="73"/>
      <c r="AC423" s="73"/>
      <c r="AD423" s="73"/>
      <c r="AE423" s="73"/>
      <c r="AF423" s="73"/>
    </row>
    <row r="424" spans="1:32" ht="15.75" customHeight="1" x14ac:dyDescent="0.2">
      <c r="A424" s="73"/>
      <c r="B424" s="73"/>
      <c r="C424" s="74"/>
      <c r="D424" s="74"/>
      <c r="E424" s="74"/>
      <c r="F424" s="73"/>
      <c r="G424" s="74"/>
      <c r="H424" s="73"/>
      <c r="I424" s="73"/>
      <c r="J424" s="73"/>
      <c r="K424" s="73"/>
      <c r="L424" s="73"/>
      <c r="M424" s="73"/>
      <c r="N424" s="73"/>
      <c r="O424" s="73"/>
      <c r="P424" s="73"/>
      <c r="Q424" s="73"/>
      <c r="R424" s="73"/>
      <c r="S424" s="73"/>
      <c r="T424" s="73"/>
      <c r="U424" s="73"/>
      <c r="V424" s="73"/>
      <c r="W424" s="73"/>
      <c r="X424" s="73"/>
      <c r="Y424" s="73"/>
      <c r="Z424" s="73"/>
      <c r="AA424" s="73"/>
      <c r="AB424" s="73"/>
      <c r="AC424" s="73"/>
      <c r="AD424" s="73"/>
      <c r="AE424" s="73"/>
      <c r="AF424" s="73"/>
    </row>
    <row r="425" spans="1:32" ht="15.75" customHeight="1" x14ac:dyDescent="0.2">
      <c r="A425" s="73"/>
      <c r="B425" s="73"/>
      <c r="C425" s="74"/>
      <c r="D425" s="74"/>
      <c r="E425" s="74"/>
      <c r="F425" s="73"/>
      <c r="G425" s="74"/>
      <c r="H425" s="73"/>
      <c r="I425" s="73"/>
      <c r="J425" s="73"/>
      <c r="K425" s="73"/>
      <c r="L425" s="73"/>
      <c r="M425" s="73"/>
      <c r="N425" s="73"/>
      <c r="O425" s="73"/>
      <c r="P425" s="73"/>
      <c r="Q425" s="73"/>
      <c r="R425" s="73"/>
      <c r="S425" s="73"/>
      <c r="T425" s="73"/>
      <c r="U425" s="73"/>
      <c r="V425" s="73"/>
      <c r="W425" s="73"/>
      <c r="X425" s="73"/>
      <c r="Y425" s="73"/>
      <c r="Z425" s="73"/>
      <c r="AA425" s="73"/>
      <c r="AB425" s="73"/>
      <c r="AC425" s="73"/>
      <c r="AD425" s="73"/>
      <c r="AE425" s="73"/>
      <c r="AF425" s="73"/>
    </row>
    <row r="426" spans="1:32" ht="15.75" customHeight="1" x14ac:dyDescent="0.2">
      <c r="A426" s="73"/>
      <c r="B426" s="73"/>
      <c r="C426" s="74"/>
      <c r="D426" s="74"/>
      <c r="E426" s="74"/>
      <c r="F426" s="73"/>
      <c r="G426" s="74"/>
      <c r="H426" s="73"/>
      <c r="I426" s="73"/>
      <c r="J426" s="73"/>
      <c r="K426" s="73"/>
      <c r="L426" s="73"/>
      <c r="M426" s="73"/>
      <c r="N426" s="73"/>
      <c r="O426" s="73"/>
      <c r="P426" s="73"/>
      <c r="Q426" s="73"/>
      <c r="R426" s="73"/>
      <c r="S426" s="73"/>
      <c r="T426" s="73"/>
      <c r="U426" s="73"/>
      <c r="V426" s="73"/>
      <c r="W426" s="73"/>
      <c r="X426" s="73"/>
      <c r="Y426" s="73"/>
      <c r="Z426" s="73"/>
      <c r="AA426" s="73"/>
      <c r="AB426" s="73"/>
      <c r="AC426" s="73"/>
      <c r="AD426" s="73"/>
      <c r="AE426" s="73"/>
      <c r="AF426" s="73"/>
    </row>
    <row r="427" spans="1:32" ht="15.75" customHeight="1" x14ac:dyDescent="0.2">
      <c r="A427" s="73"/>
      <c r="B427" s="73"/>
      <c r="C427" s="74"/>
      <c r="D427" s="74"/>
      <c r="E427" s="74"/>
      <c r="F427" s="73"/>
      <c r="G427" s="74"/>
      <c r="H427" s="73"/>
      <c r="I427" s="73"/>
      <c r="J427" s="73"/>
      <c r="K427" s="73"/>
      <c r="L427" s="73"/>
      <c r="M427" s="73"/>
      <c r="N427" s="73"/>
      <c r="O427" s="73"/>
      <c r="P427" s="73"/>
      <c r="Q427" s="73"/>
      <c r="R427" s="73"/>
      <c r="S427" s="73"/>
      <c r="T427" s="73"/>
      <c r="U427" s="73"/>
      <c r="V427" s="73"/>
      <c r="W427" s="73"/>
      <c r="X427" s="73"/>
      <c r="Y427" s="73"/>
      <c r="Z427" s="73"/>
      <c r="AA427" s="73"/>
      <c r="AB427" s="73"/>
      <c r="AC427" s="73"/>
      <c r="AD427" s="73"/>
      <c r="AE427" s="73"/>
      <c r="AF427" s="73"/>
    </row>
    <row r="428" spans="1:32" ht="15.75" customHeight="1" x14ac:dyDescent="0.2">
      <c r="A428" s="73"/>
      <c r="B428" s="73"/>
      <c r="C428" s="74"/>
      <c r="D428" s="74"/>
      <c r="E428" s="74"/>
      <c r="F428" s="73"/>
      <c r="G428" s="74"/>
      <c r="H428" s="73"/>
      <c r="I428" s="73"/>
      <c r="J428" s="73"/>
      <c r="K428" s="73"/>
      <c r="L428" s="73"/>
      <c r="M428" s="73"/>
      <c r="N428" s="73"/>
      <c r="O428" s="73"/>
      <c r="P428" s="73"/>
      <c r="Q428" s="73"/>
      <c r="R428" s="73"/>
      <c r="S428" s="73"/>
      <c r="T428" s="73"/>
      <c r="U428" s="73"/>
      <c r="V428" s="73"/>
      <c r="W428" s="73"/>
      <c r="X428" s="73"/>
      <c r="Y428" s="73"/>
      <c r="Z428" s="73"/>
      <c r="AA428" s="73"/>
      <c r="AB428" s="73"/>
      <c r="AC428" s="73"/>
      <c r="AD428" s="73"/>
      <c r="AE428" s="73"/>
      <c r="AF428" s="73"/>
    </row>
    <row r="429" spans="1:32" ht="15.75" customHeight="1" x14ac:dyDescent="0.2">
      <c r="A429" s="73"/>
      <c r="B429" s="73"/>
      <c r="C429" s="74"/>
      <c r="D429" s="74"/>
      <c r="E429" s="74"/>
      <c r="F429" s="73"/>
      <c r="G429" s="74"/>
      <c r="H429" s="73"/>
      <c r="I429" s="73"/>
      <c r="J429" s="73"/>
      <c r="K429" s="73"/>
      <c r="L429" s="73"/>
      <c r="M429" s="73"/>
      <c r="N429" s="73"/>
      <c r="O429" s="73"/>
      <c r="P429" s="73"/>
      <c r="Q429" s="73"/>
      <c r="R429" s="73"/>
      <c r="S429" s="73"/>
      <c r="T429" s="73"/>
      <c r="U429" s="73"/>
      <c r="V429" s="73"/>
      <c r="W429" s="73"/>
      <c r="X429" s="73"/>
      <c r="Y429" s="73"/>
      <c r="Z429" s="73"/>
      <c r="AA429" s="73"/>
      <c r="AB429" s="73"/>
      <c r="AC429" s="73"/>
      <c r="AD429" s="73"/>
      <c r="AE429" s="73"/>
      <c r="AF429" s="73"/>
    </row>
    <row r="430" spans="1:32" ht="15.75" customHeight="1" x14ac:dyDescent="0.2">
      <c r="A430" s="73"/>
      <c r="B430" s="73"/>
      <c r="C430" s="74"/>
      <c r="D430" s="74"/>
      <c r="E430" s="74"/>
      <c r="F430" s="73"/>
      <c r="G430" s="74"/>
      <c r="H430" s="73"/>
      <c r="I430" s="73"/>
      <c r="J430" s="73"/>
      <c r="K430" s="73"/>
      <c r="L430" s="73"/>
      <c r="M430" s="73"/>
      <c r="N430" s="73"/>
      <c r="O430" s="73"/>
      <c r="P430" s="73"/>
      <c r="Q430" s="73"/>
      <c r="R430" s="73"/>
      <c r="S430" s="73"/>
      <c r="T430" s="73"/>
      <c r="U430" s="73"/>
      <c r="V430" s="73"/>
      <c r="W430" s="73"/>
      <c r="X430" s="73"/>
      <c r="Y430" s="73"/>
      <c r="Z430" s="73"/>
      <c r="AA430" s="73"/>
      <c r="AB430" s="73"/>
      <c r="AC430" s="73"/>
      <c r="AD430" s="73"/>
      <c r="AE430" s="73"/>
      <c r="AF430" s="73"/>
    </row>
    <row r="431" spans="1:32" ht="15.75" customHeight="1" x14ac:dyDescent="0.2">
      <c r="A431" s="73"/>
      <c r="B431" s="73"/>
      <c r="C431" s="74"/>
      <c r="D431" s="74"/>
      <c r="E431" s="74"/>
      <c r="F431" s="73"/>
      <c r="G431" s="74"/>
      <c r="H431" s="73"/>
      <c r="I431" s="73"/>
      <c r="J431" s="73"/>
      <c r="K431" s="73"/>
      <c r="L431" s="73"/>
      <c r="M431" s="73"/>
      <c r="N431" s="73"/>
      <c r="O431" s="73"/>
      <c r="P431" s="73"/>
      <c r="Q431" s="73"/>
      <c r="R431" s="73"/>
      <c r="S431" s="73"/>
      <c r="T431" s="73"/>
      <c r="U431" s="73"/>
      <c r="V431" s="73"/>
      <c r="W431" s="73"/>
      <c r="X431" s="73"/>
      <c r="Y431" s="73"/>
      <c r="Z431" s="73"/>
      <c r="AA431" s="73"/>
      <c r="AB431" s="73"/>
      <c r="AC431" s="73"/>
      <c r="AD431" s="73"/>
      <c r="AE431" s="73"/>
      <c r="AF431" s="73"/>
    </row>
    <row r="432" spans="1:32" ht="15.75" customHeight="1" x14ac:dyDescent="0.2">
      <c r="A432" s="73"/>
      <c r="B432" s="73"/>
      <c r="C432" s="74"/>
      <c r="D432" s="74"/>
      <c r="E432" s="74"/>
      <c r="F432" s="73"/>
      <c r="G432" s="74"/>
      <c r="H432" s="73"/>
      <c r="I432" s="73"/>
      <c r="J432" s="73"/>
      <c r="K432" s="73"/>
      <c r="L432" s="73"/>
      <c r="M432" s="73"/>
      <c r="N432" s="73"/>
      <c r="O432" s="73"/>
      <c r="P432" s="73"/>
      <c r="Q432" s="73"/>
      <c r="R432" s="73"/>
      <c r="S432" s="73"/>
      <c r="T432" s="73"/>
      <c r="U432" s="73"/>
      <c r="V432" s="73"/>
      <c r="W432" s="73"/>
      <c r="X432" s="73"/>
      <c r="Y432" s="73"/>
      <c r="Z432" s="73"/>
      <c r="AA432" s="73"/>
      <c r="AB432" s="73"/>
      <c r="AC432" s="73"/>
      <c r="AD432" s="73"/>
      <c r="AE432" s="73"/>
      <c r="AF432" s="73"/>
    </row>
    <row r="433" spans="1:32" ht="15.75" customHeight="1" x14ac:dyDescent="0.2">
      <c r="A433" s="73"/>
      <c r="B433" s="73"/>
      <c r="C433" s="74"/>
      <c r="D433" s="74"/>
      <c r="E433" s="74"/>
      <c r="F433" s="73"/>
      <c r="G433" s="74"/>
      <c r="H433" s="73"/>
      <c r="I433" s="73"/>
      <c r="J433" s="73"/>
      <c r="K433" s="73"/>
      <c r="L433" s="73"/>
      <c r="M433" s="73"/>
      <c r="N433" s="73"/>
      <c r="O433" s="73"/>
      <c r="P433" s="73"/>
      <c r="Q433" s="73"/>
      <c r="R433" s="73"/>
      <c r="S433" s="73"/>
      <c r="T433" s="73"/>
      <c r="U433" s="73"/>
      <c r="V433" s="73"/>
      <c r="W433" s="73"/>
      <c r="X433" s="73"/>
      <c r="Y433" s="73"/>
      <c r="Z433" s="73"/>
      <c r="AA433" s="73"/>
      <c r="AB433" s="73"/>
      <c r="AC433" s="73"/>
      <c r="AD433" s="73"/>
      <c r="AE433" s="73"/>
      <c r="AF433" s="73"/>
    </row>
    <row r="434" spans="1:32" ht="15.75" customHeight="1" x14ac:dyDescent="0.2">
      <c r="A434" s="73"/>
      <c r="B434" s="73"/>
      <c r="C434" s="74"/>
      <c r="D434" s="74"/>
      <c r="E434" s="74"/>
      <c r="F434" s="73"/>
      <c r="G434" s="74"/>
      <c r="H434" s="73"/>
      <c r="I434" s="73"/>
      <c r="J434" s="73"/>
      <c r="K434" s="73"/>
      <c r="L434" s="73"/>
      <c r="M434" s="73"/>
      <c r="N434" s="73"/>
      <c r="O434" s="73"/>
      <c r="P434" s="73"/>
      <c r="Q434" s="73"/>
      <c r="R434" s="73"/>
      <c r="S434" s="73"/>
      <c r="T434" s="73"/>
      <c r="U434" s="73"/>
      <c r="V434" s="73"/>
      <c r="W434" s="73"/>
      <c r="X434" s="73"/>
      <c r="Y434" s="73"/>
      <c r="Z434" s="73"/>
      <c r="AA434" s="73"/>
      <c r="AB434" s="73"/>
      <c r="AC434" s="73"/>
      <c r="AD434" s="73"/>
      <c r="AE434" s="73"/>
      <c r="AF434" s="73"/>
    </row>
    <row r="435" spans="1:32" ht="15.75" customHeight="1" x14ac:dyDescent="0.2">
      <c r="A435" s="73"/>
      <c r="B435" s="73"/>
      <c r="C435" s="74"/>
      <c r="D435" s="74"/>
      <c r="E435" s="74"/>
      <c r="F435" s="73"/>
      <c r="G435" s="74"/>
      <c r="H435" s="73"/>
      <c r="I435" s="73"/>
      <c r="J435" s="73"/>
      <c r="K435" s="73"/>
      <c r="L435" s="73"/>
      <c r="M435" s="73"/>
      <c r="N435" s="73"/>
      <c r="O435" s="73"/>
      <c r="P435" s="73"/>
      <c r="Q435" s="73"/>
      <c r="R435" s="73"/>
      <c r="S435" s="73"/>
      <c r="T435" s="73"/>
      <c r="U435" s="73"/>
      <c r="V435" s="73"/>
      <c r="W435" s="73"/>
      <c r="X435" s="73"/>
      <c r="Y435" s="73"/>
      <c r="Z435" s="73"/>
      <c r="AA435" s="73"/>
      <c r="AB435" s="73"/>
      <c r="AC435" s="73"/>
      <c r="AD435" s="73"/>
      <c r="AE435" s="73"/>
      <c r="AF435" s="73"/>
    </row>
    <row r="436" spans="1:32" ht="15.75" customHeight="1" x14ac:dyDescent="0.2">
      <c r="A436" s="73"/>
      <c r="B436" s="73"/>
      <c r="C436" s="74"/>
      <c r="D436" s="74"/>
      <c r="E436" s="74"/>
      <c r="F436" s="73"/>
      <c r="G436" s="74"/>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2" ht="15.75" customHeight="1" x14ac:dyDescent="0.2">
      <c r="A437" s="73"/>
      <c r="B437" s="73"/>
      <c r="C437" s="74"/>
      <c r="D437" s="74"/>
      <c r="E437" s="74"/>
      <c r="F437" s="73"/>
      <c r="G437" s="74"/>
      <c r="H437" s="73"/>
      <c r="I437" s="73"/>
      <c r="J437" s="73"/>
      <c r="K437" s="73"/>
      <c r="L437" s="73"/>
      <c r="M437" s="73"/>
      <c r="N437" s="73"/>
      <c r="O437" s="73"/>
      <c r="P437" s="73"/>
      <c r="Q437" s="73"/>
      <c r="R437" s="73"/>
      <c r="S437" s="73"/>
      <c r="T437" s="73"/>
      <c r="U437" s="73"/>
      <c r="V437" s="73"/>
      <c r="W437" s="73"/>
      <c r="X437" s="73"/>
      <c r="Y437" s="73"/>
      <c r="Z437" s="73"/>
      <c r="AA437" s="73"/>
      <c r="AB437" s="73"/>
      <c r="AC437" s="73"/>
      <c r="AD437" s="73"/>
      <c r="AE437" s="73"/>
      <c r="AF437" s="73"/>
    </row>
    <row r="438" spans="1:32" ht="15.75" customHeight="1" x14ac:dyDescent="0.2">
      <c r="A438" s="73"/>
      <c r="B438" s="73"/>
      <c r="C438" s="74"/>
      <c r="D438" s="74"/>
      <c r="E438" s="74"/>
      <c r="F438" s="73"/>
      <c r="G438" s="74"/>
      <c r="H438" s="73"/>
      <c r="I438" s="73"/>
      <c r="J438" s="73"/>
      <c r="K438" s="73"/>
      <c r="L438" s="73"/>
      <c r="M438" s="73"/>
      <c r="N438" s="73"/>
      <c r="O438" s="73"/>
      <c r="P438" s="73"/>
      <c r="Q438" s="73"/>
      <c r="R438" s="73"/>
      <c r="S438" s="73"/>
      <c r="T438" s="73"/>
      <c r="U438" s="73"/>
      <c r="V438" s="73"/>
      <c r="W438" s="73"/>
      <c r="X438" s="73"/>
      <c r="Y438" s="73"/>
      <c r="Z438" s="73"/>
      <c r="AA438" s="73"/>
      <c r="AB438" s="73"/>
      <c r="AC438" s="73"/>
      <c r="AD438" s="73"/>
      <c r="AE438" s="73"/>
      <c r="AF438" s="73"/>
    </row>
    <row r="439" spans="1:32" ht="15.75" customHeight="1" x14ac:dyDescent="0.2">
      <c r="A439" s="73"/>
      <c r="B439" s="73"/>
      <c r="C439" s="74"/>
      <c r="D439" s="74"/>
      <c r="E439" s="74"/>
      <c r="F439" s="73"/>
      <c r="G439" s="74"/>
      <c r="H439" s="73"/>
      <c r="I439" s="73"/>
      <c r="J439" s="73"/>
      <c r="K439" s="73"/>
      <c r="L439" s="73"/>
      <c r="M439" s="73"/>
      <c r="N439" s="73"/>
      <c r="O439" s="73"/>
      <c r="P439" s="73"/>
      <c r="Q439" s="73"/>
      <c r="R439" s="73"/>
      <c r="S439" s="73"/>
      <c r="T439" s="73"/>
      <c r="U439" s="73"/>
      <c r="V439" s="73"/>
      <c r="W439" s="73"/>
      <c r="X439" s="73"/>
      <c r="Y439" s="73"/>
      <c r="Z439" s="73"/>
      <c r="AA439" s="73"/>
      <c r="AB439" s="73"/>
      <c r="AC439" s="73"/>
      <c r="AD439" s="73"/>
      <c r="AE439" s="73"/>
      <c r="AF439" s="73"/>
    </row>
    <row r="440" spans="1:32" ht="15.75" customHeight="1" x14ac:dyDescent="0.2">
      <c r="A440" s="73"/>
      <c r="B440" s="73"/>
      <c r="C440" s="74"/>
      <c r="D440" s="74"/>
      <c r="E440" s="74"/>
      <c r="F440" s="73"/>
      <c r="G440" s="74"/>
      <c r="H440" s="73"/>
      <c r="I440" s="73"/>
      <c r="J440" s="73"/>
      <c r="K440" s="73"/>
      <c r="L440" s="73"/>
      <c r="M440" s="73"/>
      <c r="N440" s="73"/>
      <c r="O440" s="73"/>
      <c r="P440" s="73"/>
      <c r="Q440" s="73"/>
      <c r="R440" s="73"/>
      <c r="S440" s="73"/>
      <c r="T440" s="73"/>
      <c r="U440" s="73"/>
      <c r="V440" s="73"/>
      <c r="W440" s="73"/>
      <c r="X440" s="73"/>
      <c r="Y440" s="73"/>
      <c r="Z440" s="73"/>
      <c r="AA440" s="73"/>
      <c r="AB440" s="73"/>
      <c r="AC440" s="73"/>
      <c r="AD440" s="73"/>
      <c r="AE440" s="73"/>
      <c r="AF440" s="73"/>
    </row>
    <row r="441" spans="1:32" ht="15.75" customHeight="1" x14ac:dyDescent="0.2">
      <c r="A441" s="73"/>
      <c r="B441" s="73"/>
      <c r="C441" s="74"/>
      <c r="D441" s="74"/>
      <c r="E441" s="74"/>
      <c r="F441" s="73"/>
      <c r="G441" s="74"/>
      <c r="H441" s="73"/>
      <c r="I441" s="73"/>
      <c r="J441" s="73"/>
      <c r="K441" s="73"/>
      <c r="L441" s="73"/>
      <c r="M441" s="73"/>
      <c r="N441" s="73"/>
      <c r="O441" s="73"/>
      <c r="P441" s="73"/>
      <c r="Q441" s="73"/>
      <c r="R441" s="73"/>
      <c r="S441" s="73"/>
      <c r="T441" s="73"/>
      <c r="U441" s="73"/>
      <c r="V441" s="73"/>
      <c r="W441" s="73"/>
      <c r="X441" s="73"/>
      <c r="Y441" s="73"/>
      <c r="Z441" s="73"/>
      <c r="AA441" s="73"/>
      <c r="AB441" s="73"/>
      <c r="AC441" s="73"/>
      <c r="AD441" s="73"/>
      <c r="AE441" s="73"/>
      <c r="AF441" s="73"/>
    </row>
    <row r="442" spans="1:32" ht="15.75" customHeight="1" x14ac:dyDescent="0.2">
      <c r="A442" s="73"/>
      <c r="B442" s="73"/>
      <c r="C442" s="74"/>
      <c r="D442" s="74"/>
      <c r="E442" s="74"/>
      <c r="F442" s="73"/>
      <c r="G442" s="74"/>
      <c r="H442" s="73"/>
      <c r="I442" s="73"/>
      <c r="J442" s="73"/>
      <c r="K442" s="73"/>
      <c r="L442" s="73"/>
      <c r="M442" s="73"/>
      <c r="N442" s="73"/>
      <c r="O442" s="73"/>
      <c r="P442" s="73"/>
      <c r="Q442" s="73"/>
      <c r="R442" s="73"/>
      <c r="S442" s="73"/>
      <c r="T442" s="73"/>
      <c r="U442" s="73"/>
      <c r="V442" s="73"/>
      <c r="W442" s="73"/>
      <c r="X442" s="73"/>
      <c r="Y442" s="73"/>
      <c r="Z442" s="73"/>
      <c r="AA442" s="73"/>
      <c r="AB442" s="73"/>
      <c r="AC442" s="73"/>
      <c r="AD442" s="73"/>
      <c r="AE442" s="73"/>
      <c r="AF442" s="73"/>
    </row>
    <row r="443" spans="1:32" ht="15.75" customHeight="1" x14ac:dyDescent="0.2">
      <c r="A443" s="73"/>
      <c r="B443" s="73"/>
      <c r="C443" s="74"/>
      <c r="D443" s="74"/>
      <c r="E443" s="74"/>
      <c r="F443" s="73"/>
      <c r="G443" s="74"/>
      <c r="H443" s="73"/>
      <c r="I443" s="73"/>
      <c r="J443" s="73"/>
      <c r="K443" s="73"/>
      <c r="L443" s="73"/>
      <c r="M443" s="73"/>
      <c r="N443" s="73"/>
      <c r="O443" s="73"/>
      <c r="P443" s="73"/>
      <c r="Q443" s="73"/>
      <c r="R443" s="73"/>
      <c r="S443" s="73"/>
      <c r="T443" s="73"/>
      <c r="U443" s="73"/>
      <c r="V443" s="73"/>
      <c r="W443" s="73"/>
      <c r="X443" s="73"/>
      <c r="Y443" s="73"/>
      <c r="Z443" s="73"/>
      <c r="AA443" s="73"/>
      <c r="AB443" s="73"/>
      <c r="AC443" s="73"/>
      <c r="AD443" s="73"/>
      <c r="AE443" s="73"/>
      <c r="AF443" s="73"/>
    </row>
    <row r="444" spans="1:32" ht="15.75" customHeight="1" x14ac:dyDescent="0.2">
      <c r="A444" s="73"/>
      <c r="B444" s="73"/>
      <c r="C444" s="74"/>
      <c r="D444" s="74"/>
      <c r="E444" s="74"/>
      <c r="F444" s="73"/>
      <c r="G444" s="74"/>
      <c r="H444" s="73"/>
      <c r="I444" s="73"/>
      <c r="J444" s="73"/>
      <c r="K444" s="73"/>
      <c r="L444" s="73"/>
      <c r="M444" s="73"/>
      <c r="N444" s="73"/>
      <c r="O444" s="73"/>
      <c r="P444" s="73"/>
      <c r="Q444" s="73"/>
      <c r="R444" s="73"/>
      <c r="S444" s="73"/>
      <c r="T444" s="73"/>
      <c r="U444" s="73"/>
      <c r="V444" s="73"/>
      <c r="W444" s="73"/>
      <c r="X444" s="73"/>
      <c r="Y444" s="73"/>
      <c r="Z444" s="73"/>
      <c r="AA444" s="73"/>
      <c r="AB444" s="73"/>
      <c r="AC444" s="73"/>
      <c r="AD444" s="73"/>
      <c r="AE444" s="73"/>
      <c r="AF444" s="73"/>
    </row>
    <row r="445" spans="1:32" ht="15.75" customHeight="1" x14ac:dyDescent="0.2">
      <c r="A445" s="73"/>
      <c r="B445" s="73"/>
      <c r="C445" s="74"/>
      <c r="D445" s="74"/>
      <c r="E445" s="74"/>
      <c r="F445" s="73"/>
      <c r="G445" s="74"/>
      <c r="H445" s="73"/>
      <c r="I445" s="73"/>
      <c r="J445" s="73"/>
      <c r="K445" s="73"/>
      <c r="L445" s="73"/>
      <c r="M445" s="73"/>
      <c r="N445" s="73"/>
      <c r="O445" s="73"/>
      <c r="P445" s="73"/>
      <c r="Q445" s="73"/>
      <c r="R445" s="73"/>
      <c r="S445" s="73"/>
      <c r="T445" s="73"/>
      <c r="U445" s="73"/>
      <c r="V445" s="73"/>
      <c r="W445" s="73"/>
      <c r="X445" s="73"/>
      <c r="Y445" s="73"/>
      <c r="Z445" s="73"/>
      <c r="AA445" s="73"/>
      <c r="AB445" s="73"/>
      <c r="AC445" s="73"/>
      <c r="AD445" s="73"/>
      <c r="AE445" s="73"/>
      <c r="AF445" s="73"/>
    </row>
    <row r="446" spans="1:32" ht="15.75" customHeight="1" x14ac:dyDescent="0.2">
      <c r="A446" s="73"/>
      <c r="B446" s="73"/>
      <c r="C446" s="74"/>
      <c r="D446" s="74"/>
      <c r="E446" s="74"/>
      <c r="F446" s="73"/>
      <c r="G446" s="74"/>
      <c r="H446" s="73"/>
      <c r="I446" s="73"/>
      <c r="J446" s="73"/>
      <c r="K446" s="73"/>
      <c r="L446" s="73"/>
      <c r="M446" s="73"/>
      <c r="N446" s="73"/>
      <c r="O446" s="73"/>
      <c r="P446" s="73"/>
      <c r="Q446" s="73"/>
      <c r="R446" s="73"/>
      <c r="S446" s="73"/>
      <c r="T446" s="73"/>
      <c r="U446" s="73"/>
      <c r="V446" s="73"/>
      <c r="W446" s="73"/>
      <c r="X446" s="73"/>
      <c r="Y446" s="73"/>
      <c r="Z446" s="73"/>
      <c r="AA446" s="73"/>
      <c r="AB446" s="73"/>
      <c r="AC446" s="73"/>
      <c r="AD446" s="73"/>
      <c r="AE446" s="73"/>
      <c r="AF446" s="73"/>
    </row>
    <row r="447" spans="1:32" ht="15.75" customHeight="1" x14ac:dyDescent="0.2">
      <c r="A447" s="73"/>
      <c r="B447" s="73"/>
      <c r="C447" s="74"/>
      <c r="D447" s="74"/>
      <c r="E447" s="74"/>
      <c r="F447" s="73"/>
      <c r="G447" s="74"/>
      <c r="H447" s="73"/>
      <c r="I447" s="73"/>
      <c r="J447" s="73"/>
      <c r="K447" s="73"/>
      <c r="L447" s="73"/>
      <c r="M447" s="73"/>
      <c r="N447" s="73"/>
      <c r="O447" s="73"/>
      <c r="P447" s="73"/>
      <c r="Q447" s="73"/>
      <c r="R447" s="73"/>
      <c r="S447" s="73"/>
      <c r="T447" s="73"/>
      <c r="U447" s="73"/>
      <c r="V447" s="73"/>
      <c r="W447" s="73"/>
      <c r="X447" s="73"/>
      <c r="Y447" s="73"/>
      <c r="Z447" s="73"/>
      <c r="AA447" s="73"/>
      <c r="AB447" s="73"/>
      <c r="AC447" s="73"/>
      <c r="AD447" s="73"/>
      <c r="AE447" s="73"/>
      <c r="AF447" s="73"/>
    </row>
    <row r="448" spans="1:32" ht="15.75" customHeight="1" x14ac:dyDescent="0.2">
      <c r="A448" s="73"/>
      <c r="B448" s="73"/>
      <c r="C448" s="74"/>
      <c r="D448" s="74"/>
      <c r="E448" s="74"/>
      <c r="F448" s="73"/>
      <c r="G448" s="74"/>
      <c r="H448" s="73"/>
      <c r="I448" s="73"/>
      <c r="J448" s="73"/>
      <c r="K448" s="73"/>
      <c r="L448" s="73"/>
      <c r="M448" s="73"/>
      <c r="N448" s="73"/>
      <c r="O448" s="73"/>
      <c r="P448" s="73"/>
      <c r="Q448" s="73"/>
      <c r="R448" s="73"/>
      <c r="S448" s="73"/>
      <c r="T448" s="73"/>
      <c r="U448" s="73"/>
      <c r="V448" s="73"/>
      <c r="W448" s="73"/>
      <c r="X448" s="73"/>
      <c r="Y448" s="73"/>
      <c r="Z448" s="73"/>
      <c r="AA448" s="73"/>
      <c r="AB448" s="73"/>
      <c r="AC448" s="73"/>
      <c r="AD448" s="73"/>
      <c r="AE448" s="73"/>
      <c r="AF448" s="73"/>
    </row>
    <row r="449" spans="1:32" ht="15.75" customHeight="1" x14ac:dyDescent="0.2">
      <c r="A449" s="73"/>
      <c r="B449" s="73"/>
      <c r="C449" s="74"/>
      <c r="D449" s="74"/>
      <c r="E449" s="74"/>
      <c r="F449" s="73"/>
      <c r="G449" s="74"/>
      <c r="H449" s="73"/>
      <c r="I449" s="73"/>
      <c r="J449" s="73"/>
      <c r="K449" s="73"/>
      <c r="L449" s="73"/>
      <c r="M449" s="73"/>
      <c r="N449" s="73"/>
      <c r="O449" s="73"/>
      <c r="P449" s="73"/>
      <c r="Q449" s="73"/>
      <c r="R449" s="73"/>
      <c r="S449" s="73"/>
      <c r="T449" s="73"/>
      <c r="U449" s="73"/>
      <c r="V449" s="73"/>
      <c r="W449" s="73"/>
      <c r="X449" s="73"/>
      <c r="Y449" s="73"/>
      <c r="Z449" s="73"/>
      <c r="AA449" s="73"/>
      <c r="AB449" s="73"/>
      <c r="AC449" s="73"/>
      <c r="AD449" s="73"/>
      <c r="AE449" s="73"/>
      <c r="AF449" s="73"/>
    </row>
    <row r="450" spans="1:32" ht="15.75" customHeight="1" x14ac:dyDescent="0.2">
      <c r="A450" s="73"/>
      <c r="B450" s="73"/>
      <c r="C450" s="74"/>
      <c r="D450" s="74"/>
      <c r="E450" s="74"/>
      <c r="F450" s="73"/>
      <c r="G450" s="74"/>
      <c r="H450" s="73"/>
      <c r="I450" s="73"/>
      <c r="J450" s="73"/>
      <c r="K450" s="73"/>
      <c r="L450" s="73"/>
      <c r="M450" s="73"/>
      <c r="N450" s="73"/>
      <c r="O450" s="73"/>
      <c r="P450" s="73"/>
      <c r="Q450" s="73"/>
      <c r="R450" s="73"/>
      <c r="S450" s="73"/>
      <c r="T450" s="73"/>
      <c r="U450" s="73"/>
      <c r="V450" s="73"/>
      <c r="W450" s="73"/>
      <c r="X450" s="73"/>
      <c r="Y450" s="73"/>
      <c r="Z450" s="73"/>
      <c r="AA450" s="73"/>
      <c r="AB450" s="73"/>
      <c r="AC450" s="73"/>
      <c r="AD450" s="73"/>
      <c r="AE450" s="73"/>
      <c r="AF450" s="73"/>
    </row>
    <row r="451" spans="1:32" ht="15.75" customHeight="1" x14ac:dyDescent="0.2">
      <c r="A451" s="73"/>
      <c r="B451" s="73"/>
      <c r="C451" s="74"/>
      <c r="D451" s="74"/>
      <c r="E451" s="74"/>
      <c r="F451" s="73"/>
      <c r="G451" s="74"/>
      <c r="H451" s="73"/>
      <c r="I451" s="73"/>
      <c r="J451" s="73"/>
      <c r="K451" s="73"/>
      <c r="L451" s="73"/>
      <c r="M451" s="73"/>
      <c r="N451" s="73"/>
      <c r="O451" s="73"/>
      <c r="P451" s="73"/>
      <c r="Q451" s="73"/>
      <c r="R451" s="73"/>
      <c r="S451" s="73"/>
      <c r="T451" s="73"/>
      <c r="U451" s="73"/>
      <c r="V451" s="73"/>
      <c r="W451" s="73"/>
      <c r="X451" s="73"/>
      <c r="Y451" s="73"/>
      <c r="Z451" s="73"/>
      <c r="AA451" s="73"/>
      <c r="AB451" s="73"/>
      <c r="AC451" s="73"/>
      <c r="AD451" s="73"/>
      <c r="AE451" s="73"/>
      <c r="AF451" s="73"/>
    </row>
    <row r="452" spans="1:32" ht="15.75" customHeight="1" x14ac:dyDescent="0.2">
      <c r="A452" s="73"/>
      <c r="B452" s="73"/>
      <c r="C452" s="74"/>
      <c r="D452" s="74"/>
      <c r="E452" s="74"/>
      <c r="F452" s="73"/>
      <c r="G452" s="74"/>
      <c r="H452" s="73"/>
      <c r="I452" s="73"/>
      <c r="J452" s="73"/>
      <c r="K452" s="73"/>
      <c r="L452" s="73"/>
      <c r="M452" s="73"/>
      <c r="N452" s="73"/>
      <c r="O452" s="73"/>
      <c r="P452" s="73"/>
      <c r="Q452" s="73"/>
      <c r="R452" s="73"/>
      <c r="S452" s="73"/>
      <c r="T452" s="73"/>
      <c r="U452" s="73"/>
      <c r="V452" s="73"/>
      <c r="W452" s="73"/>
      <c r="X452" s="73"/>
      <c r="Y452" s="73"/>
      <c r="Z452" s="73"/>
      <c r="AA452" s="73"/>
      <c r="AB452" s="73"/>
      <c r="AC452" s="73"/>
      <c r="AD452" s="73"/>
      <c r="AE452" s="73"/>
      <c r="AF452" s="73"/>
    </row>
    <row r="453" spans="1:32" ht="15.75" customHeight="1" x14ac:dyDescent="0.2">
      <c r="A453" s="73"/>
      <c r="B453" s="73"/>
      <c r="C453" s="74"/>
      <c r="D453" s="74"/>
      <c r="E453" s="74"/>
      <c r="F453" s="73"/>
      <c r="G453" s="74"/>
      <c r="H453" s="73"/>
      <c r="I453" s="73"/>
      <c r="J453" s="73"/>
      <c r="K453" s="73"/>
      <c r="L453" s="73"/>
      <c r="M453" s="73"/>
      <c r="N453" s="73"/>
      <c r="O453" s="73"/>
      <c r="P453" s="73"/>
      <c r="Q453" s="73"/>
      <c r="R453" s="73"/>
      <c r="S453" s="73"/>
      <c r="T453" s="73"/>
      <c r="U453" s="73"/>
      <c r="V453" s="73"/>
      <c r="W453" s="73"/>
      <c r="X453" s="73"/>
      <c r="Y453" s="73"/>
      <c r="Z453" s="73"/>
      <c r="AA453" s="73"/>
      <c r="AB453" s="73"/>
      <c r="AC453" s="73"/>
      <c r="AD453" s="73"/>
      <c r="AE453" s="73"/>
      <c r="AF453" s="73"/>
    </row>
    <row r="454" spans="1:32" ht="15.75" customHeight="1" x14ac:dyDescent="0.2">
      <c r="A454" s="73"/>
      <c r="B454" s="73"/>
      <c r="C454" s="74"/>
      <c r="D454" s="74"/>
      <c r="E454" s="74"/>
      <c r="F454" s="73"/>
      <c r="G454" s="74"/>
      <c r="H454" s="73"/>
      <c r="I454" s="73"/>
      <c r="J454" s="73"/>
      <c r="K454" s="73"/>
      <c r="L454" s="73"/>
      <c r="M454" s="73"/>
      <c r="N454" s="73"/>
      <c r="O454" s="73"/>
      <c r="P454" s="73"/>
      <c r="Q454" s="73"/>
      <c r="R454" s="73"/>
      <c r="S454" s="73"/>
      <c r="T454" s="73"/>
      <c r="U454" s="73"/>
      <c r="V454" s="73"/>
      <c r="W454" s="73"/>
      <c r="X454" s="73"/>
      <c r="Y454" s="73"/>
      <c r="Z454" s="73"/>
      <c r="AA454" s="73"/>
      <c r="AB454" s="73"/>
      <c r="AC454" s="73"/>
      <c r="AD454" s="73"/>
      <c r="AE454" s="73"/>
      <c r="AF454" s="73"/>
    </row>
    <row r="455" spans="1:32" ht="15.75" customHeight="1" x14ac:dyDescent="0.2">
      <c r="A455" s="73"/>
      <c r="B455" s="73"/>
      <c r="C455" s="74"/>
      <c r="D455" s="74"/>
      <c r="E455" s="74"/>
      <c r="F455" s="73"/>
      <c r="G455" s="74"/>
      <c r="H455" s="73"/>
      <c r="I455" s="73"/>
      <c r="J455" s="73"/>
      <c r="K455" s="73"/>
      <c r="L455" s="73"/>
      <c r="M455" s="73"/>
      <c r="N455" s="73"/>
      <c r="O455" s="73"/>
      <c r="P455" s="73"/>
      <c r="Q455" s="73"/>
      <c r="R455" s="73"/>
      <c r="S455" s="73"/>
      <c r="T455" s="73"/>
      <c r="U455" s="73"/>
      <c r="V455" s="73"/>
      <c r="W455" s="73"/>
      <c r="X455" s="73"/>
      <c r="Y455" s="73"/>
      <c r="Z455" s="73"/>
      <c r="AA455" s="73"/>
      <c r="AB455" s="73"/>
      <c r="AC455" s="73"/>
      <c r="AD455" s="73"/>
      <c r="AE455" s="73"/>
      <c r="AF455" s="73"/>
    </row>
    <row r="456" spans="1:32" ht="15.75" customHeight="1" x14ac:dyDescent="0.2">
      <c r="A456" s="73"/>
      <c r="B456" s="73"/>
      <c r="C456" s="74"/>
      <c r="D456" s="74"/>
      <c r="E456" s="74"/>
      <c r="F456" s="73"/>
      <c r="G456" s="74"/>
      <c r="H456" s="73"/>
      <c r="I456" s="73"/>
      <c r="J456" s="73"/>
      <c r="K456" s="73"/>
      <c r="L456" s="73"/>
      <c r="M456" s="73"/>
      <c r="N456" s="73"/>
      <c r="O456" s="73"/>
      <c r="P456" s="73"/>
      <c r="Q456" s="73"/>
      <c r="R456" s="73"/>
      <c r="S456" s="73"/>
      <c r="T456" s="73"/>
      <c r="U456" s="73"/>
      <c r="V456" s="73"/>
      <c r="W456" s="73"/>
      <c r="X456" s="73"/>
      <c r="Y456" s="73"/>
      <c r="Z456" s="73"/>
      <c r="AA456" s="73"/>
      <c r="AB456" s="73"/>
      <c r="AC456" s="73"/>
      <c r="AD456" s="73"/>
      <c r="AE456" s="73"/>
      <c r="AF456" s="73"/>
    </row>
    <row r="457" spans="1:32" ht="15.75" customHeight="1" x14ac:dyDescent="0.2">
      <c r="A457" s="73"/>
      <c r="B457" s="73"/>
      <c r="C457" s="74"/>
      <c r="D457" s="74"/>
      <c r="E457" s="74"/>
      <c r="F457" s="73"/>
      <c r="G457" s="74"/>
      <c r="H457" s="73"/>
      <c r="I457" s="73"/>
      <c r="J457" s="73"/>
      <c r="K457" s="73"/>
      <c r="L457" s="73"/>
      <c r="M457" s="73"/>
      <c r="N457" s="73"/>
      <c r="O457" s="73"/>
      <c r="P457" s="73"/>
      <c r="Q457" s="73"/>
      <c r="R457" s="73"/>
      <c r="S457" s="73"/>
      <c r="T457" s="73"/>
      <c r="U457" s="73"/>
      <c r="V457" s="73"/>
      <c r="W457" s="73"/>
      <c r="X457" s="73"/>
      <c r="Y457" s="73"/>
      <c r="Z457" s="73"/>
      <c r="AA457" s="73"/>
      <c r="AB457" s="73"/>
      <c r="AC457" s="73"/>
      <c r="AD457" s="73"/>
      <c r="AE457" s="73"/>
      <c r="AF457" s="73"/>
    </row>
    <row r="458" spans="1:32" ht="15.75" customHeight="1" x14ac:dyDescent="0.2">
      <c r="A458" s="73"/>
      <c r="B458" s="73"/>
      <c r="C458" s="74"/>
      <c r="D458" s="74"/>
      <c r="E458" s="74"/>
      <c r="F458" s="73"/>
      <c r="G458" s="74"/>
      <c r="H458" s="73"/>
      <c r="I458" s="73"/>
      <c r="J458" s="73"/>
      <c r="K458" s="73"/>
      <c r="L458" s="73"/>
      <c r="M458" s="73"/>
      <c r="N458" s="73"/>
      <c r="O458" s="73"/>
      <c r="P458" s="73"/>
      <c r="Q458" s="73"/>
      <c r="R458" s="73"/>
      <c r="S458" s="73"/>
      <c r="T458" s="73"/>
      <c r="U458" s="73"/>
      <c r="V458" s="73"/>
      <c r="W458" s="73"/>
      <c r="X458" s="73"/>
      <c r="Y458" s="73"/>
      <c r="Z458" s="73"/>
      <c r="AA458" s="73"/>
      <c r="AB458" s="73"/>
      <c r="AC458" s="73"/>
      <c r="AD458" s="73"/>
      <c r="AE458" s="73"/>
      <c r="AF458" s="73"/>
    </row>
    <row r="459" spans="1:32" ht="15.75" customHeight="1" x14ac:dyDescent="0.2">
      <c r="A459" s="73"/>
      <c r="B459" s="73"/>
      <c r="C459" s="74"/>
      <c r="D459" s="74"/>
      <c r="E459" s="74"/>
      <c r="F459" s="73"/>
      <c r="G459" s="74"/>
      <c r="H459" s="73"/>
      <c r="I459" s="73"/>
      <c r="J459" s="73"/>
      <c r="K459" s="73"/>
      <c r="L459" s="73"/>
      <c r="M459" s="73"/>
      <c r="N459" s="73"/>
      <c r="O459" s="73"/>
      <c r="P459" s="73"/>
      <c r="Q459" s="73"/>
      <c r="R459" s="73"/>
      <c r="S459" s="73"/>
      <c r="T459" s="73"/>
      <c r="U459" s="73"/>
      <c r="V459" s="73"/>
      <c r="W459" s="73"/>
      <c r="X459" s="73"/>
      <c r="Y459" s="73"/>
      <c r="Z459" s="73"/>
      <c r="AA459" s="73"/>
      <c r="AB459" s="73"/>
      <c r="AC459" s="73"/>
      <c r="AD459" s="73"/>
      <c r="AE459" s="73"/>
      <c r="AF459" s="73"/>
    </row>
    <row r="460" spans="1:32" ht="15.75" customHeight="1" x14ac:dyDescent="0.2">
      <c r="A460" s="73"/>
      <c r="B460" s="73"/>
      <c r="C460" s="74"/>
      <c r="D460" s="74"/>
      <c r="E460" s="74"/>
      <c r="F460" s="73"/>
      <c r="G460" s="74"/>
      <c r="H460" s="73"/>
      <c r="I460" s="73"/>
      <c r="J460" s="73"/>
      <c r="K460" s="73"/>
      <c r="L460" s="73"/>
      <c r="M460" s="73"/>
      <c r="N460" s="73"/>
      <c r="O460" s="73"/>
      <c r="P460" s="73"/>
      <c r="Q460" s="73"/>
      <c r="R460" s="73"/>
      <c r="S460" s="73"/>
      <c r="T460" s="73"/>
      <c r="U460" s="73"/>
      <c r="V460" s="73"/>
      <c r="W460" s="73"/>
      <c r="X460" s="73"/>
      <c r="Y460" s="73"/>
      <c r="Z460" s="73"/>
      <c r="AA460" s="73"/>
      <c r="AB460" s="73"/>
      <c r="AC460" s="73"/>
      <c r="AD460" s="73"/>
      <c r="AE460" s="73"/>
      <c r="AF460" s="73"/>
    </row>
    <row r="461" spans="1:32" ht="15.75" customHeight="1" x14ac:dyDescent="0.2">
      <c r="A461" s="73"/>
      <c r="B461" s="73"/>
      <c r="C461" s="74"/>
      <c r="D461" s="74"/>
      <c r="E461" s="74"/>
      <c r="F461" s="73"/>
      <c r="G461" s="74"/>
      <c r="H461" s="73"/>
      <c r="I461" s="73"/>
      <c r="J461" s="73"/>
      <c r="K461" s="73"/>
      <c r="L461" s="73"/>
      <c r="M461" s="73"/>
      <c r="N461" s="73"/>
      <c r="O461" s="73"/>
      <c r="P461" s="73"/>
      <c r="Q461" s="73"/>
      <c r="R461" s="73"/>
      <c r="S461" s="73"/>
      <c r="T461" s="73"/>
      <c r="U461" s="73"/>
      <c r="V461" s="73"/>
      <c r="W461" s="73"/>
      <c r="X461" s="73"/>
      <c r="Y461" s="73"/>
      <c r="Z461" s="73"/>
      <c r="AA461" s="73"/>
      <c r="AB461" s="73"/>
      <c r="AC461" s="73"/>
      <c r="AD461" s="73"/>
      <c r="AE461" s="73"/>
      <c r="AF461" s="73"/>
    </row>
    <row r="462" spans="1:32" ht="15.75" customHeight="1" x14ac:dyDescent="0.2">
      <c r="A462" s="73"/>
      <c r="B462" s="73"/>
      <c r="C462" s="74"/>
      <c r="D462" s="74"/>
      <c r="E462" s="74"/>
      <c r="F462" s="73"/>
      <c r="G462" s="74"/>
      <c r="H462" s="73"/>
      <c r="I462" s="73"/>
      <c r="J462" s="73"/>
      <c r="K462" s="73"/>
      <c r="L462" s="73"/>
      <c r="M462" s="73"/>
      <c r="N462" s="73"/>
      <c r="O462" s="73"/>
      <c r="P462" s="73"/>
      <c r="Q462" s="73"/>
      <c r="R462" s="73"/>
      <c r="S462" s="73"/>
      <c r="T462" s="73"/>
      <c r="U462" s="73"/>
      <c r="V462" s="73"/>
      <c r="W462" s="73"/>
      <c r="X462" s="73"/>
      <c r="Y462" s="73"/>
      <c r="Z462" s="73"/>
      <c r="AA462" s="73"/>
      <c r="AB462" s="73"/>
      <c r="AC462" s="73"/>
      <c r="AD462" s="73"/>
      <c r="AE462" s="73"/>
      <c r="AF462" s="73"/>
    </row>
    <row r="463" spans="1:32" ht="15.75" customHeight="1" x14ac:dyDescent="0.2">
      <c r="A463" s="73"/>
      <c r="B463" s="73"/>
      <c r="C463" s="74"/>
      <c r="D463" s="74"/>
      <c r="E463" s="74"/>
      <c r="F463" s="73"/>
      <c r="G463" s="74"/>
      <c r="H463" s="73"/>
      <c r="I463" s="73"/>
      <c r="J463" s="73"/>
      <c r="K463" s="73"/>
      <c r="L463" s="73"/>
      <c r="M463" s="73"/>
      <c r="N463" s="73"/>
      <c r="O463" s="73"/>
      <c r="P463" s="73"/>
      <c r="Q463" s="73"/>
      <c r="R463" s="73"/>
      <c r="S463" s="73"/>
      <c r="T463" s="73"/>
      <c r="U463" s="73"/>
      <c r="V463" s="73"/>
      <c r="W463" s="73"/>
      <c r="X463" s="73"/>
      <c r="Y463" s="73"/>
      <c r="Z463" s="73"/>
      <c r="AA463" s="73"/>
      <c r="AB463" s="73"/>
      <c r="AC463" s="73"/>
      <c r="AD463" s="73"/>
      <c r="AE463" s="73"/>
      <c r="AF463" s="73"/>
    </row>
    <row r="464" spans="1:32" ht="15.75" customHeight="1" x14ac:dyDescent="0.2">
      <c r="A464" s="73"/>
      <c r="B464" s="73"/>
      <c r="C464" s="74"/>
      <c r="D464" s="74"/>
      <c r="E464" s="74"/>
      <c r="F464" s="73"/>
      <c r="G464" s="74"/>
      <c r="H464" s="73"/>
      <c r="I464" s="73"/>
      <c r="J464" s="73"/>
      <c r="K464" s="73"/>
      <c r="L464" s="73"/>
      <c r="M464" s="73"/>
      <c r="N464" s="73"/>
      <c r="O464" s="73"/>
      <c r="P464" s="73"/>
      <c r="Q464" s="73"/>
      <c r="R464" s="73"/>
      <c r="S464" s="73"/>
      <c r="T464" s="73"/>
      <c r="U464" s="73"/>
      <c r="V464" s="73"/>
      <c r="W464" s="73"/>
      <c r="X464" s="73"/>
      <c r="Y464" s="73"/>
      <c r="Z464" s="73"/>
      <c r="AA464" s="73"/>
      <c r="AB464" s="73"/>
      <c r="AC464" s="73"/>
      <c r="AD464" s="73"/>
      <c r="AE464" s="73"/>
      <c r="AF464" s="73"/>
    </row>
    <row r="465" spans="1:32" ht="15.75" customHeight="1" x14ac:dyDescent="0.2">
      <c r="A465" s="73"/>
      <c r="B465" s="73"/>
      <c r="C465" s="74"/>
      <c r="D465" s="74"/>
      <c r="E465" s="74"/>
      <c r="F465" s="73"/>
      <c r="G465" s="74"/>
      <c r="H465" s="73"/>
      <c r="I465" s="73"/>
      <c r="J465" s="73"/>
      <c r="K465" s="73"/>
      <c r="L465" s="73"/>
      <c r="M465" s="73"/>
      <c r="N465" s="73"/>
      <c r="O465" s="73"/>
      <c r="P465" s="73"/>
      <c r="Q465" s="73"/>
      <c r="R465" s="73"/>
      <c r="S465" s="73"/>
      <c r="T465" s="73"/>
      <c r="U465" s="73"/>
      <c r="V465" s="73"/>
      <c r="W465" s="73"/>
      <c r="X465" s="73"/>
      <c r="Y465" s="73"/>
      <c r="Z465" s="73"/>
      <c r="AA465" s="73"/>
      <c r="AB465" s="73"/>
      <c r="AC465" s="73"/>
      <c r="AD465" s="73"/>
      <c r="AE465" s="73"/>
      <c r="AF465" s="73"/>
    </row>
    <row r="466" spans="1:32" ht="15.75" customHeight="1" x14ac:dyDescent="0.2">
      <c r="A466" s="73"/>
      <c r="B466" s="73"/>
      <c r="C466" s="74"/>
      <c r="D466" s="74"/>
      <c r="E466" s="74"/>
      <c r="F466" s="73"/>
      <c r="G466" s="74"/>
      <c r="H466" s="73"/>
      <c r="I466" s="73"/>
      <c r="J466" s="73"/>
      <c r="K466" s="73"/>
      <c r="L466" s="73"/>
      <c r="M466" s="73"/>
      <c r="N466" s="73"/>
      <c r="O466" s="73"/>
      <c r="P466" s="73"/>
      <c r="Q466" s="73"/>
      <c r="R466" s="73"/>
      <c r="S466" s="73"/>
      <c r="T466" s="73"/>
      <c r="U466" s="73"/>
      <c r="V466" s="73"/>
      <c r="W466" s="73"/>
      <c r="X466" s="73"/>
      <c r="Y466" s="73"/>
      <c r="Z466" s="73"/>
      <c r="AA466" s="73"/>
      <c r="AB466" s="73"/>
      <c r="AC466" s="73"/>
      <c r="AD466" s="73"/>
      <c r="AE466" s="73"/>
      <c r="AF466" s="73"/>
    </row>
    <row r="467" spans="1:32" ht="15.75" customHeight="1" x14ac:dyDescent="0.2">
      <c r="A467" s="73"/>
      <c r="B467" s="73"/>
      <c r="C467" s="74"/>
      <c r="D467" s="74"/>
      <c r="E467" s="74"/>
      <c r="F467" s="73"/>
      <c r="G467" s="74"/>
      <c r="H467" s="73"/>
      <c r="I467" s="73"/>
      <c r="J467" s="73"/>
      <c r="K467" s="73"/>
      <c r="L467" s="73"/>
      <c r="M467" s="73"/>
      <c r="N467" s="73"/>
      <c r="O467" s="73"/>
      <c r="P467" s="73"/>
      <c r="Q467" s="73"/>
      <c r="R467" s="73"/>
      <c r="S467" s="73"/>
      <c r="T467" s="73"/>
      <c r="U467" s="73"/>
      <c r="V467" s="73"/>
      <c r="W467" s="73"/>
      <c r="X467" s="73"/>
      <c r="Y467" s="73"/>
      <c r="Z467" s="73"/>
      <c r="AA467" s="73"/>
      <c r="AB467" s="73"/>
      <c r="AC467" s="73"/>
      <c r="AD467" s="73"/>
      <c r="AE467" s="73"/>
      <c r="AF467" s="73"/>
    </row>
    <row r="468" spans="1:32" ht="15.75" customHeight="1" x14ac:dyDescent="0.2">
      <c r="A468" s="73"/>
      <c r="B468" s="73"/>
      <c r="C468" s="74"/>
      <c r="D468" s="74"/>
      <c r="E468" s="74"/>
      <c r="F468" s="73"/>
      <c r="G468" s="74"/>
      <c r="H468" s="73"/>
      <c r="I468" s="73"/>
      <c r="J468" s="73"/>
      <c r="K468" s="73"/>
      <c r="L468" s="73"/>
      <c r="M468" s="73"/>
      <c r="N468" s="73"/>
      <c r="O468" s="73"/>
      <c r="P468" s="73"/>
      <c r="Q468" s="73"/>
      <c r="R468" s="73"/>
      <c r="S468" s="73"/>
      <c r="T468" s="73"/>
      <c r="U468" s="73"/>
      <c r="V468" s="73"/>
      <c r="W468" s="73"/>
      <c r="X468" s="73"/>
      <c r="Y468" s="73"/>
      <c r="Z468" s="73"/>
      <c r="AA468" s="73"/>
      <c r="AB468" s="73"/>
      <c r="AC468" s="73"/>
      <c r="AD468" s="73"/>
      <c r="AE468" s="73"/>
      <c r="AF468" s="73"/>
    </row>
    <row r="469" spans="1:32" ht="15.75" customHeight="1" x14ac:dyDescent="0.2">
      <c r="A469" s="73"/>
      <c r="B469" s="73"/>
      <c r="C469" s="74"/>
      <c r="D469" s="74"/>
      <c r="E469" s="74"/>
      <c r="F469" s="73"/>
      <c r="G469" s="74"/>
      <c r="H469" s="73"/>
      <c r="I469" s="73"/>
      <c r="J469" s="73"/>
      <c r="K469" s="73"/>
      <c r="L469" s="73"/>
      <c r="M469" s="73"/>
      <c r="N469" s="73"/>
      <c r="O469" s="73"/>
      <c r="P469" s="73"/>
      <c r="Q469" s="73"/>
      <c r="R469" s="73"/>
      <c r="S469" s="73"/>
      <c r="T469" s="73"/>
      <c r="U469" s="73"/>
      <c r="V469" s="73"/>
      <c r="W469" s="73"/>
      <c r="X469" s="73"/>
      <c r="Y469" s="73"/>
      <c r="Z469" s="73"/>
      <c r="AA469" s="73"/>
      <c r="AB469" s="73"/>
      <c r="AC469" s="73"/>
      <c r="AD469" s="73"/>
      <c r="AE469" s="73"/>
      <c r="AF469" s="73"/>
    </row>
    <row r="470" spans="1:32" ht="15.75" customHeight="1" x14ac:dyDescent="0.2">
      <c r="A470" s="73"/>
      <c r="B470" s="73"/>
      <c r="C470" s="74"/>
      <c r="D470" s="74"/>
      <c r="E470" s="74"/>
      <c r="F470" s="73"/>
      <c r="G470" s="74"/>
      <c r="H470" s="73"/>
      <c r="I470" s="73"/>
      <c r="J470" s="73"/>
      <c r="K470" s="73"/>
      <c r="L470" s="73"/>
      <c r="M470" s="73"/>
      <c r="N470" s="73"/>
      <c r="O470" s="73"/>
      <c r="P470" s="73"/>
      <c r="Q470" s="73"/>
      <c r="R470" s="73"/>
      <c r="S470" s="73"/>
      <c r="T470" s="73"/>
      <c r="U470" s="73"/>
      <c r="V470" s="73"/>
      <c r="W470" s="73"/>
      <c r="X470" s="73"/>
      <c r="Y470" s="73"/>
      <c r="Z470" s="73"/>
      <c r="AA470" s="73"/>
      <c r="AB470" s="73"/>
      <c r="AC470" s="73"/>
      <c r="AD470" s="73"/>
      <c r="AE470" s="73"/>
      <c r="AF470" s="73"/>
    </row>
    <row r="471" spans="1:32" ht="15.75" customHeight="1" x14ac:dyDescent="0.2">
      <c r="A471" s="73"/>
      <c r="B471" s="73"/>
      <c r="C471" s="74"/>
      <c r="D471" s="74"/>
      <c r="E471" s="74"/>
      <c r="F471" s="73"/>
      <c r="G471" s="74"/>
      <c r="H471" s="73"/>
      <c r="I471" s="73"/>
      <c r="J471" s="73"/>
      <c r="K471" s="73"/>
      <c r="L471" s="73"/>
      <c r="M471" s="73"/>
      <c r="N471" s="73"/>
      <c r="O471" s="73"/>
      <c r="P471" s="73"/>
      <c r="Q471" s="73"/>
      <c r="R471" s="73"/>
      <c r="S471" s="73"/>
      <c r="T471" s="73"/>
      <c r="U471" s="73"/>
      <c r="V471" s="73"/>
      <c r="W471" s="73"/>
      <c r="X471" s="73"/>
      <c r="Y471" s="73"/>
      <c r="Z471" s="73"/>
      <c r="AA471" s="73"/>
      <c r="AB471" s="73"/>
      <c r="AC471" s="73"/>
      <c r="AD471" s="73"/>
      <c r="AE471" s="73"/>
      <c r="AF471" s="73"/>
    </row>
    <row r="472" spans="1:32" ht="15.75" customHeight="1" x14ac:dyDescent="0.2">
      <c r="A472" s="73"/>
      <c r="B472" s="73"/>
      <c r="C472" s="74"/>
      <c r="D472" s="74"/>
      <c r="E472" s="74"/>
      <c r="F472" s="73"/>
      <c r="G472" s="74"/>
      <c r="H472" s="73"/>
      <c r="I472" s="73"/>
      <c r="J472" s="73"/>
      <c r="K472" s="73"/>
      <c r="L472" s="73"/>
      <c r="M472" s="73"/>
      <c r="N472" s="73"/>
      <c r="O472" s="73"/>
      <c r="P472" s="73"/>
      <c r="Q472" s="73"/>
      <c r="R472" s="73"/>
      <c r="S472" s="73"/>
      <c r="T472" s="73"/>
      <c r="U472" s="73"/>
      <c r="V472" s="73"/>
      <c r="W472" s="73"/>
      <c r="X472" s="73"/>
      <c r="Y472" s="73"/>
      <c r="Z472" s="73"/>
      <c r="AA472" s="73"/>
      <c r="AB472" s="73"/>
      <c r="AC472" s="73"/>
      <c r="AD472" s="73"/>
      <c r="AE472" s="73"/>
      <c r="AF472" s="73"/>
    </row>
    <row r="473" spans="1:32" ht="15.75" customHeight="1" x14ac:dyDescent="0.2">
      <c r="A473" s="73"/>
      <c r="B473" s="73"/>
      <c r="C473" s="74"/>
      <c r="D473" s="74"/>
      <c r="E473" s="74"/>
      <c r="F473" s="73"/>
      <c r="G473" s="74"/>
      <c r="H473" s="73"/>
      <c r="I473" s="73"/>
      <c r="J473" s="73"/>
      <c r="K473" s="73"/>
      <c r="L473" s="73"/>
      <c r="M473" s="73"/>
      <c r="N473" s="73"/>
      <c r="O473" s="73"/>
      <c r="P473" s="73"/>
      <c r="Q473" s="73"/>
      <c r="R473" s="73"/>
      <c r="S473" s="73"/>
      <c r="T473" s="73"/>
      <c r="U473" s="73"/>
      <c r="V473" s="73"/>
      <c r="W473" s="73"/>
      <c r="X473" s="73"/>
      <c r="Y473" s="73"/>
      <c r="Z473" s="73"/>
      <c r="AA473" s="73"/>
      <c r="AB473" s="73"/>
      <c r="AC473" s="73"/>
      <c r="AD473" s="73"/>
      <c r="AE473" s="73"/>
      <c r="AF473" s="73"/>
    </row>
    <row r="474" spans="1:32" ht="15.75" customHeight="1" x14ac:dyDescent="0.2">
      <c r="A474" s="73"/>
      <c r="B474" s="73"/>
      <c r="C474" s="74"/>
      <c r="D474" s="74"/>
      <c r="E474" s="74"/>
      <c r="F474" s="73"/>
      <c r="G474" s="74"/>
      <c r="H474" s="73"/>
      <c r="I474" s="73"/>
      <c r="J474" s="73"/>
      <c r="K474" s="73"/>
      <c r="L474" s="73"/>
      <c r="M474" s="73"/>
      <c r="N474" s="73"/>
      <c r="O474" s="73"/>
      <c r="P474" s="73"/>
      <c r="Q474" s="73"/>
      <c r="R474" s="73"/>
      <c r="S474" s="73"/>
      <c r="T474" s="73"/>
      <c r="U474" s="73"/>
      <c r="V474" s="73"/>
      <c r="W474" s="73"/>
      <c r="X474" s="73"/>
      <c r="Y474" s="73"/>
      <c r="Z474" s="73"/>
      <c r="AA474" s="73"/>
      <c r="AB474" s="73"/>
      <c r="AC474" s="73"/>
      <c r="AD474" s="73"/>
      <c r="AE474" s="73"/>
      <c r="AF474" s="73"/>
    </row>
    <row r="475" spans="1:32" ht="15.75" customHeight="1" x14ac:dyDescent="0.2">
      <c r="A475" s="73"/>
      <c r="B475" s="73"/>
      <c r="C475" s="74"/>
      <c r="D475" s="74"/>
      <c r="E475" s="74"/>
      <c r="F475" s="73"/>
      <c r="G475" s="74"/>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2" ht="15.75" customHeight="1" x14ac:dyDescent="0.2">
      <c r="A476" s="73"/>
      <c r="B476" s="73"/>
      <c r="C476" s="74"/>
      <c r="D476" s="74"/>
      <c r="E476" s="74"/>
      <c r="F476" s="73"/>
      <c r="G476" s="74"/>
      <c r="H476" s="73"/>
      <c r="I476" s="73"/>
      <c r="J476" s="73"/>
      <c r="K476" s="73"/>
      <c r="L476" s="73"/>
      <c r="M476" s="73"/>
      <c r="N476" s="73"/>
      <c r="O476" s="73"/>
      <c r="P476" s="73"/>
      <c r="Q476" s="73"/>
      <c r="R476" s="73"/>
      <c r="S476" s="73"/>
      <c r="T476" s="73"/>
      <c r="U476" s="73"/>
      <c r="V476" s="73"/>
      <c r="W476" s="73"/>
      <c r="X476" s="73"/>
      <c r="Y476" s="73"/>
      <c r="Z476" s="73"/>
      <c r="AA476" s="73"/>
      <c r="AB476" s="73"/>
      <c r="AC476" s="73"/>
      <c r="AD476" s="73"/>
      <c r="AE476" s="73"/>
      <c r="AF476" s="73"/>
    </row>
    <row r="477" spans="1:32" ht="15.75" customHeight="1" x14ac:dyDescent="0.2">
      <c r="A477" s="73"/>
      <c r="B477" s="73"/>
      <c r="C477" s="74"/>
      <c r="D477" s="74"/>
      <c r="E477" s="74"/>
      <c r="F477" s="73"/>
      <c r="G477" s="74"/>
      <c r="H477" s="73"/>
      <c r="I477" s="73"/>
      <c r="J477" s="73"/>
      <c r="K477" s="73"/>
      <c r="L477" s="73"/>
      <c r="M477" s="73"/>
      <c r="N477" s="73"/>
      <c r="O477" s="73"/>
      <c r="P477" s="73"/>
      <c r="Q477" s="73"/>
      <c r="R477" s="73"/>
      <c r="S477" s="73"/>
      <c r="T477" s="73"/>
      <c r="U477" s="73"/>
      <c r="V477" s="73"/>
      <c r="W477" s="73"/>
      <c r="X477" s="73"/>
      <c r="Y477" s="73"/>
      <c r="Z477" s="73"/>
      <c r="AA477" s="73"/>
      <c r="AB477" s="73"/>
      <c r="AC477" s="73"/>
      <c r="AD477" s="73"/>
      <c r="AE477" s="73"/>
      <c r="AF477" s="73"/>
    </row>
    <row r="478" spans="1:32" ht="15.75" customHeight="1" x14ac:dyDescent="0.2">
      <c r="A478" s="73"/>
      <c r="B478" s="73"/>
      <c r="C478" s="74"/>
      <c r="D478" s="74"/>
      <c r="E478" s="74"/>
      <c r="F478" s="73"/>
      <c r="G478" s="74"/>
      <c r="H478" s="73"/>
      <c r="I478" s="73"/>
      <c r="J478" s="73"/>
      <c r="K478" s="73"/>
      <c r="L478" s="73"/>
      <c r="M478" s="73"/>
      <c r="N478" s="73"/>
      <c r="O478" s="73"/>
      <c r="P478" s="73"/>
      <c r="Q478" s="73"/>
      <c r="R478" s="73"/>
      <c r="S478" s="73"/>
      <c r="T478" s="73"/>
      <c r="U478" s="73"/>
      <c r="V478" s="73"/>
      <c r="W478" s="73"/>
      <c r="X478" s="73"/>
      <c r="Y478" s="73"/>
      <c r="Z478" s="73"/>
      <c r="AA478" s="73"/>
      <c r="AB478" s="73"/>
      <c r="AC478" s="73"/>
      <c r="AD478" s="73"/>
      <c r="AE478" s="73"/>
      <c r="AF478" s="73"/>
    </row>
    <row r="479" spans="1:32" ht="15.75" customHeight="1" x14ac:dyDescent="0.2">
      <c r="A479" s="73"/>
      <c r="B479" s="73"/>
      <c r="C479" s="74"/>
      <c r="D479" s="74"/>
      <c r="E479" s="74"/>
      <c r="F479" s="73"/>
      <c r="G479" s="74"/>
      <c r="H479" s="73"/>
      <c r="I479" s="73"/>
      <c r="J479" s="73"/>
      <c r="K479" s="73"/>
      <c r="L479" s="73"/>
      <c r="M479" s="73"/>
      <c r="N479" s="73"/>
      <c r="O479" s="73"/>
      <c r="P479" s="73"/>
      <c r="Q479" s="73"/>
      <c r="R479" s="73"/>
      <c r="S479" s="73"/>
      <c r="T479" s="73"/>
      <c r="U479" s="73"/>
      <c r="V479" s="73"/>
      <c r="W479" s="73"/>
      <c r="X479" s="73"/>
      <c r="Y479" s="73"/>
      <c r="Z479" s="73"/>
      <c r="AA479" s="73"/>
      <c r="AB479" s="73"/>
      <c r="AC479" s="73"/>
      <c r="AD479" s="73"/>
      <c r="AE479" s="73"/>
      <c r="AF479" s="73"/>
    </row>
    <row r="480" spans="1:32" ht="15.75" customHeight="1" x14ac:dyDescent="0.2">
      <c r="A480" s="73"/>
      <c r="B480" s="73"/>
      <c r="C480" s="74"/>
      <c r="D480" s="74"/>
      <c r="E480" s="74"/>
      <c r="F480" s="73"/>
      <c r="G480" s="74"/>
      <c r="H480" s="73"/>
      <c r="I480" s="73"/>
      <c r="J480" s="73"/>
      <c r="K480" s="73"/>
      <c r="L480" s="73"/>
      <c r="M480" s="73"/>
      <c r="N480" s="73"/>
      <c r="O480" s="73"/>
      <c r="P480" s="73"/>
      <c r="Q480" s="73"/>
      <c r="R480" s="73"/>
      <c r="S480" s="73"/>
      <c r="T480" s="73"/>
      <c r="U480" s="73"/>
      <c r="V480" s="73"/>
      <c r="W480" s="73"/>
      <c r="X480" s="73"/>
      <c r="Y480" s="73"/>
      <c r="Z480" s="73"/>
      <c r="AA480" s="73"/>
      <c r="AB480" s="73"/>
      <c r="AC480" s="73"/>
      <c r="AD480" s="73"/>
      <c r="AE480" s="73"/>
      <c r="AF480" s="73"/>
    </row>
    <row r="481" spans="1:32" ht="15.75" customHeight="1" x14ac:dyDescent="0.2">
      <c r="A481" s="73"/>
      <c r="B481" s="73"/>
      <c r="C481" s="74"/>
      <c r="D481" s="74"/>
      <c r="E481" s="74"/>
      <c r="F481" s="73"/>
      <c r="G481" s="74"/>
      <c r="H481" s="73"/>
      <c r="I481" s="73"/>
      <c r="J481" s="73"/>
      <c r="K481" s="73"/>
      <c r="L481" s="73"/>
      <c r="M481" s="73"/>
      <c r="N481" s="73"/>
      <c r="O481" s="73"/>
      <c r="P481" s="73"/>
      <c r="Q481" s="73"/>
      <c r="R481" s="73"/>
      <c r="S481" s="73"/>
      <c r="T481" s="73"/>
      <c r="U481" s="73"/>
      <c r="V481" s="73"/>
      <c r="W481" s="73"/>
      <c r="X481" s="73"/>
      <c r="Y481" s="73"/>
      <c r="Z481" s="73"/>
      <c r="AA481" s="73"/>
      <c r="AB481" s="73"/>
      <c r="AC481" s="73"/>
      <c r="AD481" s="73"/>
      <c r="AE481" s="73"/>
      <c r="AF481" s="73"/>
    </row>
    <row r="482" spans="1:32" ht="15.75" customHeight="1" x14ac:dyDescent="0.2">
      <c r="A482" s="73"/>
      <c r="B482" s="73"/>
      <c r="C482" s="74"/>
      <c r="D482" s="74"/>
      <c r="E482" s="74"/>
      <c r="F482" s="73"/>
      <c r="G482" s="74"/>
      <c r="H482" s="73"/>
      <c r="I482" s="73"/>
      <c r="J482" s="73"/>
      <c r="K482" s="73"/>
      <c r="L482" s="73"/>
      <c r="M482" s="73"/>
      <c r="N482" s="73"/>
      <c r="O482" s="73"/>
      <c r="P482" s="73"/>
      <c r="Q482" s="73"/>
      <c r="R482" s="73"/>
      <c r="S482" s="73"/>
      <c r="T482" s="73"/>
      <c r="U482" s="73"/>
      <c r="V482" s="73"/>
      <c r="W482" s="73"/>
      <c r="X482" s="73"/>
      <c r="Y482" s="73"/>
      <c r="Z482" s="73"/>
      <c r="AA482" s="73"/>
      <c r="AB482" s="73"/>
      <c r="AC482" s="73"/>
      <c r="AD482" s="73"/>
      <c r="AE482" s="73"/>
      <c r="AF482" s="73"/>
    </row>
    <row r="483" spans="1:32" ht="15.75" customHeight="1" x14ac:dyDescent="0.2">
      <c r="A483" s="73"/>
      <c r="B483" s="73"/>
      <c r="C483" s="74"/>
      <c r="D483" s="74"/>
      <c r="E483" s="74"/>
      <c r="F483" s="73"/>
      <c r="G483" s="74"/>
      <c r="H483" s="73"/>
      <c r="I483" s="73"/>
      <c r="J483" s="73"/>
      <c r="K483" s="73"/>
      <c r="L483" s="73"/>
      <c r="M483" s="73"/>
      <c r="N483" s="73"/>
      <c r="O483" s="73"/>
      <c r="P483" s="73"/>
      <c r="Q483" s="73"/>
      <c r="R483" s="73"/>
      <c r="S483" s="73"/>
      <c r="T483" s="73"/>
      <c r="U483" s="73"/>
      <c r="V483" s="73"/>
      <c r="W483" s="73"/>
      <c r="X483" s="73"/>
      <c r="Y483" s="73"/>
      <c r="Z483" s="73"/>
      <c r="AA483" s="73"/>
      <c r="AB483" s="73"/>
      <c r="AC483" s="73"/>
      <c r="AD483" s="73"/>
      <c r="AE483" s="73"/>
      <c r="AF483" s="73"/>
    </row>
    <row r="484" spans="1:32" ht="15.75" customHeight="1" x14ac:dyDescent="0.2">
      <c r="A484" s="73"/>
      <c r="B484" s="73"/>
      <c r="C484" s="74"/>
      <c r="D484" s="74"/>
      <c r="E484" s="74"/>
      <c r="F484" s="73"/>
      <c r="G484" s="74"/>
      <c r="H484" s="73"/>
      <c r="I484" s="73"/>
      <c r="J484" s="73"/>
      <c r="K484" s="73"/>
      <c r="L484" s="73"/>
      <c r="M484" s="73"/>
      <c r="N484" s="73"/>
      <c r="O484" s="73"/>
      <c r="P484" s="73"/>
      <c r="Q484" s="73"/>
      <c r="R484" s="73"/>
      <c r="S484" s="73"/>
      <c r="T484" s="73"/>
      <c r="U484" s="73"/>
      <c r="V484" s="73"/>
      <c r="W484" s="73"/>
      <c r="X484" s="73"/>
      <c r="Y484" s="73"/>
      <c r="Z484" s="73"/>
      <c r="AA484" s="73"/>
      <c r="AB484" s="73"/>
      <c r="AC484" s="73"/>
      <c r="AD484" s="73"/>
      <c r="AE484" s="73"/>
      <c r="AF484" s="73"/>
    </row>
    <row r="485" spans="1:32" ht="15.75" customHeight="1" x14ac:dyDescent="0.2">
      <c r="A485" s="73"/>
      <c r="B485" s="73"/>
      <c r="C485" s="74"/>
      <c r="D485" s="74"/>
      <c r="E485" s="74"/>
      <c r="F485" s="73"/>
      <c r="G485" s="74"/>
      <c r="H485" s="73"/>
      <c r="I485" s="73"/>
      <c r="J485" s="73"/>
      <c r="K485" s="73"/>
      <c r="L485" s="73"/>
      <c r="M485" s="73"/>
      <c r="N485" s="73"/>
      <c r="O485" s="73"/>
      <c r="P485" s="73"/>
      <c r="Q485" s="73"/>
      <c r="R485" s="73"/>
      <c r="S485" s="73"/>
      <c r="T485" s="73"/>
      <c r="U485" s="73"/>
      <c r="V485" s="73"/>
      <c r="W485" s="73"/>
      <c r="X485" s="73"/>
      <c r="Y485" s="73"/>
      <c r="Z485" s="73"/>
      <c r="AA485" s="73"/>
      <c r="AB485" s="73"/>
      <c r="AC485" s="73"/>
      <c r="AD485" s="73"/>
      <c r="AE485" s="73"/>
      <c r="AF485" s="73"/>
    </row>
    <row r="486" spans="1:32" ht="15.75" customHeight="1" x14ac:dyDescent="0.2">
      <c r="A486" s="73"/>
      <c r="B486" s="73"/>
      <c r="C486" s="74"/>
      <c r="D486" s="74"/>
      <c r="E486" s="74"/>
      <c r="F486" s="73"/>
      <c r="G486" s="74"/>
      <c r="H486" s="73"/>
      <c r="I486" s="73"/>
      <c r="J486" s="73"/>
      <c r="K486" s="73"/>
      <c r="L486" s="73"/>
      <c r="M486" s="73"/>
      <c r="N486" s="73"/>
      <c r="O486" s="73"/>
      <c r="P486" s="73"/>
      <c r="Q486" s="73"/>
      <c r="R486" s="73"/>
      <c r="S486" s="73"/>
      <c r="T486" s="73"/>
      <c r="U486" s="73"/>
      <c r="V486" s="73"/>
      <c r="W486" s="73"/>
      <c r="X486" s="73"/>
      <c r="Y486" s="73"/>
      <c r="Z486" s="73"/>
      <c r="AA486" s="73"/>
      <c r="AB486" s="73"/>
      <c r="AC486" s="73"/>
      <c r="AD486" s="73"/>
      <c r="AE486" s="73"/>
      <c r="AF486" s="73"/>
    </row>
    <row r="487" spans="1:32" ht="15.75" customHeight="1" x14ac:dyDescent="0.2">
      <c r="A487" s="73"/>
      <c r="B487" s="73"/>
      <c r="C487" s="74"/>
      <c r="D487" s="74"/>
      <c r="E487" s="74"/>
      <c r="F487" s="73"/>
      <c r="G487" s="74"/>
      <c r="H487" s="73"/>
      <c r="I487" s="73"/>
      <c r="J487" s="73"/>
      <c r="K487" s="73"/>
      <c r="L487" s="73"/>
      <c r="M487" s="73"/>
      <c r="N487" s="73"/>
      <c r="O487" s="73"/>
      <c r="P487" s="73"/>
      <c r="Q487" s="73"/>
      <c r="R487" s="73"/>
      <c r="S487" s="73"/>
      <c r="T487" s="73"/>
      <c r="U487" s="73"/>
      <c r="V487" s="73"/>
      <c r="W487" s="73"/>
      <c r="X487" s="73"/>
      <c r="Y487" s="73"/>
      <c r="Z487" s="73"/>
      <c r="AA487" s="73"/>
      <c r="AB487" s="73"/>
      <c r="AC487" s="73"/>
      <c r="AD487" s="73"/>
      <c r="AE487" s="73"/>
      <c r="AF487" s="73"/>
    </row>
    <row r="488" spans="1:32" ht="15.75" customHeight="1" x14ac:dyDescent="0.2">
      <c r="A488" s="73"/>
      <c r="B488" s="73"/>
      <c r="C488" s="74"/>
      <c r="D488" s="74"/>
      <c r="E488" s="74"/>
      <c r="F488" s="73"/>
      <c r="G488" s="74"/>
      <c r="H488" s="73"/>
      <c r="I488" s="73"/>
      <c r="J488" s="73"/>
      <c r="K488" s="73"/>
      <c r="L488" s="73"/>
      <c r="M488" s="73"/>
      <c r="N488" s="73"/>
      <c r="O488" s="73"/>
      <c r="P488" s="73"/>
      <c r="Q488" s="73"/>
      <c r="R488" s="73"/>
      <c r="S488" s="73"/>
      <c r="T488" s="73"/>
      <c r="U488" s="73"/>
      <c r="V488" s="73"/>
      <c r="W488" s="73"/>
      <c r="X488" s="73"/>
      <c r="Y488" s="73"/>
      <c r="Z488" s="73"/>
      <c r="AA488" s="73"/>
      <c r="AB488" s="73"/>
      <c r="AC488" s="73"/>
      <c r="AD488" s="73"/>
      <c r="AE488" s="73"/>
      <c r="AF488" s="73"/>
    </row>
    <row r="489" spans="1:32" ht="15.75" customHeight="1" x14ac:dyDescent="0.2">
      <c r="A489" s="73"/>
      <c r="B489" s="73"/>
      <c r="C489" s="74"/>
      <c r="D489" s="74"/>
      <c r="E489" s="74"/>
      <c r="F489" s="73"/>
      <c r="G489" s="74"/>
      <c r="H489" s="73"/>
      <c r="I489" s="73"/>
      <c r="J489" s="73"/>
      <c r="K489" s="73"/>
      <c r="L489" s="73"/>
      <c r="M489" s="73"/>
      <c r="N489" s="73"/>
      <c r="O489" s="73"/>
      <c r="P489" s="73"/>
      <c r="Q489" s="73"/>
      <c r="R489" s="73"/>
      <c r="S489" s="73"/>
      <c r="T489" s="73"/>
      <c r="U489" s="73"/>
      <c r="V489" s="73"/>
      <c r="W489" s="73"/>
      <c r="X489" s="73"/>
      <c r="Y489" s="73"/>
      <c r="Z489" s="73"/>
      <c r="AA489" s="73"/>
      <c r="AB489" s="73"/>
      <c r="AC489" s="73"/>
      <c r="AD489" s="73"/>
      <c r="AE489" s="73"/>
      <c r="AF489" s="73"/>
    </row>
    <row r="490" spans="1:32" ht="15.75" customHeight="1" x14ac:dyDescent="0.2">
      <c r="A490" s="73"/>
      <c r="B490" s="73"/>
      <c r="C490" s="74"/>
      <c r="D490" s="74"/>
      <c r="E490" s="74"/>
      <c r="F490" s="73"/>
      <c r="G490" s="74"/>
      <c r="H490" s="73"/>
      <c r="I490" s="73"/>
      <c r="J490" s="73"/>
      <c r="K490" s="73"/>
      <c r="L490" s="73"/>
      <c r="M490" s="73"/>
      <c r="N490" s="73"/>
      <c r="O490" s="73"/>
      <c r="P490" s="73"/>
      <c r="Q490" s="73"/>
      <c r="R490" s="73"/>
      <c r="S490" s="73"/>
      <c r="T490" s="73"/>
      <c r="U490" s="73"/>
      <c r="V490" s="73"/>
      <c r="W490" s="73"/>
      <c r="X490" s="73"/>
      <c r="Y490" s="73"/>
      <c r="Z490" s="73"/>
      <c r="AA490" s="73"/>
      <c r="AB490" s="73"/>
      <c r="AC490" s="73"/>
      <c r="AD490" s="73"/>
      <c r="AE490" s="73"/>
      <c r="AF490" s="73"/>
    </row>
    <row r="491" spans="1:32" ht="15.75" customHeight="1" x14ac:dyDescent="0.2">
      <c r="A491" s="73"/>
      <c r="B491" s="73"/>
      <c r="C491" s="74"/>
      <c r="D491" s="74"/>
      <c r="E491" s="74"/>
      <c r="F491" s="73"/>
      <c r="G491" s="74"/>
      <c r="H491" s="73"/>
      <c r="I491" s="73"/>
      <c r="J491" s="73"/>
      <c r="K491" s="73"/>
      <c r="L491" s="73"/>
      <c r="M491" s="73"/>
      <c r="N491" s="73"/>
      <c r="O491" s="73"/>
      <c r="P491" s="73"/>
      <c r="Q491" s="73"/>
      <c r="R491" s="73"/>
      <c r="S491" s="73"/>
      <c r="T491" s="73"/>
      <c r="U491" s="73"/>
      <c r="V491" s="73"/>
      <c r="W491" s="73"/>
      <c r="X491" s="73"/>
      <c r="Y491" s="73"/>
      <c r="Z491" s="73"/>
      <c r="AA491" s="73"/>
      <c r="AB491" s="73"/>
      <c r="AC491" s="73"/>
      <c r="AD491" s="73"/>
      <c r="AE491" s="73"/>
      <c r="AF491" s="73"/>
    </row>
    <row r="492" spans="1:32" ht="15.75" customHeight="1" x14ac:dyDescent="0.2">
      <c r="A492" s="73"/>
      <c r="B492" s="73"/>
      <c r="C492" s="74"/>
      <c r="D492" s="74"/>
      <c r="E492" s="74"/>
      <c r="F492" s="73"/>
      <c r="G492" s="74"/>
      <c r="H492" s="73"/>
      <c r="I492" s="73"/>
      <c r="J492" s="73"/>
      <c r="K492" s="73"/>
      <c r="L492" s="73"/>
      <c r="M492" s="73"/>
      <c r="N492" s="73"/>
      <c r="O492" s="73"/>
      <c r="P492" s="73"/>
      <c r="Q492" s="73"/>
      <c r="R492" s="73"/>
      <c r="S492" s="73"/>
      <c r="T492" s="73"/>
      <c r="U492" s="73"/>
      <c r="V492" s="73"/>
      <c r="W492" s="73"/>
      <c r="X492" s="73"/>
      <c r="Y492" s="73"/>
      <c r="Z492" s="73"/>
      <c r="AA492" s="73"/>
      <c r="AB492" s="73"/>
      <c r="AC492" s="73"/>
      <c r="AD492" s="73"/>
      <c r="AE492" s="73"/>
      <c r="AF492" s="73"/>
    </row>
    <row r="493" spans="1:32" ht="15.75" customHeight="1" x14ac:dyDescent="0.2">
      <c r="A493" s="73"/>
      <c r="B493" s="73"/>
      <c r="C493" s="74"/>
      <c r="D493" s="74"/>
      <c r="E493" s="74"/>
      <c r="F493" s="73"/>
      <c r="G493" s="74"/>
      <c r="H493" s="73"/>
      <c r="I493" s="73"/>
      <c r="J493" s="73"/>
      <c r="K493" s="73"/>
      <c r="L493" s="73"/>
      <c r="M493" s="73"/>
      <c r="N493" s="73"/>
      <c r="O493" s="73"/>
      <c r="P493" s="73"/>
      <c r="Q493" s="73"/>
      <c r="R493" s="73"/>
      <c r="S493" s="73"/>
      <c r="T493" s="73"/>
      <c r="U493" s="73"/>
      <c r="V493" s="73"/>
      <c r="W493" s="73"/>
      <c r="X493" s="73"/>
      <c r="Y493" s="73"/>
      <c r="Z493" s="73"/>
      <c r="AA493" s="73"/>
      <c r="AB493" s="73"/>
      <c r="AC493" s="73"/>
      <c r="AD493" s="73"/>
      <c r="AE493" s="73"/>
      <c r="AF493" s="73"/>
    </row>
    <row r="494" spans="1:32" ht="15.75" customHeight="1" x14ac:dyDescent="0.2">
      <c r="A494" s="73"/>
      <c r="B494" s="73"/>
      <c r="C494" s="74"/>
      <c r="D494" s="74"/>
      <c r="E494" s="74"/>
      <c r="F494" s="73"/>
      <c r="G494" s="74"/>
      <c r="H494" s="73"/>
      <c r="I494" s="73"/>
      <c r="J494" s="73"/>
      <c r="K494" s="73"/>
      <c r="L494" s="73"/>
      <c r="M494" s="73"/>
      <c r="N494" s="73"/>
      <c r="O494" s="73"/>
      <c r="P494" s="73"/>
      <c r="Q494" s="73"/>
      <c r="R494" s="73"/>
      <c r="S494" s="73"/>
      <c r="T494" s="73"/>
      <c r="U494" s="73"/>
      <c r="V494" s="73"/>
      <c r="W494" s="73"/>
      <c r="X494" s="73"/>
      <c r="Y494" s="73"/>
      <c r="Z494" s="73"/>
      <c r="AA494" s="73"/>
      <c r="AB494" s="73"/>
      <c r="AC494" s="73"/>
      <c r="AD494" s="73"/>
      <c r="AE494" s="73"/>
      <c r="AF494" s="73"/>
    </row>
    <row r="495" spans="1:32" ht="15.75" customHeight="1" x14ac:dyDescent="0.2">
      <c r="A495" s="73"/>
      <c r="B495" s="73"/>
      <c r="C495" s="74"/>
      <c r="D495" s="74"/>
      <c r="E495" s="74"/>
      <c r="F495" s="73"/>
      <c r="G495" s="74"/>
      <c r="H495" s="73"/>
      <c r="I495" s="73"/>
      <c r="J495" s="73"/>
      <c r="K495" s="73"/>
      <c r="L495" s="73"/>
      <c r="M495" s="73"/>
      <c r="N495" s="73"/>
      <c r="O495" s="73"/>
      <c r="P495" s="73"/>
      <c r="Q495" s="73"/>
      <c r="R495" s="73"/>
      <c r="S495" s="73"/>
      <c r="T495" s="73"/>
      <c r="U495" s="73"/>
      <c r="V495" s="73"/>
      <c r="W495" s="73"/>
      <c r="X495" s="73"/>
      <c r="Y495" s="73"/>
      <c r="Z495" s="73"/>
      <c r="AA495" s="73"/>
      <c r="AB495" s="73"/>
      <c r="AC495" s="73"/>
      <c r="AD495" s="73"/>
      <c r="AE495" s="73"/>
      <c r="AF495" s="73"/>
    </row>
    <row r="496" spans="1:32" ht="15.75" customHeight="1" x14ac:dyDescent="0.2">
      <c r="A496" s="73"/>
      <c r="B496" s="73"/>
      <c r="C496" s="74"/>
      <c r="D496" s="74"/>
      <c r="E496" s="74"/>
      <c r="F496" s="73"/>
      <c r="G496" s="74"/>
      <c r="H496" s="73"/>
      <c r="I496" s="73"/>
      <c r="J496" s="73"/>
      <c r="K496" s="73"/>
      <c r="L496" s="73"/>
      <c r="M496" s="73"/>
      <c r="N496" s="73"/>
      <c r="O496" s="73"/>
      <c r="P496" s="73"/>
      <c r="Q496" s="73"/>
      <c r="R496" s="73"/>
      <c r="S496" s="73"/>
      <c r="T496" s="73"/>
      <c r="U496" s="73"/>
      <c r="V496" s="73"/>
      <c r="W496" s="73"/>
      <c r="X496" s="73"/>
      <c r="Y496" s="73"/>
      <c r="Z496" s="73"/>
      <c r="AA496" s="73"/>
      <c r="AB496" s="73"/>
      <c r="AC496" s="73"/>
      <c r="AD496" s="73"/>
      <c r="AE496" s="73"/>
      <c r="AF496" s="73"/>
    </row>
    <row r="497" spans="1:32" ht="15.75" customHeight="1" x14ac:dyDescent="0.2">
      <c r="A497" s="73"/>
      <c r="B497" s="73"/>
      <c r="C497" s="74"/>
      <c r="D497" s="74"/>
      <c r="E497" s="74"/>
      <c r="F497" s="73"/>
      <c r="G497" s="74"/>
      <c r="H497" s="73"/>
      <c r="I497" s="73"/>
      <c r="J497" s="73"/>
      <c r="K497" s="73"/>
      <c r="L497" s="73"/>
      <c r="M497" s="73"/>
      <c r="N497" s="73"/>
      <c r="O497" s="73"/>
      <c r="P497" s="73"/>
      <c r="Q497" s="73"/>
      <c r="R497" s="73"/>
      <c r="S497" s="73"/>
      <c r="T497" s="73"/>
      <c r="U497" s="73"/>
      <c r="V497" s="73"/>
      <c r="W497" s="73"/>
      <c r="X497" s="73"/>
      <c r="Y497" s="73"/>
      <c r="Z497" s="73"/>
      <c r="AA497" s="73"/>
      <c r="AB497" s="73"/>
      <c r="AC497" s="73"/>
      <c r="AD497" s="73"/>
      <c r="AE497" s="73"/>
      <c r="AF497" s="73"/>
    </row>
    <row r="498" spans="1:32" ht="15.75" customHeight="1" x14ac:dyDescent="0.2">
      <c r="A498" s="73"/>
      <c r="B498" s="73"/>
      <c r="C498" s="74"/>
      <c r="D498" s="74"/>
      <c r="E498" s="74"/>
      <c r="F498" s="73"/>
      <c r="G498" s="74"/>
      <c r="H498" s="73"/>
      <c r="I498" s="73"/>
      <c r="J498" s="73"/>
      <c r="K498" s="73"/>
      <c r="L498" s="73"/>
      <c r="M498" s="73"/>
      <c r="N498" s="73"/>
      <c r="O498" s="73"/>
      <c r="P498" s="73"/>
      <c r="Q498" s="73"/>
      <c r="R498" s="73"/>
      <c r="S498" s="73"/>
      <c r="T498" s="73"/>
      <c r="U498" s="73"/>
      <c r="V498" s="73"/>
      <c r="W498" s="73"/>
      <c r="X498" s="73"/>
      <c r="Y498" s="73"/>
      <c r="Z498" s="73"/>
      <c r="AA498" s="73"/>
      <c r="AB498" s="73"/>
      <c r="AC498" s="73"/>
      <c r="AD498" s="73"/>
      <c r="AE498" s="73"/>
      <c r="AF498" s="73"/>
    </row>
    <row r="499" spans="1:32" ht="15.75" customHeight="1" x14ac:dyDescent="0.2">
      <c r="A499" s="73"/>
      <c r="B499" s="73"/>
      <c r="C499" s="74"/>
      <c r="D499" s="74"/>
      <c r="E499" s="74"/>
      <c r="F499" s="73"/>
      <c r="G499" s="74"/>
      <c r="H499" s="73"/>
      <c r="I499" s="73"/>
      <c r="J499" s="73"/>
      <c r="K499" s="73"/>
      <c r="L499" s="73"/>
      <c r="M499" s="73"/>
      <c r="N499" s="73"/>
      <c r="O499" s="73"/>
      <c r="P499" s="73"/>
      <c r="Q499" s="73"/>
      <c r="R499" s="73"/>
      <c r="S499" s="73"/>
      <c r="T499" s="73"/>
      <c r="U499" s="73"/>
      <c r="V499" s="73"/>
      <c r="W499" s="73"/>
      <c r="X499" s="73"/>
      <c r="Y499" s="73"/>
      <c r="Z499" s="73"/>
      <c r="AA499" s="73"/>
      <c r="AB499" s="73"/>
      <c r="AC499" s="73"/>
      <c r="AD499" s="73"/>
      <c r="AE499" s="73"/>
      <c r="AF499" s="73"/>
    </row>
    <row r="500" spans="1:32" ht="15.75" customHeight="1" x14ac:dyDescent="0.2">
      <c r="A500" s="73"/>
      <c r="B500" s="73"/>
      <c r="C500" s="74"/>
      <c r="D500" s="74"/>
      <c r="E500" s="74"/>
      <c r="F500" s="73"/>
      <c r="G500" s="74"/>
      <c r="H500" s="73"/>
      <c r="I500" s="73"/>
      <c r="J500" s="73"/>
      <c r="K500" s="73"/>
      <c r="L500" s="73"/>
      <c r="M500" s="73"/>
      <c r="N500" s="73"/>
      <c r="O500" s="73"/>
      <c r="P500" s="73"/>
      <c r="Q500" s="73"/>
      <c r="R500" s="73"/>
      <c r="S500" s="73"/>
      <c r="T500" s="73"/>
      <c r="U500" s="73"/>
      <c r="V500" s="73"/>
      <c r="W500" s="73"/>
      <c r="X500" s="73"/>
      <c r="Y500" s="73"/>
      <c r="Z500" s="73"/>
      <c r="AA500" s="73"/>
      <c r="AB500" s="73"/>
      <c r="AC500" s="73"/>
      <c r="AD500" s="73"/>
      <c r="AE500" s="73"/>
      <c r="AF500" s="73"/>
    </row>
    <row r="501" spans="1:32" ht="15.75" customHeight="1" x14ac:dyDescent="0.2">
      <c r="A501" s="73"/>
      <c r="B501" s="73"/>
      <c r="C501" s="74"/>
      <c r="D501" s="74"/>
      <c r="E501" s="74"/>
      <c r="F501" s="73"/>
      <c r="G501" s="74"/>
      <c r="H501" s="73"/>
      <c r="I501" s="73"/>
      <c r="J501" s="73"/>
      <c r="K501" s="73"/>
      <c r="L501" s="73"/>
      <c r="M501" s="73"/>
      <c r="N501" s="73"/>
      <c r="O501" s="73"/>
      <c r="P501" s="73"/>
      <c r="Q501" s="73"/>
      <c r="R501" s="73"/>
      <c r="S501" s="73"/>
      <c r="T501" s="73"/>
      <c r="U501" s="73"/>
      <c r="V501" s="73"/>
      <c r="W501" s="73"/>
      <c r="X501" s="73"/>
      <c r="Y501" s="73"/>
      <c r="Z501" s="73"/>
      <c r="AA501" s="73"/>
      <c r="AB501" s="73"/>
      <c r="AC501" s="73"/>
      <c r="AD501" s="73"/>
      <c r="AE501" s="73"/>
      <c r="AF501" s="73"/>
    </row>
    <row r="502" spans="1:32" ht="15.75" customHeight="1" x14ac:dyDescent="0.2">
      <c r="A502" s="73"/>
      <c r="B502" s="73"/>
      <c r="C502" s="74"/>
      <c r="D502" s="74"/>
      <c r="E502" s="74"/>
      <c r="F502" s="73"/>
      <c r="G502" s="74"/>
      <c r="H502" s="73"/>
      <c r="I502" s="73"/>
      <c r="J502" s="73"/>
      <c r="K502" s="73"/>
      <c r="L502" s="73"/>
      <c r="M502" s="73"/>
      <c r="N502" s="73"/>
      <c r="O502" s="73"/>
      <c r="P502" s="73"/>
      <c r="Q502" s="73"/>
      <c r="R502" s="73"/>
      <c r="S502" s="73"/>
      <c r="T502" s="73"/>
      <c r="U502" s="73"/>
      <c r="V502" s="73"/>
      <c r="W502" s="73"/>
      <c r="X502" s="73"/>
      <c r="Y502" s="73"/>
      <c r="Z502" s="73"/>
      <c r="AA502" s="73"/>
      <c r="AB502" s="73"/>
      <c r="AC502" s="73"/>
      <c r="AD502" s="73"/>
      <c r="AE502" s="73"/>
      <c r="AF502" s="73"/>
    </row>
    <row r="503" spans="1:32" ht="15.75" customHeight="1" x14ac:dyDescent="0.2">
      <c r="A503" s="73"/>
      <c r="B503" s="73"/>
      <c r="C503" s="74"/>
      <c r="D503" s="74"/>
      <c r="E503" s="74"/>
      <c r="F503" s="73"/>
      <c r="G503" s="74"/>
      <c r="H503" s="73"/>
      <c r="I503" s="73"/>
      <c r="J503" s="73"/>
      <c r="K503" s="73"/>
      <c r="L503" s="73"/>
      <c r="M503" s="73"/>
      <c r="N503" s="73"/>
      <c r="O503" s="73"/>
      <c r="P503" s="73"/>
      <c r="Q503" s="73"/>
      <c r="R503" s="73"/>
      <c r="S503" s="73"/>
      <c r="T503" s="73"/>
      <c r="U503" s="73"/>
      <c r="V503" s="73"/>
      <c r="W503" s="73"/>
      <c r="X503" s="73"/>
      <c r="Y503" s="73"/>
      <c r="Z503" s="73"/>
      <c r="AA503" s="73"/>
      <c r="AB503" s="73"/>
      <c r="AC503" s="73"/>
      <c r="AD503" s="73"/>
      <c r="AE503" s="73"/>
      <c r="AF503" s="73"/>
    </row>
    <row r="504" spans="1:32" ht="15.75" customHeight="1" x14ac:dyDescent="0.2">
      <c r="A504" s="73"/>
      <c r="B504" s="73"/>
      <c r="C504" s="74"/>
      <c r="D504" s="74"/>
      <c r="E504" s="74"/>
      <c r="F504" s="73"/>
      <c r="G504" s="74"/>
      <c r="H504" s="73"/>
      <c r="I504" s="73"/>
      <c r="J504" s="73"/>
      <c r="K504" s="73"/>
      <c r="L504" s="73"/>
      <c r="M504" s="73"/>
      <c r="N504" s="73"/>
      <c r="O504" s="73"/>
      <c r="P504" s="73"/>
      <c r="Q504" s="73"/>
      <c r="R504" s="73"/>
      <c r="S504" s="73"/>
      <c r="T504" s="73"/>
      <c r="U504" s="73"/>
      <c r="V504" s="73"/>
      <c r="W504" s="73"/>
      <c r="X504" s="73"/>
      <c r="Y504" s="73"/>
      <c r="Z504" s="73"/>
      <c r="AA504" s="73"/>
      <c r="AB504" s="73"/>
      <c r="AC504" s="73"/>
      <c r="AD504" s="73"/>
      <c r="AE504" s="73"/>
      <c r="AF504" s="73"/>
    </row>
    <row r="505" spans="1:32" ht="15.75" customHeight="1" x14ac:dyDescent="0.2">
      <c r="A505" s="73"/>
      <c r="B505" s="73"/>
      <c r="C505" s="74"/>
      <c r="D505" s="74"/>
      <c r="E505" s="74"/>
      <c r="F505" s="73"/>
      <c r="G505" s="74"/>
      <c r="H505" s="73"/>
      <c r="I505" s="73"/>
      <c r="J505" s="73"/>
      <c r="K505" s="73"/>
      <c r="L505" s="73"/>
      <c r="M505" s="73"/>
      <c r="N505" s="73"/>
      <c r="O505" s="73"/>
      <c r="P505" s="73"/>
      <c r="Q505" s="73"/>
      <c r="R505" s="73"/>
      <c r="S505" s="73"/>
      <c r="T505" s="73"/>
      <c r="U505" s="73"/>
      <c r="V505" s="73"/>
      <c r="W505" s="73"/>
      <c r="X505" s="73"/>
      <c r="Y505" s="73"/>
      <c r="Z505" s="73"/>
      <c r="AA505" s="73"/>
      <c r="AB505" s="73"/>
      <c r="AC505" s="73"/>
      <c r="AD505" s="73"/>
      <c r="AE505" s="73"/>
      <c r="AF505" s="73"/>
    </row>
    <row r="506" spans="1:32" ht="15.75" customHeight="1" x14ac:dyDescent="0.2">
      <c r="A506" s="73"/>
      <c r="B506" s="73"/>
      <c r="C506" s="74"/>
      <c r="D506" s="74"/>
      <c r="E506" s="74"/>
      <c r="F506" s="73"/>
      <c r="G506" s="74"/>
      <c r="H506" s="73"/>
      <c r="I506" s="73"/>
      <c r="J506" s="73"/>
      <c r="K506" s="73"/>
      <c r="L506" s="73"/>
      <c r="M506" s="73"/>
      <c r="N506" s="73"/>
      <c r="O506" s="73"/>
      <c r="P506" s="73"/>
      <c r="Q506" s="73"/>
      <c r="R506" s="73"/>
      <c r="S506" s="73"/>
      <c r="T506" s="73"/>
      <c r="U506" s="73"/>
      <c r="V506" s="73"/>
      <c r="W506" s="73"/>
      <c r="X506" s="73"/>
      <c r="Y506" s="73"/>
      <c r="Z506" s="73"/>
      <c r="AA506" s="73"/>
      <c r="AB506" s="73"/>
      <c r="AC506" s="73"/>
      <c r="AD506" s="73"/>
      <c r="AE506" s="73"/>
      <c r="AF506" s="73"/>
    </row>
    <row r="507" spans="1:32" ht="15.75" customHeight="1" x14ac:dyDescent="0.2">
      <c r="A507" s="73"/>
      <c r="B507" s="73"/>
      <c r="C507" s="74"/>
      <c r="D507" s="74"/>
      <c r="E507" s="74"/>
      <c r="F507" s="73"/>
      <c r="G507" s="74"/>
      <c r="H507" s="73"/>
      <c r="I507" s="73"/>
      <c r="J507" s="73"/>
      <c r="K507" s="73"/>
      <c r="L507" s="73"/>
      <c r="M507" s="73"/>
      <c r="N507" s="73"/>
      <c r="O507" s="73"/>
      <c r="P507" s="73"/>
      <c r="Q507" s="73"/>
      <c r="R507" s="73"/>
      <c r="S507" s="73"/>
      <c r="T507" s="73"/>
      <c r="U507" s="73"/>
      <c r="V507" s="73"/>
      <c r="W507" s="73"/>
      <c r="X507" s="73"/>
      <c r="Y507" s="73"/>
      <c r="Z507" s="73"/>
      <c r="AA507" s="73"/>
      <c r="AB507" s="73"/>
      <c r="AC507" s="73"/>
      <c r="AD507" s="73"/>
      <c r="AE507" s="73"/>
      <c r="AF507" s="73"/>
    </row>
    <row r="508" spans="1:32" ht="15.75" customHeight="1" x14ac:dyDescent="0.2">
      <c r="A508" s="73"/>
      <c r="B508" s="73"/>
      <c r="C508" s="74"/>
      <c r="D508" s="74"/>
      <c r="E508" s="74"/>
      <c r="F508" s="73"/>
      <c r="G508" s="74"/>
      <c r="H508" s="73"/>
      <c r="I508" s="73"/>
      <c r="J508" s="73"/>
      <c r="K508" s="73"/>
      <c r="L508" s="73"/>
      <c r="M508" s="73"/>
      <c r="N508" s="73"/>
      <c r="O508" s="73"/>
      <c r="P508" s="73"/>
      <c r="Q508" s="73"/>
      <c r="R508" s="73"/>
      <c r="S508" s="73"/>
      <c r="T508" s="73"/>
      <c r="U508" s="73"/>
      <c r="V508" s="73"/>
      <c r="W508" s="73"/>
      <c r="X508" s="73"/>
      <c r="Y508" s="73"/>
      <c r="Z508" s="73"/>
      <c r="AA508" s="73"/>
      <c r="AB508" s="73"/>
      <c r="AC508" s="73"/>
      <c r="AD508" s="73"/>
      <c r="AE508" s="73"/>
      <c r="AF508" s="73"/>
    </row>
    <row r="509" spans="1:32" ht="15.75" customHeight="1" x14ac:dyDescent="0.2">
      <c r="A509" s="73"/>
      <c r="B509" s="73"/>
      <c r="C509" s="74"/>
      <c r="D509" s="74"/>
      <c r="E509" s="74"/>
      <c r="F509" s="73"/>
      <c r="G509" s="74"/>
      <c r="H509" s="73"/>
      <c r="I509" s="73"/>
      <c r="J509" s="73"/>
      <c r="K509" s="73"/>
      <c r="L509" s="73"/>
      <c r="M509" s="73"/>
      <c r="N509" s="73"/>
      <c r="O509" s="73"/>
      <c r="P509" s="73"/>
      <c r="Q509" s="73"/>
      <c r="R509" s="73"/>
      <c r="S509" s="73"/>
      <c r="T509" s="73"/>
      <c r="U509" s="73"/>
      <c r="V509" s="73"/>
      <c r="W509" s="73"/>
      <c r="X509" s="73"/>
      <c r="Y509" s="73"/>
      <c r="Z509" s="73"/>
      <c r="AA509" s="73"/>
      <c r="AB509" s="73"/>
      <c r="AC509" s="73"/>
      <c r="AD509" s="73"/>
      <c r="AE509" s="73"/>
      <c r="AF509" s="73"/>
    </row>
    <row r="510" spans="1:32" ht="15.75" customHeight="1" x14ac:dyDescent="0.2">
      <c r="A510" s="73"/>
      <c r="B510" s="73"/>
      <c r="C510" s="74"/>
      <c r="D510" s="74"/>
      <c r="E510" s="74"/>
      <c r="F510" s="73"/>
      <c r="G510" s="74"/>
      <c r="H510" s="73"/>
      <c r="I510" s="73"/>
      <c r="J510" s="73"/>
      <c r="K510" s="73"/>
      <c r="L510" s="73"/>
      <c r="M510" s="73"/>
      <c r="N510" s="73"/>
      <c r="O510" s="73"/>
      <c r="P510" s="73"/>
      <c r="Q510" s="73"/>
      <c r="R510" s="73"/>
      <c r="S510" s="73"/>
      <c r="T510" s="73"/>
      <c r="U510" s="73"/>
      <c r="V510" s="73"/>
      <c r="W510" s="73"/>
      <c r="X510" s="73"/>
      <c r="Y510" s="73"/>
      <c r="Z510" s="73"/>
      <c r="AA510" s="73"/>
      <c r="AB510" s="73"/>
      <c r="AC510" s="73"/>
      <c r="AD510" s="73"/>
      <c r="AE510" s="73"/>
      <c r="AF510" s="73"/>
    </row>
    <row r="511" spans="1:32" ht="15.75" customHeight="1" x14ac:dyDescent="0.2">
      <c r="A511" s="73"/>
      <c r="B511" s="73"/>
      <c r="C511" s="74"/>
      <c r="D511" s="74"/>
      <c r="E511" s="74"/>
      <c r="F511" s="73"/>
      <c r="G511" s="74"/>
      <c r="H511" s="73"/>
      <c r="I511" s="73"/>
      <c r="J511" s="73"/>
      <c r="K511" s="73"/>
      <c r="L511" s="73"/>
      <c r="M511" s="73"/>
      <c r="N511" s="73"/>
      <c r="O511" s="73"/>
      <c r="P511" s="73"/>
      <c r="Q511" s="73"/>
      <c r="R511" s="73"/>
      <c r="S511" s="73"/>
      <c r="T511" s="73"/>
      <c r="U511" s="73"/>
      <c r="V511" s="73"/>
      <c r="W511" s="73"/>
      <c r="X511" s="73"/>
      <c r="Y511" s="73"/>
      <c r="Z511" s="73"/>
      <c r="AA511" s="73"/>
      <c r="AB511" s="73"/>
      <c r="AC511" s="73"/>
      <c r="AD511" s="73"/>
      <c r="AE511" s="73"/>
      <c r="AF511" s="73"/>
    </row>
    <row r="512" spans="1:32" ht="15.75" customHeight="1" x14ac:dyDescent="0.2">
      <c r="A512" s="73"/>
      <c r="B512" s="73"/>
      <c r="C512" s="74"/>
      <c r="D512" s="74"/>
      <c r="E512" s="74"/>
      <c r="F512" s="73"/>
      <c r="G512" s="74"/>
      <c r="H512" s="73"/>
      <c r="I512" s="73"/>
      <c r="J512" s="73"/>
      <c r="K512" s="73"/>
      <c r="L512" s="73"/>
      <c r="M512" s="73"/>
      <c r="N512" s="73"/>
      <c r="O512" s="73"/>
      <c r="P512" s="73"/>
      <c r="Q512" s="73"/>
      <c r="R512" s="73"/>
      <c r="S512" s="73"/>
      <c r="T512" s="73"/>
      <c r="U512" s="73"/>
      <c r="V512" s="73"/>
      <c r="W512" s="73"/>
      <c r="X512" s="73"/>
      <c r="Y512" s="73"/>
      <c r="Z512" s="73"/>
      <c r="AA512" s="73"/>
      <c r="AB512" s="73"/>
      <c r="AC512" s="73"/>
      <c r="AD512" s="73"/>
      <c r="AE512" s="73"/>
      <c r="AF512" s="73"/>
    </row>
    <row r="513" spans="1:32" ht="15.75" customHeight="1" x14ac:dyDescent="0.2">
      <c r="A513" s="73"/>
      <c r="B513" s="73"/>
      <c r="C513" s="74"/>
      <c r="D513" s="74"/>
      <c r="E513" s="74"/>
      <c r="F513" s="73"/>
      <c r="G513" s="74"/>
      <c r="H513" s="73"/>
      <c r="I513" s="73"/>
      <c r="J513" s="73"/>
      <c r="K513" s="73"/>
      <c r="L513" s="73"/>
      <c r="M513" s="73"/>
      <c r="N513" s="73"/>
      <c r="O513" s="73"/>
      <c r="P513" s="73"/>
      <c r="Q513" s="73"/>
      <c r="R513" s="73"/>
      <c r="S513" s="73"/>
      <c r="T513" s="73"/>
      <c r="U513" s="73"/>
      <c r="V513" s="73"/>
      <c r="W513" s="73"/>
      <c r="X513" s="73"/>
      <c r="Y513" s="73"/>
      <c r="Z513" s="73"/>
      <c r="AA513" s="73"/>
      <c r="AB513" s="73"/>
      <c r="AC513" s="73"/>
      <c r="AD513" s="73"/>
      <c r="AE513" s="73"/>
      <c r="AF513" s="73"/>
    </row>
    <row r="514" spans="1:32" ht="15.75" customHeight="1" x14ac:dyDescent="0.2">
      <c r="A514" s="73"/>
      <c r="B514" s="73"/>
      <c r="C514" s="74"/>
      <c r="D514" s="74"/>
      <c r="E514" s="74"/>
      <c r="F514" s="73"/>
      <c r="G514" s="74"/>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2" ht="15.75" customHeight="1" x14ac:dyDescent="0.2">
      <c r="A515" s="73"/>
      <c r="B515" s="73"/>
      <c r="C515" s="74"/>
      <c r="D515" s="74"/>
      <c r="E515" s="74"/>
      <c r="F515" s="73"/>
      <c r="G515" s="74"/>
      <c r="H515" s="73"/>
      <c r="I515" s="73"/>
      <c r="J515" s="73"/>
      <c r="K515" s="73"/>
      <c r="L515" s="73"/>
      <c r="M515" s="73"/>
      <c r="N515" s="73"/>
      <c r="O515" s="73"/>
      <c r="P515" s="73"/>
      <c r="Q515" s="73"/>
      <c r="R515" s="73"/>
      <c r="S515" s="73"/>
      <c r="T515" s="73"/>
      <c r="U515" s="73"/>
      <c r="V515" s="73"/>
      <c r="W515" s="73"/>
      <c r="X515" s="73"/>
      <c r="Y515" s="73"/>
      <c r="Z515" s="73"/>
      <c r="AA515" s="73"/>
      <c r="AB515" s="73"/>
      <c r="AC515" s="73"/>
      <c r="AD515" s="73"/>
      <c r="AE515" s="73"/>
      <c r="AF515" s="73"/>
    </row>
    <row r="516" spans="1:32" ht="15.75" customHeight="1" x14ac:dyDescent="0.2">
      <c r="A516" s="73"/>
      <c r="B516" s="73"/>
      <c r="C516" s="74"/>
      <c r="D516" s="74"/>
      <c r="E516" s="74"/>
      <c r="F516" s="73"/>
      <c r="G516" s="74"/>
      <c r="H516" s="73"/>
      <c r="I516" s="73"/>
      <c r="J516" s="73"/>
      <c r="K516" s="73"/>
      <c r="L516" s="73"/>
      <c r="M516" s="73"/>
      <c r="N516" s="73"/>
      <c r="O516" s="73"/>
      <c r="P516" s="73"/>
      <c r="Q516" s="73"/>
      <c r="R516" s="73"/>
      <c r="S516" s="73"/>
      <c r="T516" s="73"/>
      <c r="U516" s="73"/>
      <c r="V516" s="73"/>
      <c r="W516" s="73"/>
      <c r="X516" s="73"/>
      <c r="Y516" s="73"/>
      <c r="Z516" s="73"/>
      <c r="AA516" s="73"/>
      <c r="AB516" s="73"/>
      <c r="AC516" s="73"/>
      <c r="AD516" s="73"/>
      <c r="AE516" s="73"/>
      <c r="AF516" s="73"/>
    </row>
    <row r="517" spans="1:32" ht="15.75" customHeight="1" x14ac:dyDescent="0.2">
      <c r="A517" s="73"/>
      <c r="B517" s="73"/>
      <c r="C517" s="74"/>
      <c r="D517" s="74"/>
      <c r="E517" s="74"/>
      <c r="F517" s="73"/>
      <c r="G517" s="74"/>
      <c r="H517" s="73"/>
      <c r="I517" s="73"/>
      <c r="J517" s="73"/>
      <c r="K517" s="73"/>
      <c r="L517" s="73"/>
      <c r="M517" s="73"/>
      <c r="N517" s="73"/>
      <c r="O517" s="73"/>
      <c r="P517" s="73"/>
      <c r="Q517" s="73"/>
      <c r="R517" s="73"/>
      <c r="S517" s="73"/>
      <c r="T517" s="73"/>
      <c r="U517" s="73"/>
      <c r="V517" s="73"/>
      <c r="W517" s="73"/>
      <c r="X517" s="73"/>
      <c r="Y517" s="73"/>
      <c r="Z517" s="73"/>
      <c r="AA517" s="73"/>
      <c r="AB517" s="73"/>
      <c r="AC517" s="73"/>
      <c r="AD517" s="73"/>
      <c r="AE517" s="73"/>
      <c r="AF517" s="73"/>
    </row>
    <row r="518" spans="1:32" ht="15.75" customHeight="1" x14ac:dyDescent="0.2">
      <c r="A518" s="73"/>
      <c r="B518" s="73"/>
      <c r="C518" s="74"/>
      <c r="D518" s="74"/>
      <c r="E518" s="74"/>
      <c r="F518" s="73"/>
      <c r="G518" s="74"/>
      <c r="H518" s="73"/>
      <c r="I518" s="73"/>
      <c r="J518" s="73"/>
      <c r="K518" s="73"/>
      <c r="L518" s="73"/>
      <c r="M518" s="73"/>
      <c r="N518" s="73"/>
      <c r="O518" s="73"/>
      <c r="P518" s="73"/>
      <c r="Q518" s="73"/>
      <c r="R518" s="73"/>
      <c r="S518" s="73"/>
      <c r="T518" s="73"/>
      <c r="U518" s="73"/>
      <c r="V518" s="73"/>
      <c r="W518" s="73"/>
      <c r="X518" s="73"/>
      <c r="Y518" s="73"/>
      <c r="Z518" s="73"/>
      <c r="AA518" s="73"/>
      <c r="AB518" s="73"/>
      <c r="AC518" s="73"/>
      <c r="AD518" s="73"/>
      <c r="AE518" s="73"/>
      <c r="AF518" s="73"/>
    </row>
    <row r="519" spans="1:32" ht="15.75" customHeight="1" x14ac:dyDescent="0.2">
      <c r="A519" s="73"/>
      <c r="B519" s="73"/>
      <c r="C519" s="74"/>
      <c r="D519" s="74"/>
      <c r="E519" s="74"/>
      <c r="F519" s="73"/>
      <c r="G519" s="74"/>
      <c r="H519" s="73"/>
      <c r="I519" s="73"/>
      <c r="J519" s="73"/>
      <c r="K519" s="73"/>
      <c r="L519" s="73"/>
      <c r="M519" s="73"/>
      <c r="N519" s="73"/>
      <c r="O519" s="73"/>
      <c r="P519" s="73"/>
      <c r="Q519" s="73"/>
      <c r="R519" s="73"/>
      <c r="S519" s="73"/>
      <c r="T519" s="73"/>
      <c r="U519" s="73"/>
      <c r="V519" s="73"/>
      <c r="W519" s="73"/>
      <c r="X519" s="73"/>
      <c r="Y519" s="73"/>
      <c r="Z519" s="73"/>
      <c r="AA519" s="73"/>
      <c r="AB519" s="73"/>
      <c r="AC519" s="73"/>
      <c r="AD519" s="73"/>
      <c r="AE519" s="73"/>
      <c r="AF519" s="73"/>
    </row>
    <row r="520" spans="1:32" ht="15.75" customHeight="1" x14ac:dyDescent="0.2">
      <c r="A520" s="73"/>
      <c r="B520" s="73"/>
      <c r="C520" s="74"/>
      <c r="D520" s="74"/>
      <c r="E520" s="74"/>
      <c r="F520" s="73"/>
      <c r="G520" s="74"/>
      <c r="H520" s="73"/>
      <c r="I520" s="73"/>
      <c r="J520" s="73"/>
      <c r="K520" s="73"/>
      <c r="L520" s="73"/>
      <c r="M520" s="73"/>
      <c r="N520" s="73"/>
      <c r="O520" s="73"/>
      <c r="P520" s="73"/>
      <c r="Q520" s="73"/>
      <c r="R520" s="73"/>
      <c r="S520" s="73"/>
      <c r="T520" s="73"/>
      <c r="U520" s="73"/>
      <c r="V520" s="73"/>
      <c r="W520" s="73"/>
      <c r="X520" s="73"/>
      <c r="Y520" s="73"/>
      <c r="Z520" s="73"/>
      <c r="AA520" s="73"/>
      <c r="AB520" s="73"/>
      <c r="AC520" s="73"/>
      <c r="AD520" s="73"/>
      <c r="AE520" s="73"/>
      <c r="AF520" s="73"/>
    </row>
    <row r="521" spans="1:32" ht="15.75" customHeight="1" x14ac:dyDescent="0.2">
      <c r="A521" s="73"/>
      <c r="B521" s="73"/>
      <c r="C521" s="74"/>
      <c r="D521" s="74"/>
      <c r="E521" s="74"/>
      <c r="F521" s="73"/>
      <c r="G521" s="74"/>
      <c r="H521" s="73"/>
      <c r="I521" s="73"/>
      <c r="J521" s="73"/>
      <c r="K521" s="73"/>
      <c r="L521" s="73"/>
      <c r="M521" s="73"/>
      <c r="N521" s="73"/>
      <c r="O521" s="73"/>
      <c r="P521" s="73"/>
      <c r="Q521" s="73"/>
      <c r="R521" s="73"/>
      <c r="S521" s="73"/>
      <c r="T521" s="73"/>
      <c r="U521" s="73"/>
      <c r="V521" s="73"/>
      <c r="W521" s="73"/>
      <c r="X521" s="73"/>
      <c r="Y521" s="73"/>
      <c r="Z521" s="73"/>
      <c r="AA521" s="73"/>
      <c r="AB521" s="73"/>
      <c r="AC521" s="73"/>
      <c r="AD521" s="73"/>
      <c r="AE521" s="73"/>
      <c r="AF521" s="73"/>
    </row>
    <row r="522" spans="1:32" ht="15.75" customHeight="1" x14ac:dyDescent="0.2">
      <c r="A522" s="73"/>
      <c r="B522" s="73"/>
      <c r="C522" s="74"/>
      <c r="D522" s="74"/>
      <c r="E522" s="74"/>
      <c r="F522" s="73"/>
      <c r="G522" s="74"/>
      <c r="H522" s="73"/>
      <c r="I522" s="73"/>
      <c r="J522" s="73"/>
      <c r="K522" s="73"/>
      <c r="L522" s="73"/>
      <c r="M522" s="73"/>
      <c r="N522" s="73"/>
      <c r="O522" s="73"/>
      <c r="P522" s="73"/>
      <c r="Q522" s="73"/>
      <c r="R522" s="73"/>
      <c r="S522" s="73"/>
      <c r="T522" s="73"/>
      <c r="U522" s="73"/>
      <c r="V522" s="73"/>
      <c r="W522" s="73"/>
      <c r="X522" s="73"/>
      <c r="Y522" s="73"/>
      <c r="Z522" s="73"/>
      <c r="AA522" s="73"/>
      <c r="AB522" s="73"/>
      <c r="AC522" s="73"/>
      <c r="AD522" s="73"/>
      <c r="AE522" s="73"/>
      <c r="AF522" s="73"/>
    </row>
    <row r="523" spans="1:32" ht="15.75" customHeight="1" x14ac:dyDescent="0.2">
      <c r="A523" s="73"/>
      <c r="B523" s="73"/>
      <c r="C523" s="74"/>
      <c r="D523" s="74"/>
      <c r="E523" s="74"/>
      <c r="F523" s="73"/>
      <c r="G523" s="74"/>
      <c r="H523" s="73"/>
      <c r="I523" s="73"/>
      <c r="J523" s="73"/>
      <c r="K523" s="73"/>
      <c r="L523" s="73"/>
      <c r="M523" s="73"/>
      <c r="N523" s="73"/>
      <c r="O523" s="73"/>
      <c r="P523" s="73"/>
      <c r="Q523" s="73"/>
      <c r="R523" s="73"/>
      <c r="S523" s="73"/>
      <c r="T523" s="73"/>
      <c r="U523" s="73"/>
      <c r="V523" s="73"/>
      <c r="W523" s="73"/>
      <c r="X523" s="73"/>
      <c r="Y523" s="73"/>
      <c r="Z523" s="73"/>
      <c r="AA523" s="73"/>
      <c r="AB523" s="73"/>
      <c r="AC523" s="73"/>
      <c r="AD523" s="73"/>
      <c r="AE523" s="73"/>
      <c r="AF523" s="73"/>
    </row>
    <row r="524" spans="1:32" ht="15.75" customHeight="1" x14ac:dyDescent="0.2">
      <c r="A524" s="73"/>
      <c r="B524" s="73"/>
      <c r="C524" s="74"/>
      <c r="D524" s="74"/>
      <c r="E524" s="74"/>
      <c r="F524" s="73"/>
      <c r="G524" s="74"/>
      <c r="H524" s="73"/>
      <c r="I524" s="73"/>
      <c r="J524" s="73"/>
      <c r="K524" s="73"/>
      <c r="L524" s="73"/>
      <c r="M524" s="73"/>
      <c r="N524" s="73"/>
      <c r="O524" s="73"/>
      <c r="P524" s="73"/>
      <c r="Q524" s="73"/>
      <c r="R524" s="73"/>
      <c r="S524" s="73"/>
      <c r="T524" s="73"/>
      <c r="U524" s="73"/>
      <c r="V524" s="73"/>
      <c r="W524" s="73"/>
      <c r="X524" s="73"/>
      <c r="Y524" s="73"/>
      <c r="Z524" s="73"/>
      <c r="AA524" s="73"/>
      <c r="AB524" s="73"/>
      <c r="AC524" s="73"/>
      <c r="AD524" s="73"/>
      <c r="AE524" s="73"/>
      <c r="AF524" s="73"/>
    </row>
    <row r="525" spans="1:32" ht="15.75" customHeight="1" x14ac:dyDescent="0.2">
      <c r="A525" s="73"/>
      <c r="B525" s="73"/>
      <c r="C525" s="74"/>
      <c r="D525" s="74"/>
      <c r="E525" s="74"/>
      <c r="F525" s="73"/>
      <c r="G525" s="74"/>
      <c r="H525" s="73"/>
      <c r="I525" s="73"/>
      <c r="J525" s="73"/>
      <c r="K525" s="73"/>
      <c r="L525" s="73"/>
      <c r="M525" s="73"/>
      <c r="N525" s="73"/>
      <c r="O525" s="73"/>
      <c r="P525" s="73"/>
      <c r="Q525" s="73"/>
      <c r="R525" s="73"/>
      <c r="S525" s="73"/>
      <c r="T525" s="73"/>
      <c r="U525" s="73"/>
      <c r="V525" s="73"/>
      <c r="W525" s="73"/>
      <c r="X525" s="73"/>
      <c r="Y525" s="73"/>
      <c r="Z525" s="73"/>
      <c r="AA525" s="73"/>
      <c r="AB525" s="73"/>
      <c r="AC525" s="73"/>
      <c r="AD525" s="73"/>
      <c r="AE525" s="73"/>
      <c r="AF525" s="73"/>
    </row>
    <row r="526" spans="1:32" ht="15.75" customHeight="1" x14ac:dyDescent="0.2">
      <c r="A526" s="73"/>
      <c r="B526" s="73"/>
      <c r="C526" s="74"/>
      <c r="D526" s="74"/>
      <c r="E526" s="74"/>
      <c r="F526" s="73"/>
      <c r="G526" s="74"/>
      <c r="H526" s="73"/>
      <c r="I526" s="73"/>
      <c r="J526" s="73"/>
      <c r="K526" s="73"/>
      <c r="L526" s="73"/>
      <c r="M526" s="73"/>
      <c r="N526" s="73"/>
      <c r="O526" s="73"/>
      <c r="P526" s="73"/>
      <c r="Q526" s="73"/>
      <c r="R526" s="73"/>
      <c r="S526" s="73"/>
      <c r="T526" s="73"/>
      <c r="U526" s="73"/>
      <c r="V526" s="73"/>
      <c r="W526" s="73"/>
      <c r="X526" s="73"/>
      <c r="Y526" s="73"/>
      <c r="Z526" s="73"/>
      <c r="AA526" s="73"/>
      <c r="AB526" s="73"/>
      <c r="AC526" s="73"/>
      <c r="AD526" s="73"/>
      <c r="AE526" s="73"/>
      <c r="AF526" s="73"/>
    </row>
    <row r="527" spans="1:32" ht="15.75" customHeight="1" x14ac:dyDescent="0.2">
      <c r="A527" s="73"/>
      <c r="B527" s="73"/>
      <c r="C527" s="74"/>
      <c r="D527" s="74"/>
      <c r="E527" s="74"/>
      <c r="F527" s="73"/>
      <c r="G527" s="74"/>
      <c r="H527" s="73"/>
      <c r="I527" s="73"/>
      <c r="J527" s="73"/>
      <c r="K527" s="73"/>
      <c r="L527" s="73"/>
      <c r="M527" s="73"/>
      <c r="N527" s="73"/>
      <c r="O527" s="73"/>
      <c r="P527" s="73"/>
      <c r="Q527" s="73"/>
      <c r="R527" s="73"/>
      <c r="S527" s="73"/>
      <c r="T527" s="73"/>
      <c r="U527" s="73"/>
      <c r="V527" s="73"/>
      <c r="W527" s="73"/>
      <c r="X527" s="73"/>
      <c r="Y527" s="73"/>
      <c r="Z527" s="73"/>
      <c r="AA527" s="73"/>
      <c r="AB527" s="73"/>
      <c r="AC527" s="73"/>
      <c r="AD527" s="73"/>
      <c r="AE527" s="73"/>
      <c r="AF527" s="73"/>
    </row>
    <row r="528" spans="1:32" ht="15.75" customHeight="1" x14ac:dyDescent="0.2">
      <c r="A528" s="73"/>
      <c r="B528" s="73"/>
      <c r="C528" s="74"/>
      <c r="D528" s="74"/>
      <c r="E528" s="74"/>
      <c r="F528" s="73"/>
      <c r="G528" s="74"/>
      <c r="H528" s="73"/>
      <c r="I528" s="73"/>
      <c r="J528" s="73"/>
      <c r="K528" s="73"/>
      <c r="L528" s="73"/>
      <c r="M528" s="73"/>
      <c r="N528" s="73"/>
      <c r="O528" s="73"/>
      <c r="P528" s="73"/>
      <c r="Q528" s="73"/>
      <c r="R528" s="73"/>
      <c r="S528" s="73"/>
      <c r="T528" s="73"/>
      <c r="U528" s="73"/>
      <c r="V528" s="73"/>
      <c r="W528" s="73"/>
      <c r="X528" s="73"/>
      <c r="Y528" s="73"/>
      <c r="Z528" s="73"/>
      <c r="AA528" s="73"/>
      <c r="AB528" s="73"/>
      <c r="AC528" s="73"/>
      <c r="AD528" s="73"/>
      <c r="AE528" s="73"/>
      <c r="AF528" s="73"/>
    </row>
    <row r="529" spans="1:32" ht="15.75" customHeight="1" x14ac:dyDescent="0.2">
      <c r="A529" s="73"/>
      <c r="B529" s="73"/>
      <c r="C529" s="74"/>
      <c r="D529" s="74"/>
      <c r="E529" s="74"/>
      <c r="F529" s="73"/>
      <c r="G529" s="74"/>
      <c r="H529" s="73"/>
      <c r="I529" s="73"/>
      <c r="J529" s="73"/>
      <c r="K529" s="73"/>
      <c r="L529" s="73"/>
      <c r="M529" s="73"/>
      <c r="N529" s="73"/>
      <c r="O529" s="73"/>
      <c r="P529" s="73"/>
      <c r="Q529" s="73"/>
      <c r="R529" s="73"/>
      <c r="S529" s="73"/>
      <c r="T529" s="73"/>
      <c r="U529" s="73"/>
      <c r="V529" s="73"/>
      <c r="W529" s="73"/>
      <c r="X529" s="73"/>
      <c r="Y529" s="73"/>
      <c r="Z529" s="73"/>
      <c r="AA529" s="73"/>
      <c r="AB529" s="73"/>
      <c r="AC529" s="73"/>
      <c r="AD529" s="73"/>
      <c r="AE529" s="73"/>
      <c r="AF529" s="73"/>
    </row>
    <row r="530" spans="1:32" ht="15.75" customHeight="1" x14ac:dyDescent="0.2">
      <c r="A530" s="73"/>
      <c r="B530" s="73"/>
      <c r="C530" s="74"/>
      <c r="D530" s="74"/>
      <c r="E530" s="74"/>
      <c r="F530" s="73"/>
      <c r="G530" s="74"/>
      <c r="H530" s="73"/>
      <c r="I530" s="73"/>
      <c r="J530" s="73"/>
      <c r="K530" s="73"/>
      <c r="L530" s="73"/>
      <c r="M530" s="73"/>
      <c r="N530" s="73"/>
      <c r="O530" s="73"/>
      <c r="P530" s="73"/>
      <c r="Q530" s="73"/>
      <c r="R530" s="73"/>
      <c r="S530" s="73"/>
      <c r="T530" s="73"/>
      <c r="U530" s="73"/>
      <c r="V530" s="73"/>
      <c r="W530" s="73"/>
      <c r="X530" s="73"/>
      <c r="Y530" s="73"/>
      <c r="Z530" s="73"/>
      <c r="AA530" s="73"/>
      <c r="AB530" s="73"/>
      <c r="AC530" s="73"/>
      <c r="AD530" s="73"/>
      <c r="AE530" s="73"/>
      <c r="AF530" s="73"/>
    </row>
    <row r="531" spans="1:32" ht="15.75" customHeight="1" x14ac:dyDescent="0.2">
      <c r="A531" s="73"/>
      <c r="B531" s="73"/>
      <c r="C531" s="74"/>
      <c r="D531" s="74"/>
      <c r="E531" s="74"/>
      <c r="F531" s="73"/>
      <c r="G531" s="74"/>
      <c r="H531" s="73"/>
      <c r="I531" s="73"/>
      <c r="J531" s="73"/>
      <c r="K531" s="73"/>
      <c r="L531" s="73"/>
      <c r="M531" s="73"/>
      <c r="N531" s="73"/>
      <c r="O531" s="73"/>
      <c r="P531" s="73"/>
      <c r="Q531" s="73"/>
      <c r="R531" s="73"/>
      <c r="S531" s="73"/>
      <c r="T531" s="73"/>
      <c r="U531" s="73"/>
      <c r="V531" s="73"/>
      <c r="W531" s="73"/>
      <c r="X531" s="73"/>
      <c r="Y531" s="73"/>
      <c r="Z531" s="73"/>
      <c r="AA531" s="73"/>
      <c r="AB531" s="73"/>
      <c r="AC531" s="73"/>
      <c r="AD531" s="73"/>
      <c r="AE531" s="73"/>
      <c r="AF531" s="73"/>
    </row>
    <row r="532" spans="1:32" ht="15.75" customHeight="1" x14ac:dyDescent="0.2">
      <c r="A532" s="73"/>
      <c r="B532" s="73"/>
      <c r="C532" s="74"/>
      <c r="D532" s="74"/>
      <c r="E532" s="74"/>
      <c r="F532" s="73"/>
      <c r="G532" s="74"/>
      <c r="H532" s="73"/>
      <c r="I532" s="73"/>
      <c r="J532" s="73"/>
      <c r="K532" s="73"/>
      <c r="L532" s="73"/>
      <c r="M532" s="73"/>
      <c r="N532" s="73"/>
      <c r="O532" s="73"/>
      <c r="P532" s="73"/>
      <c r="Q532" s="73"/>
      <c r="R532" s="73"/>
      <c r="S532" s="73"/>
      <c r="T532" s="73"/>
      <c r="U532" s="73"/>
      <c r="V532" s="73"/>
      <c r="W532" s="73"/>
      <c r="X532" s="73"/>
      <c r="Y532" s="73"/>
      <c r="Z532" s="73"/>
      <c r="AA532" s="73"/>
      <c r="AB532" s="73"/>
      <c r="AC532" s="73"/>
      <c r="AD532" s="73"/>
      <c r="AE532" s="73"/>
      <c r="AF532" s="73"/>
    </row>
    <row r="533" spans="1:32" ht="15.75" customHeight="1" x14ac:dyDescent="0.2">
      <c r="A533" s="73"/>
      <c r="B533" s="73"/>
      <c r="C533" s="74"/>
      <c r="D533" s="74"/>
      <c r="E533" s="74"/>
      <c r="F533" s="73"/>
      <c r="G533" s="74"/>
      <c r="H533" s="73"/>
      <c r="I533" s="73"/>
      <c r="J533" s="73"/>
      <c r="K533" s="73"/>
      <c r="L533" s="73"/>
      <c r="M533" s="73"/>
      <c r="N533" s="73"/>
      <c r="O533" s="73"/>
      <c r="P533" s="73"/>
      <c r="Q533" s="73"/>
      <c r="R533" s="73"/>
      <c r="S533" s="73"/>
      <c r="T533" s="73"/>
      <c r="U533" s="73"/>
      <c r="V533" s="73"/>
      <c r="W533" s="73"/>
      <c r="X533" s="73"/>
      <c r="Y533" s="73"/>
      <c r="Z533" s="73"/>
      <c r="AA533" s="73"/>
      <c r="AB533" s="73"/>
      <c r="AC533" s="73"/>
      <c r="AD533" s="73"/>
      <c r="AE533" s="73"/>
      <c r="AF533" s="73"/>
    </row>
    <row r="534" spans="1:32" ht="15.75" customHeight="1" x14ac:dyDescent="0.2">
      <c r="A534" s="73"/>
      <c r="B534" s="73"/>
      <c r="C534" s="74"/>
      <c r="D534" s="74"/>
      <c r="E534" s="74"/>
      <c r="F534" s="73"/>
      <c r="G534" s="74"/>
      <c r="H534" s="73"/>
      <c r="I534" s="73"/>
      <c r="J534" s="73"/>
      <c r="K534" s="73"/>
      <c r="L534" s="73"/>
      <c r="M534" s="73"/>
      <c r="N534" s="73"/>
      <c r="O534" s="73"/>
      <c r="P534" s="73"/>
      <c r="Q534" s="73"/>
      <c r="R534" s="73"/>
      <c r="S534" s="73"/>
      <c r="T534" s="73"/>
      <c r="U534" s="73"/>
      <c r="V534" s="73"/>
      <c r="W534" s="73"/>
      <c r="X534" s="73"/>
      <c r="Y534" s="73"/>
      <c r="Z534" s="73"/>
      <c r="AA534" s="73"/>
      <c r="AB534" s="73"/>
      <c r="AC534" s="73"/>
      <c r="AD534" s="73"/>
      <c r="AE534" s="73"/>
      <c r="AF534" s="73"/>
    </row>
    <row r="535" spans="1:32" ht="15.75" customHeight="1" x14ac:dyDescent="0.2">
      <c r="A535" s="73"/>
      <c r="B535" s="73"/>
      <c r="C535" s="74"/>
      <c r="D535" s="74"/>
      <c r="E535" s="74"/>
      <c r="F535" s="73"/>
      <c r="G535" s="74"/>
      <c r="H535" s="73"/>
      <c r="I535" s="73"/>
      <c r="J535" s="73"/>
      <c r="K535" s="73"/>
      <c r="L535" s="73"/>
      <c r="M535" s="73"/>
      <c r="N535" s="73"/>
      <c r="O535" s="73"/>
      <c r="P535" s="73"/>
      <c r="Q535" s="73"/>
      <c r="R535" s="73"/>
      <c r="S535" s="73"/>
      <c r="T535" s="73"/>
      <c r="U535" s="73"/>
      <c r="V535" s="73"/>
      <c r="W535" s="73"/>
      <c r="X535" s="73"/>
      <c r="Y535" s="73"/>
      <c r="Z535" s="73"/>
      <c r="AA535" s="73"/>
      <c r="AB535" s="73"/>
      <c r="AC535" s="73"/>
      <c r="AD535" s="73"/>
      <c r="AE535" s="73"/>
      <c r="AF535" s="73"/>
    </row>
    <row r="536" spans="1:32" ht="15.75" customHeight="1" x14ac:dyDescent="0.2">
      <c r="A536" s="73"/>
      <c r="B536" s="73"/>
      <c r="C536" s="74"/>
      <c r="D536" s="74"/>
      <c r="E536" s="74"/>
      <c r="F536" s="73"/>
      <c r="G536" s="74"/>
      <c r="H536" s="73"/>
      <c r="I536" s="73"/>
      <c r="J536" s="73"/>
      <c r="K536" s="73"/>
      <c r="L536" s="73"/>
      <c r="M536" s="73"/>
      <c r="N536" s="73"/>
      <c r="O536" s="73"/>
      <c r="P536" s="73"/>
      <c r="Q536" s="73"/>
      <c r="R536" s="73"/>
      <c r="S536" s="73"/>
      <c r="T536" s="73"/>
      <c r="U536" s="73"/>
      <c r="V536" s="73"/>
      <c r="W536" s="73"/>
      <c r="X536" s="73"/>
      <c r="Y536" s="73"/>
      <c r="Z536" s="73"/>
      <c r="AA536" s="73"/>
      <c r="AB536" s="73"/>
      <c r="AC536" s="73"/>
      <c r="AD536" s="73"/>
      <c r="AE536" s="73"/>
      <c r="AF536" s="73"/>
    </row>
    <row r="537" spans="1:32" ht="15.75" customHeight="1" x14ac:dyDescent="0.2">
      <c r="A537" s="73"/>
      <c r="B537" s="73"/>
      <c r="C537" s="74"/>
      <c r="D537" s="74"/>
      <c r="E537" s="74"/>
      <c r="F537" s="73"/>
      <c r="G537" s="74"/>
      <c r="H537" s="73"/>
      <c r="I537" s="73"/>
      <c r="J537" s="73"/>
      <c r="K537" s="73"/>
      <c r="L537" s="73"/>
      <c r="M537" s="73"/>
      <c r="N537" s="73"/>
      <c r="O537" s="73"/>
      <c r="P537" s="73"/>
      <c r="Q537" s="73"/>
      <c r="R537" s="73"/>
      <c r="S537" s="73"/>
      <c r="T537" s="73"/>
      <c r="U537" s="73"/>
      <c r="V537" s="73"/>
      <c r="W537" s="73"/>
      <c r="X537" s="73"/>
      <c r="Y537" s="73"/>
      <c r="Z537" s="73"/>
      <c r="AA537" s="73"/>
      <c r="AB537" s="73"/>
      <c r="AC537" s="73"/>
      <c r="AD537" s="73"/>
      <c r="AE537" s="73"/>
      <c r="AF537" s="73"/>
    </row>
    <row r="538" spans="1:32" ht="15.75" customHeight="1" x14ac:dyDescent="0.2">
      <c r="A538" s="73"/>
      <c r="B538" s="73"/>
      <c r="C538" s="74"/>
      <c r="D538" s="74"/>
      <c r="E538" s="74"/>
      <c r="F538" s="73"/>
      <c r="G538" s="74"/>
      <c r="H538" s="73"/>
      <c r="I538" s="73"/>
      <c r="J538" s="73"/>
      <c r="K538" s="73"/>
      <c r="L538" s="73"/>
      <c r="M538" s="73"/>
      <c r="N538" s="73"/>
      <c r="O538" s="73"/>
      <c r="P538" s="73"/>
      <c r="Q538" s="73"/>
      <c r="R538" s="73"/>
      <c r="S538" s="73"/>
      <c r="T538" s="73"/>
      <c r="U538" s="73"/>
      <c r="V538" s="73"/>
      <c r="W538" s="73"/>
      <c r="X538" s="73"/>
      <c r="Y538" s="73"/>
      <c r="Z538" s="73"/>
      <c r="AA538" s="73"/>
      <c r="AB538" s="73"/>
      <c r="AC538" s="73"/>
      <c r="AD538" s="73"/>
      <c r="AE538" s="73"/>
      <c r="AF538" s="73"/>
    </row>
    <row r="539" spans="1:32" ht="15.75" customHeight="1" x14ac:dyDescent="0.2">
      <c r="A539" s="73"/>
      <c r="B539" s="73"/>
      <c r="C539" s="74"/>
      <c r="D539" s="74"/>
      <c r="E539" s="74"/>
      <c r="F539" s="73"/>
      <c r="G539" s="74"/>
      <c r="H539" s="73"/>
      <c r="I539" s="73"/>
      <c r="J539" s="73"/>
      <c r="K539" s="73"/>
      <c r="L539" s="73"/>
      <c r="M539" s="73"/>
      <c r="N539" s="73"/>
      <c r="O539" s="73"/>
      <c r="P539" s="73"/>
      <c r="Q539" s="73"/>
      <c r="R539" s="73"/>
      <c r="S539" s="73"/>
      <c r="T539" s="73"/>
      <c r="U539" s="73"/>
      <c r="V539" s="73"/>
      <c r="W539" s="73"/>
      <c r="X539" s="73"/>
      <c r="Y539" s="73"/>
      <c r="Z539" s="73"/>
      <c r="AA539" s="73"/>
      <c r="AB539" s="73"/>
      <c r="AC539" s="73"/>
      <c r="AD539" s="73"/>
      <c r="AE539" s="73"/>
      <c r="AF539" s="73"/>
    </row>
    <row r="540" spans="1:32" ht="15.75" customHeight="1" x14ac:dyDescent="0.2">
      <c r="A540" s="73"/>
      <c r="B540" s="73"/>
      <c r="C540" s="74"/>
      <c r="D540" s="74"/>
      <c r="E540" s="74"/>
      <c r="F540" s="73"/>
      <c r="G540" s="74"/>
      <c r="H540" s="73"/>
      <c r="I540" s="73"/>
      <c r="J540" s="73"/>
      <c r="K540" s="73"/>
      <c r="L540" s="73"/>
      <c r="M540" s="73"/>
      <c r="N540" s="73"/>
      <c r="O540" s="73"/>
      <c r="P540" s="73"/>
      <c r="Q540" s="73"/>
      <c r="R540" s="73"/>
      <c r="S540" s="73"/>
      <c r="T540" s="73"/>
      <c r="U540" s="73"/>
      <c r="V540" s="73"/>
      <c r="W540" s="73"/>
      <c r="X540" s="73"/>
      <c r="Y540" s="73"/>
      <c r="Z540" s="73"/>
      <c r="AA540" s="73"/>
      <c r="AB540" s="73"/>
      <c r="AC540" s="73"/>
      <c r="AD540" s="73"/>
      <c r="AE540" s="73"/>
      <c r="AF540" s="73"/>
    </row>
    <row r="541" spans="1:32" ht="15.75" customHeight="1" x14ac:dyDescent="0.2">
      <c r="A541" s="73"/>
      <c r="B541" s="73"/>
      <c r="C541" s="74"/>
      <c r="D541" s="74"/>
      <c r="E541" s="74"/>
      <c r="F541" s="73"/>
      <c r="G541" s="74"/>
      <c r="H541" s="73"/>
      <c r="I541" s="73"/>
      <c r="J541" s="73"/>
      <c r="K541" s="73"/>
      <c r="L541" s="73"/>
      <c r="M541" s="73"/>
      <c r="N541" s="73"/>
      <c r="O541" s="73"/>
      <c r="P541" s="73"/>
      <c r="Q541" s="73"/>
      <c r="R541" s="73"/>
      <c r="S541" s="73"/>
      <c r="T541" s="73"/>
      <c r="U541" s="73"/>
      <c r="V541" s="73"/>
      <c r="W541" s="73"/>
      <c r="X541" s="73"/>
      <c r="Y541" s="73"/>
      <c r="Z541" s="73"/>
      <c r="AA541" s="73"/>
      <c r="AB541" s="73"/>
      <c r="AC541" s="73"/>
      <c r="AD541" s="73"/>
      <c r="AE541" s="73"/>
      <c r="AF541" s="73"/>
    </row>
    <row r="542" spans="1:32" ht="15.75" customHeight="1" x14ac:dyDescent="0.2">
      <c r="A542" s="73"/>
      <c r="B542" s="73"/>
      <c r="C542" s="74"/>
      <c r="D542" s="74"/>
      <c r="E542" s="74"/>
      <c r="F542" s="73"/>
      <c r="G542" s="74"/>
      <c r="H542" s="73"/>
      <c r="I542" s="73"/>
      <c r="J542" s="73"/>
      <c r="K542" s="73"/>
      <c r="L542" s="73"/>
      <c r="M542" s="73"/>
      <c r="N542" s="73"/>
      <c r="O542" s="73"/>
      <c r="P542" s="73"/>
      <c r="Q542" s="73"/>
      <c r="R542" s="73"/>
      <c r="S542" s="73"/>
      <c r="T542" s="73"/>
      <c r="U542" s="73"/>
      <c r="V542" s="73"/>
      <c r="W542" s="73"/>
      <c r="X542" s="73"/>
      <c r="Y542" s="73"/>
      <c r="Z542" s="73"/>
      <c r="AA542" s="73"/>
      <c r="AB542" s="73"/>
      <c r="AC542" s="73"/>
      <c r="AD542" s="73"/>
      <c r="AE542" s="73"/>
      <c r="AF542" s="73"/>
    </row>
    <row r="543" spans="1:32" ht="15.75" customHeight="1" x14ac:dyDescent="0.2">
      <c r="A543" s="73"/>
      <c r="B543" s="73"/>
      <c r="C543" s="74"/>
      <c r="D543" s="74"/>
      <c r="E543" s="74"/>
      <c r="F543" s="73"/>
      <c r="G543" s="74"/>
      <c r="H543" s="73"/>
      <c r="I543" s="73"/>
      <c r="J543" s="73"/>
      <c r="K543" s="73"/>
      <c r="L543" s="73"/>
      <c r="M543" s="73"/>
      <c r="N543" s="73"/>
      <c r="O543" s="73"/>
      <c r="P543" s="73"/>
      <c r="Q543" s="73"/>
      <c r="R543" s="73"/>
      <c r="S543" s="73"/>
      <c r="T543" s="73"/>
      <c r="U543" s="73"/>
      <c r="V543" s="73"/>
      <c r="W543" s="73"/>
      <c r="X543" s="73"/>
      <c r="Y543" s="73"/>
      <c r="Z543" s="73"/>
      <c r="AA543" s="73"/>
      <c r="AB543" s="73"/>
      <c r="AC543" s="73"/>
      <c r="AD543" s="73"/>
      <c r="AE543" s="73"/>
      <c r="AF543" s="73"/>
    </row>
    <row r="544" spans="1:32" ht="15.75" customHeight="1" x14ac:dyDescent="0.2">
      <c r="A544" s="73"/>
      <c r="B544" s="73"/>
      <c r="C544" s="74"/>
      <c r="D544" s="74"/>
      <c r="E544" s="74"/>
      <c r="F544" s="73"/>
      <c r="G544" s="74"/>
      <c r="H544" s="73"/>
      <c r="I544" s="73"/>
      <c r="J544" s="73"/>
      <c r="K544" s="73"/>
      <c r="L544" s="73"/>
      <c r="M544" s="73"/>
      <c r="N544" s="73"/>
      <c r="O544" s="73"/>
      <c r="P544" s="73"/>
      <c r="Q544" s="73"/>
      <c r="R544" s="73"/>
      <c r="S544" s="73"/>
      <c r="T544" s="73"/>
      <c r="U544" s="73"/>
      <c r="V544" s="73"/>
      <c r="W544" s="73"/>
      <c r="X544" s="73"/>
      <c r="Y544" s="73"/>
      <c r="Z544" s="73"/>
      <c r="AA544" s="73"/>
      <c r="AB544" s="73"/>
      <c r="AC544" s="73"/>
      <c r="AD544" s="73"/>
      <c r="AE544" s="73"/>
      <c r="AF544" s="73"/>
    </row>
    <row r="545" spans="1:32" ht="15.75" customHeight="1" x14ac:dyDescent="0.2">
      <c r="A545" s="73"/>
      <c r="B545" s="73"/>
      <c r="C545" s="74"/>
      <c r="D545" s="74"/>
      <c r="E545" s="74"/>
      <c r="F545" s="73"/>
      <c r="G545" s="74"/>
      <c r="H545" s="73"/>
      <c r="I545" s="73"/>
      <c r="J545" s="73"/>
      <c r="K545" s="73"/>
      <c r="L545" s="73"/>
      <c r="M545" s="73"/>
      <c r="N545" s="73"/>
      <c r="O545" s="73"/>
      <c r="P545" s="73"/>
      <c r="Q545" s="73"/>
      <c r="R545" s="73"/>
      <c r="S545" s="73"/>
      <c r="T545" s="73"/>
      <c r="U545" s="73"/>
      <c r="V545" s="73"/>
      <c r="W545" s="73"/>
      <c r="X545" s="73"/>
      <c r="Y545" s="73"/>
      <c r="Z545" s="73"/>
      <c r="AA545" s="73"/>
      <c r="AB545" s="73"/>
      <c r="AC545" s="73"/>
      <c r="AD545" s="73"/>
      <c r="AE545" s="73"/>
      <c r="AF545" s="73"/>
    </row>
    <row r="546" spans="1:32" ht="15.75" customHeight="1" x14ac:dyDescent="0.2">
      <c r="A546" s="73"/>
      <c r="B546" s="73"/>
      <c r="C546" s="74"/>
      <c r="D546" s="74"/>
      <c r="E546" s="74"/>
      <c r="F546" s="73"/>
      <c r="G546" s="74"/>
      <c r="H546" s="73"/>
      <c r="I546" s="73"/>
      <c r="J546" s="73"/>
      <c r="K546" s="73"/>
      <c r="L546" s="73"/>
      <c r="M546" s="73"/>
      <c r="N546" s="73"/>
      <c r="O546" s="73"/>
      <c r="P546" s="73"/>
      <c r="Q546" s="73"/>
      <c r="R546" s="73"/>
      <c r="S546" s="73"/>
      <c r="T546" s="73"/>
      <c r="U546" s="73"/>
      <c r="V546" s="73"/>
      <c r="W546" s="73"/>
      <c r="X546" s="73"/>
      <c r="Y546" s="73"/>
      <c r="Z546" s="73"/>
      <c r="AA546" s="73"/>
      <c r="AB546" s="73"/>
      <c r="AC546" s="73"/>
      <c r="AD546" s="73"/>
      <c r="AE546" s="73"/>
      <c r="AF546" s="73"/>
    </row>
    <row r="547" spans="1:32" ht="15.75" customHeight="1" x14ac:dyDescent="0.2">
      <c r="A547" s="73"/>
      <c r="B547" s="73"/>
      <c r="C547" s="74"/>
      <c r="D547" s="74"/>
      <c r="E547" s="74"/>
      <c r="F547" s="73"/>
      <c r="G547" s="74"/>
      <c r="H547" s="73"/>
      <c r="I547" s="73"/>
      <c r="J547" s="73"/>
      <c r="K547" s="73"/>
      <c r="L547" s="73"/>
      <c r="M547" s="73"/>
      <c r="N547" s="73"/>
      <c r="O547" s="73"/>
      <c r="P547" s="73"/>
      <c r="Q547" s="73"/>
      <c r="R547" s="73"/>
      <c r="S547" s="73"/>
      <c r="T547" s="73"/>
      <c r="U547" s="73"/>
      <c r="V547" s="73"/>
      <c r="W547" s="73"/>
      <c r="X547" s="73"/>
      <c r="Y547" s="73"/>
      <c r="Z547" s="73"/>
      <c r="AA547" s="73"/>
      <c r="AB547" s="73"/>
      <c r="AC547" s="73"/>
      <c r="AD547" s="73"/>
      <c r="AE547" s="73"/>
      <c r="AF547" s="73"/>
    </row>
    <row r="548" spans="1:32" ht="15.75" customHeight="1" x14ac:dyDescent="0.2">
      <c r="A548" s="73"/>
      <c r="B548" s="73"/>
      <c r="C548" s="74"/>
      <c r="D548" s="74"/>
      <c r="E548" s="74"/>
      <c r="F548" s="73"/>
      <c r="G548" s="74"/>
      <c r="H548" s="73"/>
      <c r="I548" s="73"/>
      <c r="J548" s="73"/>
      <c r="K548" s="73"/>
      <c r="L548" s="73"/>
      <c r="M548" s="73"/>
      <c r="N548" s="73"/>
      <c r="O548" s="73"/>
      <c r="P548" s="73"/>
      <c r="Q548" s="73"/>
      <c r="R548" s="73"/>
      <c r="S548" s="73"/>
      <c r="T548" s="73"/>
      <c r="U548" s="73"/>
      <c r="V548" s="73"/>
      <c r="W548" s="73"/>
      <c r="X548" s="73"/>
      <c r="Y548" s="73"/>
      <c r="Z548" s="73"/>
      <c r="AA548" s="73"/>
      <c r="AB548" s="73"/>
      <c r="AC548" s="73"/>
      <c r="AD548" s="73"/>
      <c r="AE548" s="73"/>
      <c r="AF548" s="73"/>
    </row>
    <row r="549" spans="1:32" ht="15.75" customHeight="1" x14ac:dyDescent="0.2">
      <c r="A549" s="73"/>
      <c r="B549" s="73"/>
      <c r="C549" s="74"/>
      <c r="D549" s="74"/>
      <c r="E549" s="74"/>
      <c r="F549" s="73"/>
      <c r="G549" s="74"/>
      <c r="H549" s="73"/>
      <c r="I549" s="73"/>
      <c r="J549" s="73"/>
      <c r="K549" s="73"/>
      <c r="L549" s="73"/>
      <c r="M549" s="73"/>
      <c r="N549" s="73"/>
      <c r="O549" s="73"/>
      <c r="P549" s="73"/>
      <c r="Q549" s="73"/>
      <c r="R549" s="73"/>
      <c r="S549" s="73"/>
      <c r="T549" s="73"/>
      <c r="U549" s="73"/>
      <c r="V549" s="73"/>
      <c r="W549" s="73"/>
      <c r="X549" s="73"/>
      <c r="Y549" s="73"/>
      <c r="Z549" s="73"/>
      <c r="AA549" s="73"/>
      <c r="AB549" s="73"/>
      <c r="AC549" s="73"/>
      <c r="AD549" s="73"/>
      <c r="AE549" s="73"/>
      <c r="AF549" s="73"/>
    </row>
    <row r="550" spans="1:32" ht="15.75" customHeight="1" x14ac:dyDescent="0.2">
      <c r="A550" s="73"/>
      <c r="B550" s="73"/>
      <c r="C550" s="74"/>
      <c r="D550" s="74"/>
      <c r="E550" s="74"/>
      <c r="F550" s="73"/>
      <c r="G550" s="74"/>
      <c r="H550" s="73"/>
      <c r="I550" s="73"/>
      <c r="J550" s="73"/>
      <c r="K550" s="73"/>
      <c r="L550" s="73"/>
      <c r="M550" s="73"/>
      <c r="N550" s="73"/>
      <c r="O550" s="73"/>
      <c r="P550" s="73"/>
      <c r="Q550" s="73"/>
      <c r="R550" s="73"/>
      <c r="S550" s="73"/>
      <c r="T550" s="73"/>
      <c r="U550" s="73"/>
      <c r="V550" s="73"/>
      <c r="W550" s="73"/>
      <c r="X550" s="73"/>
      <c r="Y550" s="73"/>
      <c r="Z550" s="73"/>
      <c r="AA550" s="73"/>
      <c r="AB550" s="73"/>
      <c r="AC550" s="73"/>
      <c r="AD550" s="73"/>
      <c r="AE550" s="73"/>
      <c r="AF550" s="73"/>
    </row>
    <row r="551" spans="1:32" ht="15.75" customHeight="1" x14ac:dyDescent="0.2">
      <c r="A551" s="73"/>
      <c r="B551" s="73"/>
      <c r="C551" s="74"/>
      <c r="D551" s="74"/>
      <c r="E551" s="74"/>
      <c r="F551" s="73"/>
      <c r="G551" s="74"/>
      <c r="H551" s="73"/>
      <c r="I551" s="73"/>
      <c r="J551" s="73"/>
      <c r="K551" s="73"/>
      <c r="L551" s="73"/>
      <c r="M551" s="73"/>
      <c r="N551" s="73"/>
      <c r="O551" s="73"/>
      <c r="P551" s="73"/>
      <c r="Q551" s="73"/>
      <c r="R551" s="73"/>
      <c r="S551" s="73"/>
      <c r="T551" s="73"/>
      <c r="U551" s="73"/>
      <c r="V551" s="73"/>
      <c r="W551" s="73"/>
      <c r="X551" s="73"/>
      <c r="Y551" s="73"/>
      <c r="Z551" s="73"/>
      <c r="AA551" s="73"/>
      <c r="AB551" s="73"/>
      <c r="AC551" s="73"/>
      <c r="AD551" s="73"/>
      <c r="AE551" s="73"/>
      <c r="AF551" s="73"/>
    </row>
    <row r="552" spans="1:32" ht="15.75" customHeight="1" x14ac:dyDescent="0.2">
      <c r="A552" s="73"/>
      <c r="B552" s="73"/>
      <c r="C552" s="74"/>
      <c r="D552" s="74"/>
      <c r="E552" s="74"/>
      <c r="F552" s="73"/>
      <c r="G552" s="74"/>
      <c r="H552" s="73"/>
      <c r="I552" s="73"/>
      <c r="J552" s="73"/>
      <c r="K552" s="73"/>
      <c r="L552" s="73"/>
      <c r="M552" s="73"/>
      <c r="N552" s="73"/>
      <c r="O552" s="73"/>
      <c r="P552" s="73"/>
      <c r="Q552" s="73"/>
      <c r="R552" s="73"/>
      <c r="S552" s="73"/>
      <c r="T552" s="73"/>
      <c r="U552" s="73"/>
      <c r="V552" s="73"/>
      <c r="W552" s="73"/>
      <c r="X552" s="73"/>
      <c r="Y552" s="73"/>
      <c r="Z552" s="73"/>
      <c r="AA552" s="73"/>
      <c r="AB552" s="73"/>
      <c r="AC552" s="73"/>
      <c r="AD552" s="73"/>
      <c r="AE552" s="73"/>
      <c r="AF552" s="73"/>
    </row>
    <row r="553" spans="1:32" ht="15.75" customHeight="1" x14ac:dyDescent="0.2">
      <c r="A553" s="73"/>
      <c r="B553" s="73"/>
      <c r="C553" s="74"/>
      <c r="D553" s="74"/>
      <c r="E553" s="74"/>
      <c r="F553" s="73"/>
      <c r="G553" s="74"/>
      <c r="H553" s="73"/>
      <c r="I553" s="73"/>
      <c r="J553" s="73"/>
      <c r="K553" s="73"/>
      <c r="L553" s="73"/>
      <c r="M553" s="73"/>
      <c r="N553" s="73"/>
      <c r="O553" s="73"/>
      <c r="P553" s="73"/>
      <c r="Q553" s="73"/>
      <c r="R553" s="73"/>
      <c r="S553" s="73"/>
      <c r="T553" s="73"/>
      <c r="U553" s="73"/>
      <c r="V553" s="73"/>
      <c r="W553" s="73"/>
      <c r="X553" s="73"/>
      <c r="Y553" s="73"/>
      <c r="Z553" s="73"/>
      <c r="AA553" s="73"/>
      <c r="AB553" s="73"/>
      <c r="AC553" s="73"/>
      <c r="AD553" s="73"/>
      <c r="AE553" s="73"/>
      <c r="AF553" s="73"/>
    </row>
    <row r="554" spans="1:32" ht="15.75" customHeight="1" x14ac:dyDescent="0.2">
      <c r="A554" s="73"/>
      <c r="B554" s="73"/>
      <c r="C554" s="74"/>
      <c r="D554" s="74"/>
      <c r="E554" s="74"/>
      <c r="F554" s="73"/>
      <c r="G554" s="74"/>
      <c r="H554" s="73"/>
      <c r="I554" s="73"/>
      <c r="J554" s="73"/>
      <c r="K554" s="73"/>
      <c r="L554" s="73"/>
      <c r="M554" s="73"/>
      <c r="N554" s="73"/>
      <c r="O554" s="73"/>
      <c r="P554" s="73"/>
      <c r="Q554" s="73"/>
      <c r="R554" s="73"/>
      <c r="S554" s="73"/>
      <c r="T554" s="73"/>
      <c r="U554" s="73"/>
      <c r="V554" s="73"/>
      <c r="W554" s="73"/>
      <c r="X554" s="73"/>
      <c r="Y554" s="73"/>
      <c r="Z554" s="73"/>
      <c r="AA554" s="73"/>
      <c r="AB554" s="73"/>
      <c r="AC554" s="73"/>
      <c r="AD554" s="73"/>
      <c r="AE554" s="73"/>
      <c r="AF554" s="73"/>
    </row>
    <row r="555" spans="1:32" ht="15.75" customHeight="1" x14ac:dyDescent="0.2">
      <c r="A555" s="73"/>
      <c r="B555" s="73"/>
      <c r="C555" s="74"/>
      <c r="D555" s="74"/>
      <c r="E555" s="74"/>
      <c r="F555" s="73"/>
      <c r="G555" s="74"/>
      <c r="H555" s="73"/>
      <c r="I555" s="73"/>
      <c r="J555" s="73"/>
      <c r="K555" s="73"/>
      <c r="L555" s="73"/>
      <c r="M555" s="73"/>
      <c r="N555" s="73"/>
      <c r="O555" s="73"/>
      <c r="P555" s="73"/>
      <c r="Q555" s="73"/>
      <c r="R555" s="73"/>
      <c r="S555" s="73"/>
      <c r="T555" s="73"/>
      <c r="U555" s="73"/>
      <c r="V555" s="73"/>
      <c r="W555" s="73"/>
      <c r="X555" s="73"/>
      <c r="Y555" s="73"/>
      <c r="Z555" s="73"/>
      <c r="AA555" s="73"/>
      <c r="AB555" s="73"/>
      <c r="AC555" s="73"/>
      <c r="AD555" s="73"/>
      <c r="AE555" s="73"/>
      <c r="AF555" s="73"/>
    </row>
    <row r="556" spans="1:32" ht="15.75" customHeight="1" x14ac:dyDescent="0.2">
      <c r="A556" s="73"/>
      <c r="B556" s="73"/>
      <c r="C556" s="74"/>
      <c r="D556" s="74"/>
      <c r="E556" s="74"/>
      <c r="F556" s="73"/>
      <c r="G556" s="74"/>
      <c r="H556" s="73"/>
      <c r="I556" s="73"/>
      <c r="J556" s="73"/>
      <c r="K556" s="73"/>
      <c r="L556" s="73"/>
      <c r="M556" s="73"/>
      <c r="N556" s="73"/>
      <c r="O556" s="73"/>
      <c r="P556" s="73"/>
      <c r="Q556" s="73"/>
      <c r="R556" s="73"/>
      <c r="S556" s="73"/>
      <c r="T556" s="73"/>
      <c r="U556" s="73"/>
      <c r="V556" s="73"/>
      <c r="W556" s="73"/>
      <c r="X556" s="73"/>
      <c r="Y556" s="73"/>
      <c r="Z556" s="73"/>
      <c r="AA556" s="73"/>
      <c r="AB556" s="73"/>
      <c r="AC556" s="73"/>
      <c r="AD556" s="73"/>
      <c r="AE556" s="73"/>
      <c r="AF556" s="73"/>
    </row>
    <row r="557" spans="1:32" ht="15.75" customHeight="1" x14ac:dyDescent="0.2">
      <c r="A557" s="73"/>
      <c r="B557" s="73"/>
      <c r="C557" s="74"/>
      <c r="D557" s="74"/>
      <c r="E557" s="74"/>
      <c r="F557" s="73"/>
      <c r="G557" s="74"/>
      <c r="H557" s="73"/>
      <c r="I557" s="73"/>
      <c r="J557" s="73"/>
      <c r="K557" s="73"/>
      <c r="L557" s="73"/>
      <c r="M557" s="73"/>
      <c r="N557" s="73"/>
      <c r="O557" s="73"/>
      <c r="P557" s="73"/>
      <c r="Q557" s="73"/>
      <c r="R557" s="73"/>
      <c r="S557" s="73"/>
      <c r="T557" s="73"/>
      <c r="U557" s="73"/>
      <c r="V557" s="73"/>
      <c r="W557" s="73"/>
      <c r="X557" s="73"/>
      <c r="Y557" s="73"/>
      <c r="Z557" s="73"/>
      <c r="AA557" s="73"/>
      <c r="AB557" s="73"/>
      <c r="AC557" s="73"/>
      <c r="AD557" s="73"/>
      <c r="AE557" s="73"/>
      <c r="AF557" s="73"/>
    </row>
    <row r="558" spans="1:32" ht="15.75" customHeight="1" x14ac:dyDescent="0.2">
      <c r="A558" s="73"/>
      <c r="B558" s="73"/>
      <c r="C558" s="74"/>
      <c r="D558" s="74"/>
      <c r="E558" s="74"/>
      <c r="F558" s="73"/>
      <c r="G558" s="74"/>
      <c r="H558" s="73"/>
      <c r="I558" s="73"/>
      <c r="J558" s="73"/>
      <c r="K558" s="73"/>
      <c r="L558" s="73"/>
      <c r="M558" s="73"/>
      <c r="N558" s="73"/>
      <c r="O558" s="73"/>
      <c r="P558" s="73"/>
      <c r="Q558" s="73"/>
      <c r="R558" s="73"/>
      <c r="S558" s="73"/>
      <c r="T558" s="73"/>
      <c r="U558" s="73"/>
      <c r="V558" s="73"/>
      <c r="W558" s="73"/>
      <c r="X558" s="73"/>
      <c r="Y558" s="73"/>
      <c r="Z558" s="73"/>
      <c r="AA558" s="73"/>
      <c r="AB558" s="73"/>
      <c r="AC558" s="73"/>
      <c r="AD558" s="73"/>
      <c r="AE558" s="73"/>
      <c r="AF558" s="73"/>
    </row>
    <row r="559" spans="1:32" ht="15.75" customHeight="1" x14ac:dyDescent="0.2">
      <c r="A559" s="73"/>
      <c r="B559" s="73"/>
      <c r="C559" s="74"/>
      <c r="D559" s="74"/>
      <c r="E559" s="74"/>
      <c r="F559" s="73"/>
      <c r="G559" s="74"/>
      <c r="H559" s="73"/>
      <c r="I559" s="73"/>
      <c r="J559" s="73"/>
      <c r="K559" s="73"/>
      <c r="L559" s="73"/>
      <c r="M559" s="73"/>
      <c r="N559" s="73"/>
      <c r="O559" s="73"/>
      <c r="P559" s="73"/>
      <c r="Q559" s="73"/>
      <c r="R559" s="73"/>
      <c r="S559" s="73"/>
      <c r="T559" s="73"/>
      <c r="U559" s="73"/>
      <c r="V559" s="73"/>
      <c r="W559" s="73"/>
      <c r="X559" s="73"/>
      <c r="Y559" s="73"/>
      <c r="Z559" s="73"/>
      <c r="AA559" s="73"/>
      <c r="AB559" s="73"/>
      <c r="AC559" s="73"/>
      <c r="AD559" s="73"/>
      <c r="AE559" s="73"/>
      <c r="AF559" s="73"/>
    </row>
    <row r="560" spans="1:32" ht="15.75" customHeight="1" x14ac:dyDescent="0.2">
      <c r="A560" s="73"/>
      <c r="B560" s="73"/>
      <c r="C560" s="74"/>
      <c r="D560" s="74"/>
      <c r="E560" s="74"/>
      <c r="F560" s="73"/>
      <c r="G560" s="74"/>
      <c r="H560" s="73"/>
      <c r="I560" s="73"/>
      <c r="J560" s="73"/>
      <c r="K560" s="73"/>
      <c r="L560" s="73"/>
      <c r="M560" s="73"/>
      <c r="N560" s="73"/>
      <c r="O560" s="73"/>
      <c r="P560" s="73"/>
      <c r="Q560" s="73"/>
      <c r="R560" s="73"/>
      <c r="S560" s="73"/>
      <c r="T560" s="73"/>
      <c r="U560" s="73"/>
      <c r="V560" s="73"/>
      <c r="W560" s="73"/>
      <c r="X560" s="73"/>
      <c r="Y560" s="73"/>
      <c r="Z560" s="73"/>
      <c r="AA560" s="73"/>
      <c r="AB560" s="73"/>
      <c r="AC560" s="73"/>
      <c r="AD560" s="73"/>
      <c r="AE560" s="73"/>
      <c r="AF560" s="73"/>
    </row>
    <row r="561" spans="1:32" ht="15.75" customHeight="1" x14ac:dyDescent="0.2">
      <c r="A561" s="73"/>
      <c r="B561" s="73"/>
      <c r="C561" s="74"/>
      <c r="D561" s="74"/>
      <c r="E561" s="74"/>
      <c r="F561" s="73"/>
      <c r="G561" s="74"/>
      <c r="H561" s="73"/>
      <c r="I561" s="73"/>
      <c r="J561" s="73"/>
      <c r="K561" s="73"/>
      <c r="L561" s="73"/>
      <c r="M561" s="73"/>
      <c r="N561" s="73"/>
      <c r="O561" s="73"/>
      <c r="P561" s="73"/>
      <c r="Q561" s="73"/>
      <c r="R561" s="73"/>
      <c r="S561" s="73"/>
      <c r="T561" s="73"/>
      <c r="U561" s="73"/>
      <c r="V561" s="73"/>
      <c r="W561" s="73"/>
      <c r="X561" s="73"/>
      <c r="Y561" s="73"/>
      <c r="Z561" s="73"/>
      <c r="AA561" s="73"/>
      <c r="AB561" s="73"/>
      <c r="AC561" s="73"/>
      <c r="AD561" s="73"/>
      <c r="AE561" s="73"/>
      <c r="AF561" s="73"/>
    </row>
    <row r="562" spans="1:32" ht="15.75" customHeight="1" x14ac:dyDescent="0.2">
      <c r="A562" s="73"/>
      <c r="B562" s="73"/>
      <c r="C562" s="74"/>
      <c r="D562" s="74"/>
      <c r="E562" s="74"/>
      <c r="F562" s="73"/>
      <c r="G562" s="74"/>
      <c r="H562" s="73"/>
      <c r="I562" s="73"/>
      <c r="J562" s="73"/>
      <c r="K562" s="73"/>
      <c r="L562" s="73"/>
      <c r="M562" s="73"/>
      <c r="N562" s="73"/>
      <c r="O562" s="73"/>
      <c r="P562" s="73"/>
      <c r="Q562" s="73"/>
      <c r="R562" s="73"/>
      <c r="S562" s="73"/>
      <c r="T562" s="73"/>
      <c r="U562" s="73"/>
      <c r="V562" s="73"/>
      <c r="W562" s="73"/>
      <c r="X562" s="73"/>
      <c r="Y562" s="73"/>
      <c r="Z562" s="73"/>
      <c r="AA562" s="73"/>
      <c r="AB562" s="73"/>
      <c r="AC562" s="73"/>
      <c r="AD562" s="73"/>
      <c r="AE562" s="73"/>
      <c r="AF562" s="73"/>
    </row>
    <row r="563" spans="1:32" ht="15.75" customHeight="1" x14ac:dyDescent="0.2">
      <c r="A563" s="73"/>
      <c r="B563" s="73"/>
      <c r="C563" s="74"/>
      <c r="D563" s="74"/>
      <c r="E563" s="74"/>
      <c r="F563" s="73"/>
      <c r="G563" s="74"/>
      <c r="H563" s="73"/>
      <c r="I563" s="73"/>
      <c r="J563" s="73"/>
      <c r="K563" s="73"/>
      <c r="L563" s="73"/>
      <c r="M563" s="73"/>
      <c r="N563" s="73"/>
      <c r="O563" s="73"/>
      <c r="P563" s="73"/>
      <c r="Q563" s="73"/>
      <c r="R563" s="73"/>
      <c r="S563" s="73"/>
      <c r="T563" s="73"/>
      <c r="U563" s="73"/>
      <c r="V563" s="73"/>
      <c r="W563" s="73"/>
      <c r="X563" s="73"/>
      <c r="Y563" s="73"/>
      <c r="Z563" s="73"/>
      <c r="AA563" s="73"/>
      <c r="AB563" s="73"/>
      <c r="AC563" s="73"/>
      <c r="AD563" s="73"/>
      <c r="AE563" s="73"/>
      <c r="AF563" s="73"/>
    </row>
    <row r="564" spans="1:32" ht="15.75" customHeight="1" x14ac:dyDescent="0.2">
      <c r="A564" s="73"/>
      <c r="B564" s="73"/>
      <c r="C564" s="74"/>
      <c r="D564" s="74"/>
      <c r="E564" s="74"/>
      <c r="F564" s="73"/>
      <c r="G564" s="74"/>
      <c r="H564" s="73"/>
      <c r="I564" s="73"/>
      <c r="J564" s="73"/>
      <c r="K564" s="73"/>
      <c r="L564" s="73"/>
      <c r="M564" s="73"/>
      <c r="N564" s="73"/>
      <c r="O564" s="73"/>
      <c r="P564" s="73"/>
      <c r="Q564" s="73"/>
      <c r="R564" s="73"/>
      <c r="S564" s="73"/>
      <c r="T564" s="73"/>
      <c r="U564" s="73"/>
      <c r="V564" s="73"/>
      <c r="W564" s="73"/>
      <c r="X564" s="73"/>
      <c r="Y564" s="73"/>
      <c r="Z564" s="73"/>
      <c r="AA564" s="73"/>
      <c r="AB564" s="73"/>
      <c r="AC564" s="73"/>
      <c r="AD564" s="73"/>
      <c r="AE564" s="73"/>
      <c r="AF564" s="73"/>
    </row>
    <row r="565" spans="1:32" ht="15.75" customHeight="1" x14ac:dyDescent="0.2">
      <c r="A565" s="73"/>
      <c r="B565" s="73"/>
      <c r="C565" s="74"/>
      <c r="D565" s="74"/>
      <c r="E565" s="74"/>
      <c r="F565" s="73"/>
      <c r="G565" s="74"/>
      <c r="H565" s="73"/>
      <c r="I565" s="73"/>
      <c r="J565" s="73"/>
      <c r="K565" s="73"/>
      <c r="L565" s="73"/>
      <c r="M565" s="73"/>
      <c r="N565" s="73"/>
      <c r="O565" s="73"/>
      <c r="P565" s="73"/>
      <c r="Q565" s="73"/>
      <c r="R565" s="73"/>
      <c r="S565" s="73"/>
      <c r="T565" s="73"/>
      <c r="U565" s="73"/>
      <c r="V565" s="73"/>
      <c r="W565" s="73"/>
      <c r="X565" s="73"/>
      <c r="Y565" s="73"/>
      <c r="Z565" s="73"/>
      <c r="AA565" s="73"/>
      <c r="AB565" s="73"/>
      <c r="AC565" s="73"/>
      <c r="AD565" s="73"/>
      <c r="AE565" s="73"/>
      <c r="AF565" s="73"/>
    </row>
    <row r="566" spans="1:32" ht="15.75" customHeight="1" x14ac:dyDescent="0.2">
      <c r="A566" s="73"/>
      <c r="B566" s="73"/>
      <c r="C566" s="74"/>
      <c r="D566" s="74"/>
      <c r="E566" s="74"/>
      <c r="F566" s="73"/>
      <c r="G566" s="74"/>
      <c r="H566" s="73"/>
      <c r="I566" s="73"/>
      <c r="J566" s="73"/>
      <c r="K566" s="73"/>
      <c r="L566" s="73"/>
      <c r="M566" s="73"/>
      <c r="N566" s="73"/>
      <c r="O566" s="73"/>
      <c r="P566" s="73"/>
      <c r="Q566" s="73"/>
      <c r="R566" s="73"/>
      <c r="S566" s="73"/>
      <c r="T566" s="73"/>
      <c r="U566" s="73"/>
      <c r="V566" s="73"/>
      <c r="W566" s="73"/>
      <c r="X566" s="73"/>
      <c r="Y566" s="73"/>
      <c r="Z566" s="73"/>
      <c r="AA566" s="73"/>
      <c r="AB566" s="73"/>
      <c r="AC566" s="73"/>
      <c r="AD566" s="73"/>
      <c r="AE566" s="73"/>
      <c r="AF566" s="73"/>
    </row>
    <row r="567" spans="1:32" ht="15.75" customHeight="1" x14ac:dyDescent="0.2">
      <c r="A567" s="73"/>
      <c r="B567" s="73"/>
      <c r="C567" s="74"/>
      <c r="D567" s="74"/>
      <c r="E567" s="74"/>
      <c r="F567" s="73"/>
      <c r="G567" s="74"/>
      <c r="H567" s="73"/>
      <c r="I567" s="73"/>
      <c r="J567" s="73"/>
      <c r="K567" s="73"/>
      <c r="L567" s="73"/>
      <c r="M567" s="73"/>
      <c r="N567" s="73"/>
      <c r="O567" s="73"/>
      <c r="P567" s="73"/>
      <c r="Q567" s="73"/>
      <c r="R567" s="73"/>
      <c r="S567" s="73"/>
      <c r="T567" s="73"/>
      <c r="U567" s="73"/>
      <c r="V567" s="73"/>
      <c r="W567" s="73"/>
      <c r="X567" s="73"/>
      <c r="Y567" s="73"/>
      <c r="Z567" s="73"/>
      <c r="AA567" s="73"/>
      <c r="AB567" s="73"/>
      <c r="AC567" s="73"/>
      <c r="AD567" s="73"/>
      <c r="AE567" s="73"/>
      <c r="AF567" s="73"/>
    </row>
    <row r="568" spans="1:32" ht="15.75" customHeight="1" x14ac:dyDescent="0.2">
      <c r="A568" s="73"/>
      <c r="B568" s="73"/>
      <c r="C568" s="74"/>
      <c r="D568" s="74"/>
      <c r="E568" s="74"/>
      <c r="F568" s="73"/>
      <c r="G568" s="74"/>
      <c r="H568" s="73"/>
      <c r="I568" s="73"/>
      <c r="J568" s="73"/>
      <c r="K568" s="73"/>
      <c r="L568" s="73"/>
      <c r="M568" s="73"/>
      <c r="N568" s="73"/>
      <c r="O568" s="73"/>
      <c r="P568" s="73"/>
      <c r="Q568" s="73"/>
      <c r="R568" s="73"/>
      <c r="S568" s="73"/>
      <c r="T568" s="73"/>
      <c r="U568" s="73"/>
      <c r="V568" s="73"/>
      <c r="W568" s="73"/>
      <c r="X568" s="73"/>
      <c r="Y568" s="73"/>
      <c r="Z568" s="73"/>
      <c r="AA568" s="73"/>
      <c r="AB568" s="73"/>
      <c r="AC568" s="73"/>
      <c r="AD568" s="73"/>
      <c r="AE568" s="73"/>
      <c r="AF568" s="73"/>
    </row>
    <row r="569" spans="1:32" ht="15.75" customHeight="1" x14ac:dyDescent="0.2">
      <c r="A569" s="73"/>
      <c r="B569" s="73"/>
      <c r="C569" s="74"/>
      <c r="D569" s="74"/>
      <c r="E569" s="74"/>
      <c r="F569" s="73"/>
      <c r="G569" s="74"/>
      <c r="H569" s="73"/>
      <c r="I569" s="73"/>
      <c r="J569" s="73"/>
      <c r="K569" s="73"/>
      <c r="L569" s="73"/>
      <c r="M569" s="73"/>
      <c r="N569" s="73"/>
      <c r="O569" s="73"/>
      <c r="P569" s="73"/>
      <c r="Q569" s="73"/>
      <c r="R569" s="73"/>
      <c r="S569" s="73"/>
      <c r="T569" s="73"/>
      <c r="U569" s="73"/>
      <c r="V569" s="73"/>
      <c r="W569" s="73"/>
      <c r="X569" s="73"/>
      <c r="Y569" s="73"/>
      <c r="Z569" s="73"/>
      <c r="AA569" s="73"/>
      <c r="AB569" s="73"/>
      <c r="AC569" s="73"/>
      <c r="AD569" s="73"/>
      <c r="AE569" s="73"/>
      <c r="AF569" s="73"/>
    </row>
    <row r="570" spans="1:32" ht="15.75" customHeight="1" x14ac:dyDescent="0.2">
      <c r="A570" s="73"/>
      <c r="B570" s="73"/>
      <c r="C570" s="74"/>
      <c r="D570" s="74"/>
      <c r="E570" s="74"/>
      <c r="F570" s="73"/>
      <c r="G570" s="74"/>
      <c r="H570" s="73"/>
      <c r="I570" s="73"/>
      <c r="J570" s="73"/>
      <c r="K570" s="73"/>
      <c r="L570" s="73"/>
      <c r="M570" s="73"/>
      <c r="N570" s="73"/>
      <c r="O570" s="73"/>
      <c r="P570" s="73"/>
      <c r="Q570" s="73"/>
      <c r="R570" s="73"/>
      <c r="S570" s="73"/>
      <c r="T570" s="73"/>
      <c r="U570" s="73"/>
      <c r="V570" s="73"/>
      <c r="W570" s="73"/>
      <c r="X570" s="73"/>
      <c r="Y570" s="73"/>
      <c r="Z570" s="73"/>
      <c r="AA570" s="73"/>
      <c r="AB570" s="73"/>
      <c r="AC570" s="73"/>
      <c r="AD570" s="73"/>
      <c r="AE570" s="73"/>
      <c r="AF570" s="73"/>
    </row>
    <row r="571" spans="1:32" ht="15.75" customHeight="1" x14ac:dyDescent="0.2">
      <c r="A571" s="73"/>
      <c r="B571" s="73"/>
      <c r="C571" s="74"/>
      <c r="D571" s="74"/>
      <c r="E571" s="74"/>
      <c r="F571" s="73"/>
      <c r="G571" s="74"/>
      <c r="H571" s="73"/>
      <c r="I571" s="73"/>
      <c r="J571" s="73"/>
      <c r="K571" s="73"/>
      <c r="L571" s="73"/>
      <c r="M571" s="73"/>
      <c r="N571" s="73"/>
      <c r="O571" s="73"/>
      <c r="P571" s="73"/>
      <c r="Q571" s="73"/>
      <c r="R571" s="73"/>
      <c r="S571" s="73"/>
      <c r="T571" s="73"/>
      <c r="U571" s="73"/>
      <c r="V571" s="73"/>
      <c r="W571" s="73"/>
      <c r="X571" s="73"/>
      <c r="Y571" s="73"/>
      <c r="Z571" s="73"/>
      <c r="AA571" s="73"/>
      <c r="AB571" s="73"/>
      <c r="AC571" s="73"/>
      <c r="AD571" s="73"/>
      <c r="AE571" s="73"/>
      <c r="AF571" s="73"/>
    </row>
    <row r="572" spans="1:32" ht="15.75" customHeight="1" x14ac:dyDescent="0.2">
      <c r="A572" s="73"/>
      <c r="B572" s="73"/>
      <c r="C572" s="74"/>
      <c r="D572" s="74"/>
      <c r="E572" s="74"/>
      <c r="F572" s="73"/>
      <c r="G572" s="74"/>
      <c r="H572" s="73"/>
      <c r="I572" s="73"/>
      <c r="J572" s="73"/>
      <c r="K572" s="73"/>
      <c r="L572" s="73"/>
      <c r="M572" s="73"/>
      <c r="N572" s="73"/>
      <c r="O572" s="73"/>
      <c r="P572" s="73"/>
      <c r="Q572" s="73"/>
      <c r="R572" s="73"/>
      <c r="S572" s="73"/>
      <c r="T572" s="73"/>
      <c r="U572" s="73"/>
      <c r="V572" s="73"/>
      <c r="W572" s="73"/>
      <c r="X572" s="73"/>
      <c r="Y572" s="73"/>
      <c r="Z572" s="73"/>
      <c r="AA572" s="73"/>
      <c r="AB572" s="73"/>
      <c r="AC572" s="73"/>
      <c r="AD572" s="73"/>
      <c r="AE572" s="73"/>
      <c r="AF572" s="73"/>
    </row>
    <row r="573" spans="1:32" ht="15.75" customHeight="1" x14ac:dyDescent="0.2">
      <c r="A573" s="73"/>
      <c r="B573" s="73"/>
      <c r="C573" s="74"/>
      <c r="D573" s="74"/>
      <c r="E573" s="74"/>
      <c r="F573" s="73"/>
      <c r="G573" s="74"/>
      <c r="H573" s="73"/>
      <c r="I573" s="73"/>
      <c r="J573" s="73"/>
      <c r="K573" s="73"/>
      <c r="L573" s="73"/>
      <c r="M573" s="73"/>
      <c r="N573" s="73"/>
      <c r="O573" s="73"/>
      <c r="P573" s="73"/>
      <c r="Q573" s="73"/>
      <c r="R573" s="73"/>
      <c r="S573" s="73"/>
      <c r="T573" s="73"/>
      <c r="U573" s="73"/>
      <c r="V573" s="73"/>
      <c r="W573" s="73"/>
      <c r="X573" s="73"/>
      <c r="Y573" s="73"/>
      <c r="Z573" s="73"/>
      <c r="AA573" s="73"/>
      <c r="AB573" s="73"/>
      <c r="AC573" s="73"/>
      <c r="AD573" s="73"/>
      <c r="AE573" s="73"/>
      <c r="AF573" s="73"/>
    </row>
    <row r="574" spans="1:32" ht="15.75" customHeight="1" x14ac:dyDescent="0.2">
      <c r="A574" s="73"/>
      <c r="B574" s="73"/>
      <c r="C574" s="74"/>
      <c r="D574" s="74"/>
      <c r="E574" s="74"/>
      <c r="F574" s="73"/>
      <c r="G574" s="74"/>
      <c r="H574" s="73"/>
      <c r="I574" s="73"/>
      <c r="J574" s="73"/>
      <c r="K574" s="73"/>
      <c r="L574" s="73"/>
      <c r="M574" s="73"/>
      <c r="N574" s="73"/>
      <c r="O574" s="73"/>
      <c r="P574" s="73"/>
      <c r="Q574" s="73"/>
      <c r="R574" s="73"/>
      <c r="S574" s="73"/>
      <c r="T574" s="73"/>
      <c r="U574" s="73"/>
      <c r="V574" s="73"/>
      <c r="W574" s="73"/>
      <c r="X574" s="73"/>
      <c r="Y574" s="73"/>
      <c r="Z574" s="73"/>
      <c r="AA574" s="73"/>
      <c r="AB574" s="73"/>
      <c r="AC574" s="73"/>
      <c r="AD574" s="73"/>
      <c r="AE574" s="73"/>
      <c r="AF574" s="73"/>
    </row>
    <row r="575" spans="1:32" ht="15.75" customHeight="1" x14ac:dyDescent="0.2">
      <c r="A575" s="73"/>
      <c r="B575" s="73"/>
      <c r="C575" s="74"/>
      <c r="D575" s="74"/>
      <c r="E575" s="74"/>
      <c r="F575" s="73"/>
      <c r="G575" s="74"/>
      <c r="H575" s="73"/>
      <c r="I575" s="73"/>
      <c r="J575" s="73"/>
      <c r="K575" s="73"/>
      <c r="L575" s="73"/>
      <c r="M575" s="73"/>
      <c r="N575" s="73"/>
      <c r="O575" s="73"/>
      <c r="P575" s="73"/>
      <c r="Q575" s="73"/>
      <c r="R575" s="73"/>
      <c r="S575" s="73"/>
      <c r="T575" s="73"/>
      <c r="U575" s="73"/>
      <c r="V575" s="73"/>
      <c r="W575" s="73"/>
      <c r="X575" s="73"/>
      <c r="Y575" s="73"/>
      <c r="Z575" s="73"/>
      <c r="AA575" s="73"/>
      <c r="AB575" s="73"/>
      <c r="AC575" s="73"/>
      <c r="AD575" s="73"/>
      <c r="AE575" s="73"/>
      <c r="AF575" s="73"/>
    </row>
    <row r="576" spans="1:32" ht="15.75" customHeight="1" x14ac:dyDescent="0.2">
      <c r="A576" s="73"/>
      <c r="B576" s="73"/>
      <c r="C576" s="74"/>
      <c r="D576" s="74"/>
      <c r="E576" s="74"/>
      <c r="F576" s="73"/>
      <c r="G576" s="74"/>
      <c r="H576" s="73"/>
      <c r="I576" s="73"/>
      <c r="J576" s="73"/>
      <c r="K576" s="73"/>
      <c r="L576" s="73"/>
      <c r="M576" s="73"/>
      <c r="N576" s="73"/>
      <c r="O576" s="73"/>
      <c r="P576" s="73"/>
      <c r="Q576" s="73"/>
      <c r="R576" s="73"/>
      <c r="S576" s="73"/>
      <c r="T576" s="73"/>
      <c r="U576" s="73"/>
      <c r="V576" s="73"/>
      <c r="W576" s="73"/>
      <c r="X576" s="73"/>
      <c r="Y576" s="73"/>
      <c r="Z576" s="73"/>
      <c r="AA576" s="73"/>
      <c r="AB576" s="73"/>
      <c r="AC576" s="73"/>
      <c r="AD576" s="73"/>
      <c r="AE576" s="73"/>
      <c r="AF576" s="73"/>
    </row>
    <row r="577" spans="1:32" ht="15.75" customHeight="1" x14ac:dyDescent="0.2">
      <c r="A577" s="73"/>
      <c r="B577" s="73"/>
      <c r="C577" s="74"/>
      <c r="D577" s="74"/>
      <c r="E577" s="74"/>
      <c r="F577" s="73"/>
      <c r="G577" s="74"/>
      <c r="H577" s="73"/>
      <c r="I577" s="73"/>
      <c r="J577" s="73"/>
      <c r="K577" s="73"/>
      <c r="L577" s="73"/>
      <c r="M577" s="73"/>
      <c r="N577" s="73"/>
      <c r="O577" s="73"/>
      <c r="P577" s="73"/>
      <c r="Q577" s="73"/>
      <c r="R577" s="73"/>
      <c r="S577" s="73"/>
      <c r="T577" s="73"/>
      <c r="U577" s="73"/>
      <c r="V577" s="73"/>
      <c r="W577" s="73"/>
      <c r="X577" s="73"/>
      <c r="Y577" s="73"/>
      <c r="Z577" s="73"/>
      <c r="AA577" s="73"/>
      <c r="AB577" s="73"/>
      <c r="AC577" s="73"/>
      <c r="AD577" s="73"/>
      <c r="AE577" s="73"/>
      <c r="AF577" s="73"/>
    </row>
    <row r="578" spans="1:32" ht="15.75" customHeight="1" x14ac:dyDescent="0.2">
      <c r="A578" s="73"/>
      <c r="B578" s="73"/>
      <c r="C578" s="74"/>
      <c r="D578" s="74"/>
      <c r="E578" s="74"/>
      <c r="F578" s="73"/>
      <c r="G578" s="74"/>
      <c r="H578" s="73"/>
      <c r="I578" s="73"/>
      <c r="J578" s="73"/>
      <c r="K578" s="73"/>
      <c r="L578" s="73"/>
      <c r="M578" s="73"/>
      <c r="N578" s="73"/>
      <c r="O578" s="73"/>
      <c r="P578" s="73"/>
      <c r="Q578" s="73"/>
      <c r="R578" s="73"/>
      <c r="S578" s="73"/>
      <c r="T578" s="73"/>
      <c r="U578" s="73"/>
      <c r="V578" s="73"/>
      <c r="W578" s="73"/>
      <c r="X578" s="73"/>
      <c r="Y578" s="73"/>
      <c r="Z578" s="73"/>
      <c r="AA578" s="73"/>
      <c r="AB578" s="73"/>
      <c r="AC578" s="73"/>
      <c r="AD578" s="73"/>
      <c r="AE578" s="73"/>
      <c r="AF578" s="73"/>
    </row>
    <row r="579" spans="1:32" ht="15.75" customHeight="1" x14ac:dyDescent="0.2">
      <c r="A579" s="73"/>
      <c r="B579" s="73"/>
      <c r="C579" s="74"/>
      <c r="D579" s="74"/>
      <c r="E579" s="74"/>
      <c r="F579" s="73"/>
      <c r="G579" s="74"/>
      <c r="H579" s="73"/>
      <c r="I579" s="73"/>
      <c r="J579" s="73"/>
      <c r="K579" s="73"/>
      <c r="L579" s="73"/>
      <c r="M579" s="73"/>
      <c r="N579" s="73"/>
      <c r="O579" s="73"/>
      <c r="P579" s="73"/>
      <c r="Q579" s="73"/>
      <c r="R579" s="73"/>
      <c r="S579" s="73"/>
      <c r="T579" s="73"/>
      <c r="U579" s="73"/>
      <c r="V579" s="73"/>
      <c r="W579" s="73"/>
      <c r="X579" s="73"/>
      <c r="Y579" s="73"/>
      <c r="Z579" s="73"/>
      <c r="AA579" s="73"/>
      <c r="AB579" s="73"/>
      <c r="AC579" s="73"/>
      <c r="AD579" s="73"/>
      <c r="AE579" s="73"/>
      <c r="AF579" s="73"/>
    </row>
    <row r="580" spans="1:32" ht="15.75" customHeight="1" x14ac:dyDescent="0.2">
      <c r="A580" s="73"/>
      <c r="B580" s="73"/>
      <c r="C580" s="74"/>
      <c r="D580" s="74"/>
      <c r="E580" s="74"/>
      <c r="F580" s="73"/>
      <c r="G580" s="74"/>
      <c r="H580" s="73"/>
      <c r="I580" s="73"/>
      <c r="J580" s="73"/>
      <c r="K580" s="73"/>
      <c r="L580" s="73"/>
      <c r="M580" s="73"/>
      <c r="N580" s="73"/>
      <c r="O580" s="73"/>
      <c r="P580" s="73"/>
      <c r="Q580" s="73"/>
      <c r="R580" s="73"/>
      <c r="S580" s="73"/>
      <c r="T580" s="73"/>
      <c r="U580" s="73"/>
      <c r="V580" s="73"/>
      <c r="W580" s="73"/>
      <c r="X580" s="73"/>
      <c r="Y580" s="73"/>
      <c r="Z580" s="73"/>
      <c r="AA580" s="73"/>
      <c r="AB580" s="73"/>
      <c r="AC580" s="73"/>
      <c r="AD580" s="73"/>
      <c r="AE580" s="73"/>
      <c r="AF580" s="73"/>
    </row>
    <row r="581" spans="1:32" ht="15.75" customHeight="1" x14ac:dyDescent="0.2">
      <c r="A581" s="73"/>
      <c r="B581" s="73"/>
      <c r="C581" s="74"/>
      <c r="D581" s="74"/>
      <c r="E581" s="74"/>
      <c r="F581" s="73"/>
      <c r="G581" s="74"/>
      <c r="H581" s="73"/>
      <c r="I581" s="73"/>
      <c r="J581" s="73"/>
      <c r="K581" s="73"/>
      <c r="L581" s="73"/>
      <c r="M581" s="73"/>
      <c r="N581" s="73"/>
      <c r="O581" s="73"/>
      <c r="P581" s="73"/>
      <c r="Q581" s="73"/>
      <c r="R581" s="73"/>
      <c r="S581" s="73"/>
      <c r="T581" s="73"/>
      <c r="U581" s="73"/>
      <c r="V581" s="73"/>
      <c r="W581" s="73"/>
      <c r="X581" s="73"/>
      <c r="Y581" s="73"/>
      <c r="Z581" s="73"/>
      <c r="AA581" s="73"/>
      <c r="AB581" s="73"/>
      <c r="AC581" s="73"/>
      <c r="AD581" s="73"/>
      <c r="AE581" s="73"/>
      <c r="AF581" s="73"/>
    </row>
    <row r="582" spans="1:32" ht="15.75" customHeight="1" x14ac:dyDescent="0.2">
      <c r="A582" s="73"/>
      <c r="B582" s="73"/>
      <c r="C582" s="74"/>
      <c r="D582" s="74"/>
      <c r="E582" s="74"/>
      <c r="F582" s="73"/>
      <c r="G582" s="74"/>
      <c r="H582" s="73"/>
      <c r="I582" s="73"/>
      <c r="J582" s="73"/>
      <c r="K582" s="73"/>
      <c r="L582" s="73"/>
      <c r="M582" s="73"/>
      <c r="N582" s="73"/>
      <c r="O582" s="73"/>
      <c r="P582" s="73"/>
      <c r="Q582" s="73"/>
      <c r="R582" s="73"/>
      <c r="S582" s="73"/>
      <c r="T582" s="73"/>
      <c r="U582" s="73"/>
      <c r="V582" s="73"/>
      <c r="W582" s="73"/>
      <c r="X582" s="73"/>
      <c r="Y582" s="73"/>
      <c r="Z582" s="73"/>
      <c r="AA582" s="73"/>
      <c r="AB582" s="73"/>
      <c r="AC582" s="73"/>
      <c r="AD582" s="73"/>
      <c r="AE582" s="73"/>
      <c r="AF582" s="73"/>
    </row>
    <row r="583" spans="1:32" ht="15.75" customHeight="1" x14ac:dyDescent="0.2">
      <c r="A583" s="73"/>
      <c r="B583" s="73"/>
      <c r="C583" s="74"/>
      <c r="D583" s="74"/>
      <c r="E583" s="74"/>
      <c r="F583" s="73"/>
      <c r="G583" s="74"/>
      <c r="H583" s="73"/>
      <c r="I583" s="73"/>
      <c r="J583" s="73"/>
      <c r="K583" s="73"/>
      <c r="L583" s="73"/>
      <c r="M583" s="73"/>
      <c r="N583" s="73"/>
      <c r="O583" s="73"/>
      <c r="P583" s="73"/>
      <c r="Q583" s="73"/>
      <c r="R583" s="73"/>
      <c r="S583" s="73"/>
      <c r="T583" s="73"/>
      <c r="U583" s="73"/>
      <c r="V583" s="73"/>
      <c r="W583" s="73"/>
      <c r="X583" s="73"/>
      <c r="Y583" s="73"/>
      <c r="Z583" s="73"/>
      <c r="AA583" s="73"/>
      <c r="AB583" s="73"/>
      <c r="AC583" s="73"/>
      <c r="AD583" s="73"/>
      <c r="AE583" s="73"/>
      <c r="AF583" s="73"/>
    </row>
    <row r="584" spans="1:32" ht="15.75" customHeight="1" x14ac:dyDescent="0.2">
      <c r="A584" s="73"/>
      <c r="B584" s="73"/>
      <c r="C584" s="74"/>
      <c r="D584" s="74"/>
      <c r="E584" s="74"/>
      <c r="F584" s="73"/>
      <c r="G584" s="74"/>
      <c r="H584" s="73"/>
      <c r="I584" s="73"/>
      <c r="J584" s="73"/>
      <c r="K584" s="73"/>
      <c r="L584" s="73"/>
      <c r="M584" s="73"/>
      <c r="N584" s="73"/>
      <c r="O584" s="73"/>
      <c r="P584" s="73"/>
      <c r="Q584" s="73"/>
      <c r="R584" s="73"/>
      <c r="S584" s="73"/>
      <c r="T584" s="73"/>
      <c r="U584" s="73"/>
      <c r="V584" s="73"/>
      <c r="W584" s="73"/>
      <c r="X584" s="73"/>
      <c r="Y584" s="73"/>
      <c r="Z584" s="73"/>
      <c r="AA584" s="73"/>
      <c r="AB584" s="73"/>
      <c r="AC584" s="73"/>
      <c r="AD584" s="73"/>
      <c r="AE584" s="73"/>
      <c r="AF584" s="73"/>
    </row>
    <row r="585" spans="1:32" ht="15.75" customHeight="1" x14ac:dyDescent="0.2">
      <c r="A585" s="73"/>
      <c r="B585" s="73"/>
      <c r="C585" s="74"/>
      <c r="D585" s="74"/>
      <c r="E585" s="74"/>
      <c r="F585" s="73"/>
      <c r="G585" s="74"/>
      <c r="H585" s="73"/>
      <c r="I585" s="73"/>
      <c r="J585" s="73"/>
      <c r="K585" s="73"/>
      <c r="L585" s="73"/>
      <c r="M585" s="73"/>
      <c r="N585" s="73"/>
      <c r="O585" s="73"/>
      <c r="P585" s="73"/>
      <c r="Q585" s="73"/>
      <c r="R585" s="73"/>
      <c r="S585" s="73"/>
      <c r="T585" s="73"/>
      <c r="U585" s="73"/>
      <c r="V585" s="73"/>
      <c r="W585" s="73"/>
      <c r="X585" s="73"/>
      <c r="Y585" s="73"/>
      <c r="Z585" s="73"/>
      <c r="AA585" s="73"/>
      <c r="AB585" s="73"/>
      <c r="AC585" s="73"/>
      <c r="AD585" s="73"/>
      <c r="AE585" s="73"/>
      <c r="AF585" s="73"/>
    </row>
    <row r="586" spans="1:32" ht="15.75" customHeight="1" x14ac:dyDescent="0.2">
      <c r="A586" s="73"/>
      <c r="B586" s="73"/>
      <c r="C586" s="74"/>
      <c r="D586" s="74"/>
      <c r="E586" s="74"/>
      <c r="F586" s="73"/>
      <c r="G586" s="74"/>
      <c r="H586" s="73"/>
      <c r="I586" s="73"/>
      <c r="J586" s="73"/>
      <c r="K586" s="73"/>
      <c r="L586" s="73"/>
      <c r="M586" s="73"/>
      <c r="N586" s="73"/>
      <c r="O586" s="73"/>
      <c r="P586" s="73"/>
      <c r="Q586" s="73"/>
      <c r="R586" s="73"/>
      <c r="S586" s="73"/>
      <c r="T586" s="73"/>
      <c r="U586" s="73"/>
      <c r="V586" s="73"/>
      <c r="W586" s="73"/>
      <c r="X586" s="73"/>
      <c r="Y586" s="73"/>
      <c r="Z586" s="73"/>
      <c r="AA586" s="73"/>
      <c r="AB586" s="73"/>
      <c r="AC586" s="73"/>
      <c r="AD586" s="73"/>
      <c r="AE586" s="73"/>
      <c r="AF586" s="73"/>
    </row>
    <row r="587" spans="1:32" ht="15.75" customHeight="1" x14ac:dyDescent="0.2">
      <c r="A587" s="73"/>
      <c r="B587" s="73"/>
      <c r="C587" s="74"/>
      <c r="D587" s="74"/>
      <c r="E587" s="74"/>
      <c r="F587" s="73"/>
      <c r="G587" s="74"/>
      <c r="H587" s="73"/>
      <c r="I587" s="73"/>
      <c r="J587" s="73"/>
      <c r="K587" s="73"/>
      <c r="L587" s="73"/>
      <c r="M587" s="73"/>
      <c r="N587" s="73"/>
      <c r="O587" s="73"/>
      <c r="P587" s="73"/>
      <c r="Q587" s="73"/>
      <c r="R587" s="73"/>
      <c r="S587" s="73"/>
      <c r="T587" s="73"/>
      <c r="U587" s="73"/>
      <c r="V587" s="73"/>
      <c r="W587" s="73"/>
      <c r="X587" s="73"/>
      <c r="Y587" s="73"/>
      <c r="Z587" s="73"/>
      <c r="AA587" s="73"/>
      <c r="AB587" s="73"/>
      <c r="AC587" s="73"/>
      <c r="AD587" s="73"/>
      <c r="AE587" s="73"/>
      <c r="AF587" s="73"/>
    </row>
    <row r="588" spans="1:32" ht="15.75" customHeight="1" x14ac:dyDescent="0.2">
      <c r="A588" s="73"/>
      <c r="B588" s="73"/>
      <c r="C588" s="74"/>
      <c r="D588" s="74"/>
      <c r="E588" s="74"/>
      <c r="F588" s="73"/>
      <c r="G588" s="74"/>
      <c r="H588" s="73"/>
      <c r="I588" s="73"/>
      <c r="J588" s="73"/>
      <c r="K588" s="73"/>
      <c r="L588" s="73"/>
      <c r="M588" s="73"/>
      <c r="N588" s="73"/>
      <c r="O588" s="73"/>
      <c r="P588" s="73"/>
      <c r="Q588" s="73"/>
      <c r="R588" s="73"/>
      <c r="S588" s="73"/>
      <c r="T588" s="73"/>
      <c r="U588" s="73"/>
      <c r="V588" s="73"/>
      <c r="W588" s="73"/>
      <c r="X588" s="73"/>
      <c r="Y588" s="73"/>
      <c r="Z588" s="73"/>
      <c r="AA588" s="73"/>
      <c r="AB588" s="73"/>
      <c r="AC588" s="73"/>
      <c r="AD588" s="73"/>
      <c r="AE588" s="73"/>
      <c r="AF588" s="73"/>
    </row>
    <row r="589" spans="1:32" ht="15.75" customHeight="1" x14ac:dyDescent="0.2">
      <c r="A589" s="73"/>
      <c r="B589" s="73"/>
      <c r="C589" s="74"/>
      <c r="D589" s="74"/>
      <c r="E589" s="74"/>
      <c r="F589" s="73"/>
      <c r="G589" s="74"/>
      <c r="H589" s="73"/>
      <c r="I589" s="73"/>
      <c r="J589" s="73"/>
      <c r="K589" s="73"/>
      <c r="L589" s="73"/>
      <c r="M589" s="73"/>
      <c r="N589" s="73"/>
      <c r="O589" s="73"/>
      <c r="P589" s="73"/>
      <c r="Q589" s="73"/>
      <c r="R589" s="73"/>
      <c r="S589" s="73"/>
      <c r="T589" s="73"/>
      <c r="U589" s="73"/>
      <c r="V589" s="73"/>
      <c r="W589" s="73"/>
      <c r="X589" s="73"/>
      <c r="Y589" s="73"/>
      <c r="Z589" s="73"/>
      <c r="AA589" s="73"/>
      <c r="AB589" s="73"/>
      <c r="AC589" s="73"/>
      <c r="AD589" s="73"/>
      <c r="AE589" s="73"/>
      <c r="AF589" s="73"/>
    </row>
    <row r="590" spans="1:32" ht="15.75" customHeight="1" x14ac:dyDescent="0.2">
      <c r="A590" s="73"/>
      <c r="B590" s="73"/>
      <c r="C590" s="74"/>
      <c r="D590" s="74"/>
      <c r="E590" s="74"/>
      <c r="F590" s="73"/>
      <c r="G590" s="74"/>
      <c r="H590" s="73"/>
      <c r="I590" s="73"/>
      <c r="J590" s="73"/>
      <c r="K590" s="73"/>
      <c r="L590" s="73"/>
      <c r="M590" s="73"/>
      <c r="N590" s="73"/>
      <c r="O590" s="73"/>
      <c r="P590" s="73"/>
      <c r="Q590" s="73"/>
      <c r="R590" s="73"/>
      <c r="S590" s="73"/>
      <c r="T590" s="73"/>
      <c r="U590" s="73"/>
      <c r="V590" s="73"/>
      <c r="W590" s="73"/>
      <c r="X590" s="73"/>
      <c r="Y590" s="73"/>
      <c r="Z590" s="73"/>
      <c r="AA590" s="73"/>
      <c r="AB590" s="73"/>
      <c r="AC590" s="73"/>
      <c r="AD590" s="73"/>
      <c r="AE590" s="73"/>
      <c r="AF590" s="73"/>
    </row>
    <row r="591" spans="1:32" ht="15.75" customHeight="1" x14ac:dyDescent="0.2">
      <c r="A591" s="73"/>
      <c r="B591" s="73"/>
      <c r="C591" s="74"/>
      <c r="D591" s="74"/>
      <c r="E591" s="74"/>
      <c r="F591" s="73"/>
      <c r="G591" s="74"/>
      <c r="H591" s="73"/>
      <c r="I591" s="73"/>
      <c r="J591" s="73"/>
      <c r="K591" s="73"/>
      <c r="L591" s="73"/>
      <c r="M591" s="73"/>
      <c r="N591" s="73"/>
      <c r="O591" s="73"/>
      <c r="P591" s="73"/>
      <c r="Q591" s="73"/>
      <c r="R591" s="73"/>
      <c r="S591" s="73"/>
      <c r="T591" s="73"/>
      <c r="U591" s="73"/>
      <c r="V591" s="73"/>
      <c r="W591" s="73"/>
      <c r="X591" s="73"/>
      <c r="Y591" s="73"/>
      <c r="Z591" s="73"/>
      <c r="AA591" s="73"/>
      <c r="AB591" s="73"/>
      <c r="AC591" s="73"/>
      <c r="AD591" s="73"/>
      <c r="AE591" s="73"/>
      <c r="AF591" s="73"/>
    </row>
    <row r="592" spans="1:32" ht="15.75" customHeight="1" x14ac:dyDescent="0.2">
      <c r="A592" s="73"/>
      <c r="B592" s="73"/>
      <c r="C592" s="74"/>
      <c r="D592" s="74"/>
      <c r="E592" s="74"/>
      <c r="F592" s="73"/>
      <c r="G592" s="74"/>
      <c r="H592" s="73"/>
      <c r="I592" s="73"/>
      <c r="J592" s="73"/>
      <c r="K592" s="73"/>
      <c r="L592" s="73"/>
      <c r="M592" s="73"/>
      <c r="N592" s="73"/>
      <c r="O592" s="73"/>
      <c r="P592" s="73"/>
      <c r="Q592" s="73"/>
      <c r="R592" s="73"/>
      <c r="S592" s="73"/>
      <c r="T592" s="73"/>
      <c r="U592" s="73"/>
      <c r="V592" s="73"/>
      <c r="W592" s="73"/>
      <c r="X592" s="73"/>
      <c r="Y592" s="73"/>
      <c r="Z592" s="73"/>
      <c r="AA592" s="73"/>
      <c r="AB592" s="73"/>
      <c r="AC592" s="73"/>
      <c r="AD592" s="73"/>
      <c r="AE592" s="73"/>
      <c r="AF592" s="73"/>
    </row>
    <row r="593" spans="1:32" ht="15.75" customHeight="1" x14ac:dyDescent="0.2">
      <c r="A593" s="73"/>
      <c r="B593" s="73"/>
      <c r="C593" s="74"/>
      <c r="D593" s="74"/>
      <c r="E593" s="74"/>
      <c r="F593" s="73"/>
      <c r="G593" s="74"/>
      <c r="H593" s="73"/>
      <c r="I593" s="73"/>
      <c r="J593" s="73"/>
      <c r="K593" s="73"/>
      <c r="L593" s="73"/>
      <c r="M593" s="73"/>
      <c r="N593" s="73"/>
      <c r="O593" s="73"/>
      <c r="P593" s="73"/>
      <c r="Q593" s="73"/>
      <c r="R593" s="73"/>
      <c r="S593" s="73"/>
      <c r="T593" s="73"/>
      <c r="U593" s="73"/>
      <c r="V593" s="73"/>
      <c r="W593" s="73"/>
      <c r="X593" s="73"/>
      <c r="Y593" s="73"/>
      <c r="Z593" s="73"/>
      <c r="AA593" s="73"/>
      <c r="AB593" s="73"/>
      <c r="AC593" s="73"/>
      <c r="AD593" s="73"/>
      <c r="AE593" s="73"/>
      <c r="AF593" s="73"/>
    </row>
    <row r="594" spans="1:32" ht="15.75" customHeight="1" x14ac:dyDescent="0.2">
      <c r="A594" s="73"/>
      <c r="B594" s="73"/>
      <c r="C594" s="74"/>
      <c r="D594" s="74"/>
      <c r="E594" s="74"/>
      <c r="F594" s="73"/>
      <c r="G594" s="74"/>
      <c r="H594" s="73"/>
      <c r="I594" s="73"/>
      <c r="J594" s="73"/>
      <c r="K594" s="73"/>
      <c r="L594" s="73"/>
      <c r="M594" s="73"/>
      <c r="N594" s="73"/>
      <c r="O594" s="73"/>
      <c r="P594" s="73"/>
      <c r="Q594" s="73"/>
      <c r="R594" s="73"/>
      <c r="S594" s="73"/>
      <c r="T594" s="73"/>
      <c r="U594" s="73"/>
      <c r="V594" s="73"/>
      <c r="W594" s="73"/>
      <c r="X594" s="73"/>
      <c r="Y594" s="73"/>
      <c r="Z594" s="73"/>
      <c r="AA594" s="73"/>
      <c r="AB594" s="73"/>
      <c r="AC594" s="73"/>
      <c r="AD594" s="73"/>
      <c r="AE594" s="73"/>
      <c r="AF594" s="73"/>
    </row>
    <row r="595" spans="1:32" ht="15.75" customHeight="1" x14ac:dyDescent="0.2">
      <c r="A595" s="73"/>
      <c r="B595" s="73"/>
      <c r="C595" s="74"/>
      <c r="D595" s="74"/>
      <c r="E595" s="74"/>
      <c r="F595" s="73"/>
      <c r="G595" s="74"/>
      <c r="H595" s="73"/>
      <c r="I595" s="73"/>
      <c r="J595" s="73"/>
      <c r="K595" s="73"/>
      <c r="L595" s="73"/>
      <c r="M595" s="73"/>
      <c r="N595" s="73"/>
      <c r="O595" s="73"/>
      <c r="P595" s="73"/>
      <c r="Q595" s="73"/>
      <c r="R595" s="73"/>
      <c r="S595" s="73"/>
      <c r="T595" s="73"/>
      <c r="U595" s="73"/>
      <c r="V595" s="73"/>
      <c r="W595" s="73"/>
      <c r="X595" s="73"/>
      <c r="Y595" s="73"/>
      <c r="Z595" s="73"/>
      <c r="AA595" s="73"/>
      <c r="AB595" s="73"/>
      <c r="AC595" s="73"/>
      <c r="AD595" s="73"/>
      <c r="AE595" s="73"/>
      <c r="AF595" s="73"/>
    </row>
    <row r="596" spans="1:32" ht="15.75" customHeight="1" x14ac:dyDescent="0.2">
      <c r="A596" s="73"/>
      <c r="B596" s="73"/>
      <c r="C596" s="74"/>
      <c r="D596" s="74"/>
      <c r="E596" s="74"/>
      <c r="F596" s="73"/>
      <c r="G596" s="74"/>
      <c r="H596" s="73"/>
      <c r="I596" s="73"/>
      <c r="J596" s="73"/>
      <c r="K596" s="73"/>
      <c r="L596" s="73"/>
      <c r="M596" s="73"/>
      <c r="N596" s="73"/>
      <c r="O596" s="73"/>
      <c r="P596" s="73"/>
      <c r="Q596" s="73"/>
      <c r="R596" s="73"/>
      <c r="S596" s="73"/>
      <c r="T596" s="73"/>
      <c r="U596" s="73"/>
      <c r="V596" s="73"/>
      <c r="W596" s="73"/>
      <c r="X596" s="73"/>
      <c r="Y596" s="73"/>
      <c r="Z596" s="73"/>
      <c r="AA596" s="73"/>
      <c r="AB596" s="73"/>
      <c r="AC596" s="73"/>
      <c r="AD596" s="73"/>
      <c r="AE596" s="73"/>
      <c r="AF596" s="73"/>
    </row>
    <row r="597" spans="1:32" ht="15.75" customHeight="1" x14ac:dyDescent="0.2">
      <c r="A597" s="73"/>
      <c r="B597" s="73"/>
      <c r="C597" s="74"/>
      <c r="D597" s="74"/>
      <c r="E597" s="74"/>
      <c r="F597" s="73"/>
      <c r="G597" s="74"/>
      <c r="H597" s="73"/>
      <c r="I597" s="73"/>
      <c r="J597" s="73"/>
      <c r="K597" s="73"/>
      <c r="L597" s="73"/>
      <c r="M597" s="73"/>
      <c r="N597" s="73"/>
      <c r="O597" s="73"/>
      <c r="P597" s="73"/>
      <c r="Q597" s="73"/>
      <c r="R597" s="73"/>
      <c r="S597" s="73"/>
      <c r="T597" s="73"/>
      <c r="U597" s="73"/>
      <c r="V597" s="73"/>
      <c r="W597" s="73"/>
      <c r="X597" s="73"/>
      <c r="Y597" s="73"/>
      <c r="Z597" s="73"/>
      <c r="AA597" s="73"/>
      <c r="AB597" s="73"/>
      <c r="AC597" s="73"/>
      <c r="AD597" s="73"/>
      <c r="AE597" s="73"/>
      <c r="AF597" s="73"/>
    </row>
    <row r="598" spans="1:32" ht="15.75" customHeight="1" x14ac:dyDescent="0.2">
      <c r="A598" s="73"/>
      <c r="B598" s="73"/>
      <c r="C598" s="74"/>
      <c r="D598" s="74"/>
      <c r="E598" s="74"/>
      <c r="F598" s="73"/>
      <c r="G598" s="74"/>
      <c r="H598" s="73"/>
      <c r="I598" s="73"/>
      <c r="J598" s="73"/>
      <c r="K598" s="73"/>
      <c r="L598" s="73"/>
      <c r="M598" s="73"/>
      <c r="N598" s="73"/>
      <c r="O598" s="73"/>
      <c r="P598" s="73"/>
      <c r="Q598" s="73"/>
      <c r="R598" s="73"/>
      <c r="S598" s="73"/>
      <c r="T598" s="73"/>
      <c r="U598" s="73"/>
      <c r="V598" s="73"/>
      <c r="W598" s="73"/>
      <c r="X598" s="73"/>
      <c r="Y598" s="73"/>
      <c r="Z598" s="73"/>
      <c r="AA598" s="73"/>
      <c r="AB598" s="73"/>
      <c r="AC598" s="73"/>
      <c r="AD598" s="73"/>
      <c r="AE598" s="73"/>
      <c r="AF598" s="73"/>
    </row>
    <row r="599" spans="1:32" ht="15.75" customHeight="1" x14ac:dyDescent="0.2">
      <c r="A599" s="73"/>
      <c r="B599" s="73"/>
      <c r="C599" s="74"/>
      <c r="D599" s="74"/>
      <c r="E599" s="74"/>
      <c r="F599" s="73"/>
      <c r="G599" s="74"/>
      <c r="H599" s="73"/>
      <c r="I599" s="73"/>
      <c r="J599" s="73"/>
      <c r="K599" s="73"/>
      <c r="L599" s="73"/>
      <c r="M599" s="73"/>
      <c r="N599" s="73"/>
      <c r="O599" s="73"/>
      <c r="P599" s="73"/>
      <c r="Q599" s="73"/>
      <c r="R599" s="73"/>
      <c r="S599" s="73"/>
      <c r="T599" s="73"/>
      <c r="U599" s="73"/>
      <c r="V599" s="73"/>
      <c r="W599" s="73"/>
      <c r="X599" s="73"/>
      <c r="Y599" s="73"/>
      <c r="Z599" s="73"/>
      <c r="AA599" s="73"/>
      <c r="AB599" s="73"/>
      <c r="AC599" s="73"/>
      <c r="AD599" s="73"/>
      <c r="AE599" s="73"/>
      <c r="AF599" s="73"/>
    </row>
    <row r="600" spans="1:32" ht="15.75" customHeight="1" x14ac:dyDescent="0.2">
      <c r="A600" s="73"/>
      <c r="B600" s="73"/>
      <c r="C600" s="74"/>
      <c r="D600" s="74"/>
      <c r="E600" s="74"/>
      <c r="F600" s="73"/>
      <c r="G600" s="74"/>
      <c r="H600" s="73"/>
      <c r="I600" s="73"/>
      <c r="J600" s="73"/>
      <c r="K600" s="73"/>
      <c r="L600" s="73"/>
      <c r="M600" s="73"/>
      <c r="N600" s="73"/>
      <c r="O600" s="73"/>
      <c r="P600" s="73"/>
      <c r="Q600" s="73"/>
      <c r="R600" s="73"/>
      <c r="S600" s="73"/>
      <c r="T600" s="73"/>
      <c r="U600" s="73"/>
      <c r="V600" s="73"/>
      <c r="W600" s="73"/>
      <c r="X600" s="73"/>
      <c r="Y600" s="73"/>
      <c r="Z600" s="73"/>
      <c r="AA600" s="73"/>
      <c r="AB600" s="73"/>
      <c r="AC600" s="73"/>
      <c r="AD600" s="73"/>
      <c r="AE600" s="73"/>
      <c r="AF600" s="73"/>
    </row>
    <row r="601" spans="1:32" ht="15.75" customHeight="1" x14ac:dyDescent="0.2">
      <c r="A601" s="73"/>
      <c r="B601" s="73"/>
      <c r="C601" s="74"/>
      <c r="D601" s="74"/>
      <c r="E601" s="74"/>
      <c r="F601" s="73"/>
      <c r="G601" s="74"/>
      <c r="H601" s="73"/>
      <c r="I601" s="73"/>
      <c r="J601" s="73"/>
      <c r="K601" s="73"/>
      <c r="L601" s="73"/>
      <c r="M601" s="73"/>
      <c r="N601" s="73"/>
      <c r="O601" s="73"/>
      <c r="P601" s="73"/>
      <c r="Q601" s="73"/>
      <c r="R601" s="73"/>
      <c r="S601" s="73"/>
      <c r="T601" s="73"/>
      <c r="U601" s="73"/>
      <c r="V601" s="73"/>
      <c r="W601" s="73"/>
      <c r="X601" s="73"/>
      <c r="Y601" s="73"/>
      <c r="Z601" s="73"/>
      <c r="AA601" s="73"/>
      <c r="AB601" s="73"/>
      <c r="AC601" s="73"/>
      <c r="AD601" s="73"/>
      <c r="AE601" s="73"/>
      <c r="AF601" s="73"/>
    </row>
    <row r="602" spans="1:32" ht="15.75" customHeight="1" x14ac:dyDescent="0.2">
      <c r="A602" s="73"/>
      <c r="B602" s="73"/>
      <c r="C602" s="74"/>
      <c r="D602" s="74"/>
      <c r="E602" s="74"/>
      <c r="F602" s="73"/>
      <c r="G602" s="74"/>
      <c r="H602" s="73"/>
      <c r="I602" s="73"/>
      <c r="J602" s="73"/>
      <c r="K602" s="73"/>
      <c r="L602" s="73"/>
      <c r="M602" s="73"/>
      <c r="N602" s="73"/>
      <c r="O602" s="73"/>
      <c r="P602" s="73"/>
      <c r="Q602" s="73"/>
      <c r="R602" s="73"/>
      <c r="S602" s="73"/>
      <c r="T602" s="73"/>
      <c r="U602" s="73"/>
      <c r="V602" s="73"/>
      <c r="W602" s="73"/>
      <c r="X602" s="73"/>
      <c r="Y602" s="73"/>
      <c r="Z602" s="73"/>
      <c r="AA602" s="73"/>
      <c r="AB602" s="73"/>
      <c r="AC602" s="73"/>
      <c r="AD602" s="73"/>
      <c r="AE602" s="73"/>
      <c r="AF602" s="73"/>
    </row>
    <row r="603" spans="1:32" ht="15.75" customHeight="1" x14ac:dyDescent="0.2">
      <c r="A603" s="73"/>
      <c r="B603" s="73"/>
      <c r="C603" s="74"/>
      <c r="D603" s="74"/>
      <c r="E603" s="74"/>
      <c r="F603" s="73"/>
      <c r="G603" s="74"/>
      <c r="H603" s="73"/>
      <c r="I603" s="73"/>
      <c r="J603" s="73"/>
      <c r="K603" s="73"/>
      <c r="L603" s="73"/>
      <c r="M603" s="73"/>
      <c r="N603" s="73"/>
      <c r="O603" s="73"/>
      <c r="P603" s="73"/>
      <c r="Q603" s="73"/>
      <c r="R603" s="73"/>
      <c r="S603" s="73"/>
      <c r="T603" s="73"/>
      <c r="U603" s="73"/>
      <c r="V603" s="73"/>
      <c r="W603" s="73"/>
      <c r="X603" s="73"/>
      <c r="Y603" s="73"/>
      <c r="Z603" s="73"/>
      <c r="AA603" s="73"/>
      <c r="AB603" s="73"/>
      <c r="AC603" s="73"/>
      <c r="AD603" s="73"/>
      <c r="AE603" s="73"/>
      <c r="AF603" s="73"/>
    </row>
    <row r="604" spans="1:32" ht="15.75" customHeight="1" x14ac:dyDescent="0.2">
      <c r="A604" s="73"/>
      <c r="B604" s="73"/>
      <c r="C604" s="74"/>
      <c r="D604" s="74"/>
      <c r="E604" s="74"/>
      <c r="F604" s="73"/>
      <c r="G604" s="74"/>
      <c r="H604" s="73"/>
      <c r="I604" s="73"/>
      <c r="J604" s="73"/>
      <c r="K604" s="73"/>
      <c r="L604" s="73"/>
      <c r="M604" s="73"/>
      <c r="N604" s="73"/>
      <c r="O604" s="73"/>
      <c r="P604" s="73"/>
      <c r="Q604" s="73"/>
      <c r="R604" s="73"/>
      <c r="S604" s="73"/>
      <c r="T604" s="73"/>
      <c r="U604" s="73"/>
      <c r="V604" s="73"/>
      <c r="W604" s="73"/>
      <c r="X604" s="73"/>
      <c r="Y604" s="73"/>
      <c r="Z604" s="73"/>
      <c r="AA604" s="73"/>
      <c r="AB604" s="73"/>
      <c r="AC604" s="73"/>
      <c r="AD604" s="73"/>
      <c r="AE604" s="73"/>
      <c r="AF604" s="73"/>
    </row>
    <row r="605" spans="1:32" ht="15.75" customHeight="1" x14ac:dyDescent="0.2">
      <c r="A605" s="73"/>
      <c r="B605" s="73"/>
      <c r="C605" s="74"/>
      <c r="D605" s="74"/>
      <c r="E605" s="74"/>
      <c r="F605" s="73"/>
      <c r="G605" s="74"/>
      <c r="H605" s="73"/>
      <c r="I605" s="73"/>
      <c r="J605" s="73"/>
      <c r="K605" s="73"/>
      <c r="L605" s="73"/>
      <c r="M605" s="73"/>
      <c r="N605" s="73"/>
      <c r="O605" s="73"/>
      <c r="P605" s="73"/>
      <c r="Q605" s="73"/>
      <c r="R605" s="73"/>
      <c r="S605" s="73"/>
      <c r="T605" s="73"/>
      <c r="U605" s="73"/>
      <c r="V605" s="73"/>
      <c r="W605" s="73"/>
      <c r="X605" s="73"/>
      <c r="Y605" s="73"/>
      <c r="Z605" s="73"/>
      <c r="AA605" s="73"/>
      <c r="AB605" s="73"/>
      <c r="AC605" s="73"/>
      <c r="AD605" s="73"/>
      <c r="AE605" s="73"/>
      <c r="AF605" s="73"/>
    </row>
    <row r="606" spans="1:32" ht="15.75" customHeight="1" x14ac:dyDescent="0.2">
      <c r="A606" s="73"/>
      <c r="B606" s="73"/>
      <c r="C606" s="74"/>
      <c r="D606" s="74"/>
      <c r="E606" s="74"/>
      <c r="F606" s="73"/>
      <c r="G606" s="74"/>
      <c r="H606" s="73"/>
      <c r="I606" s="73"/>
      <c r="J606" s="73"/>
      <c r="K606" s="73"/>
      <c r="L606" s="73"/>
      <c r="M606" s="73"/>
      <c r="N606" s="73"/>
      <c r="O606" s="73"/>
      <c r="P606" s="73"/>
      <c r="Q606" s="73"/>
      <c r="R606" s="73"/>
      <c r="S606" s="73"/>
      <c r="T606" s="73"/>
      <c r="U606" s="73"/>
      <c r="V606" s="73"/>
      <c r="W606" s="73"/>
      <c r="X606" s="73"/>
      <c r="Y606" s="73"/>
      <c r="Z606" s="73"/>
      <c r="AA606" s="73"/>
      <c r="AB606" s="73"/>
      <c r="AC606" s="73"/>
      <c r="AD606" s="73"/>
      <c r="AE606" s="73"/>
      <c r="AF606" s="73"/>
    </row>
    <row r="607" spans="1:32" ht="15.75" customHeight="1" x14ac:dyDescent="0.2">
      <c r="A607" s="73"/>
      <c r="B607" s="73"/>
      <c r="C607" s="74"/>
      <c r="D607" s="74"/>
      <c r="E607" s="74"/>
      <c r="F607" s="73"/>
      <c r="G607" s="74"/>
      <c r="H607" s="73"/>
      <c r="I607" s="73"/>
      <c r="J607" s="73"/>
      <c r="K607" s="73"/>
      <c r="L607" s="73"/>
      <c r="M607" s="73"/>
      <c r="N607" s="73"/>
      <c r="O607" s="73"/>
      <c r="P607" s="73"/>
      <c r="Q607" s="73"/>
      <c r="R607" s="73"/>
      <c r="S607" s="73"/>
      <c r="T607" s="73"/>
      <c r="U607" s="73"/>
      <c r="V607" s="73"/>
      <c r="W607" s="73"/>
      <c r="X607" s="73"/>
      <c r="Y607" s="73"/>
      <c r="Z607" s="73"/>
      <c r="AA607" s="73"/>
      <c r="AB607" s="73"/>
      <c r="AC607" s="73"/>
      <c r="AD607" s="73"/>
      <c r="AE607" s="73"/>
      <c r="AF607" s="73"/>
    </row>
    <row r="608" spans="1:32" ht="15.75" customHeight="1" x14ac:dyDescent="0.2">
      <c r="A608" s="73"/>
      <c r="B608" s="73"/>
      <c r="C608" s="74"/>
      <c r="D608" s="74"/>
      <c r="E608" s="74"/>
      <c r="F608" s="73"/>
      <c r="G608" s="74"/>
      <c r="H608" s="73"/>
      <c r="I608" s="73"/>
      <c r="J608" s="73"/>
      <c r="K608" s="73"/>
      <c r="L608" s="73"/>
      <c r="M608" s="73"/>
      <c r="N608" s="73"/>
      <c r="O608" s="73"/>
      <c r="P608" s="73"/>
      <c r="Q608" s="73"/>
      <c r="R608" s="73"/>
      <c r="S608" s="73"/>
      <c r="T608" s="73"/>
      <c r="U608" s="73"/>
      <c r="V608" s="73"/>
      <c r="W608" s="73"/>
      <c r="X608" s="73"/>
      <c r="Y608" s="73"/>
      <c r="Z608" s="73"/>
      <c r="AA608" s="73"/>
      <c r="AB608" s="73"/>
      <c r="AC608" s="73"/>
      <c r="AD608" s="73"/>
      <c r="AE608" s="73"/>
      <c r="AF608" s="73"/>
    </row>
    <row r="609" spans="1:32" ht="15.75" customHeight="1" x14ac:dyDescent="0.2">
      <c r="A609" s="73"/>
      <c r="B609" s="73"/>
      <c r="C609" s="74"/>
      <c r="D609" s="74"/>
      <c r="E609" s="74"/>
      <c r="F609" s="73"/>
      <c r="G609" s="74"/>
      <c r="H609" s="73"/>
      <c r="I609" s="73"/>
      <c r="J609" s="73"/>
      <c r="K609" s="73"/>
      <c r="L609" s="73"/>
      <c r="M609" s="73"/>
      <c r="N609" s="73"/>
      <c r="O609" s="73"/>
      <c r="P609" s="73"/>
      <c r="Q609" s="73"/>
      <c r="R609" s="73"/>
      <c r="S609" s="73"/>
      <c r="T609" s="73"/>
      <c r="U609" s="73"/>
      <c r="V609" s="73"/>
      <c r="W609" s="73"/>
      <c r="X609" s="73"/>
      <c r="Y609" s="73"/>
      <c r="Z609" s="73"/>
      <c r="AA609" s="73"/>
      <c r="AB609" s="73"/>
      <c r="AC609" s="73"/>
      <c r="AD609" s="73"/>
      <c r="AE609" s="73"/>
      <c r="AF609" s="73"/>
    </row>
    <row r="610" spans="1:32" ht="15.75" customHeight="1" x14ac:dyDescent="0.2">
      <c r="A610" s="73"/>
      <c r="B610" s="73"/>
      <c r="C610" s="74"/>
      <c r="D610" s="74"/>
      <c r="E610" s="74"/>
      <c r="F610" s="73"/>
      <c r="G610" s="74"/>
      <c r="H610" s="73"/>
      <c r="I610" s="73"/>
      <c r="J610" s="73"/>
      <c r="K610" s="73"/>
      <c r="L610" s="73"/>
      <c r="M610" s="73"/>
      <c r="N610" s="73"/>
      <c r="O610" s="73"/>
      <c r="P610" s="73"/>
      <c r="Q610" s="73"/>
      <c r="R610" s="73"/>
      <c r="S610" s="73"/>
      <c r="T610" s="73"/>
      <c r="U610" s="73"/>
      <c r="V610" s="73"/>
      <c r="W610" s="73"/>
      <c r="X610" s="73"/>
      <c r="Y610" s="73"/>
      <c r="Z610" s="73"/>
      <c r="AA610" s="73"/>
      <c r="AB610" s="73"/>
      <c r="AC610" s="73"/>
      <c r="AD610" s="73"/>
      <c r="AE610" s="73"/>
      <c r="AF610" s="73"/>
    </row>
    <row r="611" spans="1:32" ht="15.75" customHeight="1" x14ac:dyDescent="0.2">
      <c r="A611" s="73"/>
      <c r="B611" s="73"/>
      <c r="C611" s="74"/>
      <c r="D611" s="74"/>
      <c r="E611" s="74"/>
      <c r="F611" s="73"/>
      <c r="G611" s="74"/>
      <c r="H611" s="73"/>
      <c r="I611" s="73"/>
      <c r="J611" s="73"/>
      <c r="K611" s="73"/>
      <c r="L611" s="73"/>
      <c r="M611" s="73"/>
      <c r="N611" s="73"/>
      <c r="O611" s="73"/>
      <c r="P611" s="73"/>
      <c r="Q611" s="73"/>
      <c r="R611" s="73"/>
      <c r="S611" s="73"/>
      <c r="T611" s="73"/>
      <c r="U611" s="73"/>
      <c r="V611" s="73"/>
      <c r="W611" s="73"/>
      <c r="X611" s="73"/>
      <c r="Y611" s="73"/>
      <c r="Z611" s="73"/>
      <c r="AA611" s="73"/>
      <c r="AB611" s="73"/>
      <c r="AC611" s="73"/>
      <c r="AD611" s="73"/>
      <c r="AE611" s="73"/>
      <c r="AF611" s="73"/>
    </row>
    <row r="612" spans="1:32" ht="15.75" customHeight="1" x14ac:dyDescent="0.2">
      <c r="A612" s="73"/>
      <c r="B612" s="73"/>
      <c r="C612" s="74"/>
      <c r="D612" s="74"/>
      <c r="E612" s="74"/>
      <c r="F612" s="73"/>
      <c r="G612" s="74"/>
      <c r="H612" s="73"/>
      <c r="I612" s="73"/>
      <c r="J612" s="73"/>
      <c r="K612" s="73"/>
      <c r="L612" s="73"/>
      <c r="M612" s="73"/>
      <c r="N612" s="73"/>
      <c r="O612" s="73"/>
      <c r="P612" s="73"/>
      <c r="Q612" s="73"/>
      <c r="R612" s="73"/>
      <c r="S612" s="73"/>
      <c r="T612" s="73"/>
      <c r="U612" s="73"/>
      <c r="V612" s="73"/>
      <c r="W612" s="73"/>
      <c r="X612" s="73"/>
      <c r="Y612" s="73"/>
      <c r="Z612" s="73"/>
      <c r="AA612" s="73"/>
      <c r="AB612" s="73"/>
      <c r="AC612" s="73"/>
      <c r="AD612" s="73"/>
      <c r="AE612" s="73"/>
      <c r="AF612" s="73"/>
    </row>
    <row r="613" spans="1:32" ht="15.75" customHeight="1" x14ac:dyDescent="0.2">
      <c r="A613" s="73"/>
      <c r="B613" s="73"/>
      <c r="C613" s="74"/>
      <c r="D613" s="74"/>
      <c r="E613" s="74"/>
      <c r="F613" s="73"/>
      <c r="G613" s="74"/>
      <c r="H613" s="73"/>
      <c r="I613" s="73"/>
      <c r="J613" s="73"/>
      <c r="K613" s="73"/>
      <c r="L613" s="73"/>
      <c r="M613" s="73"/>
      <c r="N613" s="73"/>
      <c r="O613" s="73"/>
      <c r="P613" s="73"/>
      <c r="Q613" s="73"/>
      <c r="R613" s="73"/>
      <c r="S613" s="73"/>
      <c r="T613" s="73"/>
      <c r="U613" s="73"/>
      <c r="V613" s="73"/>
      <c r="W613" s="73"/>
      <c r="X613" s="73"/>
      <c r="Y613" s="73"/>
      <c r="Z613" s="73"/>
      <c r="AA613" s="73"/>
      <c r="AB613" s="73"/>
      <c r="AC613" s="73"/>
      <c r="AD613" s="73"/>
      <c r="AE613" s="73"/>
      <c r="AF613" s="73"/>
    </row>
    <row r="614" spans="1:32" ht="15.75" customHeight="1" x14ac:dyDescent="0.2">
      <c r="A614" s="73"/>
      <c r="B614" s="73"/>
      <c r="C614" s="74"/>
      <c r="D614" s="74"/>
      <c r="E614" s="74"/>
      <c r="F614" s="73"/>
      <c r="G614" s="74"/>
      <c r="H614" s="73"/>
      <c r="I614" s="73"/>
      <c r="J614" s="73"/>
      <c r="K614" s="73"/>
      <c r="L614" s="73"/>
      <c r="M614" s="73"/>
      <c r="N614" s="73"/>
      <c r="O614" s="73"/>
      <c r="P614" s="73"/>
      <c r="Q614" s="73"/>
      <c r="R614" s="73"/>
      <c r="S614" s="73"/>
      <c r="T614" s="73"/>
      <c r="U614" s="73"/>
      <c r="V614" s="73"/>
      <c r="W614" s="73"/>
      <c r="X614" s="73"/>
      <c r="Y614" s="73"/>
      <c r="Z614" s="73"/>
      <c r="AA614" s="73"/>
      <c r="AB614" s="73"/>
      <c r="AC614" s="73"/>
      <c r="AD614" s="73"/>
      <c r="AE614" s="73"/>
      <c r="AF614" s="73"/>
    </row>
    <row r="615" spans="1:32" ht="15.75" customHeight="1" x14ac:dyDescent="0.2">
      <c r="A615" s="73"/>
      <c r="B615" s="73"/>
      <c r="C615" s="74"/>
      <c r="D615" s="74"/>
      <c r="E615" s="74"/>
      <c r="F615" s="73"/>
      <c r="G615" s="74"/>
      <c r="H615" s="73"/>
      <c r="I615" s="73"/>
      <c r="J615" s="73"/>
      <c r="K615" s="73"/>
      <c r="L615" s="73"/>
      <c r="M615" s="73"/>
      <c r="N615" s="73"/>
      <c r="O615" s="73"/>
      <c r="P615" s="73"/>
      <c r="Q615" s="73"/>
      <c r="R615" s="73"/>
      <c r="S615" s="73"/>
      <c r="T615" s="73"/>
      <c r="U615" s="73"/>
      <c r="V615" s="73"/>
      <c r="W615" s="73"/>
      <c r="X615" s="73"/>
      <c r="Y615" s="73"/>
      <c r="Z615" s="73"/>
      <c r="AA615" s="73"/>
      <c r="AB615" s="73"/>
      <c r="AC615" s="73"/>
      <c r="AD615" s="73"/>
      <c r="AE615" s="73"/>
      <c r="AF615" s="73"/>
    </row>
    <row r="616" spans="1:32" ht="15.75" customHeight="1" x14ac:dyDescent="0.2">
      <c r="A616" s="73"/>
      <c r="B616" s="73"/>
      <c r="C616" s="74"/>
      <c r="D616" s="74"/>
      <c r="E616" s="74"/>
      <c r="F616" s="73"/>
      <c r="G616" s="74"/>
      <c r="H616" s="73"/>
      <c r="I616" s="73"/>
      <c r="J616" s="73"/>
      <c r="K616" s="73"/>
      <c r="L616" s="73"/>
      <c r="M616" s="73"/>
      <c r="N616" s="73"/>
      <c r="O616" s="73"/>
      <c r="P616" s="73"/>
      <c r="Q616" s="73"/>
      <c r="R616" s="73"/>
      <c r="S616" s="73"/>
      <c r="T616" s="73"/>
      <c r="U616" s="73"/>
      <c r="V616" s="73"/>
      <c r="W616" s="73"/>
      <c r="X616" s="73"/>
      <c r="Y616" s="73"/>
      <c r="Z616" s="73"/>
      <c r="AA616" s="73"/>
      <c r="AB616" s="73"/>
      <c r="AC616" s="73"/>
      <c r="AD616" s="73"/>
      <c r="AE616" s="73"/>
      <c r="AF616" s="73"/>
    </row>
    <row r="617" spans="1:32" ht="15.75" customHeight="1" x14ac:dyDescent="0.2">
      <c r="A617" s="73"/>
      <c r="B617" s="73"/>
      <c r="C617" s="74"/>
      <c r="D617" s="74"/>
      <c r="E617" s="74"/>
      <c r="F617" s="73"/>
      <c r="G617" s="74"/>
      <c r="H617" s="73"/>
      <c r="I617" s="73"/>
      <c r="J617" s="73"/>
      <c r="K617" s="73"/>
      <c r="L617" s="73"/>
      <c r="M617" s="73"/>
      <c r="N617" s="73"/>
      <c r="O617" s="73"/>
      <c r="P617" s="73"/>
      <c r="Q617" s="73"/>
      <c r="R617" s="73"/>
      <c r="S617" s="73"/>
      <c r="T617" s="73"/>
      <c r="U617" s="73"/>
      <c r="V617" s="73"/>
      <c r="W617" s="73"/>
      <c r="X617" s="73"/>
      <c r="Y617" s="73"/>
      <c r="Z617" s="73"/>
      <c r="AA617" s="73"/>
      <c r="AB617" s="73"/>
      <c r="AC617" s="73"/>
      <c r="AD617" s="73"/>
      <c r="AE617" s="73"/>
      <c r="AF617" s="73"/>
    </row>
    <row r="618" spans="1:32" ht="15.75" customHeight="1" x14ac:dyDescent="0.2">
      <c r="A618" s="73"/>
      <c r="B618" s="73"/>
      <c r="C618" s="74"/>
      <c r="D618" s="74"/>
      <c r="E618" s="74"/>
      <c r="F618" s="73"/>
      <c r="G618" s="74"/>
      <c r="H618" s="73"/>
      <c r="I618" s="73"/>
      <c r="J618" s="73"/>
      <c r="K618" s="73"/>
      <c r="L618" s="73"/>
      <c r="M618" s="73"/>
      <c r="N618" s="73"/>
      <c r="O618" s="73"/>
      <c r="P618" s="73"/>
      <c r="Q618" s="73"/>
      <c r="R618" s="73"/>
      <c r="S618" s="73"/>
      <c r="T618" s="73"/>
      <c r="U618" s="73"/>
      <c r="V618" s="73"/>
      <c r="W618" s="73"/>
      <c r="X618" s="73"/>
      <c r="Y618" s="73"/>
      <c r="Z618" s="73"/>
      <c r="AA618" s="73"/>
      <c r="AB618" s="73"/>
      <c r="AC618" s="73"/>
      <c r="AD618" s="73"/>
      <c r="AE618" s="73"/>
      <c r="AF618" s="73"/>
    </row>
    <row r="619" spans="1:32" ht="15.75" customHeight="1" x14ac:dyDescent="0.2">
      <c r="A619" s="73"/>
      <c r="B619" s="73"/>
      <c r="C619" s="74"/>
      <c r="D619" s="74"/>
      <c r="E619" s="74"/>
      <c r="F619" s="73"/>
      <c r="G619" s="74"/>
      <c r="H619" s="73"/>
      <c r="I619" s="73"/>
      <c r="J619" s="73"/>
      <c r="K619" s="73"/>
      <c r="L619" s="73"/>
      <c r="M619" s="73"/>
      <c r="N619" s="73"/>
      <c r="O619" s="73"/>
      <c r="P619" s="73"/>
      <c r="Q619" s="73"/>
      <c r="R619" s="73"/>
      <c r="S619" s="73"/>
      <c r="T619" s="73"/>
      <c r="U619" s="73"/>
      <c r="V619" s="73"/>
      <c r="W619" s="73"/>
      <c r="X619" s="73"/>
      <c r="Y619" s="73"/>
      <c r="Z619" s="73"/>
      <c r="AA619" s="73"/>
      <c r="AB619" s="73"/>
      <c r="AC619" s="73"/>
      <c r="AD619" s="73"/>
      <c r="AE619" s="73"/>
      <c r="AF619" s="73"/>
    </row>
    <row r="620" spans="1:32" ht="15.75" customHeight="1" x14ac:dyDescent="0.2">
      <c r="A620" s="73"/>
      <c r="B620" s="73"/>
      <c r="C620" s="74"/>
      <c r="D620" s="74"/>
      <c r="E620" s="74"/>
      <c r="F620" s="73"/>
      <c r="G620" s="74"/>
      <c r="H620" s="73"/>
      <c r="I620" s="73"/>
      <c r="J620" s="73"/>
      <c r="K620" s="73"/>
      <c r="L620" s="73"/>
      <c r="M620" s="73"/>
      <c r="N620" s="73"/>
      <c r="O620" s="73"/>
      <c r="P620" s="73"/>
      <c r="Q620" s="73"/>
      <c r="R620" s="73"/>
      <c r="S620" s="73"/>
      <c r="T620" s="73"/>
      <c r="U620" s="73"/>
      <c r="V620" s="73"/>
      <c r="W620" s="73"/>
      <c r="X620" s="73"/>
      <c r="Y620" s="73"/>
      <c r="Z620" s="73"/>
      <c r="AA620" s="73"/>
      <c r="AB620" s="73"/>
      <c r="AC620" s="73"/>
      <c r="AD620" s="73"/>
      <c r="AE620" s="73"/>
      <c r="AF620" s="73"/>
    </row>
    <row r="621" spans="1:32" ht="15.75" customHeight="1" x14ac:dyDescent="0.2">
      <c r="A621" s="73"/>
      <c r="B621" s="73"/>
      <c r="C621" s="74"/>
      <c r="D621" s="74"/>
      <c r="E621" s="74"/>
      <c r="F621" s="73"/>
      <c r="G621" s="74"/>
      <c r="H621" s="73"/>
      <c r="I621" s="73"/>
      <c r="J621" s="73"/>
      <c r="K621" s="73"/>
      <c r="L621" s="73"/>
      <c r="M621" s="73"/>
      <c r="N621" s="73"/>
      <c r="O621" s="73"/>
      <c r="P621" s="73"/>
      <c r="Q621" s="73"/>
      <c r="R621" s="73"/>
      <c r="S621" s="73"/>
      <c r="T621" s="73"/>
      <c r="U621" s="73"/>
      <c r="V621" s="73"/>
      <c r="W621" s="73"/>
      <c r="X621" s="73"/>
      <c r="Y621" s="73"/>
      <c r="Z621" s="73"/>
      <c r="AA621" s="73"/>
      <c r="AB621" s="73"/>
      <c r="AC621" s="73"/>
      <c r="AD621" s="73"/>
      <c r="AE621" s="73"/>
      <c r="AF621" s="73"/>
    </row>
    <row r="622" spans="1:32" ht="15.75" customHeight="1" x14ac:dyDescent="0.2">
      <c r="A622" s="73"/>
      <c r="B622" s="73"/>
      <c r="C622" s="74"/>
      <c r="D622" s="74"/>
      <c r="E622" s="74"/>
      <c r="F622" s="73"/>
      <c r="G622" s="74"/>
      <c r="H622" s="73"/>
      <c r="I622" s="73"/>
      <c r="J622" s="73"/>
      <c r="K622" s="73"/>
      <c r="L622" s="73"/>
      <c r="M622" s="73"/>
      <c r="N622" s="73"/>
      <c r="O622" s="73"/>
      <c r="P622" s="73"/>
      <c r="Q622" s="73"/>
      <c r="R622" s="73"/>
      <c r="S622" s="73"/>
      <c r="T622" s="73"/>
      <c r="U622" s="73"/>
      <c r="V622" s="73"/>
      <c r="W622" s="73"/>
      <c r="X622" s="73"/>
      <c r="Y622" s="73"/>
      <c r="Z622" s="73"/>
      <c r="AA622" s="73"/>
      <c r="AB622" s="73"/>
      <c r="AC622" s="73"/>
      <c r="AD622" s="73"/>
      <c r="AE622" s="73"/>
      <c r="AF622" s="73"/>
    </row>
    <row r="623" spans="1:32" ht="15.75" customHeight="1" x14ac:dyDescent="0.2">
      <c r="A623" s="73"/>
      <c r="B623" s="73"/>
      <c r="C623" s="74"/>
      <c r="D623" s="74"/>
      <c r="E623" s="74"/>
      <c r="F623" s="73"/>
      <c r="G623" s="74"/>
      <c r="H623" s="73"/>
      <c r="I623" s="73"/>
      <c r="J623" s="73"/>
      <c r="K623" s="73"/>
      <c r="L623" s="73"/>
      <c r="M623" s="73"/>
      <c r="N623" s="73"/>
      <c r="O623" s="73"/>
      <c r="P623" s="73"/>
      <c r="Q623" s="73"/>
      <c r="R623" s="73"/>
      <c r="S623" s="73"/>
      <c r="T623" s="73"/>
      <c r="U623" s="73"/>
      <c r="V623" s="73"/>
      <c r="W623" s="73"/>
      <c r="X623" s="73"/>
      <c r="Y623" s="73"/>
      <c r="Z623" s="73"/>
      <c r="AA623" s="73"/>
      <c r="AB623" s="73"/>
      <c r="AC623" s="73"/>
      <c r="AD623" s="73"/>
      <c r="AE623" s="73"/>
      <c r="AF623" s="73"/>
    </row>
    <row r="624" spans="1:32" ht="15.75" customHeight="1" x14ac:dyDescent="0.2">
      <c r="A624" s="73"/>
      <c r="B624" s="73"/>
      <c r="C624" s="74"/>
      <c r="D624" s="74"/>
      <c r="E624" s="74"/>
      <c r="F624" s="73"/>
      <c r="G624" s="74"/>
      <c r="H624" s="73"/>
      <c r="I624" s="73"/>
      <c r="J624" s="73"/>
      <c r="K624" s="73"/>
      <c r="L624" s="73"/>
      <c r="M624" s="73"/>
      <c r="N624" s="73"/>
      <c r="O624" s="73"/>
      <c r="P624" s="73"/>
      <c r="Q624" s="73"/>
      <c r="R624" s="73"/>
      <c r="S624" s="73"/>
      <c r="T624" s="73"/>
      <c r="U624" s="73"/>
      <c r="V624" s="73"/>
      <c r="W624" s="73"/>
      <c r="X624" s="73"/>
      <c r="Y624" s="73"/>
      <c r="Z624" s="73"/>
      <c r="AA624" s="73"/>
      <c r="AB624" s="73"/>
      <c r="AC624" s="73"/>
      <c r="AD624" s="73"/>
      <c r="AE624" s="73"/>
      <c r="AF624" s="73"/>
    </row>
    <row r="625" spans="1:32" ht="15.75" customHeight="1" x14ac:dyDescent="0.2">
      <c r="A625" s="73"/>
      <c r="B625" s="73"/>
      <c r="C625" s="74"/>
      <c r="D625" s="74"/>
      <c r="E625" s="74"/>
      <c r="F625" s="73"/>
      <c r="G625" s="74"/>
      <c r="H625" s="73"/>
      <c r="I625" s="73"/>
      <c r="J625" s="73"/>
      <c r="K625" s="73"/>
      <c r="L625" s="73"/>
      <c r="M625" s="73"/>
      <c r="N625" s="73"/>
      <c r="O625" s="73"/>
      <c r="P625" s="73"/>
      <c r="Q625" s="73"/>
      <c r="R625" s="73"/>
      <c r="S625" s="73"/>
      <c r="T625" s="73"/>
      <c r="U625" s="73"/>
      <c r="V625" s="73"/>
      <c r="W625" s="73"/>
      <c r="X625" s="73"/>
      <c r="Y625" s="73"/>
      <c r="Z625" s="73"/>
      <c r="AA625" s="73"/>
      <c r="AB625" s="73"/>
      <c r="AC625" s="73"/>
      <c r="AD625" s="73"/>
      <c r="AE625" s="73"/>
      <c r="AF625" s="73"/>
    </row>
    <row r="626" spans="1:32" ht="15.75" customHeight="1" x14ac:dyDescent="0.2">
      <c r="A626" s="73"/>
      <c r="B626" s="73"/>
      <c r="C626" s="74"/>
      <c r="D626" s="74"/>
      <c r="E626" s="74"/>
      <c r="F626" s="73"/>
      <c r="G626" s="74"/>
      <c r="H626" s="73"/>
      <c r="I626" s="73"/>
      <c r="J626" s="73"/>
      <c r="K626" s="73"/>
      <c r="L626" s="73"/>
      <c r="M626" s="73"/>
      <c r="N626" s="73"/>
      <c r="O626" s="73"/>
      <c r="P626" s="73"/>
      <c r="Q626" s="73"/>
      <c r="R626" s="73"/>
      <c r="S626" s="73"/>
      <c r="T626" s="73"/>
      <c r="U626" s="73"/>
      <c r="V626" s="73"/>
      <c r="W626" s="73"/>
      <c r="X626" s="73"/>
      <c r="Y626" s="73"/>
      <c r="Z626" s="73"/>
      <c r="AA626" s="73"/>
      <c r="AB626" s="73"/>
      <c r="AC626" s="73"/>
      <c r="AD626" s="73"/>
      <c r="AE626" s="73"/>
      <c r="AF626" s="73"/>
    </row>
    <row r="627" spans="1:32" ht="15.75" customHeight="1" x14ac:dyDescent="0.2">
      <c r="A627" s="73"/>
      <c r="B627" s="73"/>
      <c r="C627" s="74"/>
      <c r="D627" s="74"/>
      <c r="E627" s="74"/>
      <c r="F627" s="73"/>
      <c r="G627" s="74"/>
      <c r="H627" s="73"/>
      <c r="I627" s="73"/>
      <c r="J627" s="73"/>
      <c r="K627" s="73"/>
      <c r="L627" s="73"/>
      <c r="M627" s="73"/>
      <c r="N627" s="73"/>
      <c r="O627" s="73"/>
      <c r="P627" s="73"/>
      <c r="Q627" s="73"/>
      <c r="R627" s="73"/>
      <c r="S627" s="73"/>
      <c r="T627" s="73"/>
      <c r="U627" s="73"/>
      <c r="V627" s="73"/>
      <c r="W627" s="73"/>
      <c r="X627" s="73"/>
      <c r="Y627" s="73"/>
      <c r="Z627" s="73"/>
      <c r="AA627" s="73"/>
      <c r="AB627" s="73"/>
      <c r="AC627" s="73"/>
      <c r="AD627" s="73"/>
      <c r="AE627" s="73"/>
      <c r="AF627" s="73"/>
    </row>
    <row r="628" spans="1:32" ht="15.75" customHeight="1" x14ac:dyDescent="0.2">
      <c r="A628" s="73"/>
      <c r="B628" s="73"/>
      <c r="C628" s="74"/>
      <c r="D628" s="74"/>
      <c r="E628" s="74"/>
      <c r="F628" s="73"/>
      <c r="G628" s="74"/>
      <c r="H628" s="73"/>
      <c r="I628" s="73"/>
      <c r="J628" s="73"/>
      <c r="K628" s="73"/>
      <c r="L628" s="73"/>
      <c r="M628" s="73"/>
      <c r="N628" s="73"/>
      <c r="O628" s="73"/>
      <c r="P628" s="73"/>
      <c r="Q628" s="73"/>
      <c r="R628" s="73"/>
      <c r="S628" s="73"/>
      <c r="T628" s="73"/>
      <c r="U628" s="73"/>
      <c r="V628" s="73"/>
      <c r="W628" s="73"/>
      <c r="X628" s="73"/>
      <c r="Y628" s="73"/>
      <c r="Z628" s="73"/>
      <c r="AA628" s="73"/>
      <c r="AB628" s="73"/>
      <c r="AC628" s="73"/>
      <c r="AD628" s="73"/>
      <c r="AE628" s="73"/>
      <c r="AF628" s="73"/>
    </row>
    <row r="629" spans="1:32" ht="15.75" customHeight="1" x14ac:dyDescent="0.2">
      <c r="A629" s="73"/>
      <c r="B629" s="73"/>
      <c r="C629" s="74"/>
      <c r="D629" s="74"/>
      <c r="E629" s="74"/>
      <c r="F629" s="73"/>
      <c r="G629" s="74"/>
      <c r="H629" s="73"/>
      <c r="I629" s="73"/>
      <c r="J629" s="73"/>
      <c r="K629" s="73"/>
      <c r="L629" s="73"/>
      <c r="M629" s="73"/>
      <c r="N629" s="73"/>
      <c r="O629" s="73"/>
      <c r="P629" s="73"/>
      <c r="Q629" s="73"/>
      <c r="R629" s="73"/>
      <c r="S629" s="73"/>
      <c r="T629" s="73"/>
      <c r="U629" s="73"/>
      <c r="V629" s="73"/>
      <c r="W629" s="73"/>
      <c r="X629" s="73"/>
      <c r="Y629" s="73"/>
      <c r="Z629" s="73"/>
      <c r="AA629" s="73"/>
      <c r="AB629" s="73"/>
      <c r="AC629" s="73"/>
      <c r="AD629" s="73"/>
      <c r="AE629" s="73"/>
      <c r="AF629" s="73"/>
    </row>
    <row r="630" spans="1:32" ht="15.75" customHeight="1" x14ac:dyDescent="0.2">
      <c r="A630" s="73"/>
      <c r="B630" s="73"/>
      <c r="C630" s="74"/>
      <c r="D630" s="74"/>
      <c r="E630" s="74"/>
      <c r="F630" s="73"/>
      <c r="G630" s="74"/>
      <c r="H630" s="73"/>
      <c r="I630" s="73"/>
      <c r="J630" s="73"/>
      <c r="K630" s="73"/>
      <c r="L630" s="73"/>
      <c r="M630" s="73"/>
      <c r="N630" s="73"/>
      <c r="O630" s="73"/>
      <c r="P630" s="73"/>
      <c r="Q630" s="73"/>
      <c r="R630" s="73"/>
      <c r="S630" s="73"/>
      <c r="T630" s="73"/>
      <c r="U630" s="73"/>
      <c r="V630" s="73"/>
      <c r="W630" s="73"/>
      <c r="X630" s="73"/>
      <c r="Y630" s="73"/>
      <c r="Z630" s="73"/>
      <c r="AA630" s="73"/>
      <c r="AB630" s="73"/>
      <c r="AC630" s="73"/>
      <c r="AD630" s="73"/>
      <c r="AE630" s="73"/>
      <c r="AF630" s="73"/>
    </row>
    <row r="631" spans="1:32" ht="15.75" customHeight="1" x14ac:dyDescent="0.2">
      <c r="A631" s="73"/>
      <c r="B631" s="73"/>
      <c r="C631" s="74"/>
      <c r="D631" s="74"/>
      <c r="E631" s="74"/>
      <c r="F631" s="73"/>
      <c r="G631" s="74"/>
      <c r="H631" s="73"/>
      <c r="I631" s="73"/>
      <c r="J631" s="73"/>
      <c r="K631" s="73"/>
      <c r="L631" s="73"/>
      <c r="M631" s="73"/>
      <c r="N631" s="73"/>
      <c r="O631" s="73"/>
      <c r="P631" s="73"/>
      <c r="Q631" s="73"/>
      <c r="R631" s="73"/>
      <c r="S631" s="73"/>
      <c r="T631" s="73"/>
      <c r="U631" s="73"/>
      <c r="V631" s="73"/>
      <c r="W631" s="73"/>
      <c r="X631" s="73"/>
      <c r="Y631" s="73"/>
      <c r="Z631" s="73"/>
      <c r="AA631" s="73"/>
      <c r="AB631" s="73"/>
      <c r="AC631" s="73"/>
      <c r="AD631" s="73"/>
      <c r="AE631" s="73"/>
      <c r="AF631" s="73"/>
    </row>
    <row r="632" spans="1:32" ht="15.75" customHeight="1" x14ac:dyDescent="0.2">
      <c r="A632" s="73"/>
      <c r="B632" s="73"/>
      <c r="C632" s="74"/>
      <c r="D632" s="74"/>
      <c r="E632" s="74"/>
      <c r="F632" s="73"/>
      <c r="G632" s="74"/>
      <c r="H632" s="73"/>
      <c r="I632" s="73"/>
      <c r="J632" s="73"/>
      <c r="K632" s="73"/>
      <c r="L632" s="73"/>
      <c r="M632" s="73"/>
      <c r="N632" s="73"/>
      <c r="O632" s="73"/>
      <c r="P632" s="73"/>
      <c r="Q632" s="73"/>
      <c r="R632" s="73"/>
      <c r="S632" s="73"/>
      <c r="T632" s="73"/>
      <c r="U632" s="73"/>
      <c r="V632" s="73"/>
      <c r="W632" s="73"/>
      <c r="X632" s="73"/>
      <c r="Y632" s="73"/>
      <c r="Z632" s="73"/>
      <c r="AA632" s="73"/>
      <c r="AB632" s="73"/>
      <c r="AC632" s="73"/>
      <c r="AD632" s="73"/>
      <c r="AE632" s="73"/>
      <c r="AF632" s="73"/>
    </row>
    <row r="633" spans="1:32" ht="15.75" customHeight="1" x14ac:dyDescent="0.2">
      <c r="A633" s="73"/>
      <c r="B633" s="73"/>
      <c r="C633" s="74"/>
      <c r="D633" s="74"/>
      <c r="E633" s="74"/>
      <c r="F633" s="73"/>
      <c r="G633" s="74"/>
      <c r="H633" s="73"/>
      <c r="I633" s="73"/>
      <c r="J633" s="73"/>
      <c r="K633" s="73"/>
      <c r="L633" s="73"/>
      <c r="M633" s="73"/>
      <c r="N633" s="73"/>
      <c r="O633" s="73"/>
      <c r="P633" s="73"/>
      <c r="Q633" s="73"/>
      <c r="R633" s="73"/>
      <c r="S633" s="73"/>
      <c r="T633" s="73"/>
      <c r="U633" s="73"/>
      <c r="V633" s="73"/>
      <c r="W633" s="73"/>
      <c r="X633" s="73"/>
      <c r="Y633" s="73"/>
      <c r="Z633" s="73"/>
      <c r="AA633" s="73"/>
      <c r="AB633" s="73"/>
      <c r="AC633" s="73"/>
      <c r="AD633" s="73"/>
      <c r="AE633" s="73"/>
      <c r="AF633" s="73"/>
    </row>
    <row r="634" spans="1:32" ht="15.75" customHeight="1" x14ac:dyDescent="0.2">
      <c r="A634" s="73"/>
      <c r="B634" s="73"/>
      <c r="C634" s="74"/>
      <c r="D634" s="74"/>
      <c r="E634" s="74"/>
      <c r="F634" s="73"/>
      <c r="G634" s="74"/>
      <c r="H634" s="73"/>
      <c r="I634" s="73"/>
      <c r="J634" s="73"/>
      <c r="K634" s="73"/>
      <c r="L634" s="73"/>
      <c r="M634" s="73"/>
      <c r="N634" s="73"/>
      <c r="O634" s="73"/>
      <c r="P634" s="73"/>
      <c r="Q634" s="73"/>
      <c r="R634" s="73"/>
      <c r="S634" s="73"/>
      <c r="T634" s="73"/>
      <c r="U634" s="73"/>
      <c r="V634" s="73"/>
      <c r="W634" s="73"/>
      <c r="X634" s="73"/>
      <c r="Y634" s="73"/>
      <c r="Z634" s="73"/>
      <c r="AA634" s="73"/>
      <c r="AB634" s="73"/>
      <c r="AC634" s="73"/>
      <c r="AD634" s="73"/>
      <c r="AE634" s="73"/>
      <c r="AF634" s="73"/>
    </row>
    <row r="635" spans="1:32" ht="15.75" customHeight="1" x14ac:dyDescent="0.2">
      <c r="A635" s="73"/>
      <c r="B635" s="73"/>
      <c r="C635" s="74"/>
      <c r="D635" s="74"/>
      <c r="E635" s="74"/>
      <c r="F635" s="73"/>
      <c r="G635" s="74"/>
      <c r="H635" s="73"/>
      <c r="I635" s="73"/>
      <c r="J635" s="73"/>
      <c r="K635" s="73"/>
      <c r="L635" s="73"/>
      <c r="M635" s="73"/>
      <c r="N635" s="73"/>
      <c r="O635" s="73"/>
      <c r="P635" s="73"/>
      <c r="Q635" s="73"/>
      <c r="R635" s="73"/>
      <c r="S635" s="73"/>
      <c r="T635" s="73"/>
      <c r="U635" s="73"/>
      <c r="V635" s="73"/>
      <c r="W635" s="73"/>
      <c r="X635" s="73"/>
      <c r="Y635" s="73"/>
      <c r="Z635" s="73"/>
      <c r="AA635" s="73"/>
      <c r="AB635" s="73"/>
      <c r="AC635" s="73"/>
      <c r="AD635" s="73"/>
      <c r="AE635" s="73"/>
      <c r="AF635" s="73"/>
    </row>
    <row r="636" spans="1:32" ht="15.75" customHeight="1" x14ac:dyDescent="0.2">
      <c r="A636" s="73"/>
      <c r="B636" s="73"/>
      <c r="C636" s="74"/>
      <c r="D636" s="74"/>
      <c r="E636" s="74"/>
      <c r="F636" s="73"/>
      <c r="G636" s="74"/>
      <c r="H636" s="73"/>
      <c r="I636" s="73"/>
      <c r="J636" s="73"/>
      <c r="K636" s="73"/>
      <c r="L636" s="73"/>
      <c r="M636" s="73"/>
      <c r="N636" s="73"/>
      <c r="O636" s="73"/>
      <c r="P636" s="73"/>
      <c r="Q636" s="73"/>
      <c r="R636" s="73"/>
      <c r="S636" s="73"/>
      <c r="T636" s="73"/>
      <c r="U636" s="73"/>
      <c r="V636" s="73"/>
      <c r="W636" s="73"/>
      <c r="X636" s="73"/>
      <c r="Y636" s="73"/>
      <c r="Z636" s="73"/>
      <c r="AA636" s="73"/>
      <c r="AB636" s="73"/>
      <c r="AC636" s="73"/>
      <c r="AD636" s="73"/>
      <c r="AE636" s="73"/>
      <c r="AF636" s="73"/>
    </row>
    <row r="637" spans="1:32" ht="15.75" customHeight="1" x14ac:dyDescent="0.2">
      <c r="A637" s="73"/>
      <c r="B637" s="73"/>
      <c r="C637" s="74"/>
      <c r="D637" s="74"/>
      <c r="E637" s="74"/>
      <c r="F637" s="73"/>
      <c r="G637" s="74"/>
      <c r="H637" s="73"/>
      <c r="I637" s="73"/>
      <c r="J637" s="73"/>
      <c r="K637" s="73"/>
      <c r="L637" s="73"/>
      <c r="M637" s="73"/>
      <c r="N637" s="73"/>
      <c r="O637" s="73"/>
      <c r="P637" s="73"/>
      <c r="Q637" s="73"/>
      <c r="R637" s="73"/>
      <c r="S637" s="73"/>
      <c r="T637" s="73"/>
      <c r="U637" s="73"/>
      <c r="V637" s="73"/>
      <c r="W637" s="73"/>
      <c r="X637" s="73"/>
      <c r="Y637" s="73"/>
      <c r="Z637" s="73"/>
      <c r="AA637" s="73"/>
      <c r="AB637" s="73"/>
      <c r="AC637" s="73"/>
      <c r="AD637" s="73"/>
      <c r="AE637" s="73"/>
      <c r="AF637" s="73"/>
    </row>
    <row r="638" spans="1:32" ht="15.75" customHeight="1" x14ac:dyDescent="0.2">
      <c r="A638" s="73"/>
      <c r="B638" s="73"/>
      <c r="C638" s="74"/>
      <c r="D638" s="74"/>
      <c r="E638" s="74"/>
      <c r="F638" s="73"/>
      <c r="G638" s="74"/>
      <c r="H638" s="73"/>
      <c r="I638" s="73"/>
      <c r="J638" s="73"/>
      <c r="K638" s="73"/>
      <c r="L638" s="73"/>
      <c r="M638" s="73"/>
      <c r="N638" s="73"/>
      <c r="O638" s="73"/>
      <c r="P638" s="73"/>
      <c r="Q638" s="73"/>
      <c r="R638" s="73"/>
      <c r="S638" s="73"/>
      <c r="T638" s="73"/>
      <c r="U638" s="73"/>
      <c r="V638" s="73"/>
      <c r="W638" s="73"/>
      <c r="X638" s="73"/>
      <c r="Y638" s="73"/>
      <c r="Z638" s="73"/>
      <c r="AA638" s="73"/>
      <c r="AB638" s="73"/>
      <c r="AC638" s="73"/>
      <c r="AD638" s="73"/>
      <c r="AE638" s="73"/>
      <c r="AF638" s="73"/>
    </row>
    <row r="639" spans="1:32" ht="15.75" customHeight="1" x14ac:dyDescent="0.2">
      <c r="A639" s="73"/>
      <c r="B639" s="73"/>
      <c r="C639" s="74"/>
      <c r="D639" s="74"/>
      <c r="E639" s="74"/>
      <c r="F639" s="73"/>
      <c r="G639" s="74"/>
      <c r="H639" s="73"/>
      <c r="I639" s="73"/>
      <c r="J639" s="73"/>
      <c r="K639" s="73"/>
      <c r="L639" s="73"/>
      <c r="M639" s="73"/>
      <c r="N639" s="73"/>
      <c r="O639" s="73"/>
      <c r="P639" s="73"/>
      <c r="Q639" s="73"/>
      <c r="R639" s="73"/>
      <c r="S639" s="73"/>
      <c r="T639" s="73"/>
      <c r="U639" s="73"/>
      <c r="V639" s="73"/>
      <c r="W639" s="73"/>
      <c r="X639" s="73"/>
      <c r="Y639" s="73"/>
      <c r="Z639" s="73"/>
      <c r="AA639" s="73"/>
      <c r="AB639" s="73"/>
      <c r="AC639" s="73"/>
      <c r="AD639" s="73"/>
      <c r="AE639" s="73"/>
      <c r="AF639" s="73"/>
    </row>
    <row r="640" spans="1:32" ht="15.75" customHeight="1" x14ac:dyDescent="0.2">
      <c r="A640" s="73"/>
      <c r="B640" s="73"/>
      <c r="C640" s="74"/>
      <c r="D640" s="74"/>
      <c r="E640" s="74"/>
      <c r="F640" s="73"/>
      <c r="G640" s="74"/>
      <c r="H640" s="73"/>
      <c r="I640" s="73"/>
      <c r="J640" s="73"/>
      <c r="K640" s="73"/>
      <c r="L640" s="73"/>
      <c r="M640" s="73"/>
      <c r="N640" s="73"/>
      <c r="O640" s="73"/>
      <c r="P640" s="73"/>
      <c r="Q640" s="73"/>
      <c r="R640" s="73"/>
      <c r="S640" s="73"/>
      <c r="T640" s="73"/>
      <c r="U640" s="73"/>
      <c r="V640" s="73"/>
      <c r="W640" s="73"/>
      <c r="X640" s="73"/>
      <c r="Y640" s="73"/>
      <c r="Z640" s="73"/>
      <c r="AA640" s="73"/>
      <c r="AB640" s="73"/>
      <c r="AC640" s="73"/>
      <c r="AD640" s="73"/>
      <c r="AE640" s="73"/>
      <c r="AF640" s="73"/>
    </row>
    <row r="641" spans="1:32" ht="15.75" customHeight="1" x14ac:dyDescent="0.2">
      <c r="A641" s="73"/>
      <c r="B641" s="73"/>
      <c r="C641" s="74"/>
      <c r="D641" s="74"/>
      <c r="E641" s="74"/>
      <c r="F641" s="73"/>
      <c r="G641" s="74"/>
      <c r="H641" s="73"/>
      <c r="I641" s="73"/>
      <c r="J641" s="73"/>
      <c r="K641" s="73"/>
      <c r="L641" s="73"/>
      <c r="M641" s="73"/>
      <c r="N641" s="73"/>
      <c r="O641" s="73"/>
      <c r="P641" s="73"/>
      <c r="Q641" s="73"/>
      <c r="R641" s="73"/>
      <c r="S641" s="73"/>
      <c r="T641" s="73"/>
      <c r="U641" s="73"/>
      <c r="V641" s="73"/>
      <c r="W641" s="73"/>
      <c r="X641" s="73"/>
      <c r="Y641" s="73"/>
      <c r="Z641" s="73"/>
      <c r="AA641" s="73"/>
      <c r="AB641" s="73"/>
      <c r="AC641" s="73"/>
      <c r="AD641" s="73"/>
      <c r="AE641" s="73"/>
      <c r="AF641" s="73"/>
    </row>
    <row r="642" spans="1:32" ht="15.75" customHeight="1" x14ac:dyDescent="0.2">
      <c r="A642" s="73"/>
      <c r="B642" s="73"/>
      <c r="C642" s="74"/>
      <c r="D642" s="74"/>
      <c r="E642" s="74"/>
      <c r="F642" s="73"/>
      <c r="G642" s="74"/>
      <c r="H642" s="73"/>
      <c r="I642" s="73"/>
      <c r="J642" s="73"/>
      <c r="K642" s="73"/>
      <c r="L642" s="73"/>
      <c r="M642" s="73"/>
      <c r="N642" s="73"/>
      <c r="O642" s="73"/>
      <c r="P642" s="73"/>
      <c r="Q642" s="73"/>
      <c r="R642" s="73"/>
      <c r="S642" s="73"/>
      <c r="T642" s="73"/>
      <c r="U642" s="73"/>
      <c r="V642" s="73"/>
      <c r="W642" s="73"/>
      <c r="X642" s="73"/>
      <c r="Y642" s="73"/>
      <c r="Z642" s="73"/>
      <c r="AA642" s="73"/>
      <c r="AB642" s="73"/>
      <c r="AC642" s="73"/>
      <c r="AD642" s="73"/>
      <c r="AE642" s="73"/>
      <c r="AF642" s="73"/>
    </row>
    <row r="643" spans="1:32" ht="15.75" customHeight="1" x14ac:dyDescent="0.2">
      <c r="A643" s="73"/>
      <c r="B643" s="73"/>
      <c r="C643" s="74"/>
      <c r="D643" s="74"/>
      <c r="E643" s="74"/>
      <c r="F643" s="73"/>
      <c r="G643" s="74"/>
      <c r="H643" s="73"/>
      <c r="I643" s="73"/>
      <c r="J643" s="73"/>
      <c r="K643" s="73"/>
      <c r="L643" s="73"/>
      <c r="M643" s="73"/>
      <c r="N643" s="73"/>
      <c r="O643" s="73"/>
      <c r="P643" s="73"/>
      <c r="Q643" s="73"/>
      <c r="R643" s="73"/>
      <c r="S643" s="73"/>
      <c r="T643" s="73"/>
      <c r="U643" s="73"/>
      <c r="V643" s="73"/>
      <c r="W643" s="73"/>
      <c r="X643" s="73"/>
      <c r="Y643" s="73"/>
      <c r="Z643" s="73"/>
      <c r="AA643" s="73"/>
      <c r="AB643" s="73"/>
      <c r="AC643" s="73"/>
      <c r="AD643" s="73"/>
      <c r="AE643" s="73"/>
      <c r="AF643" s="73"/>
    </row>
    <row r="644" spans="1:32" ht="15.75" customHeight="1" x14ac:dyDescent="0.2">
      <c r="A644" s="73"/>
      <c r="B644" s="73"/>
      <c r="C644" s="74"/>
      <c r="D644" s="74"/>
      <c r="E644" s="74"/>
      <c r="F644" s="73"/>
      <c r="G644" s="74"/>
      <c r="H644" s="73"/>
      <c r="I644" s="73"/>
      <c r="J644" s="73"/>
      <c r="K644" s="73"/>
      <c r="L644" s="73"/>
      <c r="M644" s="73"/>
      <c r="N644" s="73"/>
      <c r="O644" s="73"/>
      <c r="P644" s="73"/>
      <c r="Q644" s="73"/>
      <c r="R644" s="73"/>
      <c r="S644" s="73"/>
      <c r="T644" s="73"/>
      <c r="U644" s="73"/>
      <c r="V644" s="73"/>
      <c r="W644" s="73"/>
      <c r="X644" s="73"/>
      <c r="Y644" s="73"/>
      <c r="Z644" s="73"/>
      <c r="AA644" s="73"/>
      <c r="AB644" s="73"/>
      <c r="AC644" s="73"/>
      <c r="AD644" s="73"/>
      <c r="AE644" s="73"/>
      <c r="AF644" s="73"/>
    </row>
    <row r="645" spans="1:32" ht="15.75" customHeight="1" x14ac:dyDescent="0.2">
      <c r="A645" s="73"/>
      <c r="B645" s="73"/>
      <c r="C645" s="74"/>
      <c r="D645" s="74"/>
      <c r="E645" s="74"/>
      <c r="F645" s="73"/>
      <c r="G645" s="74"/>
      <c r="H645" s="73"/>
      <c r="I645" s="73"/>
      <c r="J645" s="73"/>
      <c r="K645" s="73"/>
      <c r="L645" s="73"/>
      <c r="M645" s="73"/>
      <c r="N645" s="73"/>
      <c r="O645" s="73"/>
      <c r="P645" s="73"/>
      <c r="Q645" s="73"/>
      <c r="R645" s="73"/>
      <c r="S645" s="73"/>
      <c r="T645" s="73"/>
      <c r="U645" s="73"/>
      <c r="V645" s="73"/>
      <c r="W645" s="73"/>
      <c r="X645" s="73"/>
      <c r="Y645" s="73"/>
      <c r="Z645" s="73"/>
      <c r="AA645" s="73"/>
      <c r="AB645" s="73"/>
      <c r="AC645" s="73"/>
      <c r="AD645" s="73"/>
      <c r="AE645" s="73"/>
      <c r="AF645" s="73"/>
    </row>
    <row r="646" spans="1:32" ht="15.75" customHeight="1" x14ac:dyDescent="0.2">
      <c r="A646" s="73"/>
      <c r="B646" s="73"/>
      <c r="C646" s="74"/>
      <c r="D646" s="74"/>
      <c r="E646" s="74"/>
      <c r="F646" s="73"/>
      <c r="G646" s="74"/>
      <c r="H646" s="73"/>
      <c r="I646" s="73"/>
      <c r="J646" s="73"/>
      <c r="K646" s="73"/>
      <c r="L646" s="73"/>
      <c r="M646" s="73"/>
      <c r="N646" s="73"/>
      <c r="O646" s="73"/>
      <c r="P646" s="73"/>
      <c r="Q646" s="73"/>
      <c r="R646" s="73"/>
      <c r="S646" s="73"/>
      <c r="T646" s="73"/>
      <c r="U646" s="73"/>
      <c r="V646" s="73"/>
      <c r="W646" s="73"/>
      <c r="X646" s="73"/>
      <c r="Y646" s="73"/>
      <c r="Z646" s="73"/>
      <c r="AA646" s="73"/>
      <c r="AB646" s="73"/>
      <c r="AC646" s="73"/>
      <c r="AD646" s="73"/>
      <c r="AE646" s="73"/>
      <c r="AF646" s="73"/>
    </row>
    <row r="647" spans="1:32" ht="15.75" customHeight="1" x14ac:dyDescent="0.2">
      <c r="A647" s="73"/>
      <c r="B647" s="73"/>
      <c r="C647" s="74"/>
      <c r="D647" s="74"/>
      <c r="E647" s="74"/>
      <c r="F647" s="73"/>
      <c r="G647" s="74"/>
      <c r="H647" s="73"/>
      <c r="I647" s="73"/>
      <c r="J647" s="73"/>
      <c r="K647" s="73"/>
      <c r="L647" s="73"/>
      <c r="M647" s="73"/>
      <c r="N647" s="73"/>
      <c r="O647" s="73"/>
      <c r="P647" s="73"/>
      <c r="Q647" s="73"/>
      <c r="R647" s="73"/>
      <c r="S647" s="73"/>
      <c r="T647" s="73"/>
      <c r="U647" s="73"/>
      <c r="V647" s="73"/>
      <c r="W647" s="73"/>
      <c r="X647" s="73"/>
      <c r="Y647" s="73"/>
      <c r="Z647" s="73"/>
      <c r="AA647" s="73"/>
      <c r="AB647" s="73"/>
      <c r="AC647" s="73"/>
      <c r="AD647" s="73"/>
      <c r="AE647" s="73"/>
      <c r="AF647" s="73"/>
    </row>
    <row r="648" spans="1:32" ht="15.75" customHeight="1" x14ac:dyDescent="0.2">
      <c r="A648" s="73"/>
      <c r="B648" s="73"/>
      <c r="C648" s="74"/>
      <c r="D648" s="74"/>
      <c r="E648" s="74"/>
      <c r="F648" s="73"/>
      <c r="G648" s="74"/>
      <c r="H648" s="73"/>
      <c r="I648" s="73"/>
      <c r="J648" s="73"/>
      <c r="K648" s="73"/>
      <c r="L648" s="73"/>
      <c r="M648" s="73"/>
      <c r="N648" s="73"/>
      <c r="O648" s="73"/>
      <c r="P648" s="73"/>
      <c r="Q648" s="73"/>
      <c r="R648" s="73"/>
      <c r="S648" s="73"/>
      <c r="T648" s="73"/>
      <c r="U648" s="73"/>
      <c r="V648" s="73"/>
      <c r="W648" s="73"/>
      <c r="X648" s="73"/>
      <c r="Y648" s="73"/>
      <c r="Z648" s="73"/>
      <c r="AA648" s="73"/>
      <c r="AB648" s="73"/>
      <c r="AC648" s="73"/>
      <c r="AD648" s="73"/>
      <c r="AE648" s="73"/>
      <c r="AF648" s="73"/>
    </row>
    <row r="649" spans="1:32" ht="15.75" customHeight="1" x14ac:dyDescent="0.2">
      <c r="A649" s="73"/>
      <c r="B649" s="73"/>
      <c r="C649" s="74"/>
      <c r="D649" s="74"/>
      <c r="E649" s="74"/>
      <c r="F649" s="73"/>
      <c r="G649" s="74"/>
      <c r="H649" s="73"/>
      <c r="I649" s="73"/>
      <c r="J649" s="73"/>
      <c r="K649" s="73"/>
      <c r="L649" s="73"/>
      <c r="M649" s="73"/>
      <c r="N649" s="73"/>
      <c r="O649" s="73"/>
      <c r="P649" s="73"/>
      <c r="Q649" s="73"/>
      <c r="R649" s="73"/>
      <c r="S649" s="73"/>
      <c r="T649" s="73"/>
      <c r="U649" s="73"/>
      <c r="V649" s="73"/>
      <c r="W649" s="73"/>
      <c r="X649" s="73"/>
      <c r="Y649" s="73"/>
      <c r="Z649" s="73"/>
      <c r="AA649" s="73"/>
      <c r="AB649" s="73"/>
      <c r="AC649" s="73"/>
      <c r="AD649" s="73"/>
      <c r="AE649" s="73"/>
      <c r="AF649" s="73"/>
    </row>
    <row r="650" spans="1:32" ht="15.75" customHeight="1" x14ac:dyDescent="0.2">
      <c r="A650" s="73"/>
      <c r="B650" s="73"/>
      <c r="C650" s="74"/>
      <c r="D650" s="74"/>
      <c r="E650" s="74"/>
      <c r="F650" s="73"/>
      <c r="G650" s="74"/>
      <c r="H650" s="73"/>
      <c r="I650" s="73"/>
      <c r="J650" s="73"/>
      <c r="K650" s="73"/>
      <c r="L650" s="73"/>
      <c r="M650" s="73"/>
      <c r="N650" s="73"/>
      <c r="O650" s="73"/>
      <c r="P650" s="73"/>
      <c r="Q650" s="73"/>
      <c r="R650" s="73"/>
      <c r="S650" s="73"/>
      <c r="T650" s="73"/>
      <c r="U650" s="73"/>
      <c r="V650" s="73"/>
      <c r="W650" s="73"/>
      <c r="X650" s="73"/>
      <c r="Y650" s="73"/>
      <c r="Z650" s="73"/>
      <c r="AA650" s="73"/>
      <c r="AB650" s="73"/>
      <c r="AC650" s="73"/>
      <c r="AD650" s="73"/>
      <c r="AE650" s="73"/>
      <c r="AF650" s="73"/>
    </row>
    <row r="651" spans="1:32" ht="15.75" customHeight="1" x14ac:dyDescent="0.2">
      <c r="A651" s="73"/>
      <c r="B651" s="73"/>
      <c r="C651" s="74"/>
      <c r="D651" s="74"/>
      <c r="E651" s="74"/>
      <c r="F651" s="73"/>
      <c r="G651" s="74"/>
      <c r="H651" s="73"/>
      <c r="I651" s="73"/>
      <c r="J651" s="73"/>
      <c r="K651" s="73"/>
      <c r="L651" s="73"/>
      <c r="M651" s="73"/>
      <c r="N651" s="73"/>
      <c r="O651" s="73"/>
      <c r="P651" s="73"/>
      <c r="Q651" s="73"/>
      <c r="R651" s="73"/>
      <c r="S651" s="73"/>
      <c r="T651" s="73"/>
      <c r="U651" s="73"/>
      <c r="V651" s="73"/>
      <c r="W651" s="73"/>
      <c r="X651" s="73"/>
      <c r="Y651" s="73"/>
      <c r="Z651" s="73"/>
      <c r="AA651" s="73"/>
      <c r="AB651" s="73"/>
      <c r="AC651" s="73"/>
      <c r="AD651" s="73"/>
      <c r="AE651" s="73"/>
      <c r="AF651" s="73"/>
    </row>
    <row r="652" spans="1:32" ht="15.75" customHeight="1" x14ac:dyDescent="0.2">
      <c r="A652" s="73"/>
      <c r="B652" s="73"/>
      <c r="C652" s="74"/>
      <c r="D652" s="74"/>
      <c r="E652" s="74"/>
      <c r="F652" s="73"/>
      <c r="G652" s="74"/>
      <c r="H652" s="73"/>
      <c r="I652" s="73"/>
      <c r="J652" s="73"/>
      <c r="K652" s="73"/>
      <c r="L652" s="73"/>
      <c r="M652" s="73"/>
      <c r="N652" s="73"/>
      <c r="O652" s="73"/>
      <c r="P652" s="73"/>
      <c r="Q652" s="73"/>
      <c r="R652" s="73"/>
      <c r="S652" s="73"/>
      <c r="T652" s="73"/>
      <c r="U652" s="73"/>
      <c r="V652" s="73"/>
      <c r="W652" s="73"/>
      <c r="X652" s="73"/>
      <c r="Y652" s="73"/>
      <c r="Z652" s="73"/>
      <c r="AA652" s="73"/>
      <c r="AB652" s="73"/>
      <c r="AC652" s="73"/>
      <c r="AD652" s="73"/>
      <c r="AE652" s="73"/>
      <c r="AF652" s="73"/>
    </row>
    <row r="653" spans="1:32" ht="15.75" customHeight="1" x14ac:dyDescent="0.2">
      <c r="A653" s="73"/>
      <c r="B653" s="73"/>
      <c r="C653" s="74"/>
      <c r="D653" s="74"/>
      <c r="E653" s="74"/>
      <c r="F653" s="73"/>
      <c r="G653" s="74"/>
      <c r="H653" s="73"/>
      <c r="I653" s="73"/>
      <c r="J653" s="73"/>
      <c r="K653" s="73"/>
      <c r="L653" s="73"/>
      <c r="M653" s="73"/>
      <c r="N653" s="73"/>
      <c r="O653" s="73"/>
      <c r="P653" s="73"/>
      <c r="Q653" s="73"/>
      <c r="R653" s="73"/>
      <c r="S653" s="73"/>
      <c r="T653" s="73"/>
      <c r="U653" s="73"/>
      <c r="V653" s="73"/>
      <c r="W653" s="73"/>
      <c r="X653" s="73"/>
      <c r="Y653" s="73"/>
      <c r="Z653" s="73"/>
      <c r="AA653" s="73"/>
      <c r="AB653" s="73"/>
      <c r="AC653" s="73"/>
      <c r="AD653" s="73"/>
      <c r="AE653" s="73"/>
      <c r="AF653" s="73"/>
    </row>
    <row r="654" spans="1:32" ht="15.75" customHeight="1" x14ac:dyDescent="0.2">
      <c r="A654" s="73"/>
      <c r="B654" s="73"/>
      <c r="C654" s="74"/>
      <c r="D654" s="74"/>
      <c r="E654" s="74"/>
      <c r="F654" s="73"/>
      <c r="G654" s="74"/>
      <c r="H654" s="73"/>
      <c r="I654" s="73"/>
      <c r="J654" s="73"/>
      <c r="K654" s="73"/>
      <c r="L654" s="73"/>
      <c r="M654" s="73"/>
      <c r="N654" s="73"/>
      <c r="O654" s="73"/>
      <c r="P654" s="73"/>
      <c r="Q654" s="73"/>
      <c r="R654" s="73"/>
      <c r="S654" s="73"/>
      <c r="T654" s="73"/>
      <c r="U654" s="73"/>
      <c r="V654" s="73"/>
      <c r="W654" s="73"/>
      <c r="X654" s="73"/>
      <c r="Y654" s="73"/>
      <c r="Z654" s="73"/>
      <c r="AA654" s="73"/>
      <c r="AB654" s="73"/>
      <c r="AC654" s="73"/>
      <c r="AD654" s="73"/>
      <c r="AE654" s="73"/>
      <c r="AF654" s="73"/>
    </row>
    <row r="655" spans="1:32" ht="15.75" customHeight="1" x14ac:dyDescent="0.2">
      <c r="A655" s="73"/>
      <c r="B655" s="73"/>
      <c r="C655" s="74"/>
      <c r="D655" s="74"/>
      <c r="E655" s="74"/>
      <c r="F655" s="73"/>
      <c r="G655" s="74"/>
      <c r="H655" s="73"/>
      <c r="I655" s="73"/>
      <c r="J655" s="73"/>
      <c r="K655" s="73"/>
      <c r="L655" s="73"/>
      <c r="M655" s="73"/>
      <c r="N655" s="73"/>
      <c r="O655" s="73"/>
      <c r="P655" s="73"/>
      <c r="Q655" s="73"/>
      <c r="R655" s="73"/>
      <c r="S655" s="73"/>
      <c r="T655" s="73"/>
      <c r="U655" s="73"/>
      <c r="V655" s="73"/>
      <c r="W655" s="73"/>
      <c r="X655" s="73"/>
      <c r="Y655" s="73"/>
      <c r="Z655" s="73"/>
      <c r="AA655" s="73"/>
      <c r="AB655" s="73"/>
      <c r="AC655" s="73"/>
      <c r="AD655" s="73"/>
      <c r="AE655" s="73"/>
      <c r="AF655" s="73"/>
    </row>
    <row r="656" spans="1:32" ht="15.75" customHeight="1" x14ac:dyDescent="0.2">
      <c r="A656" s="73"/>
      <c r="B656" s="73"/>
      <c r="C656" s="74"/>
      <c r="D656" s="74"/>
      <c r="E656" s="74"/>
      <c r="F656" s="73"/>
      <c r="G656" s="74"/>
      <c r="H656" s="73"/>
      <c r="I656" s="73"/>
      <c r="J656" s="73"/>
      <c r="K656" s="73"/>
      <c r="L656" s="73"/>
      <c r="M656" s="73"/>
      <c r="N656" s="73"/>
      <c r="O656" s="73"/>
      <c r="P656" s="73"/>
      <c r="Q656" s="73"/>
      <c r="R656" s="73"/>
      <c r="S656" s="73"/>
      <c r="T656" s="73"/>
      <c r="U656" s="73"/>
      <c r="V656" s="73"/>
      <c r="W656" s="73"/>
      <c r="X656" s="73"/>
      <c r="Y656" s="73"/>
      <c r="Z656" s="73"/>
      <c r="AA656" s="73"/>
      <c r="AB656" s="73"/>
      <c r="AC656" s="73"/>
      <c r="AD656" s="73"/>
      <c r="AE656" s="73"/>
      <c r="AF656" s="73"/>
    </row>
    <row r="657" spans="1:32" ht="15.75" customHeight="1" x14ac:dyDescent="0.2">
      <c r="A657" s="73"/>
      <c r="B657" s="73"/>
      <c r="C657" s="74"/>
      <c r="D657" s="74"/>
      <c r="E657" s="74"/>
      <c r="F657" s="73"/>
      <c r="G657" s="74"/>
      <c r="H657" s="73"/>
      <c r="I657" s="73"/>
      <c r="J657" s="73"/>
      <c r="K657" s="73"/>
      <c r="L657" s="73"/>
      <c r="M657" s="73"/>
      <c r="N657" s="73"/>
      <c r="O657" s="73"/>
      <c r="P657" s="73"/>
      <c r="Q657" s="73"/>
      <c r="R657" s="73"/>
      <c r="S657" s="73"/>
      <c r="T657" s="73"/>
      <c r="U657" s="73"/>
      <c r="V657" s="73"/>
      <c r="W657" s="73"/>
      <c r="X657" s="73"/>
      <c r="Y657" s="73"/>
      <c r="Z657" s="73"/>
      <c r="AA657" s="73"/>
      <c r="AB657" s="73"/>
      <c r="AC657" s="73"/>
      <c r="AD657" s="73"/>
      <c r="AE657" s="73"/>
      <c r="AF657" s="73"/>
    </row>
    <row r="658" spans="1:32" ht="15.75" customHeight="1" x14ac:dyDescent="0.2">
      <c r="A658" s="73"/>
      <c r="B658" s="73"/>
      <c r="C658" s="74"/>
      <c r="D658" s="74"/>
      <c r="E658" s="74"/>
      <c r="F658" s="73"/>
      <c r="G658" s="74"/>
      <c r="H658" s="73"/>
      <c r="I658" s="73"/>
      <c r="J658" s="73"/>
      <c r="K658" s="73"/>
      <c r="L658" s="73"/>
      <c r="M658" s="73"/>
      <c r="N658" s="73"/>
      <c r="O658" s="73"/>
      <c r="P658" s="73"/>
      <c r="Q658" s="73"/>
      <c r="R658" s="73"/>
      <c r="S658" s="73"/>
      <c r="T658" s="73"/>
      <c r="U658" s="73"/>
      <c r="V658" s="73"/>
      <c r="W658" s="73"/>
      <c r="X658" s="73"/>
      <c r="Y658" s="73"/>
      <c r="Z658" s="73"/>
      <c r="AA658" s="73"/>
      <c r="AB658" s="73"/>
      <c r="AC658" s="73"/>
      <c r="AD658" s="73"/>
      <c r="AE658" s="73"/>
      <c r="AF658" s="73"/>
    </row>
    <row r="659" spans="1:32" ht="15.75" customHeight="1" x14ac:dyDescent="0.2">
      <c r="A659" s="73"/>
      <c r="B659" s="73"/>
      <c r="C659" s="74"/>
      <c r="D659" s="74"/>
      <c r="E659" s="74"/>
      <c r="F659" s="73"/>
      <c r="G659" s="74"/>
      <c r="H659" s="73"/>
      <c r="I659" s="73"/>
      <c r="J659" s="73"/>
      <c r="K659" s="73"/>
      <c r="L659" s="73"/>
      <c r="M659" s="73"/>
      <c r="N659" s="73"/>
      <c r="O659" s="73"/>
      <c r="P659" s="73"/>
      <c r="Q659" s="73"/>
      <c r="R659" s="73"/>
      <c r="S659" s="73"/>
      <c r="T659" s="73"/>
      <c r="U659" s="73"/>
      <c r="V659" s="73"/>
      <c r="W659" s="73"/>
      <c r="X659" s="73"/>
      <c r="Y659" s="73"/>
      <c r="Z659" s="73"/>
      <c r="AA659" s="73"/>
      <c r="AB659" s="73"/>
      <c r="AC659" s="73"/>
      <c r="AD659" s="73"/>
      <c r="AE659" s="73"/>
      <c r="AF659" s="73"/>
    </row>
    <row r="660" spans="1:32" ht="15.75" customHeight="1" x14ac:dyDescent="0.2">
      <c r="A660" s="73"/>
      <c r="B660" s="73"/>
      <c r="C660" s="74"/>
      <c r="D660" s="74"/>
      <c r="E660" s="74"/>
      <c r="F660" s="73"/>
      <c r="G660" s="74"/>
      <c r="H660" s="73"/>
      <c r="I660" s="73"/>
      <c r="J660" s="73"/>
      <c r="K660" s="73"/>
      <c r="L660" s="73"/>
      <c r="M660" s="73"/>
      <c r="N660" s="73"/>
      <c r="O660" s="73"/>
      <c r="P660" s="73"/>
      <c r="Q660" s="73"/>
      <c r="R660" s="73"/>
      <c r="S660" s="73"/>
      <c r="T660" s="73"/>
      <c r="U660" s="73"/>
      <c r="V660" s="73"/>
      <c r="W660" s="73"/>
      <c r="X660" s="73"/>
      <c r="Y660" s="73"/>
      <c r="Z660" s="73"/>
      <c r="AA660" s="73"/>
      <c r="AB660" s="73"/>
      <c r="AC660" s="73"/>
      <c r="AD660" s="73"/>
      <c r="AE660" s="73"/>
      <c r="AF660" s="73"/>
    </row>
    <row r="661" spans="1:32" ht="15.75" customHeight="1" x14ac:dyDescent="0.2">
      <c r="A661" s="73"/>
      <c r="B661" s="73"/>
      <c r="C661" s="74"/>
      <c r="D661" s="74"/>
      <c r="E661" s="74"/>
      <c r="F661" s="73"/>
      <c r="G661" s="74"/>
      <c r="H661" s="73"/>
      <c r="I661" s="73"/>
      <c r="J661" s="73"/>
      <c r="K661" s="73"/>
      <c r="L661" s="73"/>
      <c r="M661" s="73"/>
      <c r="N661" s="73"/>
      <c r="O661" s="73"/>
      <c r="P661" s="73"/>
      <c r="Q661" s="73"/>
      <c r="R661" s="73"/>
      <c r="S661" s="73"/>
      <c r="T661" s="73"/>
      <c r="U661" s="73"/>
      <c r="V661" s="73"/>
      <c r="W661" s="73"/>
      <c r="X661" s="73"/>
      <c r="Y661" s="73"/>
      <c r="Z661" s="73"/>
      <c r="AA661" s="73"/>
      <c r="AB661" s="73"/>
      <c r="AC661" s="73"/>
      <c r="AD661" s="73"/>
      <c r="AE661" s="73"/>
      <c r="AF661" s="73"/>
    </row>
    <row r="662" spans="1:32" ht="15.75" customHeight="1" x14ac:dyDescent="0.2">
      <c r="A662" s="73"/>
      <c r="B662" s="73"/>
      <c r="C662" s="74"/>
      <c r="D662" s="74"/>
      <c r="E662" s="74"/>
      <c r="F662" s="73"/>
      <c r="G662" s="74"/>
      <c r="H662" s="73"/>
      <c r="I662" s="73"/>
      <c r="J662" s="73"/>
      <c r="K662" s="73"/>
      <c r="L662" s="73"/>
      <c r="M662" s="73"/>
      <c r="N662" s="73"/>
      <c r="O662" s="73"/>
      <c r="P662" s="73"/>
      <c r="Q662" s="73"/>
      <c r="R662" s="73"/>
      <c r="S662" s="73"/>
      <c r="T662" s="73"/>
      <c r="U662" s="73"/>
      <c r="V662" s="73"/>
      <c r="W662" s="73"/>
      <c r="X662" s="73"/>
      <c r="Y662" s="73"/>
      <c r="Z662" s="73"/>
      <c r="AA662" s="73"/>
      <c r="AB662" s="73"/>
      <c r="AC662" s="73"/>
      <c r="AD662" s="73"/>
      <c r="AE662" s="73"/>
      <c r="AF662" s="73"/>
    </row>
    <row r="663" spans="1:32" ht="15.75" customHeight="1" x14ac:dyDescent="0.2">
      <c r="A663" s="73"/>
      <c r="B663" s="73"/>
      <c r="C663" s="74"/>
      <c r="D663" s="74"/>
      <c r="E663" s="74"/>
      <c r="F663" s="73"/>
      <c r="G663" s="74"/>
      <c r="H663" s="73"/>
      <c r="I663" s="73"/>
      <c r="J663" s="73"/>
      <c r="K663" s="73"/>
      <c r="L663" s="73"/>
      <c r="M663" s="73"/>
      <c r="N663" s="73"/>
      <c r="O663" s="73"/>
      <c r="P663" s="73"/>
      <c r="Q663" s="73"/>
      <c r="R663" s="73"/>
      <c r="S663" s="73"/>
      <c r="T663" s="73"/>
      <c r="U663" s="73"/>
      <c r="V663" s="73"/>
      <c r="W663" s="73"/>
      <c r="X663" s="73"/>
      <c r="Y663" s="73"/>
      <c r="Z663" s="73"/>
      <c r="AA663" s="73"/>
      <c r="AB663" s="73"/>
      <c r="AC663" s="73"/>
      <c r="AD663" s="73"/>
      <c r="AE663" s="73"/>
      <c r="AF663" s="73"/>
    </row>
    <row r="664" spans="1:32" ht="15.75" customHeight="1" x14ac:dyDescent="0.2">
      <c r="A664" s="73"/>
      <c r="B664" s="73"/>
      <c r="C664" s="74"/>
      <c r="D664" s="74"/>
      <c r="E664" s="74"/>
      <c r="F664" s="73"/>
      <c r="G664" s="74"/>
      <c r="H664" s="73"/>
      <c r="I664" s="73"/>
      <c r="J664" s="73"/>
      <c r="K664" s="73"/>
      <c r="L664" s="73"/>
      <c r="M664" s="73"/>
      <c r="N664" s="73"/>
      <c r="O664" s="73"/>
      <c r="P664" s="73"/>
      <c r="Q664" s="73"/>
      <c r="R664" s="73"/>
      <c r="S664" s="73"/>
      <c r="T664" s="73"/>
      <c r="U664" s="73"/>
      <c r="V664" s="73"/>
      <c r="W664" s="73"/>
      <c r="X664" s="73"/>
      <c r="Y664" s="73"/>
      <c r="Z664" s="73"/>
      <c r="AA664" s="73"/>
      <c r="AB664" s="73"/>
      <c r="AC664" s="73"/>
      <c r="AD664" s="73"/>
      <c r="AE664" s="73"/>
      <c r="AF664" s="73"/>
    </row>
    <row r="665" spans="1:32" ht="15.75" customHeight="1" x14ac:dyDescent="0.2">
      <c r="A665" s="73"/>
      <c r="B665" s="73"/>
      <c r="C665" s="74"/>
      <c r="D665" s="74"/>
      <c r="E665" s="74"/>
      <c r="F665" s="73"/>
      <c r="G665" s="74"/>
      <c r="H665" s="73"/>
      <c r="I665" s="73"/>
      <c r="J665" s="73"/>
      <c r="K665" s="73"/>
      <c r="L665" s="73"/>
      <c r="M665" s="73"/>
      <c r="N665" s="73"/>
      <c r="O665" s="73"/>
      <c r="P665" s="73"/>
      <c r="Q665" s="73"/>
      <c r="R665" s="73"/>
      <c r="S665" s="73"/>
      <c r="T665" s="73"/>
      <c r="U665" s="73"/>
      <c r="V665" s="73"/>
      <c r="W665" s="73"/>
      <c r="X665" s="73"/>
      <c r="Y665" s="73"/>
      <c r="Z665" s="73"/>
      <c r="AA665" s="73"/>
      <c r="AB665" s="73"/>
      <c r="AC665" s="73"/>
      <c r="AD665" s="73"/>
      <c r="AE665" s="73"/>
      <c r="AF665" s="73"/>
    </row>
    <row r="666" spans="1:32" ht="15.75" customHeight="1" x14ac:dyDescent="0.2">
      <c r="A666" s="73"/>
      <c r="B666" s="73"/>
      <c r="C666" s="74"/>
      <c r="D666" s="74"/>
      <c r="E666" s="74"/>
      <c r="F666" s="73"/>
      <c r="G666" s="74"/>
      <c r="H666" s="73"/>
      <c r="I666" s="73"/>
      <c r="J666" s="73"/>
      <c r="K666" s="73"/>
      <c r="L666" s="73"/>
      <c r="M666" s="73"/>
      <c r="N666" s="73"/>
      <c r="O666" s="73"/>
      <c r="P666" s="73"/>
      <c r="Q666" s="73"/>
      <c r="R666" s="73"/>
      <c r="S666" s="73"/>
      <c r="T666" s="73"/>
      <c r="U666" s="73"/>
      <c r="V666" s="73"/>
      <c r="W666" s="73"/>
      <c r="X666" s="73"/>
      <c r="Y666" s="73"/>
      <c r="Z666" s="73"/>
      <c r="AA666" s="73"/>
      <c r="AB666" s="73"/>
      <c r="AC666" s="73"/>
      <c r="AD666" s="73"/>
      <c r="AE666" s="73"/>
      <c r="AF666" s="73"/>
    </row>
    <row r="667" spans="1:32" ht="15.75" customHeight="1" x14ac:dyDescent="0.2">
      <c r="A667" s="73"/>
      <c r="B667" s="73"/>
      <c r="C667" s="74"/>
      <c r="D667" s="74"/>
      <c r="E667" s="74"/>
      <c r="F667" s="73"/>
      <c r="G667" s="74"/>
      <c r="H667" s="73"/>
      <c r="I667" s="73"/>
      <c r="J667" s="73"/>
      <c r="K667" s="73"/>
      <c r="L667" s="73"/>
      <c r="M667" s="73"/>
      <c r="N667" s="73"/>
      <c r="O667" s="73"/>
      <c r="P667" s="73"/>
      <c r="Q667" s="73"/>
      <c r="R667" s="73"/>
      <c r="S667" s="73"/>
      <c r="T667" s="73"/>
      <c r="U667" s="73"/>
      <c r="V667" s="73"/>
      <c r="W667" s="73"/>
      <c r="X667" s="73"/>
      <c r="Y667" s="73"/>
      <c r="Z667" s="73"/>
      <c r="AA667" s="73"/>
      <c r="AB667" s="73"/>
      <c r="AC667" s="73"/>
      <c r="AD667" s="73"/>
      <c r="AE667" s="73"/>
      <c r="AF667" s="73"/>
    </row>
    <row r="668" spans="1:32" ht="15.75" customHeight="1" x14ac:dyDescent="0.2">
      <c r="A668" s="73"/>
      <c r="B668" s="73"/>
      <c r="C668" s="74"/>
      <c r="D668" s="74"/>
      <c r="E668" s="74"/>
      <c r="F668" s="73"/>
      <c r="G668" s="74"/>
      <c r="H668" s="73"/>
      <c r="I668" s="73"/>
      <c r="J668" s="73"/>
      <c r="K668" s="73"/>
      <c r="L668" s="73"/>
      <c r="M668" s="73"/>
      <c r="N668" s="73"/>
      <c r="O668" s="73"/>
      <c r="P668" s="73"/>
      <c r="Q668" s="73"/>
      <c r="R668" s="73"/>
      <c r="S668" s="73"/>
      <c r="T668" s="73"/>
      <c r="U668" s="73"/>
      <c r="V668" s="73"/>
      <c r="W668" s="73"/>
      <c r="X668" s="73"/>
      <c r="Y668" s="73"/>
      <c r="Z668" s="73"/>
      <c r="AA668" s="73"/>
      <c r="AB668" s="73"/>
      <c r="AC668" s="73"/>
      <c r="AD668" s="73"/>
      <c r="AE668" s="73"/>
      <c r="AF668" s="73"/>
    </row>
    <row r="669" spans="1:32" ht="15.75" customHeight="1" x14ac:dyDescent="0.2">
      <c r="A669" s="73"/>
      <c r="B669" s="73"/>
      <c r="C669" s="74"/>
      <c r="D669" s="74"/>
      <c r="E669" s="74"/>
      <c r="F669" s="73"/>
      <c r="G669" s="74"/>
      <c r="H669" s="73"/>
      <c r="I669" s="73"/>
      <c r="J669" s="73"/>
      <c r="K669" s="73"/>
      <c r="L669" s="73"/>
      <c r="M669" s="73"/>
      <c r="N669" s="73"/>
      <c r="O669" s="73"/>
      <c r="P669" s="73"/>
      <c r="Q669" s="73"/>
      <c r="R669" s="73"/>
      <c r="S669" s="73"/>
      <c r="T669" s="73"/>
      <c r="U669" s="73"/>
      <c r="V669" s="73"/>
      <c r="W669" s="73"/>
      <c r="X669" s="73"/>
      <c r="Y669" s="73"/>
      <c r="Z669" s="73"/>
      <c r="AA669" s="73"/>
      <c r="AB669" s="73"/>
      <c r="AC669" s="73"/>
      <c r="AD669" s="73"/>
      <c r="AE669" s="73"/>
      <c r="AF669" s="73"/>
    </row>
    <row r="670" spans="1:32" ht="15.75" customHeight="1" x14ac:dyDescent="0.2">
      <c r="A670" s="73"/>
      <c r="B670" s="73"/>
      <c r="C670" s="74"/>
      <c r="D670" s="74"/>
      <c r="E670" s="74"/>
      <c r="F670" s="73"/>
      <c r="G670" s="74"/>
      <c r="H670" s="73"/>
      <c r="I670" s="73"/>
      <c r="J670" s="73"/>
      <c r="K670" s="73"/>
      <c r="L670" s="73"/>
      <c r="M670" s="73"/>
      <c r="N670" s="73"/>
      <c r="O670" s="73"/>
      <c r="P670" s="73"/>
      <c r="Q670" s="73"/>
      <c r="R670" s="73"/>
      <c r="S670" s="73"/>
      <c r="T670" s="73"/>
      <c r="U670" s="73"/>
      <c r="V670" s="73"/>
      <c r="W670" s="73"/>
      <c r="X670" s="73"/>
      <c r="Y670" s="73"/>
      <c r="Z670" s="73"/>
      <c r="AA670" s="73"/>
      <c r="AB670" s="73"/>
      <c r="AC670" s="73"/>
      <c r="AD670" s="73"/>
      <c r="AE670" s="73"/>
      <c r="AF670" s="73"/>
    </row>
    <row r="671" spans="1:32" ht="15.75" customHeight="1" x14ac:dyDescent="0.2">
      <c r="A671" s="73"/>
      <c r="B671" s="73"/>
      <c r="C671" s="74"/>
      <c r="D671" s="74"/>
      <c r="E671" s="74"/>
      <c r="F671" s="73"/>
      <c r="G671" s="74"/>
      <c r="H671" s="73"/>
      <c r="I671" s="73"/>
      <c r="J671" s="73"/>
      <c r="K671" s="73"/>
      <c r="L671" s="73"/>
      <c r="M671" s="73"/>
      <c r="N671" s="73"/>
      <c r="O671" s="73"/>
      <c r="P671" s="73"/>
      <c r="Q671" s="73"/>
      <c r="R671" s="73"/>
      <c r="S671" s="73"/>
      <c r="T671" s="73"/>
      <c r="U671" s="73"/>
      <c r="V671" s="73"/>
      <c r="W671" s="73"/>
      <c r="X671" s="73"/>
      <c r="Y671" s="73"/>
      <c r="Z671" s="73"/>
      <c r="AA671" s="73"/>
      <c r="AB671" s="73"/>
      <c r="AC671" s="73"/>
      <c r="AD671" s="73"/>
      <c r="AE671" s="73"/>
      <c r="AF671" s="73"/>
    </row>
    <row r="672" spans="1:32" ht="15.75" customHeight="1" x14ac:dyDescent="0.2">
      <c r="A672" s="73"/>
      <c r="B672" s="73"/>
      <c r="C672" s="74"/>
      <c r="D672" s="74"/>
      <c r="E672" s="74"/>
      <c r="F672" s="73"/>
      <c r="G672" s="74"/>
      <c r="H672" s="73"/>
      <c r="I672" s="73"/>
      <c r="J672" s="73"/>
      <c r="K672" s="73"/>
      <c r="L672" s="73"/>
      <c r="M672" s="73"/>
      <c r="N672" s="73"/>
      <c r="O672" s="73"/>
      <c r="P672" s="73"/>
      <c r="Q672" s="73"/>
      <c r="R672" s="73"/>
      <c r="S672" s="73"/>
      <c r="T672" s="73"/>
      <c r="U672" s="73"/>
      <c r="V672" s="73"/>
      <c r="W672" s="73"/>
      <c r="X672" s="73"/>
      <c r="Y672" s="73"/>
      <c r="Z672" s="73"/>
      <c r="AA672" s="73"/>
      <c r="AB672" s="73"/>
      <c r="AC672" s="73"/>
      <c r="AD672" s="73"/>
      <c r="AE672" s="73"/>
      <c r="AF672" s="73"/>
    </row>
    <row r="673" spans="1:32" ht="15.75" customHeight="1" x14ac:dyDescent="0.2">
      <c r="A673" s="73"/>
      <c r="B673" s="73"/>
      <c r="C673" s="74"/>
      <c r="D673" s="74"/>
      <c r="E673" s="74"/>
      <c r="F673" s="73"/>
      <c r="G673" s="74"/>
      <c r="H673" s="73"/>
      <c r="I673" s="73"/>
      <c r="J673" s="73"/>
      <c r="K673" s="73"/>
      <c r="L673" s="73"/>
      <c r="M673" s="73"/>
      <c r="N673" s="73"/>
      <c r="O673" s="73"/>
      <c r="P673" s="73"/>
      <c r="Q673" s="73"/>
      <c r="R673" s="73"/>
      <c r="S673" s="73"/>
      <c r="T673" s="73"/>
      <c r="U673" s="73"/>
      <c r="V673" s="73"/>
      <c r="W673" s="73"/>
      <c r="X673" s="73"/>
      <c r="Y673" s="73"/>
      <c r="Z673" s="73"/>
      <c r="AA673" s="73"/>
      <c r="AB673" s="73"/>
      <c r="AC673" s="73"/>
      <c r="AD673" s="73"/>
      <c r="AE673" s="73"/>
      <c r="AF673" s="73"/>
    </row>
    <row r="674" spans="1:32" ht="15.75" customHeight="1" x14ac:dyDescent="0.2">
      <c r="A674" s="73"/>
      <c r="B674" s="73"/>
      <c r="C674" s="74"/>
      <c r="D674" s="74"/>
      <c r="E674" s="74"/>
      <c r="F674" s="73"/>
      <c r="G674" s="74"/>
      <c r="H674" s="73"/>
      <c r="I674" s="73"/>
      <c r="J674" s="73"/>
      <c r="K674" s="73"/>
      <c r="L674" s="73"/>
      <c r="M674" s="73"/>
      <c r="N674" s="73"/>
      <c r="O674" s="73"/>
      <c r="P674" s="73"/>
      <c r="Q674" s="73"/>
      <c r="R674" s="73"/>
      <c r="S674" s="73"/>
      <c r="T674" s="73"/>
      <c r="U674" s="73"/>
      <c r="V674" s="73"/>
      <c r="W674" s="73"/>
      <c r="X674" s="73"/>
      <c r="Y674" s="73"/>
      <c r="Z674" s="73"/>
      <c r="AA674" s="73"/>
      <c r="AB674" s="73"/>
      <c r="AC674" s="73"/>
      <c r="AD674" s="73"/>
      <c r="AE674" s="73"/>
      <c r="AF674" s="73"/>
    </row>
    <row r="675" spans="1:32" ht="15.75" customHeight="1" x14ac:dyDescent="0.2">
      <c r="A675" s="73"/>
      <c r="B675" s="73"/>
      <c r="C675" s="74"/>
      <c r="D675" s="74"/>
      <c r="E675" s="74"/>
      <c r="F675" s="73"/>
      <c r="G675" s="74"/>
      <c r="H675" s="73"/>
      <c r="I675" s="73"/>
      <c r="J675" s="73"/>
      <c r="K675" s="73"/>
      <c r="L675" s="73"/>
      <c r="M675" s="73"/>
      <c r="N675" s="73"/>
      <c r="O675" s="73"/>
      <c r="P675" s="73"/>
      <c r="Q675" s="73"/>
      <c r="R675" s="73"/>
      <c r="S675" s="73"/>
      <c r="T675" s="73"/>
      <c r="U675" s="73"/>
      <c r="V675" s="73"/>
      <c r="W675" s="73"/>
      <c r="X675" s="73"/>
      <c r="Y675" s="73"/>
      <c r="Z675" s="73"/>
      <c r="AA675" s="73"/>
      <c r="AB675" s="73"/>
      <c r="AC675" s="73"/>
      <c r="AD675" s="73"/>
      <c r="AE675" s="73"/>
      <c r="AF675" s="73"/>
    </row>
    <row r="676" spans="1:32" ht="15.75" customHeight="1" x14ac:dyDescent="0.2">
      <c r="A676" s="73"/>
      <c r="B676" s="73"/>
      <c r="C676" s="74"/>
      <c r="D676" s="74"/>
      <c r="E676" s="74"/>
      <c r="F676" s="73"/>
      <c r="G676" s="74"/>
      <c r="H676" s="73"/>
      <c r="I676" s="73"/>
      <c r="J676" s="73"/>
      <c r="K676" s="73"/>
      <c r="L676" s="73"/>
      <c r="M676" s="73"/>
      <c r="N676" s="73"/>
      <c r="O676" s="73"/>
      <c r="P676" s="73"/>
      <c r="Q676" s="73"/>
      <c r="R676" s="73"/>
      <c r="S676" s="73"/>
      <c r="T676" s="73"/>
      <c r="U676" s="73"/>
      <c r="V676" s="73"/>
      <c r="W676" s="73"/>
      <c r="X676" s="73"/>
      <c r="Y676" s="73"/>
      <c r="Z676" s="73"/>
      <c r="AA676" s="73"/>
      <c r="AB676" s="73"/>
      <c r="AC676" s="73"/>
      <c r="AD676" s="73"/>
      <c r="AE676" s="73"/>
      <c r="AF676" s="73"/>
    </row>
    <row r="677" spans="1:32" ht="15.75" customHeight="1" x14ac:dyDescent="0.2">
      <c r="A677" s="73"/>
      <c r="B677" s="73"/>
      <c r="C677" s="74"/>
      <c r="D677" s="74"/>
      <c r="E677" s="74"/>
      <c r="F677" s="73"/>
      <c r="G677" s="74"/>
      <c r="H677" s="73"/>
      <c r="I677" s="73"/>
      <c r="J677" s="73"/>
      <c r="K677" s="73"/>
      <c r="L677" s="73"/>
      <c r="M677" s="73"/>
      <c r="N677" s="73"/>
      <c r="O677" s="73"/>
      <c r="P677" s="73"/>
      <c r="Q677" s="73"/>
      <c r="R677" s="73"/>
      <c r="S677" s="73"/>
      <c r="T677" s="73"/>
      <c r="U677" s="73"/>
      <c r="V677" s="73"/>
      <c r="W677" s="73"/>
      <c r="X677" s="73"/>
      <c r="Y677" s="73"/>
      <c r="Z677" s="73"/>
      <c r="AA677" s="73"/>
      <c r="AB677" s="73"/>
      <c r="AC677" s="73"/>
      <c r="AD677" s="73"/>
      <c r="AE677" s="73"/>
      <c r="AF677" s="73"/>
    </row>
    <row r="678" spans="1:32" ht="15.75" customHeight="1" x14ac:dyDescent="0.2">
      <c r="A678" s="73"/>
      <c r="B678" s="73"/>
      <c r="C678" s="74"/>
      <c r="D678" s="74"/>
      <c r="E678" s="74"/>
      <c r="F678" s="73"/>
      <c r="G678" s="74"/>
      <c r="H678" s="73"/>
      <c r="I678" s="73"/>
      <c r="J678" s="73"/>
      <c r="K678" s="73"/>
      <c r="L678" s="73"/>
      <c r="M678" s="73"/>
      <c r="N678" s="73"/>
      <c r="O678" s="73"/>
      <c r="P678" s="73"/>
      <c r="Q678" s="73"/>
      <c r="R678" s="73"/>
      <c r="S678" s="73"/>
      <c r="T678" s="73"/>
      <c r="U678" s="73"/>
      <c r="V678" s="73"/>
      <c r="W678" s="73"/>
      <c r="X678" s="73"/>
      <c r="Y678" s="73"/>
      <c r="Z678" s="73"/>
      <c r="AA678" s="73"/>
      <c r="AB678" s="73"/>
      <c r="AC678" s="73"/>
      <c r="AD678" s="73"/>
      <c r="AE678" s="73"/>
      <c r="AF678" s="73"/>
    </row>
    <row r="679" spans="1:32" ht="15.75" customHeight="1" x14ac:dyDescent="0.2">
      <c r="A679" s="73"/>
      <c r="B679" s="73"/>
      <c r="C679" s="74"/>
      <c r="D679" s="74"/>
      <c r="E679" s="74"/>
      <c r="F679" s="73"/>
      <c r="G679" s="74"/>
      <c r="H679" s="73"/>
      <c r="I679" s="73"/>
      <c r="J679" s="73"/>
      <c r="K679" s="73"/>
      <c r="L679" s="73"/>
      <c r="M679" s="73"/>
      <c r="N679" s="73"/>
      <c r="O679" s="73"/>
      <c r="P679" s="73"/>
      <c r="Q679" s="73"/>
      <c r="R679" s="73"/>
      <c r="S679" s="73"/>
      <c r="T679" s="73"/>
      <c r="U679" s="73"/>
      <c r="V679" s="73"/>
      <c r="W679" s="73"/>
      <c r="X679" s="73"/>
      <c r="Y679" s="73"/>
      <c r="Z679" s="73"/>
      <c r="AA679" s="73"/>
      <c r="AB679" s="73"/>
      <c r="AC679" s="73"/>
      <c r="AD679" s="73"/>
      <c r="AE679" s="73"/>
      <c r="AF679" s="73"/>
    </row>
    <row r="680" spans="1:32" ht="15.75" customHeight="1" x14ac:dyDescent="0.2">
      <c r="A680" s="73"/>
      <c r="B680" s="73"/>
      <c r="C680" s="74"/>
      <c r="D680" s="74"/>
      <c r="E680" s="74"/>
      <c r="F680" s="73"/>
      <c r="G680" s="74"/>
      <c r="H680" s="73"/>
      <c r="I680" s="73"/>
      <c r="J680" s="73"/>
      <c r="K680" s="73"/>
      <c r="L680" s="73"/>
      <c r="M680" s="73"/>
      <c r="N680" s="73"/>
      <c r="O680" s="73"/>
      <c r="P680" s="73"/>
      <c r="Q680" s="73"/>
      <c r="R680" s="73"/>
      <c r="S680" s="73"/>
      <c r="T680" s="73"/>
      <c r="U680" s="73"/>
      <c r="V680" s="73"/>
      <c r="W680" s="73"/>
      <c r="X680" s="73"/>
      <c r="Y680" s="73"/>
      <c r="Z680" s="73"/>
      <c r="AA680" s="73"/>
      <c r="AB680" s="73"/>
      <c r="AC680" s="73"/>
      <c r="AD680" s="73"/>
      <c r="AE680" s="73"/>
      <c r="AF680" s="73"/>
    </row>
    <row r="681" spans="1:32" ht="15.75" customHeight="1" x14ac:dyDescent="0.2">
      <c r="A681" s="73"/>
      <c r="B681" s="73"/>
      <c r="C681" s="74"/>
      <c r="D681" s="74"/>
      <c r="E681" s="74"/>
      <c r="F681" s="73"/>
      <c r="G681" s="74"/>
      <c r="H681" s="73"/>
      <c r="I681" s="73"/>
      <c r="J681" s="73"/>
      <c r="K681" s="73"/>
      <c r="L681" s="73"/>
      <c r="M681" s="73"/>
      <c r="N681" s="73"/>
      <c r="O681" s="73"/>
      <c r="P681" s="73"/>
      <c r="Q681" s="73"/>
      <c r="R681" s="73"/>
      <c r="S681" s="73"/>
      <c r="T681" s="73"/>
      <c r="U681" s="73"/>
      <c r="V681" s="73"/>
      <c r="W681" s="73"/>
      <c r="X681" s="73"/>
      <c r="Y681" s="73"/>
      <c r="Z681" s="73"/>
      <c r="AA681" s="73"/>
      <c r="AB681" s="73"/>
      <c r="AC681" s="73"/>
      <c r="AD681" s="73"/>
      <c r="AE681" s="73"/>
      <c r="AF681" s="73"/>
    </row>
    <row r="682" spans="1:32" ht="15.75" customHeight="1" x14ac:dyDescent="0.2">
      <c r="A682" s="73"/>
      <c r="B682" s="73"/>
      <c r="C682" s="74"/>
      <c r="D682" s="74"/>
      <c r="E682" s="74"/>
      <c r="F682" s="73"/>
      <c r="G682" s="74"/>
      <c r="H682" s="73"/>
      <c r="I682" s="73"/>
      <c r="J682" s="73"/>
      <c r="K682" s="73"/>
      <c r="L682" s="73"/>
      <c r="M682" s="73"/>
      <c r="N682" s="73"/>
      <c r="O682" s="73"/>
      <c r="P682" s="73"/>
      <c r="Q682" s="73"/>
      <c r="R682" s="73"/>
      <c r="S682" s="73"/>
      <c r="T682" s="73"/>
      <c r="U682" s="73"/>
      <c r="V682" s="73"/>
      <c r="W682" s="73"/>
      <c r="X682" s="73"/>
      <c r="Y682" s="73"/>
      <c r="Z682" s="73"/>
      <c r="AA682" s="73"/>
      <c r="AB682" s="73"/>
      <c r="AC682" s="73"/>
      <c r="AD682" s="73"/>
      <c r="AE682" s="73"/>
      <c r="AF682" s="73"/>
    </row>
    <row r="683" spans="1:32" ht="15.75" customHeight="1" x14ac:dyDescent="0.2">
      <c r="A683" s="73"/>
      <c r="B683" s="73"/>
      <c r="C683" s="74"/>
      <c r="D683" s="74"/>
      <c r="E683" s="74"/>
      <c r="F683" s="73"/>
      <c r="G683" s="74"/>
      <c r="H683" s="73"/>
      <c r="I683" s="73"/>
      <c r="J683" s="73"/>
      <c r="K683" s="73"/>
      <c r="L683" s="73"/>
      <c r="M683" s="73"/>
      <c r="N683" s="73"/>
      <c r="O683" s="73"/>
      <c r="P683" s="73"/>
      <c r="Q683" s="73"/>
      <c r="R683" s="73"/>
      <c r="S683" s="73"/>
      <c r="T683" s="73"/>
      <c r="U683" s="73"/>
      <c r="V683" s="73"/>
      <c r="W683" s="73"/>
      <c r="X683" s="73"/>
      <c r="Y683" s="73"/>
      <c r="Z683" s="73"/>
      <c r="AA683" s="73"/>
      <c r="AB683" s="73"/>
      <c r="AC683" s="73"/>
      <c r="AD683" s="73"/>
      <c r="AE683" s="73"/>
      <c r="AF683" s="73"/>
    </row>
    <row r="684" spans="1:32" ht="15.75" customHeight="1" x14ac:dyDescent="0.2">
      <c r="A684" s="73"/>
      <c r="B684" s="73"/>
      <c r="C684" s="74"/>
      <c r="D684" s="74"/>
      <c r="E684" s="74"/>
      <c r="F684" s="73"/>
      <c r="G684" s="74"/>
      <c r="H684" s="73"/>
      <c r="I684" s="73"/>
      <c r="J684" s="73"/>
      <c r="K684" s="73"/>
      <c r="L684" s="73"/>
      <c r="M684" s="73"/>
      <c r="N684" s="73"/>
      <c r="O684" s="73"/>
      <c r="P684" s="73"/>
      <c r="Q684" s="73"/>
      <c r="R684" s="73"/>
      <c r="S684" s="73"/>
      <c r="T684" s="73"/>
      <c r="U684" s="73"/>
      <c r="V684" s="73"/>
      <c r="W684" s="73"/>
      <c r="X684" s="73"/>
      <c r="Y684" s="73"/>
      <c r="Z684" s="73"/>
      <c r="AA684" s="73"/>
      <c r="AB684" s="73"/>
      <c r="AC684" s="73"/>
      <c r="AD684" s="73"/>
      <c r="AE684" s="73"/>
      <c r="AF684" s="73"/>
    </row>
    <row r="685" spans="1:32" ht="15.75" customHeight="1" x14ac:dyDescent="0.2">
      <c r="A685" s="73"/>
      <c r="B685" s="73"/>
      <c r="C685" s="74"/>
      <c r="D685" s="74"/>
      <c r="E685" s="74"/>
      <c r="F685" s="73"/>
      <c r="G685" s="74"/>
      <c r="H685" s="73"/>
      <c r="I685" s="73"/>
      <c r="J685" s="73"/>
      <c r="K685" s="73"/>
      <c r="L685" s="73"/>
      <c r="M685" s="73"/>
      <c r="N685" s="73"/>
      <c r="O685" s="73"/>
      <c r="P685" s="73"/>
      <c r="Q685" s="73"/>
      <c r="R685" s="73"/>
      <c r="S685" s="73"/>
      <c r="T685" s="73"/>
      <c r="U685" s="73"/>
      <c r="V685" s="73"/>
      <c r="W685" s="73"/>
      <c r="X685" s="73"/>
      <c r="Y685" s="73"/>
      <c r="Z685" s="73"/>
      <c r="AA685" s="73"/>
      <c r="AB685" s="73"/>
      <c r="AC685" s="73"/>
      <c r="AD685" s="73"/>
      <c r="AE685" s="73"/>
      <c r="AF685" s="73"/>
    </row>
    <row r="686" spans="1:32" ht="15.75" customHeight="1" x14ac:dyDescent="0.2">
      <c r="A686" s="73"/>
      <c r="B686" s="73"/>
      <c r="C686" s="74"/>
      <c r="D686" s="74"/>
      <c r="E686" s="74"/>
      <c r="F686" s="73"/>
      <c r="G686" s="74"/>
      <c r="H686" s="73"/>
      <c r="I686" s="73"/>
      <c r="J686" s="73"/>
      <c r="K686" s="73"/>
      <c r="L686" s="73"/>
      <c r="M686" s="73"/>
      <c r="N686" s="73"/>
      <c r="O686" s="73"/>
      <c r="P686" s="73"/>
      <c r="Q686" s="73"/>
      <c r="R686" s="73"/>
      <c r="S686" s="73"/>
      <c r="T686" s="73"/>
      <c r="U686" s="73"/>
      <c r="V686" s="73"/>
      <c r="W686" s="73"/>
      <c r="X686" s="73"/>
      <c r="Y686" s="73"/>
      <c r="Z686" s="73"/>
      <c r="AA686" s="73"/>
      <c r="AB686" s="73"/>
      <c r="AC686" s="73"/>
      <c r="AD686" s="73"/>
      <c r="AE686" s="73"/>
      <c r="AF686" s="73"/>
    </row>
    <row r="687" spans="1:32" ht="15.75" customHeight="1" x14ac:dyDescent="0.2">
      <c r="A687" s="73"/>
      <c r="B687" s="73"/>
      <c r="C687" s="74"/>
      <c r="D687" s="74"/>
      <c r="E687" s="74"/>
      <c r="F687" s="73"/>
      <c r="G687" s="74"/>
      <c r="H687" s="73"/>
      <c r="I687" s="73"/>
      <c r="J687" s="73"/>
      <c r="K687" s="73"/>
      <c r="L687" s="73"/>
      <c r="M687" s="73"/>
      <c r="N687" s="73"/>
      <c r="O687" s="73"/>
      <c r="P687" s="73"/>
      <c r="Q687" s="73"/>
      <c r="R687" s="73"/>
      <c r="S687" s="73"/>
      <c r="T687" s="73"/>
      <c r="U687" s="73"/>
      <c r="V687" s="73"/>
      <c r="W687" s="73"/>
      <c r="X687" s="73"/>
      <c r="Y687" s="73"/>
      <c r="Z687" s="73"/>
      <c r="AA687" s="73"/>
      <c r="AB687" s="73"/>
      <c r="AC687" s="73"/>
      <c r="AD687" s="73"/>
      <c r="AE687" s="73"/>
      <c r="AF687" s="73"/>
    </row>
    <row r="688" spans="1:32" ht="15.75" customHeight="1" x14ac:dyDescent="0.2">
      <c r="A688" s="73"/>
      <c r="B688" s="73"/>
      <c r="C688" s="74"/>
      <c r="D688" s="74"/>
      <c r="E688" s="74"/>
      <c r="F688" s="73"/>
      <c r="G688" s="74"/>
      <c r="H688" s="73"/>
      <c r="I688" s="73"/>
      <c r="J688" s="73"/>
      <c r="K688" s="73"/>
      <c r="L688" s="73"/>
      <c r="M688" s="73"/>
      <c r="N688" s="73"/>
      <c r="O688" s="73"/>
      <c r="P688" s="73"/>
      <c r="Q688" s="73"/>
      <c r="R688" s="73"/>
      <c r="S688" s="73"/>
      <c r="T688" s="73"/>
      <c r="U688" s="73"/>
      <c r="V688" s="73"/>
      <c r="W688" s="73"/>
      <c r="X688" s="73"/>
      <c r="Y688" s="73"/>
      <c r="Z688" s="73"/>
      <c r="AA688" s="73"/>
      <c r="AB688" s="73"/>
      <c r="AC688" s="73"/>
      <c r="AD688" s="73"/>
      <c r="AE688" s="73"/>
      <c r="AF688" s="73"/>
    </row>
    <row r="689" spans="1:32" ht="15.75" customHeight="1" x14ac:dyDescent="0.2">
      <c r="A689" s="73"/>
      <c r="B689" s="73"/>
      <c r="C689" s="74"/>
      <c r="D689" s="74"/>
      <c r="E689" s="74"/>
      <c r="F689" s="73"/>
      <c r="G689" s="74"/>
      <c r="H689" s="73"/>
      <c r="I689" s="73"/>
      <c r="J689" s="73"/>
      <c r="K689" s="73"/>
      <c r="L689" s="73"/>
      <c r="M689" s="73"/>
      <c r="N689" s="73"/>
      <c r="O689" s="73"/>
      <c r="P689" s="73"/>
      <c r="Q689" s="73"/>
      <c r="R689" s="73"/>
      <c r="S689" s="73"/>
      <c r="T689" s="73"/>
      <c r="U689" s="73"/>
      <c r="V689" s="73"/>
      <c r="W689" s="73"/>
      <c r="X689" s="73"/>
      <c r="Y689" s="73"/>
      <c r="Z689" s="73"/>
      <c r="AA689" s="73"/>
      <c r="AB689" s="73"/>
      <c r="AC689" s="73"/>
      <c r="AD689" s="73"/>
      <c r="AE689" s="73"/>
      <c r="AF689" s="73"/>
    </row>
    <row r="690" spans="1:32" ht="15.75" customHeight="1" x14ac:dyDescent="0.2">
      <c r="A690" s="73"/>
      <c r="B690" s="73"/>
      <c r="C690" s="74"/>
      <c r="D690" s="74"/>
      <c r="E690" s="74"/>
      <c r="F690" s="73"/>
      <c r="G690" s="74"/>
      <c r="H690" s="73"/>
      <c r="I690" s="73"/>
      <c r="J690" s="73"/>
      <c r="K690" s="73"/>
      <c r="L690" s="73"/>
      <c r="M690" s="73"/>
      <c r="N690" s="73"/>
      <c r="O690" s="73"/>
      <c r="P690" s="73"/>
      <c r="Q690" s="73"/>
      <c r="R690" s="73"/>
      <c r="S690" s="73"/>
      <c r="T690" s="73"/>
      <c r="U690" s="73"/>
      <c r="V690" s="73"/>
      <c r="W690" s="73"/>
      <c r="X690" s="73"/>
      <c r="Y690" s="73"/>
      <c r="Z690" s="73"/>
      <c r="AA690" s="73"/>
      <c r="AB690" s="73"/>
      <c r="AC690" s="73"/>
      <c r="AD690" s="73"/>
      <c r="AE690" s="73"/>
      <c r="AF690" s="73"/>
    </row>
    <row r="691" spans="1:32" ht="15.75" customHeight="1" x14ac:dyDescent="0.2">
      <c r="A691" s="73"/>
      <c r="B691" s="73"/>
      <c r="C691" s="74"/>
      <c r="D691" s="74"/>
      <c r="E691" s="74"/>
      <c r="F691" s="73"/>
      <c r="G691" s="74"/>
      <c r="H691" s="73"/>
      <c r="I691" s="73"/>
      <c r="J691" s="73"/>
      <c r="K691" s="73"/>
      <c r="L691" s="73"/>
      <c r="M691" s="73"/>
      <c r="N691" s="73"/>
      <c r="O691" s="73"/>
      <c r="P691" s="73"/>
      <c r="Q691" s="73"/>
      <c r="R691" s="73"/>
      <c r="S691" s="73"/>
      <c r="T691" s="73"/>
      <c r="U691" s="73"/>
      <c r="V691" s="73"/>
      <c r="W691" s="73"/>
      <c r="X691" s="73"/>
      <c r="Y691" s="73"/>
      <c r="Z691" s="73"/>
      <c r="AA691" s="73"/>
      <c r="AB691" s="73"/>
      <c r="AC691" s="73"/>
      <c r="AD691" s="73"/>
      <c r="AE691" s="73"/>
      <c r="AF691" s="73"/>
    </row>
    <row r="692" spans="1:32" ht="15.75" customHeight="1" x14ac:dyDescent="0.2">
      <c r="A692" s="73"/>
      <c r="B692" s="73"/>
      <c r="C692" s="74"/>
      <c r="D692" s="74"/>
      <c r="E692" s="74"/>
      <c r="F692" s="73"/>
      <c r="G692" s="74"/>
      <c r="H692" s="73"/>
      <c r="I692" s="73"/>
      <c r="J692" s="73"/>
      <c r="K692" s="73"/>
      <c r="L692" s="73"/>
      <c r="M692" s="73"/>
      <c r="N692" s="73"/>
      <c r="O692" s="73"/>
      <c r="P692" s="73"/>
      <c r="Q692" s="73"/>
      <c r="R692" s="73"/>
      <c r="S692" s="73"/>
      <c r="T692" s="73"/>
      <c r="U692" s="73"/>
      <c r="V692" s="73"/>
      <c r="W692" s="73"/>
      <c r="X692" s="73"/>
      <c r="Y692" s="73"/>
      <c r="Z692" s="73"/>
      <c r="AA692" s="73"/>
      <c r="AB692" s="73"/>
      <c r="AC692" s="73"/>
      <c r="AD692" s="73"/>
      <c r="AE692" s="73"/>
      <c r="AF692" s="73"/>
    </row>
    <row r="693" spans="1:32" ht="15.75" customHeight="1" x14ac:dyDescent="0.2">
      <c r="A693" s="73"/>
      <c r="B693" s="73"/>
      <c r="C693" s="74"/>
      <c r="D693" s="74"/>
      <c r="E693" s="74"/>
      <c r="F693" s="73"/>
      <c r="G693" s="74"/>
      <c r="H693" s="73"/>
      <c r="I693" s="73"/>
      <c r="J693" s="73"/>
      <c r="K693" s="73"/>
      <c r="L693" s="73"/>
      <c r="M693" s="73"/>
      <c r="N693" s="73"/>
      <c r="O693" s="73"/>
      <c r="P693" s="73"/>
      <c r="Q693" s="73"/>
      <c r="R693" s="73"/>
      <c r="S693" s="73"/>
      <c r="T693" s="73"/>
      <c r="U693" s="73"/>
      <c r="V693" s="73"/>
      <c r="W693" s="73"/>
      <c r="X693" s="73"/>
      <c r="Y693" s="73"/>
      <c r="Z693" s="73"/>
      <c r="AA693" s="73"/>
      <c r="AB693" s="73"/>
      <c r="AC693" s="73"/>
      <c r="AD693" s="73"/>
      <c r="AE693" s="73"/>
      <c r="AF693" s="73"/>
    </row>
    <row r="694" spans="1:32" ht="15.75" customHeight="1" x14ac:dyDescent="0.2">
      <c r="A694" s="73"/>
      <c r="B694" s="73"/>
      <c r="C694" s="74"/>
      <c r="D694" s="74"/>
      <c r="E694" s="74"/>
      <c r="F694" s="73"/>
      <c r="G694" s="74"/>
      <c r="H694" s="73"/>
      <c r="I694" s="73"/>
      <c r="J694" s="73"/>
      <c r="K694" s="73"/>
      <c r="L694" s="73"/>
      <c r="M694" s="73"/>
      <c r="N694" s="73"/>
      <c r="O694" s="73"/>
      <c r="P694" s="73"/>
      <c r="Q694" s="73"/>
      <c r="R694" s="73"/>
      <c r="S694" s="73"/>
      <c r="T694" s="73"/>
      <c r="U694" s="73"/>
      <c r="V694" s="73"/>
      <c r="W694" s="73"/>
      <c r="X694" s="73"/>
      <c r="Y694" s="73"/>
      <c r="Z694" s="73"/>
      <c r="AA694" s="73"/>
      <c r="AB694" s="73"/>
      <c r="AC694" s="73"/>
      <c r="AD694" s="73"/>
      <c r="AE694" s="73"/>
      <c r="AF694" s="73"/>
    </row>
    <row r="695" spans="1:32" ht="15.75" customHeight="1" x14ac:dyDescent="0.2">
      <c r="A695" s="73"/>
      <c r="B695" s="73"/>
      <c r="C695" s="74"/>
      <c r="D695" s="74"/>
      <c r="E695" s="74"/>
      <c r="F695" s="73"/>
      <c r="G695" s="74"/>
      <c r="H695" s="73"/>
      <c r="I695" s="73"/>
      <c r="J695" s="73"/>
      <c r="K695" s="73"/>
      <c r="L695" s="73"/>
      <c r="M695" s="73"/>
      <c r="N695" s="73"/>
      <c r="O695" s="73"/>
      <c r="P695" s="73"/>
      <c r="Q695" s="73"/>
      <c r="R695" s="73"/>
      <c r="S695" s="73"/>
      <c r="T695" s="73"/>
      <c r="U695" s="73"/>
      <c r="V695" s="73"/>
      <c r="W695" s="73"/>
      <c r="X695" s="73"/>
      <c r="Y695" s="73"/>
      <c r="Z695" s="73"/>
      <c r="AA695" s="73"/>
      <c r="AB695" s="73"/>
      <c r="AC695" s="73"/>
      <c r="AD695" s="73"/>
      <c r="AE695" s="73"/>
      <c r="AF695" s="73"/>
    </row>
    <row r="696" spans="1:32" ht="15.75" customHeight="1" x14ac:dyDescent="0.2">
      <c r="A696" s="73"/>
      <c r="B696" s="73"/>
      <c r="C696" s="74"/>
      <c r="D696" s="74"/>
      <c r="E696" s="74"/>
      <c r="F696" s="73"/>
      <c r="G696" s="74"/>
      <c r="H696" s="73"/>
      <c r="I696" s="73"/>
      <c r="J696" s="73"/>
      <c r="K696" s="73"/>
      <c r="L696" s="73"/>
      <c r="M696" s="73"/>
      <c r="N696" s="73"/>
      <c r="O696" s="73"/>
      <c r="P696" s="73"/>
      <c r="Q696" s="73"/>
      <c r="R696" s="73"/>
      <c r="S696" s="73"/>
      <c r="T696" s="73"/>
      <c r="U696" s="73"/>
      <c r="V696" s="73"/>
      <c r="W696" s="73"/>
      <c r="X696" s="73"/>
      <c r="Y696" s="73"/>
      <c r="Z696" s="73"/>
      <c r="AA696" s="73"/>
      <c r="AB696" s="73"/>
      <c r="AC696" s="73"/>
      <c r="AD696" s="73"/>
      <c r="AE696" s="73"/>
      <c r="AF696" s="73"/>
    </row>
    <row r="697" spans="1:32" ht="15.75" customHeight="1" x14ac:dyDescent="0.2">
      <c r="A697" s="73"/>
      <c r="B697" s="73"/>
      <c r="C697" s="74"/>
      <c r="D697" s="74"/>
      <c r="E697" s="74"/>
      <c r="F697" s="73"/>
      <c r="G697" s="74"/>
      <c r="H697" s="73"/>
      <c r="I697" s="73"/>
      <c r="J697" s="73"/>
      <c r="K697" s="73"/>
      <c r="L697" s="73"/>
      <c r="M697" s="73"/>
      <c r="N697" s="73"/>
      <c r="O697" s="73"/>
      <c r="P697" s="73"/>
      <c r="Q697" s="73"/>
      <c r="R697" s="73"/>
      <c r="S697" s="73"/>
      <c r="T697" s="73"/>
      <c r="U697" s="73"/>
      <c r="V697" s="73"/>
      <c r="W697" s="73"/>
      <c r="X697" s="73"/>
      <c r="Y697" s="73"/>
      <c r="Z697" s="73"/>
      <c r="AA697" s="73"/>
      <c r="AB697" s="73"/>
      <c r="AC697" s="73"/>
      <c r="AD697" s="73"/>
      <c r="AE697" s="73"/>
      <c r="AF697" s="73"/>
    </row>
    <row r="698" spans="1:32" ht="15.75" customHeight="1" x14ac:dyDescent="0.2">
      <c r="A698" s="73"/>
      <c r="B698" s="73"/>
      <c r="C698" s="74"/>
      <c r="D698" s="74"/>
      <c r="E698" s="74"/>
      <c r="F698" s="73"/>
      <c r="G698" s="74"/>
      <c r="H698" s="73"/>
      <c r="I698" s="73"/>
      <c r="J698" s="73"/>
      <c r="K698" s="73"/>
      <c r="L698" s="73"/>
      <c r="M698" s="73"/>
      <c r="N698" s="73"/>
      <c r="O698" s="73"/>
      <c r="P698" s="73"/>
      <c r="Q698" s="73"/>
      <c r="R698" s="73"/>
      <c r="S698" s="73"/>
      <c r="T698" s="73"/>
      <c r="U698" s="73"/>
      <c r="V698" s="73"/>
      <c r="W698" s="73"/>
      <c r="X698" s="73"/>
      <c r="Y698" s="73"/>
      <c r="Z698" s="73"/>
      <c r="AA698" s="73"/>
      <c r="AB698" s="73"/>
      <c r="AC698" s="73"/>
      <c r="AD698" s="73"/>
      <c r="AE698" s="73"/>
      <c r="AF698" s="73"/>
    </row>
    <row r="699" spans="1:32" ht="15.75" customHeight="1" x14ac:dyDescent="0.2">
      <c r="A699" s="73"/>
      <c r="B699" s="73"/>
      <c r="C699" s="74"/>
      <c r="D699" s="74"/>
      <c r="E699" s="74"/>
      <c r="F699" s="73"/>
      <c r="G699" s="74"/>
      <c r="H699" s="73"/>
      <c r="I699" s="73"/>
      <c r="J699" s="73"/>
      <c r="K699" s="73"/>
      <c r="L699" s="73"/>
      <c r="M699" s="73"/>
      <c r="N699" s="73"/>
      <c r="O699" s="73"/>
      <c r="P699" s="73"/>
      <c r="Q699" s="73"/>
      <c r="R699" s="73"/>
      <c r="S699" s="73"/>
      <c r="T699" s="73"/>
      <c r="U699" s="73"/>
      <c r="V699" s="73"/>
      <c r="W699" s="73"/>
      <c r="X699" s="73"/>
      <c r="Y699" s="73"/>
      <c r="Z699" s="73"/>
      <c r="AA699" s="73"/>
      <c r="AB699" s="73"/>
      <c r="AC699" s="73"/>
      <c r="AD699" s="73"/>
      <c r="AE699" s="73"/>
      <c r="AF699" s="73"/>
    </row>
    <row r="700" spans="1:32" ht="15.75" customHeight="1" x14ac:dyDescent="0.2">
      <c r="A700" s="73"/>
      <c r="B700" s="73"/>
      <c r="C700" s="74"/>
      <c r="D700" s="74"/>
      <c r="E700" s="74"/>
      <c r="F700" s="73"/>
      <c r="G700" s="74"/>
      <c r="H700" s="73"/>
      <c r="I700" s="73"/>
      <c r="J700" s="73"/>
      <c r="K700" s="73"/>
      <c r="L700" s="73"/>
      <c r="M700" s="73"/>
      <c r="N700" s="73"/>
      <c r="O700" s="73"/>
      <c r="P700" s="73"/>
      <c r="Q700" s="73"/>
      <c r="R700" s="73"/>
      <c r="S700" s="73"/>
      <c r="T700" s="73"/>
      <c r="U700" s="73"/>
      <c r="V700" s="73"/>
      <c r="W700" s="73"/>
      <c r="X700" s="73"/>
      <c r="Y700" s="73"/>
      <c r="Z700" s="73"/>
      <c r="AA700" s="73"/>
      <c r="AB700" s="73"/>
      <c r="AC700" s="73"/>
      <c r="AD700" s="73"/>
      <c r="AE700" s="73"/>
      <c r="AF700" s="73"/>
    </row>
    <row r="701" spans="1:32" ht="15.75" customHeight="1" x14ac:dyDescent="0.2">
      <c r="A701" s="73"/>
      <c r="B701" s="73"/>
      <c r="C701" s="74"/>
      <c r="D701" s="74"/>
      <c r="E701" s="74"/>
      <c r="F701" s="73"/>
      <c r="G701" s="74"/>
      <c r="H701" s="73"/>
      <c r="I701" s="73"/>
      <c r="J701" s="73"/>
      <c r="K701" s="73"/>
      <c r="L701" s="73"/>
      <c r="M701" s="73"/>
      <c r="N701" s="73"/>
      <c r="O701" s="73"/>
      <c r="P701" s="73"/>
      <c r="Q701" s="73"/>
      <c r="R701" s="73"/>
      <c r="S701" s="73"/>
      <c r="T701" s="73"/>
      <c r="U701" s="73"/>
      <c r="V701" s="73"/>
      <c r="W701" s="73"/>
      <c r="X701" s="73"/>
      <c r="Y701" s="73"/>
      <c r="Z701" s="73"/>
      <c r="AA701" s="73"/>
      <c r="AB701" s="73"/>
      <c r="AC701" s="73"/>
      <c r="AD701" s="73"/>
      <c r="AE701" s="73"/>
      <c r="AF701" s="73"/>
    </row>
    <row r="702" spans="1:32" ht="15.75" customHeight="1" x14ac:dyDescent="0.2">
      <c r="A702" s="73"/>
      <c r="B702" s="73"/>
      <c r="C702" s="74"/>
      <c r="D702" s="74"/>
      <c r="E702" s="74"/>
      <c r="F702" s="73"/>
      <c r="G702" s="74"/>
      <c r="H702" s="73"/>
      <c r="I702" s="73"/>
      <c r="J702" s="73"/>
      <c r="K702" s="73"/>
      <c r="L702" s="73"/>
      <c r="M702" s="73"/>
      <c r="N702" s="73"/>
      <c r="O702" s="73"/>
      <c r="P702" s="73"/>
      <c r="Q702" s="73"/>
      <c r="R702" s="73"/>
      <c r="S702" s="73"/>
      <c r="T702" s="73"/>
      <c r="U702" s="73"/>
      <c r="V702" s="73"/>
      <c r="W702" s="73"/>
      <c r="X702" s="73"/>
      <c r="Y702" s="73"/>
      <c r="Z702" s="73"/>
      <c r="AA702" s="73"/>
      <c r="AB702" s="73"/>
      <c r="AC702" s="73"/>
      <c r="AD702" s="73"/>
      <c r="AE702" s="73"/>
      <c r="AF702" s="73"/>
    </row>
    <row r="703" spans="1:32" ht="15.75" customHeight="1" x14ac:dyDescent="0.2">
      <c r="A703" s="73"/>
      <c r="B703" s="73"/>
      <c r="C703" s="74"/>
      <c r="D703" s="74"/>
      <c r="E703" s="74"/>
      <c r="F703" s="73"/>
      <c r="G703" s="74"/>
      <c r="H703" s="73"/>
      <c r="I703" s="73"/>
      <c r="J703" s="73"/>
      <c r="K703" s="73"/>
      <c r="L703" s="73"/>
      <c r="M703" s="73"/>
      <c r="N703" s="73"/>
      <c r="O703" s="73"/>
      <c r="P703" s="73"/>
      <c r="Q703" s="73"/>
      <c r="R703" s="73"/>
      <c r="S703" s="73"/>
      <c r="T703" s="73"/>
      <c r="U703" s="73"/>
      <c r="V703" s="73"/>
      <c r="W703" s="73"/>
      <c r="X703" s="73"/>
      <c r="Y703" s="73"/>
      <c r="Z703" s="73"/>
      <c r="AA703" s="73"/>
      <c r="AB703" s="73"/>
      <c r="AC703" s="73"/>
      <c r="AD703" s="73"/>
      <c r="AE703" s="73"/>
      <c r="AF703" s="73"/>
    </row>
    <row r="704" spans="1:32" ht="15.75" customHeight="1" x14ac:dyDescent="0.2">
      <c r="A704" s="73"/>
      <c r="B704" s="73"/>
      <c r="C704" s="74"/>
      <c r="D704" s="74"/>
      <c r="E704" s="74"/>
      <c r="F704" s="73"/>
      <c r="G704" s="74"/>
      <c r="H704" s="73"/>
      <c r="I704" s="73"/>
      <c r="J704" s="73"/>
      <c r="K704" s="73"/>
      <c r="L704" s="73"/>
      <c r="M704" s="73"/>
      <c r="N704" s="73"/>
      <c r="O704" s="73"/>
      <c r="P704" s="73"/>
      <c r="Q704" s="73"/>
      <c r="R704" s="73"/>
      <c r="S704" s="73"/>
      <c r="T704" s="73"/>
      <c r="U704" s="73"/>
      <c r="V704" s="73"/>
      <c r="W704" s="73"/>
      <c r="X704" s="73"/>
      <c r="Y704" s="73"/>
      <c r="Z704" s="73"/>
      <c r="AA704" s="73"/>
      <c r="AB704" s="73"/>
      <c r="AC704" s="73"/>
      <c r="AD704" s="73"/>
      <c r="AE704" s="73"/>
      <c r="AF704" s="73"/>
    </row>
    <row r="705" spans="1:32" ht="15.75" customHeight="1" x14ac:dyDescent="0.2">
      <c r="A705" s="73"/>
      <c r="B705" s="73"/>
      <c r="C705" s="74"/>
      <c r="D705" s="74"/>
      <c r="E705" s="74"/>
      <c r="F705" s="73"/>
      <c r="G705" s="74"/>
      <c r="H705" s="73"/>
      <c r="I705" s="73"/>
      <c r="J705" s="73"/>
      <c r="K705" s="73"/>
      <c r="L705" s="73"/>
      <c r="M705" s="73"/>
      <c r="N705" s="73"/>
      <c r="O705" s="73"/>
      <c r="P705" s="73"/>
      <c r="Q705" s="73"/>
      <c r="R705" s="73"/>
      <c r="S705" s="73"/>
      <c r="T705" s="73"/>
      <c r="U705" s="73"/>
      <c r="V705" s="73"/>
      <c r="W705" s="73"/>
      <c r="X705" s="73"/>
      <c r="Y705" s="73"/>
      <c r="Z705" s="73"/>
      <c r="AA705" s="73"/>
      <c r="AB705" s="73"/>
      <c r="AC705" s="73"/>
      <c r="AD705" s="73"/>
      <c r="AE705" s="73"/>
      <c r="AF705" s="73"/>
    </row>
    <row r="706" spans="1:32" ht="15.75" customHeight="1" x14ac:dyDescent="0.2">
      <c r="A706" s="73"/>
      <c r="B706" s="73"/>
      <c r="C706" s="74"/>
      <c r="D706" s="74"/>
      <c r="E706" s="74"/>
      <c r="F706" s="73"/>
      <c r="G706" s="74"/>
      <c r="H706" s="73"/>
      <c r="I706" s="73"/>
      <c r="J706" s="73"/>
      <c r="K706" s="73"/>
      <c r="L706" s="73"/>
      <c r="M706" s="73"/>
      <c r="N706" s="73"/>
      <c r="O706" s="73"/>
      <c r="P706" s="73"/>
      <c r="Q706" s="73"/>
      <c r="R706" s="73"/>
      <c r="S706" s="73"/>
      <c r="T706" s="73"/>
      <c r="U706" s="73"/>
      <c r="V706" s="73"/>
      <c r="W706" s="73"/>
      <c r="X706" s="73"/>
      <c r="Y706" s="73"/>
      <c r="Z706" s="73"/>
      <c r="AA706" s="73"/>
      <c r="AB706" s="73"/>
      <c r="AC706" s="73"/>
      <c r="AD706" s="73"/>
      <c r="AE706" s="73"/>
      <c r="AF706" s="73"/>
    </row>
    <row r="707" spans="1:32" ht="15.75" customHeight="1" x14ac:dyDescent="0.2">
      <c r="A707" s="73"/>
      <c r="B707" s="73"/>
      <c r="C707" s="74"/>
      <c r="D707" s="74"/>
      <c r="E707" s="74"/>
      <c r="F707" s="73"/>
      <c r="G707" s="74"/>
      <c r="H707" s="73"/>
      <c r="I707" s="73"/>
      <c r="J707" s="73"/>
      <c r="K707" s="73"/>
      <c r="L707" s="73"/>
      <c r="M707" s="73"/>
      <c r="N707" s="73"/>
      <c r="O707" s="73"/>
      <c r="P707" s="73"/>
      <c r="Q707" s="73"/>
      <c r="R707" s="73"/>
      <c r="S707" s="73"/>
      <c r="T707" s="73"/>
      <c r="U707" s="73"/>
      <c r="V707" s="73"/>
      <c r="W707" s="73"/>
      <c r="X707" s="73"/>
      <c r="Y707" s="73"/>
      <c r="Z707" s="73"/>
      <c r="AA707" s="73"/>
      <c r="AB707" s="73"/>
      <c r="AC707" s="73"/>
      <c r="AD707" s="73"/>
      <c r="AE707" s="73"/>
      <c r="AF707" s="73"/>
    </row>
    <row r="708" spans="1:32" ht="15.75" customHeight="1" x14ac:dyDescent="0.2">
      <c r="A708" s="73"/>
      <c r="B708" s="73"/>
      <c r="C708" s="74"/>
      <c r="D708" s="74"/>
      <c r="E708" s="74"/>
      <c r="F708" s="73"/>
      <c r="G708" s="74"/>
      <c r="H708" s="73"/>
      <c r="I708" s="73"/>
      <c r="J708" s="73"/>
      <c r="K708" s="73"/>
      <c r="L708" s="73"/>
      <c r="M708" s="73"/>
      <c r="N708" s="73"/>
      <c r="O708" s="73"/>
      <c r="P708" s="73"/>
      <c r="Q708" s="73"/>
      <c r="R708" s="73"/>
      <c r="S708" s="73"/>
      <c r="T708" s="73"/>
      <c r="U708" s="73"/>
      <c r="V708" s="73"/>
      <c r="W708" s="73"/>
      <c r="X708" s="73"/>
      <c r="Y708" s="73"/>
      <c r="Z708" s="73"/>
      <c r="AA708" s="73"/>
      <c r="AB708" s="73"/>
      <c r="AC708" s="73"/>
      <c r="AD708" s="73"/>
      <c r="AE708" s="73"/>
      <c r="AF708" s="73"/>
    </row>
    <row r="709" spans="1:32" ht="15.75" customHeight="1" x14ac:dyDescent="0.2">
      <c r="A709" s="73"/>
      <c r="B709" s="73"/>
      <c r="C709" s="74"/>
      <c r="D709" s="74"/>
      <c r="E709" s="74"/>
      <c r="F709" s="73"/>
      <c r="G709" s="74"/>
      <c r="H709" s="73"/>
      <c r="I709" s="73"/>
      <c r="J709" s="73"/>
      <c r="K709" s="73"/>
      <c r="L709" s="73"/>
      <c r="M709" s="73"/>
      <c r="N709" s="73"/>
      <c r="O709" s="73"/>
      <c r="P709" s="73"/>
      <c r="Q709" s="73"/>
      <c r="R709" s="73"/>
      <c r="S709" s="73"/>
      <c r="T709" s="73"/>
      <c r="U709" s="73"/>
      <c r="V709" s="73"/>
      <c r="W709" s="73"/>
      <c r="X709" s="73"/>
      <c r="Y709" s="73"/>
      <c r="Z709" s="73"/>
      <c r="AA709" s="73"/>
      <c r="AB709" s="73"/>
      <c r="AC709" s="73"/>
      <c r="AD709" s="73"/>
      <c r="AE709" s="73"/>
      <c r="AF709" s="73"/>
    </row>
    <row r="710" spans="1:32" ht="15.75" customHeight="1" x14ac:dyDescent="0.2">
      <c r="A710" s="73"/>
      <c r="B710" s="73"/>
      <c r="C710" s="74"/>
      <c r="D710" s="74"/>
      <c r="E710" s="74"/>
      <c r="F710" s="73"/>
      <c r="G710" s="74"/>
      <c r="H710" s="73"/>
      <c r="I710" s="73"/>
      <c r="J710" s="73"/>
      <c r="K710" s="73"/>
      <c r="L710" s="73"/>
      <c r="M710" s="73"/>
      <c r="N710" s="73"/>
      <c r="O710" s="73"/>
      <c r="P710" s="73"/>
      <c r="Q710" s="73"/>
      <c r="R710" s="73"/>
      <c r="S710" s="73"/>
      <c r="T710" s="73"/>
      <c r="U710" s="73"/>
      <c r="V710" s="73"/>
      <c r="W710" s="73"/>
      <c r="X710" s="73"/>
      <c r="Y710" s="73"/>
      <c r="Z710" s="73"/>
      <c r="AA710" s="73"/>
      <c r="AB710" s="73"/>
      <c r="AC710" s="73"/>
      <c r="AD710" s="73"/>
      <c r="AE710" s="73"/>
      <c r="AF710" s="73"/>
    </row>
    <row r="711" spans="1:32" ht="15.75" customHeight="1" x14ac:dyDescent="0.2">
      <c r="A711" s="73"/>
      <c r="B711" s="73"/>
      <c r="C711" s="74"/>
      <c r="D711" s="74"/>
      <c r="E711" s="74"/>
      <c r="F711" s="73"/>
      <c r="G711" s="74"/>
      <c r="H711" s="73"/>
      <c r="I711" s="73"/>
      <c r="J711" s="73"/>
      <c r="K711" s="73"/>
      <c r="L711" s="73"/>
      <c r="M711" s="73"/>
      <c r="N711" s="73"/>
      <c r="O711" s="73"/>
      <c r="P711" s="73"/>
      <c r="Q711" s="73"/>
      <c r="R711" s="73"/>
      <c r="S711" s="73"/>
      <c r="T711" s="73"/>
      <c r="U711" s="73"/>
      <c r="V711" s="73"/>
      <c r="W711" s="73"/>
      <c r="X711" s="73"/>
      <c r="Y711" s="73"/>
      <c r="Z711" s="73"/>
      <c r="AA711" s="73"/>
      <c r="AB711" s="73"/>
      <c r="AC711" s="73"/>
      <c r="AD711" s="73"/>
      <c r="AE711" s="73"/>
      <c r="AF711" s="73"/>
    </row>
    <row r="712" spans="1:32" ht="15.75" customHeight="1" x14ac:dyDescent="0.2">
      <c r="A712" s="73"/>
      <c r="B712" s="73"/>
      <c r="C712" s="74"/>
      <c r="D712" s="74"/>
      <c r="E712" s="74"/>
      <c r="F712" s="73"/>
      <c r="G712" s="74"/>
      <c r="H712" s="73"/>
      <c r="I712" s="73"/>
      <c r="J712" s="73"/>
      <c r="K712" s="73"/>
      <c r="L712" s="73"/>
      <c r="M712" s="73"/>
      <c r="N712" s="73"/>
      <c r="O712" s="73"/>
      <c r="P712" s="73"/>
      <c r="Q712" s="73"/>
      <c r="R712" s="73"/>
      <c r="S712" s="73"/>
      <c r="T712" s="73"/>
      <c r="U712" s="73"/>
      <c r="V712" s="73"/>
      <c r="W712" s="73"/>
      <c r="X712" s="73"/>
      <c r="Y712" s="73"/>
      <c r="Z712" s="73"/>
      <c r="AA712" s="73"/>
      <c r="AB712" s="73"/>
      <c r="AC712" s="73"/>
      <c r="AD712" s="73"/>
      <c r="AE712" s="73"/>
      <c r="AF712" s="73"/>
    </row>
    <row r="713" spans="1:32" ht="15.75" customHeight="1" x14ac:dyDescent="0.2">
      <c r="A713" s="73"/>
      <c r="B713" s="73"/>
      <c r="C713" s="74"/>
      <c r="D713" s="74"/>
      <c r="E713" s="74"/>
      <c r="F713" s="73"/>
      <c r="G713" s="74"/>
      <c r="H713" s="73"/>
      <c r="I713" s="73"/>
      <c r="J713" s="73"/>
      <c r="K713" s="73"/>
      <c r="L713" s="73"/>
      <c r="M713" s="73"/>
      <c r="N713" s="73"/>
      <c r="O713" s="73"/>
      <c r="P713" s="73"/>
      <c r="Q713" s="73"/>
      <c r="R713" s="73"/>
      <c r="S713" s="73"/>
      <c r="T713" s="73"/>
      <c r="U713" s="73"/>
      <c r="V713" s="73"/>
      <c r="W713" s="73"/>
      <c r="X713" s="73"/>
      <c r="Y713" s="73"/>
      <c r="Z713" s="73"/>
      <c r="AA713" s="73"/>
      <c r="AB713" s="73"/>
      <c r="AC713" s="73"/>
      <c r="AD713" s="73"/>
      <c r="AE713" s="73"/>
      <c r="AF713" s="73"/>
    </row>
    <row r="714" spans="1:32" ht="15.75" customHeight="1" x14ac:dyDescent="0.2">
      <c r="A714" s="73"/>
      <c r="B714" s="73"/>
      <c r="C714" s="74"/>
      <c r="D714" s="74"/>
      <c r="E714" s="74"/>
      <c r="F714" s="73"/>
      <c r="G714" s="74"/>
      <c r="H714" s="73"/>
      <c r="I714" s="73"/>
      <c r="J714" s="73"/>
      <c r="K714" s="73"/>
      <c r="L714" s="73"/>
      <c r="M714" s="73"/>
      <c r="N714" s="73"/>
      <c r="O714" s="73"/>
      <c r="P714" s="73"/>
      <c r="Q714" s="73"/>
      <c r="R714" s="73"/>
      <c r="S714" s="73"/>
      <c r="T714" s="73"/>
      <c r="U714" s="73"/>
      <c r="V714" s="73"/>
      <c r="W714" s="73"/>
      <c r="X714" s="73"/>
      <c r="Y714" s="73"/>
      <c r="Z714" s="73"/>
      <c r="AA714" s="73"/>
      <c r="AB714" s="73"/>
      <c r="AC714" s="73"/>
      <c r="AD714" s="73"/>
      <c r="AE714" s="73"/>
      <c r="AF714" s="73"/>
    </row>
    <row r="715" spans="1:32" ht="15.75" customHeight="1" x14ac:dyDescent="0.2">
      <c r="A715" s="73"/>
      <c r="B715" s="73"/>
      <c r="C715" s="74"/>
      <c r="D715" s="74"/>
      <c r="E715" s="74"/>
      <c r="F715" s="73"/>
      <c r="G715" s="74"/>
      <c r="H715" s="73"/>
      <c r="I715" s="73"/>
      <c r="J715" s="73"/>
      <c r="K715" s="73"/>
      <c r="L715" s="73"/>
      <c r="M715" s="73"/>
      <c r="N715" s="73"/>
      <c r="O715" s="73"/>
      <c r="P715" s="73"/>
      <c r="Q715" s="73"/>
      <c r="R715" s="73"/>
      <c r="S715" s="73"/>
      <c r="T715" s="73"/>
      <c r="U715" s="73"/>
      <c r="V715" s="73"/>
      <c r="W715" s="73"/>
      <c r="X715" s="73"/>
      <c r="Y715" s="73"/>
      <c r="Z715" s="73"/>
      <c r="AA715" s="73"/>
      <c r="AB715" s="73"/>
      <c r="AC715" s="73"/>
      <c r="AD715" s="73"/>
      <c r="AE715" s="73"/>
      <c r="AF715" s="73"/>
    </row>
    <row r="716" spans="1:32" ht="15.75" customHeight="1" x14ac:dyDescent="0.2">
      <c r="A716" s="73"/>
      <c r="B716" s="73"/>
      <c r="C716" s="74"/>
      <c r="D716" s="74"/>
      <c r="E716" s="74"/>
      <c r="F716" s="73"/>
      <c r="G716" s="74"/>
      <c r="H716" s="73"/>
      <c r="I716" s="73"/>
      <c r="J716" s="73"/>
      <c r="K716" s="73"/>
      <c r="L716" s="73"/>
      <c r="M716" s="73"/>
      <c r="N716" s="73"/>
      <c r="O716" s="73"/>
      <c r="P716" s="73"/>
      <c r="Q716" s="73"/>
      <c r="R716" s="73"/>
      <c r="S716" s="73"/>
      <c r="T716" s="73"/>
      <c r="U716" s="73"/>
      <c r="V716" s="73"/>
      <c r="W716" s="73"/>
      <c r="X716" s="73"/>
      <c r="Y716" s="73"/>
      <c r="Z716" s="73"/>
      <c r="AA716" s="73"/>
      <c r="AB716" s="73"/>
      <c r="AC716" s="73"/>
      <c r="AD716" s="73"/>
      <c r="AE716" s="73"/>
      <c r="AF716" s="73"/>
    </row>
    <row r="717" spans="1:32" ht="15.75" customHeight="1" x14ac:dyDescent="0.2">
      <c r="A717" s="73"/>
      <c r="B717" s="73"/>
      <c r="C717" s="74"/>
      <c r="D717" s="74"/>
      <c r="E717" s="74"/>
      <c r="F717" s="73"/>
      <c r="G717" s="74"/>
      <c r="H717" s="73"/>
      <c r="I717" s="73"/>
      <c r="J717" s="73"/>
      <c r="K717" s="73"/>
      <c r="L717" s="73"/>
      <c r="M717" s="73"/>
      <c r="N717" s="73"/>
      <c r="O717" s="73"/>
      <c r="P717" s="73"/>
      <c r="Q717" s="73"/>
      <c r="R717" s="73"/>
      <c r="S717" s="73"/>
      <c r="T717" s="73"/>
      <c r="U717" s="73"/>
      <c r="V717" s="73"/>
      <c r="W717" s="73"/>
      <c r="X717" s="73"/>
      <c r="Y717" s="73"/>
      <c r="Z717" s="73"/>
      <c r="AA717" s="73"/>
      <c r="AB717" s="73"/>
      <c r="AC717" s="73"/>
      <c r="AD717" s="73"/>
      <c r="AE717" s="73"/>
      <c r="AF717" s="73"/>
    </row>
    <row r="718" spans="1:32" ht="15.75" customHeight="1" x14ac:dyDescent="0.2">
      <c r="A718" s="73"/>
      <c r="B718" s="73"/>
      <c r="C718" s="74"/>
      <c r="D718" s="74"/>
      <c r="E718" s="74"/>
      <c r="F718" s="73"/>
      <c r="G718" s="74"/>
      <c r="H718" s="73"/>
      <c r="I718" s="73"/>
      <c r="J718" s="73"/>
      <c r="K718" s="73"/>
      <c r="L718" s="73"/>
      <c r="M718" s="73"/>
      <c r="N718" s="73"/>
      <c r="O718" s="73"/>
      <c r="P718" s="73"/>
      <c r="Q718" s="73"/>
      <c r="R718" s="73"/>
      <c r="S718" s="73"/>
      <c r="T718" s="73"/>
      <c r="U718" s="73"/>
      <c r="V718" s="73"/>
      <c r="W718" s="73"/>
      <c r="X718" s="73"/>
      <c r="Y718" s="73"/>
      <c r="Z718" s="73"/>
      <c r="AA718" s="73"/>
      <c r="AB718" s="73"/>
      <c r="AC718" s="73"/>
      <c r="AD718" s="73"/>
      <c r="AE718" s="73"/>
      <c r="AF718" s="73"/>
    </row>
    <row r="719" spans="1:32" ht="15.75" customHeight="1" x14ac:dyDescent="0.2">
      <c r="A719" s="73"/>
      <c r="B719" s="73"/>
      <c r="C719" s="74"/>
      <c r="D719" s="74"/>
      <c r="E719" s="74"/>
      <c r="F719" s="73"/>
      <c r="G719" s="74"/>
      <c r="H719" s="73"/>
      <c r="I719" s="73"/>
      <c r="J719" s="73"/>
      <c r="K719" s="73"/>
      <c r="L719" s="73"/>
      <c r="M719" s="73"/>
      <c r="N719" s="73"/>
      <c r="O719" s="73"/>
      <c r="P719" s="73"/>
      <c r="Q719" s="73"/>
      <c r="R719" s="73"/>
      <c r="S719" s="73"/>
      <c r="T719" s="73"/>
      <c r="U719" s="73"/>
      <c r="V719" s="73"/>
      <c r="W719" s="73"/>
      <c r="X719" s="73"/>
      <c r="Y719" s="73"/>
      <c r="Z719" s="73"/>
      <c r="AA719" s="73"/>
      <c r="AB719" s="73"/>
      <c r="AC719" s="73"/>
      <c r="AD719" s="73"/>
      <c r="AE719" s="73"/>
      <c r="AF719" s="73"/>
    </row>
    <row r="720" spans="1:32" ht="15.75" customHeight="1" x14ac:dyDescent="0.2">
      <c r="A720" s="73"/>
      <c r="B720" s="73"/>
      <c r="C720" s="74"/>
      <c r="D720" s="74"/>
      <c r="E720" s="74"/>
      <c r="F720" s="73"/>
      <c r="G720" s="74"/>
      <c r="H720" s="73"/>
      <c r="I720" s="73"/>
      <c r="J720" s="73"/>
      <c r="K720" s="73"/>
      <c r="L720" s="73"/>
      <c r="M720" s="73"/>
      <c r="N720" s="73"/>
      <c r="O720" s="73"/>
      <c r="P720" s="73"/>
      <c r="Q720" s="73"/>
      <c r="R720" s="73"/>
      <c r="S720" s="73"/>
      <c r="T720" s="73"/>
      <c r="U720" s="73"/>
      <c r="V720" s="73"/>
      <c r="W720" s="73"/>
      <c r="X720" s="73"/>
      <c r="Y720" s="73"/>
      <c r="Z720" s="73"/>
      <c r="AA720" s="73"/>
      <c r="AB720" s="73"/>
      <c r="AC720" s="73"/>
      <c r="AD720" s="73"/>
      <c r="AE720" s="73"/>
      <c r="AF720" s="73"/>
    </row>
    <row r="721" spans="1:32" ht="15.75" customHeight="1" x14ac:dyDescent="0.2">
      <c r="A721" s="73"/>
      <c r="B721" s="73"/>
      <c r="C721" s="74"/>
      <c r="D721" s="74"/>
      <c r="E721" s="74"/>
      <c r="F721" s="73"/>
      <c r="G721" s="74"/>
      <c r="H721" s="73"/>
      <c r="I721" s="73"/>
      <c r="J721" s="73"/>
      <c r="K721" s="73"/>
      <c r="L721" s="73"/>
      <c r="M721" s="73"/>
      <c r="N721" s="73"/>
      <c r="O721" s="73"/>
      <c r="P721" s="73"/>
      <c r="Q721" s="73"/>
      <c r="R721" s="73"/>
      <c r="S721" s="73"/>
      <c r="T721" s="73"/>
      <c r="U721" s="73"/>
      <c r="V721" s="73"/>
      <c r="W721" s="73"/>
      <c r="X721" s="73"/>
      <c r="Y721" s="73"/>
      <c r="Z721" s="73"/>
      <c r="AA721" s="73"/>
      <c r="AB721" s="73"/>
      <c r="AC721" s="73"/>
      <c r="AD721" s="73"/>
      <c r="AE721" s="73"/>
      <c r="AF721" s="73"/>
    </row>
    <row r="722" spans="1:32" ht="15.75" customHeight="1" x14ac:dyDescent="0.2">
      <c r="A722" s="73"/>
      <c r="B722" s="73"/>
      <c r="C722" s="74"/>
      <c r="D722" s="74"/>
      <c r="E722" s="74"/>
      <c r="F722" s="73"/>
      <c r="G722" s="74"/>
      <c r="H722" s="73"/>
      <c r="I722" s="73"/>
      <c r="J722" s="73"/>
      <c r="K722" s="73"/>
      <c r="L722" s="73"/>
      <c r="M722" s="73"/>
      <c r="N722" s="73"/>
      <c r="O722" s="73"/>
      <c r="P722" s="73"/>
      <c r="Q722" s="73"/>
      <c r="R722" s="73"/>
      <c r="S722" s="73"/>
      <c r="T722" s="73"/>
      <c r="U722" s="73"/>
      <c r="V722" s="73"/>
      <c r="W722" s="73"/>
      <c r="X722" s="73"/>
      <c r="Y722" s="73"/>
      <c r="Z722" s="73"/>
      <c r="AA722" s="73"/>
      <c r="AB722" s="73"/>
      <c r="AC722" s="73"/>
      <c r="AD722" s="73"/>
      <c r="AE722" s="73"/>
      <c r="AF722" s="73"/>
    </row>
    <row r="723" spans="1:32" ht="15.75" customHeight="1" x14ac:dyDescent="0.2">
      <c r="A723" s="73"/>
      <c r="B723" s="73"/>
      <c r="C723" s="74"/>
      <c r="D723" s="74"/>
      <c r="E723" s="74"/>
      <c r="F723" s="73"/>
      <c r="G723" s="74"/>
      <c r="H723" s="73"/>
      <c r="I723" s="73"/>
      <c r="J723" s="73"/>
      <c r="K723" s="73"/>
      <c r="L723" s="73"/>
      <c r="M723" s="73"/>
      <c r="N723" s="73"/>
      <c r="O723" s="73"/>
      <c r="P723" s="73"/>
      <c r="Q723" s="73"/>
      <c r="R723" s="73"/>
      <c r="S723" s="73"/>
      <c r="T723" s="73"/>
      <c r="U723" s="73"/>
      <c r="V723" s="73"/>
      <c r="W723" s="73"/>
      <c r="X723" s="73"/>
      <c r="Y723" s="73"/>
      <c r="Z723" s="73"/>
      <c r="AA723" s="73"/>
      <c r="AB723" s="73"/>
      <c r="AC723" s="73"/>
      <c r="AD723" s="73"/>
      <c r="AE723" s="73"/>
      <c r="AF723" s="73"/>
    </row>
    <row r="724" spans="1:32" ht="15.75" customHeight="1" x14ac:dyDescent="0.2">
      <c r="A724" s="73"/>
      <c r="B724" s="73"/>
      <c r="C724" s="74"/>
      <c r="D724" s="74"/>
      <c r="E724" s="74"/>
      <c r="F724" s="73"/>
      <c r="G724" s="74"/>
      <c r="H724" s="73"/>
      <c r="I724" s="73"/>
      <c r="J724" s="73"/>
      <c r="K724" s="73"/>
      <c r="L724" s="73"/>
      <c r="M724" s="73"/>
      <c r="N724" s="73"/>
      <c r="O724" s="73"/>
      <c r="P724" s="73"/>
      <c r="Q724" s="73"/>
      <c r="R724" s="73"/>
      <c r="S724" s="73"/>
      <c r="T724" s="73"/>
      <c r="U724" s="73"/>
      <c r="V724" s="73"/>
      <c r="W724" s="73"/>
      <c r="X724" s="73"/>
      <c r="Y724" s="73"/>
      <c r="Z724" s="73"/>
      <c r="AA724" s="73"/>
      <c r="AB724" s="73"/>
      <c r="AC724" s="73"/>
      <c r="AD724" s="73"/>
      <c r="AE724" s="73"/>
      <c r="AF724" s="73"/>
    </row>
    <row r="725" spans="1:32" ht="15.75" customHeight="1" x14ac:dyDescent="0.2">
      <c r="A725" s="73"/>
      <c r="B725" s="73"/>
      <c r="C725" s="74"/>
      <c r="D725" s="74"/>
      <c r="E725" s="74"/>
      <c r="F725" s="73"/>
      <c r="G725" s="74"/>
      <c r="H725" s="73"/>
      <c r="I725" s="73"/>
      <c r="J725" s="73"/>
      <c r="K725" s="73"/>
      <c r="L725" s="73"/>
      <c r="M725" s="73"/>
      <c r="N725" s="73"/>
      <c r="O725" s="73"/>
      <c r="P725" s="73"/>
      <c r="Q725" s="73"/>
      <c r="R725" s="73"/>
      <c r="S725" s="73"/>
      <c r="T725" s="73"/>
      <c r="U725" s="73"/>
      <c r="V725" s="73"/>
      <c r="W725" s="73"/>
      <c r="X725" s="73"/>
      <c r="Y725" s="73"/>
      <c r="Z725" s="73"/>
      <c r="AA725" s="73"/>
      <c r="AB725" s="73"/>
      <c r="AC725" s="73"/>
      <c r="AD725" s="73"/>
      <c r="AE725" s="73"/>
      <c r="AF725" s="73"/>
    </row>
    <row r="726" spans="1:32" ht="15.75" customHeight="1" x14ac:dyDescent="0.2">
      <c r="A726" s="73"/>
      <c r="B726" s="73"/>
      <c r="C726" s="74"/>
      <c r="D726" s="74"/>
      <c r="E726" s="74"/>
      <c r="F726" s="73"/>
      <c r="G726" s="74"/>
      <c r="H726" s="73"/>
      <c r="I726" s="73"/>
      <c r="J726" s="73"/>
      <c r="K726" s="73"/>
      <c r="L726" s="73"/>
      <c r="M726" s="73"/>
      <c r="N726" s="73"/>
      <c r="O726" s="73"/>
      <c r="P726" s="73"/>
      <c r="Q726" s="73"/>
      <c r="R726" s="73"/>
      <c r="S726" s="73"/>
      <c r="T726" s="73"/>
      <c r="U726" s="73"/>
      <c r="V726" s="73"/>
      <c r="W726" s="73"/>
      <c r="X726" s="73"/>
      <c r="Y726" s="73"/>
      <c r="Z726" s="73"/>
      <c r="AA726" s="73"/>
      <c r="AB726" s="73"/>
      <c r="AC726" s="73"/>
      <c r="AD726" s="73"/>
      <c r="AE726" s="73"/>
      <c r="AF726" s="73"/>
    </row>
    <row r="727" spans="1:32" ht="15.75" customHeight="1" x14ac:dyDescent="0.2">
      <c r="A727" s="73"/>
      <c r="B727" s="73"/>
      <c r="C727" s="74"/>
      <c r="D727" s="74"/>
      <c r="E727" s="74"/>
      <c r="F727" s="73"/>
      <c r="G727" s="74"/>
      <c r="H727" s="73"/>
      <c r="I727" s="73"/>
      <c r="J727" s="73"/>
      <c r="K727" s="73"/>
      <c r="L727" s="73"/>
      <c r="M727" s="73"/>
      <c r="N727" s="73"/>
      <c r="O727" s="73"/>
      <c r="P727" s="73"/>
      <c r="Q727" s="73"/>
      <c r="R727" s="73"/>
      <c r="S727" s="73"/>
      <c r="T727" s="73"/>
      <c r="U727" s="73"/>
      <c r="V727" s="73"/>
      <c r="W727" s="73"/>
      <c r="X727" s="73"/>
      <c r="Y727" s="73"/>
      <c r="Z727" s="73"/>
      <c r="AA727" s="73"/>
      <c r="AB727" s="73"/>
      <c r="AC727" s="73"/>
      <c r="AD727" s="73"/>
      <c r="AE727" s="73"/>
      <c r="AF727" s="73"/>
    </row>
    <row r="728" spans="1:32" ht="15.75" customHeight="1" x14ac:dyDescent="0.2">
      <c r="A728" s="73"/>
      <c r="B728" s="73"/>
      <c r="C728" s="74"/>
      <c r="D728" s="74"/>
      <c r="E728" s="74"/>
      <c r="F728" s="73"/>
      <c r="G728" s="74"/>
      <c r="H728" s="73"/>
      <c r="I728" s="73"/>
      <c r="J728" s="73"/>
      <c r="K728" s="73"/>
      <c r="L728" s="73"/>
      <c r="M728" s="73"/>
      <c r="N728" s="73"/>
      <c r="O728" s="73"/>
      <c r="P728" s="73"/>
      <c r="Q728" s="73"/>
      <c r="R728" s="73"/>
      <c r="S728" s="73"/>
      <c r="T728" s="73"/>
      <c r="U728" s="73"/>
      <c r="V728" s="73"/>
      <c r="W728" s="73"/>
      <c r="X728" s="73"/>
      <c r="Y728" s="73"/>
      <c r="Z728" s="73"/>
      <c r="AA728" s="73"/>
      <c r="AB728" s="73"/>
      <c r="AC728" s="73"/>
      <c r="AD728" s="73"/>
      <c r="AE728" s="73"/>
      <c r="AF728" s="73"/>
    </row>
    <row r="729" spans="1:32" ht="15.75" customHeight="1" x14ac:dyDescent="0.2">
      <c r="A729" s="73"/>
      <c r="B729" s="73"/>
      <c r="C729" s="74"/>
      <c r="D729" s="74"/>
      <c r="E729" s="74"/>
      <c r="F729" s="73"/>
      <c r="G729" s="74"/>
      <c r="H729" s="73"/>
      <c r="I729" s="73"/>
      <c r="J729" s="73"/>
      <c r="K729" s="73"/>
      <c r="L729" s="73"/>
      <c r="M729" s="73"/>
      <c r="N729" s="73"/>
      <c r="O729" s="73"/>
      <c r="P729" s="73"/>
      <c r="Q729" s="73"/>
      <c r="R729" s="73"/>
      <c r="S729" s="73"/>
      <c r="T729" s="73"/>
      <c r="U729" s="73"/>
      <c r="V729" s="73"/>
      <c r="W729" s="73"/>
      <c r="X729" s="73"/>
      <c r="Y729" s="73"/>
      <c r="Z729" s="73"/>
      <c r="AA729" s="73"/>
      <c r="AB729" s="73"/>
      <c r="AC729" s="73"/>
      <c r="AD729" s="73"/>
      <c r="AE729" s="73"/>
      <c r="AF729" s="73"/>
    </row>
    <row r="730" spans="1:32" ht="15.75" customHeight="1" x14ac:dyDescent="0.2">
      <c r="A730" s="73"/>
      <c r="B730" s="73"/>
      <c r="C730" s="74"/>
      <c r="D730" s="74"/>
      <c r="E730" s="74"/>
      <c r="F730" s="73"/>
      <c r="G730" s="74"/>
      <c r="H730" s="73"/>
      <c r="I730" s="73"/>
      <c r="J730" s="73"/>
      <c r="K730" s="73"/>
      <c r="L730" s="73"/>
      <c r="M730" s="73"/>
      <c r="N730" s="73"/>
      <c r="O730" s="73"/>
      <c r="P730" s="73"/>
      <c r="Q730" s="73"/>
      <c r="R730" s="73"/>
      <c r="S730" s="73"/>
      <c r="T730" s="73"/>
      <c r="U730" s="73"/>
      <c r="V730" s="73"/>
      <c r="W730" s="73"/>
      <c r="X730" s="73"/>
      <c r="Y730" s="73"/>
      <c r="Z730" s="73"/>
      <c r="AA730" s="73"/>
      <c r="AB730" s="73"/>
      <c r="AC730" s="73"/>
      <c r="AD730" s="73"/>
      <c r="AE730" s="73"/>
      <c r="AF730" s="73"/>
    </row>
    <row r="731" spans="1:32" ht="15.75" customHeight="1" x14ac:dyDescent="0.2">
      <c r="A731" s="73"/>
      <c r="B731" s="73"/>
      <c r="C731" s="74"/>
      <c r="D731" s="74"/>
      <c r="E731" s="74"/>
      <c r="F731" s="73"/>
      <c r="G731" s="74"/>
      <c r="H731" s="73"/>
      <c r="I731" s="73"/>
      <c r="J731" s="73"/>
      <c r="K731" s="73"/>
      <c r="L731" s="73"/>
      <c r="M731" s="73"/>
      <c r="N731" s="73"/>
      <c r="O731" s="73"/>
      <c r="P731" s="73"/>
      <c r="Q731" s="73"/>
      <c r="R731" s="73"/>
      <c r="S731" s="73"/>
      <c r="T731" s="73"/>
      <c r="U731" s="73"/>
      <c r="V731" s="73"/>
      <c r="W731" s="73"/>
      <c r="X731" s="73"/>
      <c r="Y731" s="73"/>
      <c r="Z731" s="73"/>
      <c r="AA731" s="73"/>
      <c r="AB731" s="73"/>
      <c r="AC731" s="73"/>
      <c r="AD731" s="73"/>
      <c r="AE731" s="73"/>
      <c r="AF731" s="73"/>
    </row>
    <row r="732" spans="1:32" ht="15.75" customHeight="1" x14ac:dyDescent="0.2">
      <c r="A732" s="73"/>
      <c r="B732" s="73"/>
      <c r="C732" s="74"/>
      <c r="D732" s="74"/>
      <c r="E732" s="74"/>
      <c r="F732" s="73"/>
      <c r="G732" s="74"/>
      <c r="H732" s="73"/>
      <c r="I732" s="73"/>
      <c r="J732" s="73"/>
      <c r="K732" s="73"/>
      <c r="L732" s="73"/>
      <c r="M732" s="73"/>
      <c r="N732" s="73"/>
      <c r="O732" s="73"/>
      <c r="P732" s="73"/>
      <c r="Q732" s="73"/>
      <c r="R732" s="73"/>
      <c r="S732" s="73"/>
      <c r="T732" s="73"/>
      <c r="U732" s="73"/>
      <c r="V732" s="73"/>
      <c r="W732" s="73"/>
      <c r="X732" s="73"/>
      <c r="Y732" s="73"/>
      <c r="Z732" s="73"/>
      <c r="AA732" s="73"/>
      <c r="AB732" s="73"/>
      <c r="AC732" s="73"/>
      <c r="AD732" s="73"/>
      <c r="AE732" s="73"/>
      <c r="AF732" s="73"/>
    </row>
    <row r="733" spans="1:32" ht="15.75" customHeight="1" x14ac:dyDescent="0.2">
      <c r="A733" s="73"/>
      <c r="B733" s="73"/>
      <c r="C733" s="74"/>
      <c r="D733" s="74"/>
      <c r="E733" s="74"/>
      <c r="F733" s="73"/>
      <c r="G733" s="74"/>
      <c r="H733" s="73"/>
      <c r="I733" s="73"/>
      <c r="J733" s="73"/>
      <c r="K733" s="73"/>
      <c r="L733" s="73"/>
      <c r="M733" s="73"/>
      <c r="N733" s="73"/>
      <c r="O733" s="73"/>
      <c r="P733" s="73"/>
      <c r="Q733" s="73"/>
      <c r="R733" s="73"/>
      <c r="S733" s="73"/>
      <c r="T733" s="73"/>
      <c r="U733" s="73"/>
      <c r="V733" s="73"/>
      <c r="W733" s="73"/>
      <c r="X733" s="73"/>
      <c r="Y733" s="73"/>
      <c r="Z733" s="73"/>
      <c r="AA733" s="73"/>
      <c r="AB733" s="73"/>
      <c r="AC733" s="73"/>
      <c r="AD733" s="73"/>
      <c r="AE733" s="73"/>
      <c r="AF733" s="73"/>
    </row>
    <row r="734" spans="1:32" ht="15.75" customHeight="1" x14ac:dyDescent="0.2">
      <c r="A734" s="73"/>
      <c r="B734" s="73"/>
      <c r="C734" s="74"/>
      <c r="D734" s="74"/>
      <c r="E734" s="74"/>
      <c r="F734" s="73"/>
      <c r="G734" s="74"/>
      <c r="H734" s="73"/>
      <c r="I734" s="73"/>
      <c r="J734" s="73"/>
      <c r="K734" s="73"/>
      <c r="L734" s="73"/>
      <c r="M734" s="73"/>
      <c r="N734" s="73"/>
      <c r="O734" s="73"/>
      <c r="P734" s="73"/>
      <c r="Q734" s="73"/>
      <c r="R734" s="73"/>
      <c r="S734" s="73"/>
      <c r="T734" s="73"/>
      <c r="U734" s="73"/>
      <c r="V734" s="73"/>
      <c r="W734" s="73"/>
      <c r="X734" s="73"/>
      <c r="Y734" s="73"/>
      <c r="Z734" s="73"/>
      <c r="AA734" s="73"/>
      <c r="AB734" s="73"/>
      <c r="AC734" s="73"/>
      <c r="AD734" s="73"/>
      <c r="AE734" s="73"/>
      <c r="AF734" s="73"/>
    </row>
    <row r="735" spans="1:32" ht="15.75" customHeight="1" x14ac:dyDescent="0.2">
      <c r="A735" s="73"/>
      <c r="B735" s="73"/>
      <c r="C735" s="74"/>
      <c r="D735" s="74"/>
      <c r="E735" s="74"/>
      <c r="F735" s="73"/>
      <c r="G735" s="74"/>
      <c r="H735" s="73"/>
      <c r="I735" s="73"/>
      <c r="J735" s="73"/>
      <c r="K735" s="73"/>
      <c r="L735" s="73"/>
      <c r="M735" s="73"/>
      <c r="N735" s="73"/>
      <c r="O735" s="73"/>
      <c r="P735" s="73"/>
      <c r="Q735" s="73"/>
      <c r="R735" s="73"/>
      <c r="S735" s="73"/>
      <c r="T735" s="73"/>
      <c r="U735" s="73"/>
      <c r="V735" s="73"/>
      <c r="W735" s="73"/>
      <c r="X735" s="73"/>
      <c r="Y735" s="73"/>
      <c r="Z735" s="73"/>
      <c r="AA735" s="73"/>
      <c r="AB735" s="73"/>
      <c r="AC735" s="73"/>
      <c r="AD735" s="73"/>
      <c r="AE735" s="73"/>
      <c r="AF735" s="73"/>
    </row>
    <row r="736" spans="1:32" ht="15.75" customHeight="1" x14ac:dyDescent="0.2">
      <c r="A736" s="73"/>
      <c r="B736" s="73"/>
      <c r="C736" s="74"/>
      <c r="D736" s="74"/>
      <c r="E736" s="74"/>
      <c r="F736" s="73"/>
      <c r="G736" s="74"/>
      <c r="H736" s="73"/>
      <c r="I736" s="73"/>
      <c r="J736" s="73"/>
      <c r="K736" s="73"/>
      <c r="L736" s="73"/>
      <c r="M736" s="73"/>
      <c r="N736" s="73"/>
      <c r="O736" s="73"/>
      <c r="P736" s="73"/>
      <c r="Q736" s="73"/>
      <c r="R736" s="73"/>
      <c r="S736" s="73"/>
      <c r="T736" s="73"/>
      <c r="U736" s="73"/>
      <c r="V736" s="73"/>
      <c r="W736" s="73"/>
      <c r="X736" s="73"/>
      <c r="Y736" s="73"/>
      <c r="Z736" s="73"/>
      <c r="AA736" s="73"/>
      <c r="AB736" s="73"/>
      <c r="AC736" s="73"/>
      <c r="AD736" s="73"/>
      <c r="AE736" s="73"/>
      <c r="AF736" s="73"/>
    </row>
    <row r="737" spans="1:32" ht="15.75" customHeight="1" x14ac:dyDescent="0.2">
      <c r="A737" s="73"/>
      <c r="B737" s="73"/>
      <c r="C737" s="74"/>
      <c r="D737" s="74"/>
      <c r="E737" s="74"/>
      <c r="F737" s="73"/>
      <c r="G737" s="74"/>
      <c r="H737" s="73"/>
      <c r="I737" s="73"/>
      <c r="J737" s="73"/>
      <c r="K737" s="73"/>
      <c r="L737" s="73"/>
      <c r="M737" s="73"/>
      <c r="N737" s="73"/>
      <c r="O737" s="73"/>
      <c r="P737" s="73"/>
      <c r="Q737" s="73"/>
      <c r="R737" s="73"/>
      <c r="S737" s="73"/>
      <c r="T737" s="73"/>
      <c r="U737" s="73"/>
      <c r="V737" s="73"/>
      <c r="W737" s="73"/>
      <c r="X737" s="73"/>
      <c r="Y737" s="73"/>
      <c r="Z737" s="73"/>
      <c r="AA737" s="73"/>
      <c r="AB737" s="73"/>
      <c r="AC737" s="73"/>
      <c r="AD737" s="73"/>
      <c r="AE737" s="73"/>
      <c r="AF737" s="73"/>
    </row>
    <row r="738" spans="1:32" ht="15.75" customHeight="1" x14ac:dyDescent="0.2">
      <c r="A738" s="73"/>
      <c r="B738" s="73"/>
      <c r="C738" s="74"/>
      <c r="D738" s="74"/>
      <c r="E738" s="74"/>
      <c r="F738" s="73"/>
      <c r="G738" s="74"/>
      <c r="H738" s="73"/>
      <c r="I738" s="73"/>
      <c r="J738" s="73"/>
      <c r="K738" s="73"/>
      <c r="L738" s="73"/>
      <c r="M738" s="73"/>
      <c r="N738" s="73"/>
      <c r="O738" s="73"/>
      <c r="P738" s="73"/>
      <c r="Q738" s="73"/>
      <c r="R738" s="73"/>
      <c r="S738" s="73"/>
      <c r="T738" s="73"/>
      <c r="U738" s="73"/>
      <c r="V738" s="73"/>
      <c r="W738" s="73"/>
      <c r="X738" s="73"/>
      <c r="Y738" s="73"/>
      <c r="Z738" s="73"/>
      <c r="AA738" s="73"/>
      <c r="AB738" s="73"/>
      <c r="AC738" s="73"/>
      <c r="AD738" s="73"/>
      <c r="AE738" s="73"/>
      <c r="AF738" s="73"/>
    </row>
    <row r="739" spans="1:32" ht="15.75" customHeight="1" x14ac:dyDescent="0.2">
      <c r="A739" s="73"/>
      <c r="B739" s="73"/>
      <c r="C739" s="74"/>
      <c r="D739" s="74"/>
      <c r="E739" s="74"/>
      <c r="F739" s="73"/>
      <c r="G739" s="74"/>
      <c r="H739" s="73"/>
      <c r="I739" s="73"/>
      <c r="J739" s="73"/>
      <c r="K739" s="73"/>
      <c r="L739" s="73"/>
      <c r="M739" s="73"/>
      <c r="N739" s="73"/>
      <c r="O739" s="73"/>
      <c r="P739" s="73"/>
      <c r="Q739" s="73"/>
      <c r="R739" s="73"/>
      <c r="S739" s="73"/>
      <c r="T739" s="73"/>
      <c r="U739" s="73"/>
      <c r="V739" s="73"/>
      <c r="W739" s="73"/>
      <c r="X739" s="73"/>
      <c r="Y739" s="73"/>
      <c r="Z739" s="73"/>
      <c r="AA739" s="73"/>
      <c r="AB739" s="73"/>
      <c r="AC739" s="73"/>
      <c r="AD739" s="73"/>
      <c r="AE739" s="73"/>
      <c r="AF739" s="73"/>
    </row>
    <row r="740" spans="1:32" ht="15.75" customHeight="1" x14ac:dyDescent="0.2">
      <c r="A740" s="73"/>
      <c r="B740" s="73"/>
      <c r="C740" s="74"/>
      <c r="D740" s="74"/>
      <c r="E740" s="74"/>
      <c r="F740" s="73"/>
      <c r="G740" s="74"/>
      <c r="H740" s="73"/>
      <c r="I740" s="73"/>
      <c r="J740" s="73"/>
      <c r="K740" s="73"/>
      <c r="L740" s="73"/>
      <c r="M740" s="73"/>
      <c r="N740" s="73"/>
      <c r="O740" s="73"/>
      <c r="P740" s="73"/>
      <c r="Q740" s="73"/>
      <c r="R740" s="73"/>
      <c r="S740" s="73"/>
      <c r="T740" s="73"/>
      <c r="U740" s="73"/>
      <c r="V740" s="73"/>
      <c r="W740" s="73"/>
      <c r="X740" s="73"/>
      <c r="Y740" s="73"/>
      <c r="Z740" s="73"/>
      <c r="AA740" s="73"/>
      <c r="AB740" s="73"/>
      <c r="AC740" s="73"/>
      <c r="AD740" s="73"/>
      <c r="AE740" s="73"/>
      <c r="AF740" s="73"/>
    </row>
    <row r="741" spans="1:32" ht="15.75" customHeight="1" x14ac:dyDescent="0.2">
      <c r="A741" s="73"/>
      <c r="B741" s="73"/>
      <c r="C741" s="74"/>
      <c r="D741" s="74"/>
      <c r="E741" s="74"/>
      <c r="F741" s="73"/>
      <c r="G741" s="74"/>
      <c r="H741" s="73"/>
      <c r="I741" s="73"/>
      <c r="J741" s="73"/>
      <c r="K741" s="73"/>
      <c r="L741" s="73"/>
      <c r="M741" s="73"/>
      <c r="N741" s="73"/>
      <c r="O741" s="73"/>
      <c r="P741" s="73"/>
      <c r="Q741" s="73"/>
      <c r="R741" s="73"/>
      <c r="S741" s="73"/>
      <c r="T741" s="73"/>
      <c r="U741" s="73"/>
      <c r="V741" s="73"/>
      <c r="W741" s="73"/>
      <c r="X741" s="73"/>
      <c r="Y741" s="73"/>
      <c r="Z741" s="73"/>
      <c r="AA741" s="73"/>
      <c r="AB741" s="73"/>
      <c r="AC741" s="73"/>
      <c r="AD741" s="73"/>
      <c r="AE741" s="73"/>
      <c r="AF741" s="73"/>
    </row>
    <row r="742" spans="1:32" ht="15.75" customHeight="1" x14ac:dyDescent="0.2">
      <c r="A742" s="73"/>
      <c r="B742" s="73"/>
      <c r="C742" s="74"/>
      <c r="D742" s="74"/>
      <c r="E742" s="74"/>
      <c r="F742" s="73"/>
      <c r="G742" s="74"/>
      <c r="H742" s="73"/>
      <c r="I742" s="73"/>
      <c r="J742" s="73"/>
      <c r="K742" s="73"/>
      <c r="L742" s="73"/>
      <c r="M742" s="73"/>
      <c r="N742" s="73"/>
      <c r="O742" s="73"/>
      <c r="P742" s="73"/>
      <c r="Q742" s="73"/>
      <c r="R742" s="73"/>
      <c r="S742" s="73"/>
      <c r="T742" s="73"/>
      <c r="U742" s="73"/>
      <c r="V742" s="73"/>
      <c r="W742" s="73"/>
      <c r="X742" s="73"/>
      <c r="Y742" s="73"/>
      <c r="Z742" s="73"/>
      <c r="AA742" s="73"/>
      <c r="AB742" s="73"/>
      <c r="AC742" s="73"/>
      <c r="AD742" s="73"/>
      <c r="AE742" s="73"/>
      <c r="AF742" s="73"/>
    </row>
    <row r="743" spans="1:32" ht="15.75" customHeight="1" x14ac:dyDescent="0.2">
      <c r="A743" s="73"/>
      <c r="B743" s="73"/>
      <c r="C743" s="74"/>
      <c r="D743" s="74"/>
      <c r="E743" s="74"/>
      <c r="F743" s="73"/>
      <c r="G743" s="74"/>
      <c r="H743" s="73"/>
      <c r="I743" s="73"/>
      <c r="J743" s="73"/>
      <c r="K743" s="73"/>
      <c r="L743" s="73"/>
      <c r="M743" s="73"/>
      <c r="N743" s="73"/>
      <c r="O743" s="73"/>
      <c r="P743" s="73"/>
      <c r="Q743" s="73"/>
      <c r="R743" s="73"/>
      <c r="S743" s="73"/>
      <c r="T743" s="73"/>
      <c r="U743" s="73"/>
      <c r="V743" s="73"/>
      <c r="W743" s="73"/>
      <c r="X743" s="73"/>
      <c r="Y743" s="73"/>
      <c r="Z743" s="73"/>
      <c r="AA743" s="73"/>
      <c r="AB743" s="73"/>
      <c r="AC743" s="73"/>
      <c r="AD743" s="73"/>
      <c r="AE743" s="73"/>
      <c r="AF743" s="73"/>
    </row>
    <row r="744" spans="1:32" ht="15.75" customHeight="1" x14ac:dyDescent="0.2">
      <c r="A744" s="73"/>
      <c r="B744" s="73"/>
      <c r="C744" s="74"/>
      <c r="D744" s="74"/>
      <c r="E744" s="74"/>
      <c r="F744" s="73"/>
      <c r="G744" s="74"/>
      <c r="H744" s="73"/>
      <c r="I744" s="73"/>
      <c r="J744" s="73"/>
      <c r="K744" s="73"/>
      <c r="L744" s="73"/>
      <c r="M744" s="73"/>
      <c r="N744" s="73"/>
      <c r="O744" s="73"/>
      <c r="P744" s="73"/>
      <c r="Q744" s="73"/>
      <c r="R744" s="73"/>
      <c r="S744" s="73"/>
      <c r="T744" s="73"/>
      <c r="U744" s="73"/>
      <c r="V744" s="73"/>
      <c r="W744" s="73"/>
      <c r="X744" s="73"/>
      <c r="Y744" s="73"/>
      <c r="Z744" s="73"/>
      <c r="AA744" s="73"/>
      <c r="AB744" s="73"/>
      <c r="AC744" s="73"/>
      <c r="AD744" s="73"/>
      <c r="AE744" s="73"/>
      <c r="AF744" s="73"/>
    </row>
    <row r="745" spans="1:32" ht="15.75" customHeight="1" x14ac:dyDescent="0.2">
      <c r="A745" s="73"/>
      <c r="B745" s="73"/>
      <c r="C745" s="74"/>
      <c r="D745" s="74"/>
      <c r="E745" s="74"/>
      <c r="F745" s="73"/>
      <c r="G745" s="74"/>
      <c r="H745" s="73"/>
      <c r="I745" s="73"/>
      <c r="J745" s="73"/>
      <c r="K745" s="73"/>
      <c r="L745" s="73"/>
      <c r="M745" s="73"/>
      <c r="N745" s="73"/>
      <c r="O745" s="73"/>
      <c r="P745" s="73"/>
      <c r="Q745" s="73"/>
      <c r="R745" s="73"/>
      <c r="S745" s="73"/>
      <c r="T745" s="73"/>
      <c r="U745" s="73"/>
      <c r="V745" s="73"/>
      <c r="W745" s="73"/>
      <c r="X745" s="73"/>
      <c r="Y745" s="73"/>
      <c r="Z745" s="73"/>
      <c r="AA745" s="73"/>
      <c r="AB745" s="73"/>
      <c r="AC745" s="73"/>
      <c r="AD745" s="73"/>
      <c r="AE745" s="73"/>
      <c r="AF745" s="73"/>
    </row>
    <row r="746" spans="1:32" ht="15.75" customHeight="1" x14ac:dyDescent="0.2">
      <c r="A746" s="73"/>
      <c r="B746" s="73"/>
      <c r="C746" s="74"/>
      <c r="D746" s="74"/>
      <c r="E746" s="74"/>
      <c r="F746" s="73"/>
      <c r="G746" s="74"/>
      <c r="H746" s="73"/>
      <c r="I746" s="73"/>
      <c r="J746" s="73"/>
      <c r="K746" s="73"/>
      <c r="L746" s="73"/>
      <c r="M746" s="73"/>
      <c r="N746" s="73"/>
      <c r="O746" s="73"/>
      <c r="P746" s="73"/>
      <c r="Q746" s="73"/>
      <c r="R746" s="73"/>
      <c r="S746" s="73"/>
      <c r="T746" s="73"/>
      <c r="U746" s="73"/>
      <c r="V746" s="73"/>
      <c r="W746" s="73"/>
      <c r="X746" s="73"/>
      <c r="Y746" s="73"/>
      <c r="Z746" s="73"/>
      <c r="AA746" s="73"/>
      <c r="AB746" s="73"/>
      <c r="AC746" s="73"/>
      <c r="AD746" s="73"/>
      <c r="AE746" s="73"/>
      <c r="AF746" s="73"/>
    </row>
    <row r="747" spans="1:32" ht="15.75" customHeight="1" x14ac:dyDescent="0.2">
      <c r="A747" s="73"/>
      <c r="B747" s="73"/>
      <c r="C747" s="74"/>
      <c r="D747" s="74"/>
      <c r="E747" s="74"/>
      <c r="F747" s="73"/>
      <c r="G747" s="74"/>
      <c r="H747" s="73"/>
      <c r="I747" s="73"/>
      <c r="J747" s="73"/>
      <c r="K747" s="73"/>
      <c r="L747" s="73"/>
      <c r="M747" s="73"/>
      <c r="N747" s="73"/>
      <c r="O747" s="73"/>
      <c r="P747" s="73"/>
      <c r="Q747" s="73"/>
      <c r="R747" s="73"/>
      <c r="S747" s="73"/>
      <c r="T747" s="73"/>
      <c r="U747" s="73"/>
      <c r="V747" s="73"/>
      <c r="W747" s="73"/>
      <c r="X747" s="73"/>
      <c r="Y747" s="73"/>
      <c r="Z747" s="73"/>
      <c r="AA747" s="73"/>
      <c r="AB747" s="73"/>
      <c r="AC747" s="73"/>
      <c r="AD747" s="73"/>
      <c r="AE747" s="73"/>
      <c r="AF747" s="73"/>
    </row>
    <row r="748" spans="1:32" ht="15.75" customHeight="1" x14ac:dyDescent="0.2">
      <c r="A748" s="73"/>
      <c r="B748" s="73"/>
      <c r="C748" s="74"/>
      <c r="D748" s="74"/>
      <c r="E748" s="74"/>
      <c r="F748" s="73"/>
      <c r="G748" s="74"/>
      <c r="H748" s="73"/>
      <c r="I748" s="73"/>
      <c r="J748" s="73"/>
      <c r="K748" s="73"/>
      <c r="L748" s="73"/>
      <c r="M748" s="73"/>
      <c r="N748" s="73"/>
      <c r="O748" s="73"/>
      <c r="P748" s="73"/>
      <c r="Q748" s="73"/>
      <c r="R748" s="73"/>
      <c r="S748" s="73"/>
      <c r="T748" s="73"/>
      <c r="U748" s="73"/>
      <c r="V748" s="73"/>
      <c r="W748" s="73"/>
      <c r="X748" s="73"/>
      <c r="Y748" s="73"/>
      <c r="Z748" s="73"/>
      <c r="AA748" s="73"/>
      <c r="AB748" s="73"/>
      <c r="AC748" s="73"/>
      <c r="AD748" s="73"/>
      <c r="AE748" s="73"/>
      <c r="AF748" s="73"/>
    </row>
    <row r="749" spans="1:32" ht="15.75" customHeight="1" x14ac:dyDescent="0.2">
      <c r="A749" s="73"/>
      <c r="B749" s="73"/>
      <c r="C749" s="74"/>
      <c r="D749" s="74"/>
      <c r="E749" s="74"/>
      <c r="F749" s="73"/>
      <c r="G749" s="74"/>
      <c r="H749" s="73"/>
      <c r="I749" s="73"/>
      <c r="J749" s="73"/>
      <c r="K749" s="73"/>
      <c r="L749" s="73"/>
      <c r="M749" s="73"/>
      <c r="N749" s="73"/>
      <c r="O749" s="73"/>
      <c r="P749" s="73"/>
      <c r="Q749" s="73"/>
      <c r="R749" s="73"/>
      <c r="S749" s="73"/>
      <c r="T749" s="73"/>
      <c r="U749" s="73"/>
      <c r="V749" s="73"/>
      <c r="W749" s="73"/>
      <c r="X749" s="73"/>
      <c r="Y749" s="73"/>
      <c r="Z749" s="73"/>
      <c r="AA749" s="73"/>
      <c r="AB749" s="73"/>
      <c r="AC749" s="73"/>
      <c r="AD749" s="73"/>
      <c r="AE749" s="73"/>
      <c r="AF749" s="73"/>
    </row>
    <row r="750" spans="1:32" ht="15.75" customHeight="1" x14ac:dyDescent="0.2">
      <c r="A750" s="73"/>
      <c r="B750" s="73"/>
      <c r="C750" s="74"/>
      <c r="D750" s="74"/>
      <c r="E750" s="74"/>
      <c r="F750" s="73"/>
      <c r="G750" s="74"/>
      <c r="H750" s="73"/>
      <c r="I750" s="73"/>
      <c r="J750" s="73"/>
      <c r="K750" s="73"/>
      <c r="L750" s="73"/>
      <c r="M750" s="73"/>
      <c r="N750" s="73"/>
      <c r="O750" s="73"/>
      <c r="P750" s="73"/>
      <c r="Q750" s="73"/>
      <c r="R750" s="73"/>
      <c r="S750" s="73"/>
      <c r="T750" s="73"/>
      <c r="U750" s="73"/>
      <c r="V750" s="73"/>
      <c r="W750" s="73"/>
      <c r="X750" s="73"/>
      <c r="Y750" s="73"/>
      <c r="Z750" s="73"/>
      <c r="AA750" s="73"/>
      <c r="AB750" s="73"/>
      <c r="AC750" s="73"/>
      <c r="AD750" s="73"/>
      <c r="AE750" s="73"/>
      <c r="AF750" s="73"/>
    </row>
    <row r="751" spans="1:32" ht="15.75" customHeight="1" x14ac:dyDescent="0.2">
      <c r="A751" s="73"/>
      <c r="B751" s="73"/>
      <c r="C751" s="74"/>
      <c r="D751" s="74"/>
      <c r="E751" s="74"/>
      <c r="F751" s="73"/>
      <c r="G751" s="74"/>
      <c r="H751" s="73"/>
      <c r="I751" s="73"/>
      <c r="J751" s="73"/>
      <c r="K751" s="73"/>
      <c r="L751" s="73"/>
      <c r="M751" s="73"/>
      <c r="N751" s="73"/>
      <c r="O751" s="73"/>
      <c r="P751" s="73"/>
      <c r="Q751" s="73"/>
      <c r="R751" s="73"/>
      <c r="S751" s="73"/>
      <c r="T751" s="73"/>
      <c r="U751" s="73"/>
      <c r="V751" s="73"/>
      <c r="W751" s="73"/>
      <c r="X751" s="73"/>
      <c r="Y751" s="73"/>
      <c r="Z751" s="73"/>
      <c r="AA751" s="73"/>
      <c r="AB751" s="73"/>
      <c r="AC751" s="73"/>
      <c r="AD751" s="73"/>
      <c r="AE751" s="73"/>
      <c r="AF751" s="73"/>
    </row>
    <row r="752" spans="1:32" ht="15.75" customHeight="1" x14ac:dyDescent="0.2">
      <c r="A752" s="73"/>
      <c r="B752" s="73"/>
      <c r="C752" s="74"/>
      <c r="D752" s="74"/>
      <c r="E752" s="74"/>
      <c r="F752" s="73"/>
      <c r="G752" s="74"/>
      <c r="H752" s="73"/>
      <c r="I752" s="73"/>
      <c r="J752" s="73"/>
      <c r="K752" s="73"/>
      <c r="L752" s="73"/>
      <c r="M752" s="73"/>
      <c r="N752" s="73"/>
      <c r="O752" s="73"/>
      <c r="P752" s="73"/>
      <c r="Q752" s="73"/>
      <c r="R752" s="73"/>
      <c r="S752" s="73"/>
      <c r="T752" s="73"/>
      <c r="U752" s="73"/>
      <c r="V752" s="73"/>
      <c r="W752" s="73"/>
      <c r="X752" s="73"/>
      <c r="Y752" s="73"/>
      <c r="Z752" s="73"/>
      <c r="AA752" s="73"/>
      <c r="AB752" s="73"/>
      <c r="AC752" s="73"/>
      <c r="AD752" s="73"/>
      <c r="AE752" s="73"/>
      <c r="AF752" s="73"/>
    </row>
    <row r="753" spans="1:32" ht="15.75" customHeight="1" x14ac:dyDescent="0.2">
      <c r="A753" s="73"/>
      <c r="B753" s="73"/>
      <c r="C753" s="74"/>
      <c r="D753" s="74"/>
      <c r="E753" s="74"/>
      <c r="F753" s="73"/>
      <c r="G753" s="74"/>
      <c r="H753" s="73"/>
      <c r="I753" s="73"/>
      <c r="J753" s="73"/>
      <c r="K753" s="73"/>
      <c r="L753" s="73"/>
      <c r="M753" s="73"/>
      <c r="N753" s="73"/>
      <c r="O753" s="73"/>
      <c r="P753" s="73"/>
      <c r="Q753" s="73"/>
      <c r="R753" s="73"/>
      <c r="S753" s="73"/>
      <c r="T753" s="73"/>
      <c r="U753" s="73"/>
      <c r="V753" s="73"/>
      <c r="W753" s="73"/>
      <c r="X753" s="73"/>
      <c r="Y753" s="73"/>
      <c r="Z753" s="73"/>
      <c r="AA753" s="73"/>
      <c r="AB753" s="73"/>
      <c r="AC753" s="73"/>
      <c r="AD753" s="73"/>
      <c r="AE753" s="73"/>
      <c r="AF753" s="73"/>
    </row>
    <row r="754" spans="1:32" ht="15.75" customHeight="1" x14ac:dyDescent="0.2">
      <c r="A754" s="73"/>
      <c r="B754" s="73"/>
      <c r="C754" s="74"/>
      <c r="D754" s="74"/>
      <c r="E754" s="74"/>
      <c r="F754" s="73"/>
      <c r="G754" s="74"/>
      <c r="H754" s="73"/>
      <c r="I754" s="73"/>
      <c r="J754" s="73"/>
      <c r="K754" s="73"/>
      <c r="L754" s="73"/>
      <c r="M754" s="73"/>
      <c r="N754" s="73"/>
      <c r="O754" s="73"/>
      <c r="P754" s="73"/>
      <c r="Q754" s="73"/>
      <c r="R754" s="73"/>
      <c r="S754" s="73"/>
      <c r="T754" s="73"/>
      <c r="U754" s="73"/>
      <c r="V754" s="73"/>
      <c r="W754" s="73"/>
      <c r="X754" s="73"/>
      <c r="Y754" s="73"/>
      <c r="Z754" s="73"/>
      <c r="AA754" s="73"/>
      <c r="AB754" s="73"/>
      <c r="AC754" s="73"/>
      <c r="AD754" s="73"/>
      <c r="AE754" s="73"/>
      <c r="AF754" s="73"/>
    </row>
    <row r="755" spans="1:32" ht="15.75" customHeight="1" x14ac:dyDescent="0.2">
      <c r="A755" s="73"/>
      <c r="B755" s="73"/>
      <c r="C755" s="74"/>
      <c r="D755" s="74"/>
      <c r="E755" s="74"/>
      <c r="F755" s="73"/>
      <c r="G755" s="74"/>
      <c r="H755" s="73"/>
      <c r="I755" s="73"/>
      <c r="J755" s="73"/>
      <c r="K755" s="73"/>
      <c r="L755" s="73"/>
      <c r="M755" s="73"/>
      <c r="N755" s="73"/>
      <c r="O755" s="73"/>
      <c r="P755" s="73"/>
      <c r="Q755" s="73"/>
      <c r="R755" s="73"/>
      <c r="S755" s="73"/>
      <c r="T755" s="73"/>
      <c r="U755" s="73"/>
      <c r="V755" s="73"/>
      <c r="W755" s="73"/>
      <c r="X755" s="73"/>
      <c r="Y755" s="73"/>
      <c r="Z755" s="73"/>
      <c r="AA755" s="73"/>
      <c r="AB755" s="73"/>
      <c r="AC755" s="73"/>
      <c r="AD755" s="73"/>
      <c r="AE755" s="73"/>
      <c r="AF755" s="73"/>
    </row>
    <row r="756" spans="1:32" ht="15.75" customHeight="1" x14ac:dyDescent="0.2">
      <c r="A756" s="73"/>
      <c r="B756" s="73"/>
      <c r="C756" s="74"/>
      <c r="D756" s="74"/>
      <c r="E756" s="74"/>
      <c r="F756" s="73"/>
      <c r="G756" s="74"/>
      <c r="H756" s="73"/>
      <c r="I756" s="73"/>
      <c r="J756" s="73"/>
      <c r="K756" s="73"/>
      <c r="L756" s="73"/>
      <c r="M756" s="73"/>
      <c r="N756" s="73"/>
      <c r="O756" s="73"/>
      <c r="P756" s="73"/>
      <c r="Q756" s="73"/>
      <c r="R756" s="73"/>
      <c r="S756" s="73"/>
      <c r="T756" s="73"/>
      <c r="U756" s="73"/>
      <c r="V756" s="73"/>
      <c r="W756" s="73"/>
      <c r="X756" s="73"/>
      <c r="Y756" s="73"/>
      <c r="Z756" s="73"/>
      <c r="AA756" s="73"/>
      <c r="AB756" s="73"/>
      <c r="AC756" s="73"/>
      <c r="AD756" s="73"/>
      <c r="AE756" s="73"/>
      <c r="AF756" s="73"/>
    </row>
    <row r="757" spans="1:32" ht="15.75" customHeight="1" x14ac:dyDescent="0.2">
      <c r="A757" s="73"/>
      <c r="B757" s="73"/>
      <c r="C757" s="74"/>
      <c r="D757" s="74"/>
      <c r="E757" s="74"/>
      <c r="F757" s="73"/>
      <c r="G757" s="74"/>
      <c r="H757" s="73"/>
      <c r="I757" s="73"/>
      <c r="J757" s="73"/>
      <c r="K757" s="73"/>
      <c r="L757" s="73"/>
      <c r="M757" s="73"/>
      <c r="N757" s="73"/>
      <c r="O757" s="73"/>
      <c r="P757" s="73"/>
      <c r="Q757" s="73"/>
      <c r="R757" s="73"/>
      <c r="S757" s="73"/>
      <c r="T757" s="73"/>
      <c r="U757" s="73"/>
      <c r="V757" s="73"/>
      <c r="W757" s="73"/>
      <c r="X757" s="73"/>
      <c r="Y757" s="73"/>
      <c r="Z757" s="73"/>
      <c r="AA757" s="73"/>
      <c r="AB757" s="73"/>
      <c r="AC757" s="73"/>
      <c r="AD757" s="73"/>
      <c r="AE757" s="73"/>
      <c r="AF757" s="73"/>
    </row>
    <row r="758" spans="1:32" ht="15.75" customHeight="1" x14ac:dyDescent="0.2">
      <c r="A758" s="73"/>
      <c r="B758" s="73"/>
      <c r="C758" s="74"/>
      <c r="D758" s="74"/>
      <c r="E758" s="74"/>
      <c r="F758" s="73"/>
      <c r="G758" s="74"/>
      <c r="H758" s="73"/>
      <c r="I758" s="73"/>
      <c r="J758" s="73"/>
      <c r="K758" s="73"/>
      <c r="L758" s="73"/>
      <c r="M758" s="73"/>
      <c r="N758" s="73"/>
      <c r="O758" s="73"/>
      <c r="P758" s="73"/>
      <c r="Q758" s="73"/>
      <c r="R758" s="73"/>
      <c r="S758" s="73"/>
      <c r="T758" s="73"/>
      <c r="U758" s="73"/>
      <c r="V758" s="73"/>
      <c r="W758" s="73"/>
      <c r="X758" s="73"/>
      <c r="Y758" s="73"/>
      <c r="Z758" s="73"/>
      <c r="AA758" s="73"/>
      <c r="AB758" s="73"/>
      <c r="AC758" s="73"/>
      <c r="AD758" s="73"/>
      <c r="AE758" s="73"/>
      <c r="AF758" s="73"/>
    </row>
    <row r="759" spans="1:32" ht="15.75" customHeight="1" x14ac:dyDescent="0.2">
      <c r="A759" s="73"/>
      <c r="B759" s="73"/>
      <c r="C759" s="74"/>
      <c r="D759" s="74"/>
      <c r="E759" s="74"/>
      <c r="F759" s="73"/>
      <c r="G759" s="74"/>
      <c r="H759" s="73"/>
      <c r="I759" s="73"/>
      <c r="J759" s="73"/>
      <c r="K759" s="73"/>
      <c r="L759" s="73"/>
      <c r="M759" s="73"/>
      <c r="N759" s="73"/>
      <c r="O759" s="73"/>
      <c r="P759" s="73"/>
      <c r="Q759" s="73"/>
      <c r="R759" s="73"/>
      <c r="S759" s="73"/>
      <c r="T759" s="73"/>
      <c r="U759" s="73"/>
      <c r="V759" s="73"/>
      <c r="W759" s="73"/>
      <c r="X759" s="73"/>
      <c r="Y759" s="73"/>
      <c r="Z759" s="73"/>
      <c r="AA759" s="73"/>
      <c r="AB759" s="73"/>
      <c r="AC759" s="73"/>
      <c r="AD759" s="73"/>
      <c r="AE759" s="73"/>
      <c r="AF759" s="73"/>
    </row>
    <row r="760" spans="1:32" ht="15.75" customHeight="1" x14ac:dyDescent="0.2">
      <c r="A760" s="73"/>
      <c r="B760" s="73"/>
      <c r="C760" s="74"/>
      <c r="D760" s="74"/>
      <c r="E760" s="74"/>
      <c r="F760" s="73"/>
      <c r="G760" s="74"/>
      <c r="H760" s="73"/>
      <c r="I760" s="73"/>
      <c r="J760" s="73"/>
      <c r="K760" s="73"/>
      <c r="L760" s="73"/>
      <c r="M760" s="73"/>
      <c r="N760" s="73"/>
      <c r="O760" s="73"/>
      <c r="P760" s="73"/>
      <c r="Q760" s="73"/>
      <c r="R760" s="73"/>
      <c r="S760" s="73"/>
      <c r="T760" s="73"/>
      <c r="U760" s="73"/>
      <c r="V760" s="73"/>
      <c r="W760" s="73"/>
      <c r="X760" s="73"/>
      <c r="Y760" s="73"/>
      <c r="Z760" s="73"/>
      <c r="AA760" s="73"/>
      <c r="AB760" s="73"/>
      <c r="AC760" s="73"/>
      <c r="AD760" s="73"/>
      <c r="AE760" s="73"/>
      <c r="AF760" s="73"/>
    </row>
    <row r="761" spans="1:32" ht="15.75" customHeight="1" x14ac:dyDescent="0.2">
      <c r="A761" s="73"/>
      <c r="B761" s="73"/>
      <c r="C761" s="74"/>
      <c r="D761" s="74"/>
      <c r="E761" s="74"/>
      <c r="F761" s="73"/>
      <c r="G761" s="74"/>
      <c r="H761" s="73"/>
      <c r="I761" s="73"/>
      <c r="J761" s="73"/>
      <c r="K761" s="73"/>
      <c r="L761" s="73"/>
      <c r="M761" s="73"/>
      <c r="N761" s="73"/>
      <c r="O761" s="73"/>
      <c r="P761" s="73"/>
      <c r="Q761" s="73"/>
      <c r="R761" s="73"/>
      <c r="S761" s="73"/>
      <c r="T761" s="73"/>
      <c r="U761" s="73"/>
      <c r="V761" s="73"/>
      <c r="W761" s="73"/>
      <c r="X761" s="73"/>
      <c r="Y761" s="73"/>
      <c r="Z761" s="73"/>
      <c r="AA761" s="73"/>
      <c r="AB761" s="73"/>
      <c r="AC761" s="73"/>
      <c r="AD761" s="73"/>
      <c r="AE761" s="73"/>
      <c r="AF761" s="73"/>
    </row>
    <row r="762" spans="1:32" ht="15.75" customHeight="1" x14ac:dyDescent="0.2">
      <c r="A762" s="73"/>
      <c r="B762" s="73"/>
      <c r="C762" s="74"/>
      <c r="D762" s="74"/>
      <c r="E762" s="74"/>
      <c r="F762" s="73"/>
      <c r="G762" s="74"/>
      <c r="H762" s="73"/>
      <c r="I762" s="73"/>
      <c r="J762" s="73"/>
      <c r="K762" s="73"/>
      <c r="L762" s="73"/>
      <c r="M762" s="73"/>
      <c r="N762" s="73"/>
      <c r="O762" s="73"/>
      <c r="P762" s="73"/>
      <c r="Q762" s="73"/>
      <c r="R762" s="73"/>
      <c r="S762" s="73"/>
      <c r="T762" s="73"/>
      <c r="U762" s="73"/>
      <c r="V762" s="73"/>
      <c r="W762" s="73"/>
      <c r="X762" s="73"/>
      <c r="Y762" s="73"/>
      <c r="Z762" s="73"/>
      <c r="AA762" s="73"/>
      <c r="AB762" s="73"/>
      <c r="AC762" s="73"/>
      <c r="AD762" s="73"/>
      <c r="AE762" s="73"/>
      <c r="AF762" s="73"/>
    </row>
    <row r="763" spans="1:32" ht="15.75" customHeight="1" x14ac:dyDescent="0.2">
      <c r="A763" s="73"/>
      <c r="B763" s="73"/>
      <c r="C763" s="74"/>
      <c r="D763" s="74"/>
      <c r="E763" s="74"/>
      <c r="F763" s="73"/>
      <c r="G763" s="74"/>
      <c r="H763" s="73"/>
      <c r="I763" s="73"/>
      <c r="J763" s="73"/>
      <c r="K763" s="73"/>
      <c r="L763" s="73"/>
      <c r="M763" s="73"/>
      <c r="N763" s="73"/>
      <c r="O763" s="73"/>
      <c r="P763" s="73"/>
      <c r="Q763" s="73"/>
      <c r="R763" s="73"/>
      <c r="S763" s="73"/>
      <c r="T763" s="73"/>
      <c r="U763" s="73"/>
      <c r="V763" s="73"/>
      <c r="W763" s="73"/>
      <c r="X763" s="73"/>
      <c r="Y763" s="73"/>
      <c r="Z763" s="73"/>
      <c r="AA763" s="73"/>
      <c r="AB763" s="73"/>
      <c r="AC763" s="73"/>
      <c r="AD763" s="73"/>
      <c r="AE763" s="73"/>
      <c r="AF763" s="73"/>
    </row>
    <row r="764" spans="1:32" ht="15.75" customHeight="1" x14ac:dyDescent="0.2">
      <c r="A764" s="73"/>
      <c r="B764" s="73"/>
      <c r="C764" s="74"/>
      <c r="D764" s="74"/>
      <c r="E764" s="74"/>
      <c r="F764" s="73"/>
      <c r="G764" s="74"/>
      <c r="H764" s="73"/>
      <c r="I764" s="73"/>
      <c r="J764" s="73"/>
      <c r="K764" s="73"/>
      <c r="L764" s="73"/>
      <c r="M764" s="73"/>
      <c r="N764" s="73"/>
      <c r="O764" s="73"/>
      <c r="P764" s="73"/>
      <c r="Q764" s="73"/>
      <c r="R764" s="73"/>
      <c r="S764" s="73"/>
      <c r="T764" s="73"/>
      <c r="U764" s="73"/>
      <c r="V764" s="73"/>
      <c r="W764" s="73"/>
      <c r="X764" s="73"/>
      <c r="Y764" s="73"/>
      <c r="Z764" s="73"/>
      <c r="AA764" s="73"/>
      <c r="AB764" s="73"/>
      <c r="AC764" s="73"/>
      <c r="AD764" s="73"/>
      <c r="AE764" s="73"/>
      <c r="AF764" s="73"/>
    </row>
    <row r="765" spans="1:32" ht="15.75" customHeight="1" x14ac:dyDescent="0.2">
      <c r="A765" s="73"/>
      <c r="B765" s="73"/>
      <c r="C765" s="74"/>
      <c r="D765" s="74"/>
      <c r="E765" s="74"/>
      <c r="F765" s="73"/>
      <c r="G765" s="74"/>
      <c r="H765" s="73"/>
      <c r="I765" s="73"/>
      <c r="J765" s="73"/>
      <c r="K765" s="73"/>
      <c r="L765" s="73"/>
      <c r="M765" s="73"/>
      <c r="N765" s="73"/>
      <c r="O765" s="73"/>
      <c r="P765" s="73"/>
      <c r="Q765" s="73"/>
      <c r="R765" s="73"/>
      <c r="S765" s="73"/>
      <c r="T765" s="73"/>
      <c r="U765" s="73"/>
      <c r="V765" s="73"/>
      <c r="W765" s="73"/>
      <c r="X765" s="73"/>
      <c r="Y765" s="73"/>
      <c r="Z765" s="73"/>
      <c r="AA765" s="73"/>
      <c r="AB765" s="73"/>
      <c r="AC765" s="73"/>
      <c r="AD765" s="73"/>
      <c r="AE765" s="73"/>
      <c r="AF765" s="73"/>
    </row>
    <row r="766" spans="1:32" ht="15.75" customHeight="1" x14ac:dyDescent="0.2">
      <c r="A766" s="73"/>
      <c r="B766" s="73"/>
      <c r="C766" s="74"/>
      <c r="D766" s="74"/>
      <c r="E766" s="74"/>
      <c r="F766" s="73"/>
      <c r="G766" s="74"/>
      <c r="H766" s="73"/>
      <c r="I766" s="73"/>
      <c r="J766" s="73"/>
      <c r="K766" s="73"/>
      <c r="L766" s="73"/>
      <c r="M766" s="73"/>
      <c r="N766" s="73"/>
      <c r="O766" s="73"/>
      <c r="P766" s="73"/>
      <c r="Q766" s="73"/>
      <c r="R766" s="73"/>
      <c r="S766" s="73"/>
      <c r="T766" s="73"/>
      <c r="U766" s="73"/>
      <c r="V766" s="73"/>
      <c r="W766" s="73"/>
      <c r="X766" s="73"/>
      <c r="Y766" s="73"/>
      <c r="Z766" s="73"/>
      <c r="AA766" s="73"/>
      <c r="AB766" s="73"/>
      <c r="AC766" s="73"/>
      <c r="AD766" s="73"/>
      <c r="AE766" s="73"/>
      <c r="AF766" s="73"/>
    </row>
    <row r="767" spans="1:32" ht="15.75" customHeight="1" x14ac:dyDescent="0.2">
      <c r="A767" s="73"/>
      <c r="B767" s="73"/>
      <c r="C767" s="74"/>
      <c r="D767" s="74"/>
      <c r="E767" s="74"/>
      <c r="F767" s="73"/>
      <c r="G767" s="74"/>
      <c r="H767" s="73"/>
      <c r="I767" s="73"/>
      <c r="J767" s="73"/>
      <c r="K767" s="73"/>
      <c r="L767" s="73"/>
      <c r="M767" s="73"/>
      <c r="N767" s="73"/>
      <c r="O767" s="73"/>
      <c r="P767" s="73"/>
      <c r="Q767" s="73"/>
      <c r="R767" s="73"/>
      <c r="S767" s="73"/>
      <c r="T767" s="73"/>
      <c r="U767" s="73"/>
      <c r="V767" s="73"/>
      <c r="W767" s="73"/>
      <c r="X767" s="73"/>
      <c r="Y767" s="73"/>
      <c r="Z767" s="73"/>
      <c r="AA767" s="73"/>
      <c r="AB767" s="73"/>
      <c r="AC767" s="73"/>
      <c r="AD767" s="73"/>
      <c r="AE767" s="73"/>
      <c r="AF767" s="73"/>
    </row>
    <row r="768" spans="1:32" ht="15.75" customHeight="1" x14ac:dyDescent="0.2">
      <c r="A768" s="73"/>
      <c r="B768" s="73"/>
      <c r="C768" s="74"/>
      <c r="D768" s="74"/>
      <c r="E768" s="74"/>
      <c r="F768" s="73"/>
      <c r="G768" s="74"/>
      <c r="H768" s="73"/>
      <c r="I768" s="73"/>
      <c r="J768" s="73"/>
      <c r="K768" s="73"/>
      <c r="L768" s="73"/>
      <c r="M768" s="73"/>
      <c r="N768" s="73"/>
      <c r="O768" s="73"/>
      <c r="P768" s="73"/>
      <c r="Q768" s="73"/>
      <c r="R768" s="73"/>
      <c r="S768" s="73"/>
      <c r="T768" s="73"/>
      <c r="U768" s="73"/>
      <c r="V768" s="73"/>
      <c r="W768" s="73"/>
      <c r="X768" s="73"/>
      <c r="Y768" s="73"/>
      <c r="Z768" s="73"/>
      <c r="AA768" s="73"/>
      <c r="AB768" s="73"/>
      <c r="AC768" s="73"/>
      <c r="AD768" s="73"/>
      <c r="AE768" s="73"/>
      <c r="AF768" s="73"/>
    </row>
    <row r="769" spans="1:32" ht="15.75" customHeight="1" x14ac:dyDescent="0.2">
      <c r="A769" s="73"/>
      <c r="B769" s="73"/>
      <c r="C769" s="74"/>
      <c r="D769" s="74"/>
      <c r="E769" s="74"/>
      <c r="F769" s="73"/>
      <c r="G769" s="74"/>
      <c r="H769" s="73"/>
      <c r="I769" s="73"/>
      <c r="J769" s="73"/>
      <c r="K769" s="73"/>
      <c r="L769" s="73"/>
      <c r="M769" s="73"/>
      <c r="N769" s="73"/>
      <c r="O769" s="73"/>
      <c r="P769" s="73"/>
      <c r="Q769" s="73"/>
      <c r="R769" s="73"/>
      <c r="S769" s="73"/>
      <c r="T769" s="73"/>
      <c r="U769" s="73"/>
      <c r="V769" s="73"/>
      <c r="W769" s="73"/>
      <c r="X769" s="73"/>
      <c r="Y769" s="73"/>
      <c r="Z769" s="73"/>
      <c r="AA769" s="73"/>
      <c r="AB769" s="73"/>
      <c r="AC769" s="73"/>
      <c r="AD769" s="73"/>
      <c r="AE769" s="73"/>
      <c r="AF769" s="73"/>
    </row>
    <row r="770" spans="1:32" ht="15.75" customHeight="1" x14ac:dyDescent="0.2">
      <c r="A770" s="73"/>
      <c r="B770" s="73"/>
      <c r="C770" s="74"/>
      <c r="D770" s="74"/>
      <c r="E770" s="74"/>
      <c r="F770" s="73"/>
      <c r="G770" s="74"/>
      <c r="H770" s="73"/>
      <c r="I770" s="73"/>
      <c r="J770" s="73"/>
      <c r="K770" s="73"/>
      <c r="L770" s="73"/>
      <c r="M770" s="73"/>
      <c r="N770" s="73"/>
      <c r="O770" s="73"/>
      <c r="P770" s="73"/>
      <c r="Q770" s="73"/>
      <c r="R770" s="73"/>
      <c r="S770" s="73"/>
      <c r="T770" s="73"/>
      <c r="U770" s="73"/>
      <c r="V770" s="73"/>
      <c r="W770" s="73"/>
      <c r="X770" s="73"/>
      <c r="Y770" s="73"/>
      <c r="Z770" s="73"/>
      <c r="AA770" s="73"/>
      <c r="AB770" s="73"/>
      <c r="AC770" s="73"/>
      <c r="AD770" s="73"/>
      <c r="AE770" s="73"/>
      <c r="AF770" s="73"/>
    </row>
    <row r="771" spans="1:32" ht="15.75" customHeight="1" x14ac:dyDescent="0.2">
      <c r="A771" s="73"/>
      <c r="B771" s="73"/>
      <c r="C771" s="74"/>
      <c r="D771" s="74"/>
      <c r="E771" s="74"/>
      <c r="F771" s="73"/>
      <c r="G771" s="74"/>
      <c r="H771" s="73"/>
      <c r="I771" s="73"/>
      <c r="J771" s="73"/>
      <c r="K771" s="73"/>
      <c r="L771" s="73"/>
      <c r="M771" s="73"/>
      <c r="N771" s="73"/>
      <c r="O771" s="73"/>
      <c r="P771" s="73"/>
      <c r="Q771" s="73"/>
      <c r="R771" s="73"/>
      <c r="S771" s="73"/>
      <c r="T771" s="73"/>
      <c r="U771" s="73"/>
      <c r="V771" s="73"/>
      <c r="W771" s="73"/>
      <c r="X771" s="73"/>
      <c r="Y771" s="73"/>
      <c r="Z771" s="73"/>
      <c r="AA771" s="73"/>
      <c r="AB771" s="73"/>
      <c r="AC771" s="73"/>
      <c r="AD771" s="73"/>
      <c r="AE771" s="73"/>
      <c r="AF771" s="73"/>
    </row>
    <row r="772" spans="1:32" ht="15.75" customHeight="1" x14ac:dyDescent="0.2">
      <c r="A772" s="73"/>
      <c r="B772" s="73"/>
      <c r="C772" s="74"/>
      <c r="D772" s="74"/>
      <c r="E772" s="74"/>
      <c r="F772" s="73"/>
      <c r="G772" s="74"/>
      <c r="H772" s="73"/>
      <c r="I772" s="73"/>
      <c r="J772" s="73"/>
      <c r="K772" s="73"/>
      <c r="L772" s="73"/>
      <c r="M772" s="73"/>
      <c r="N772" s="73"/>
      <c r="O772" s="73"/>
      <c r="P772" s="73"/>
      <c r="Q772" s="73"/>
      <c r="R772" s="73"/>
      <c r="S772" s="73"/>
      <c r="T772" s="73"/>
      <c r="U772" s="73"/>
      <c r="V772" s="73"/>
      <c r="W772" s="73"/>
      <c r="X772" s="73"/>
      <c r="Y772" s="73"/>
      <c r="Z772" s="73"/>
      <c r="AA772" s="73"/>
      <c r="AB772" s="73"/>
      <c r="AC772" s="73"/>
      <c r="AD772" s="73"/>
      <c r="AE772" s="73"/>
      <c r="AF772" s="73"/>
    </row>
    <row r="773" spans="1:32" ht="15.75" customHeight="1" x14ac:dyDescent="0.2">
      <c r="A773" s="73"/>
      <c r="B773" s="73"/>
      <c r="C773" s="74"/>
      <c r="D773" s="74"/>
      <c r="E773" s="74"/>
      <c r="F773" s="73"/>
      <c r="G773" s="74"/>
      <c r="H773" s="73"/>
      <c r="I773" s="73"/>
      <c r="J773" s="73"/>
      <c r="K773" s="73"/>
      <c r="L773" s="73"/>
      <c r="M773" s="73"/>
      <c r="N773" s="73"/>
      <c r="O773" s="73"/>
      <c r="P773" s="73"/>
      <c r="Q773" s="73"/>
      <c r="R773" s="73"/>
      <c r="S773" s="73"/>
      <c r="T773" s="73"/>
      <c r="U773" s="73"/>
      <c r="V773" s="73"/>
      <c r="W773" s="73"/>
      <c r="X773" s="73"/>
      <c r="Y773" s="73"/>
      <c r="Z773" s="73"/>
      <c r="AA773" s="73"/>
      <c r="AB773" s="73"/>
      <c r="AC773" s="73"/>
      <c r="AD773" s="73"/>
      <c r="AE773" s="73"/>
      <c r="AF773" s="73"/>
    </row>
    <row r="774" spans="1:32" ht="15.75" customHeight="1" x14ac:dyDescent="0.2">
      <c r="A774" s="73"/>
      <c r="B774" s="73"/>
      <c r="C774" s="74"/>
      <c r="D774" s="74"/>
      <c r="E774" s="74"/>
      <c r="F774" s="73"/>
      <c r="G774" s="74"/>
      <c r="H774" s="73"/>
      <c r="I774" s="73"/>
      <c r="J774" s="73"/>
      <c r="K774" s="73"/>
      <c r="L774" s="73"/>
      <c r="M774" s="73"/>
      <c r="N774" s="73"/>
      <c r="O774" s="73"/>
      <c r="P774" s="73"/>
      <c r="Q774" s="73"/>
      <c r="R774" s="73"/>
      <c r="S774" s="73"/>
      <c r="T774" s="73"/>
      <c r="U774" s="73"/>
      <c r="V774" s="73"/>
      <c r="W774" s="73"/>
      <c r="X774" s="73"/>
      <c r="Y774" s="73"/>
      <c r="Z774" s="73"/>
      <c r="AA774" s="73"/>
      <c r="AB774" s="73"/>
      <c r="AC774" s="73"/>
      <c r="AD774" s="73"/>
      <c r="AE774" s="73"/>
      <c r="AF774" s="73"/>
    </row>
    <row r="775" spans="1:32" ht="15.75" customHeight="1" x14ac:dyDescent="0.2">
      <c r="A775" s="73"/>
      <c r="B775" s="73"/>
      <c r="C775" s="74"/>
      <c r="D775" s="74"/>
      <c r="E775" s="74"/>
      <c r="F775" s="73"/>
      <c r="G775" s="74"/>
      <c r="H775" s="73"/>
      <c r="I775" s="73"/>
      <c r="J775" s="73"/>
      <c r="K775" s="73"/>
      <c r="L775" s="73"/>
      <c r="M775" s="73"/>
      <c r="N775" s="73"/>
      <c r="O775" s="73"/>
      <c r="P775" s="73"/>
      <c r="Q775" s="73"/>
      <c r="R775" s="73"/>
      <c r="S775" s="73"/>
      <c r="T775" s="73"/>
      <c r="U775" s="73"/>
      <c r="V775" s="73"/>
      <c r="W775" s="73"/>
      <c r="X775" s="73"/>
      <c r="Y775" s="73"/>
      <c r="Z775" s="73"/>
      <c r="AA775" s="73"/>
      <c r="AB775" s="73"/>
      <c r="AC775" s="73"/>
      <c r="AD775" s="73"/>
      <c r="AE775" s="73"/>
      <c r="AF775" s="73"/>
    </row>
    <row r="776" spans="1:32" ht="15.75" customHeight="1" x14ac:dyDescent="0.2">
      <c r="A776" s="73"/>
      <c r="B776" s="73"/>
      <c r="C776" s="74"/>
      <c r="D776" s="74"/>
      <c r="E776" s="74"/>
      <c r="F776" s="73"/>
      <c r="G776" s="74"/>
      <c r="H776" s="73"/>
      <c r="I776" s="73"/>
      <c r="J776" s="73"/>
      <c r="K776" s="73"/>
      <c r="L776" s="73"/>
      <c r="M776" s="73"/>
      <c r="N776" s="73"/>
      <c r="O776" s="73"/>
      <c r="P776" s="73"/>
      <c r="Q776" s="73"/>
      <c r="R776" s="73"/>
      <c r="S776" s="73"/>
      <c r="T776" s="73"/>
      <c r="U776" s="73"/>
      <c r="V776" s="73"/>
      <c r="W776" s="73"/>
      <c r="X776" s="73"/>
      <c r="Y776" s="73"/>
      <c r="Z776" s="73"/>
      <c r="AA776" s="73"/>
      <c r="AB776" s="73"/>
      <c r="AC776" s="73"/>
      <c r="AD776" s="73"/>
      <c r="AE776" s="73"/>
      <c r="AF776" s="73"/>
    </row>
    <row r="777" spans="1:32" ht="15.75" customHeight="1" x14ac:dyDescent="0.2">
      <c r="A777" s="73"/>
      <c r="B777" s="73"/>
      <c r="C777" s="74"/>
      <c r="D777" s="74"/>
      <c r="E777" s="74"/>
      <c r="F777" s="73"/>
      <c r="G777" s="74"/>
      <c r="H777" s="73"/>
      <c r="I777" s="73"/>
      <c r="J777" s="73"/>
      <c r="K777" s="73"/>
      <c r="L777" s="73"/>
      <c r="M777" s="73"/>
      <c r="N777" s="73"/>
      <c r="O777" s="73"/>
      <c r="P777" s="73"/>
      <c r="Q777" s="73"/>
      <c r="R777" s="73"/>
      <c r="S777" s="73"/>
      <c r="T777" s="73"/>
      <c r="U777" s="73"/>
      <c r="V777" s="73"/>
      <c r="W777" s="73"/>
      <c r="X777" s="73"/>
      <c r="Y777" s="73"/>
      <c r="Z777" s="73"/>
      <c r="AA777" s="73"/>
      <c r="AB777" s="73"/>
      <c r="AC777" s="73"/>
      <c r="AD777" s="73"/>
      <c r="AE777" s="73"/>
      <c r="AF777" s="73"/>
    </row>
    <row r="778" spans="1:32" ht="15.75" customHeight="1" x14ac:dyDescent="0.2">
      <c r="A778" s="73"/>
      <c r="B778" s="73"/>
      <c r="C778" s="74"/>
      <c r="D778" s="74"/>
      <c r="E778" s="74"/>
      <c r="F778" s="73"/>
      <c r="G778" s="74"/>
      <c r="H778" s="73"/>
      <c r="I778" s="73"/>
      <c r="J778" s="73"/>
      <c r="K778" s="73"/>
      <c r="L778" s="73"/>
      <c r="M778" s="73"/>
      <c r="N778" s="73"/>
      <c r="O778" s="73"/>
      <c r="P778" s="73"/>
      <c r="Q778" s="73"/>
      <c r="R778" s="73"/>
      <c r="S778" s="73"/>
      <c r="T778" s="73"/>
      <c r="U778" s="73"/>
      <c r="V778" s="73"/>
      <c r="W778" s="73"/>
      <c r="X778" s="73"/>
      <c r="Y778" s="73"/>
      <c r="Z778" s="73"/>
      <c r="AA778" s="73"/>
      <c r="AB778" s="73"/>
      <c r="AC778" s="73"/>
      <c r="AD778" s="73"/>
      <c r="AE778" s="73"/>
      <c r="AF778" s="73"/>
    </row>
    <row r="779" spans="1:32" ht="15.75" customHeight="1" x14ac:dyDescent="0.2">
      <c r="A779" s="73"/>
      <c r="B779" s="73"/>
      <c r="C779" s="74"/>
      <c r="D779" s="74"/>
      <c r="E779" s="74"/>
      <c r="F779" s="73"/>
      <c r="G779" s="74"/>
      <c r="H779" s="73"/>
      <c r="I779" s="73"/>
      <c r="J779" s="73"/>
      <c r="K779" s="73"/>
      <c r="L779" s="73"/>
      <c r="M779" s="73"/>
      <c r="N779" s="73"/>
      <c r="O779" s="73"/>
      <c r="P779" s="73"/>
      <c r="Q779" s="73"/>
      <c r="R779" s="73"/>
      <c r="S779" s="73"/>
      <c r="T779" s="73"/>
      <c r="U779" s="73"/>
      <c r="V779" s="73"/>
      <c r="W779" s="73"/>
      <c r="X779" s="73"/>
      <c r="Y779" s="73"/>
      <c r="Z779" s="73"/>
      <c r="AA779" s="73"/>
      <c r="AB779" s="73"/>
      <c r="AC779" s="73"/>
      <c r="AD779" s="73"/>
      <c r="AE779" s="73"/>
      <c r="AF779" s="73"/>
    </row>
    <row r="780" spans="1:32" ht="15.75" customHeight="1" x14ac:dyDescent="0.2">
      <c r="A780" s="73"/>
      <c r="B780" s="73"/>
      <c r="C780" s="74"/>
      <c r="D780" s="74"/>
      <c r="E780" s="74"/>
      <c r="F780" s="73"/>
      <c r="G780" s="74"/>
      <c r="H780" s="73"/>
      <c r="I780" s="73"/>
      <c r="J780" s="73"/>
      <c r="K780" s="73"/>
      <c r="L780" s="73"/>
      <c r="M780" s="73"/>
      <c r="N780" s="73"/>
      <c r="O780" s="73"/>
      <c r="P780" s="73"/>
      <c r="Q780" s="73"/>
      <c r="R780" s="73"/>
      <c r="S780" s="73"/>
      <c r="T780" s="73"/>
      <c r="U780" s="73"/>
      <c r="V780" s="73"/>
      <c r="W780" s="73"/>
      <c r="X780" s="73"/>
      <c r="Y780" s="73"/>
      <c r="Z780" s="73"/>
      <c r="AA780" s="73"/>
      <c r="AB780" s="73"/>
      <c r="AC780" s="73"/>
      <c r="AD780" s="73"/>
      <c r="AE780" s="73"/>
      <c r="AF780" s="73"/>
    </row>
    <row r="781" spans="1:32" ht="15.75" customHeight="1" x14ac:dyDescent="0.2">
      <c r="A781" s="73"/>
      <c r="B781" s="73"/>
      <c r="C781" s="74"/>
      <c r="D781" s="74"/>
      <c r="E781" s="74"/>
      <c r="F781" s="73"/>
      <c r="G781" s="74"/>
      <c r="H781" s="73"/>
      <c r="I781" s="73"/>
      <c r="J781" s="73"/>
      <c r="K781" s="73"/>
      <c r="L781" s="73"/>
      <c r="M781" s="73"/>
      <c r="N781" s="73"/>
      <c r="O781" s="73"/>
      <c r="P781" s="73"/>
      <c r="Q781" s="73"/>
      <c r="R781" s="73"/>
      <c r="S781" s="73"/>
      <c r="T781" s="73"/>
      <c r="U781" s="73"/>
      <c r="V781" s="73"/>
      <c r="W781" s="73"/>
      <c r="X781" s="73"/>
      <c r="Y781" s="73"/>
      <c r="Z781" s="73"/>
      <c r="AA781" s="73"/>
      <c r="AB781" s="73"/>
      <c r="AC781" s="73"/>
      <c r="AD781" s="73"/>
      <c r="AE781" s="73"/>
      <c r="AF781" s="73"/>
    </row>
    <row r="782" spans="1:32" ht="15.75" customHeight="1" x14ac:dyDescent="0.2">
      <c r="A782" s="73"/>
      <c r="B782" s="73"/>
      <c r="C782" s="74"/>
      <c r="D782" s="74"/>
      <c r="E782" s="74"/>
      <c r="F782" s="73"/>
      <c r="G782" s="74"/>
      <c r="H782" s="73"/>
      <c r="I782" s="73"/>
      <c r="J782" s="73"/>
      <c r="K782" s="73"/>
      <c r="L782" s="73"/>
      <c r="M782" s="73"/>
      <c r="N782" s="73"/>
      <c r="O782" s="73"/>
      <c r="P782" s="73"/>
      <c r="Q782" s="73"/>
      <c r="R782" s="73"/>
      <c r="S782" s="73"/>
      <c r="T782" s="73"/>
      <c r="U782" s="73"/>
      <c r="V782" s="73"/>
      <c r="W782" s="73"/>
      <c r="X782" s="73"/>
      <c r="Y782" s="73"/>
      <c r="Z782" s="73"/>
      <c r="AA782" s="73"/>
      <c r="AB782" s="73"/>
      <c r="AC782" s="73"/>
      <c r="AD782" s="73"/>
      <c r="AE782" s="73"/>
      <c r="AF782" s="73"/>
    </row>
    <row r="783" spans="1:32" ht="15.75" customHeight="1" x14ac:dyDescent="0.2">
      <c r="A783" s="73"/>
      <c r="B783" s="73"/>
      <c r="C783" s="74"/>
      <c r="D783" s="74"/>
      <c r="E783" s="74"/>
      <c r="F783" s="73"/>
      <c r="G783" s="74"/>
      <c r="H783" s="73"/>
      <c r="I783" s="73"/>
      <c r="J783" s="73"/>
      <c r="K783" s="73"/>
      <c r="L783" s="73"/>
      <c r="M783" s="73"/>
      <c r="N783" s="73"/>
      <c r="O783" s="73"/>
      <c r="P783" s="73"/>
      <c r="Q783" s="73"/>
      <c r="R783" s="73"/>
      <c r="S783" s="73"/>
      <c r="T783" s="73"/>
      <c r="U783" s="73"/>
      <c r="V783" s="73"/>
      <c r="W783" s="73"/>
      <c r="X783" s="73"/>
      <c r="Y783" s="73"/>
      <c r="Z783" s="73"/>
      <c r="AA783" s="73"/>
      <c r="AB783" s="73"/>
      <c r="AC783" s="73"/>
      <c r="AD783" s="73"/>
      <c r="AE783" s="73"/>
      <c r="AF783" s="73"/>
    </row>
    <row r="784" spans="1:32" ht="15.75" customHeight="1" x14ac:dyDescent="0.2">
      <c r="A784" s="73"/>
      <c r="B784" s="73"/>
      <c r="C784" s="74"/>
      <c r="D784" s="74"/>
      <c r="E784" s="74"/>
      <c r="F784" s="73"/>
      <c r="G784" s="74"/>
      <c r="H784" s="73"/>
      <c r="I784" s="73"/>
      <c r="J784" s="73"/>
      <c r="K784" s="73"/>
      <c r="L784" s="73"/>
      <c r="M784" s="73"/>
      <c r="N784" s="73"/>
      <c r="O784" s="73"/>
      <c r="P784" s="73"/>
      <c r="Q784" s="73"/>
      <c r="R784" s="73"/>
      <c r="S784" s="73"/>
      <c r="T784" s="73"/>
      <c r="U784" s="73"/>
      <c r="V784" s="73"/>
      <c r="W784" s="73"/>
      <c r="X784" s="73"/>
      <c r="Y784" s="73"/>
      <c r="Z784" s="73"/>
      <c r="AA784" s="73"/>
      <c r="AB784" s="73"/>
      <c r="AC784" s="73"/>
      <c r="AD784" s="73"/>
      <c r="AE784" s="73"/>
      <c r="AF784" s="73"/>
    </row>
    <row r="785" spans="1:32" ht="15.75" customHeight="1" x14ac:dyDescent="0.2">
      <c r="A785" s="73"/>
      <c r="B785" s="73"/>
      <c r="C785" s="74"/>
      <c r="D785" s="74"/>
      <c r="E785" s="74"/>
      <c r="F785" s="73"/>
      <c r="G785" s="74"/>
      <c r="H785" s="73"/>
      <c r="I785" s="73"/>
      <c r="J785" s="73"/>
      <c r="K785" s="73"/>
      <c r="L785" s="73"/>
      <c r="M785" s="73"/>
      <c r="N785" s="73"/>
      <c r="O785" s="73"/>
      <c r="P785" s="73"/>
      <c r="Q785" s="73"/>
      <c r="R785" s="73"/>
      <c r="S785" s="73"/>
      <c r="T785" s="73"/>
      <c r="U785" s="73"/>
      <c r="V785" s="73"/>
      <c r="W785" s="73"/>
      <c r="X785" s="73"/>
      <c r="Y785" s="73"/>
      <c r="Z785" s="73"/>
      <c r="AA785" s="73"/>
      <c r="AB785" s="73"/>
      <c r="AC785" s="73"/>
      <c r="AD785" s="73"/>
      <c r="AE785" s="73"/>
      <c r="AF785" s="73"/>
    </row>
    <row r="786" spans="1:32" ht="15.75" customHeight="1" x14ac:dyDescent="0.2">
      <c r="A786" s="73"/>
      <c r="B786" s="73"/>
      <c r="C786" s="74"/>
      <c r="D786" s="74"/>
      <c r="E786" s="74"/>
      <c r="F786" s="73"/>
      <c r="G786" s="74"/>
      <c r="H786" s="73"/>
      <c r="I786" s="73"/>
      <c r="J786" s="73"/>
      <c r="K786" s="73"/>
      <c r="L786" s="73"/>
      <c r="M786" s="73"/>
      <c r="N786" s="73"/>
      <c r="O786" s="73"/>
      <c r="P786" s="73"/>
      <c r="Q786" s="73"/>
      <c r="R786" s="73"/>
      <c r="S786" s="73"/>
      <c r="T786" s="73"/>
      <c r="U786" s="73"/>
      <c r="V786" s="73"/>
      <c r="W786" s="73"/>
      <c r="X786" s="73"/>
      <c r="Y786" s="73"/>
      <c r="Z786" s="73"/>
      <c r="AA786" s="73"/>
      <c r="AB786" s="73"/>
      <c r="AC786" s="73"/>
      <c r="AD786" s="73"/>
      <c r="AE786" s="73"/>
      <c r="AF786" s="73"/>
    </row>
    <row r="787" spans="1:32" ht="15.75" customHeight="1" x14ac:dyDescent="0.2">
      <c r="A787" s="73"/>
      <c r="B787" s="73"/>
      <c r="C787" s="74"/>
      <c r="D787" s="74"/>
      <c r="E787" s="74"/>
      <c r="F787" s="73"/>
      <c r="G787" s="74"/>
      <c r="H787" s="73"/>
      <c r="I787" s="73"/>
      <c r="J787" s="73"/>
      <c r="K787" s="73"/>
      <c r="L787" s="73"/>
      <c r="M787" s="73"/>
      <c r="N787" s="73"/>
      <c r="O787" s="73"/>
      <c r="P787" s="73"/>
      <c r="Q787" s="73"/>
      <c r="R787" s="73"/>
      <c r="S787" s="73"/>
      <c r="T787" s="73"/>
      <c r="U787" s="73"/>
      <c r="V787" s="73"/>
      <c r="W787" s="73"/>
      <c r="X787" s="73"/>
      <c r="Y787" s="73"/>
      <c r="Z787" s="73"/>
      <c r="AA787" s="73"/>
      <c r="AB787" s="73"/>
      <c r="AC787" s="73"/>
      <c r="AD787" s="73"/>
      <c r="AE787" s="73"/>
      <c r="AF787" s="73"/>
    </row>
    <row r="788" spans="1:32" ht="15.75" customHeight="1" x14ac:dyDescent="0.2">
      <c r="A788" s="73"/>
      <c r="B788" s="73"/>
      <c r="C788" s="74"/>
      <c r="D788" s="74"/>
      <c r="E788" s="74"/>
      <c r="F788" s="73"/>
      <c r="G788" s="74"/>
      <c r="H788" s="73"/>
      <c r="I788" s="73"/>
      <c r="J788" s="73"/>
      <c r="K788" s="73"/>
      <c r="L788" s="73"/>
      <c r="M788" s="73"/>
      <c r="N788" s="73"/>
      <c r="O788" s="73"/>
      <c r="P788" s="73"/>
      <c r="Q788" s="73"/>
      <c r="R788" s="73"/>
      <c r="S788" s="73"/>
      <c r="T788" s="73"/>
      <c r="U788" s="73"/>
      <c r="V788" s="73"/>
      <c r="W788" s="73"/>
      <c r="X788" s="73"/>
      <c r="Y788" s="73"/>
      <c r="Z788" s="73"/>
      <c r="AA788" s="73"/>
      <c r="AB788" s="73"/>
      <c r="AC788" s="73"/>
      <c r="AD788" s="73"/>
      <c r="AE788" s="73"/>
      <c r="AF788" s="73"/>
    </row>
    <row r="789" spans="1:32" ht="15.75" customHeight="1" x14ac:dyDescent="0.2">
      <c r="A789" s="73"/>
      <c r="B789" s="73"/>
      <c r="C789" s="74"/>
      <c r="D789" s="74"/>
      <c r="E789" s="74"/>
      <c r="F789" s="73"/>
      <c r="G789" s="74"/>
      <c r="H789" s="73"/>
      <c r="I789" s="73"/>
      <c r="J789" s="73"/>
      <c r="K789" s="73"/>
      <c r="L789" s="73"/>
      <c r="M789" s="73"/>
      <c r="N789" s="73"/>
      <c r="O789" s="73"/>
      <c r="P789" s="73"/>
      <c r="Q789" s="73"/>
      <c r="R789" s="73"/>
      <c r="S789" s="73"/>
      <c r="T789" s="73"/>
      <c r="U789" s="73"/>
      <c r="V789" s="73"/>
      <c r="W789" s="73"/>
      <c r="X789" s="73"/>
      <c r="Y789" s="73"/>
      <c r="Z789" s="73"/>
      <c r="AA789" s="73"/>
      <c r="AB789" s="73"/>
      <c r="AC789" s="73"/>
      <c r="AD789" s="73"/>
      <c r="AE789" s="73"/>
      <c r="AF789" s="73"/>
    </row>
    <row r="790" spans="1:32" ht="15.75" customHeight="1" x14ac:dyDescent="0.2">
      <c r="A790" s="73"/>
      <c r="B790" s="73"/>
      <c r="C790" s="74"/>
      <c r="D790" s="74"/>
      <c r="E790" s="74"/>
      <c r="F790" s="73"/>
      <c r="G790" s="74"/>
      <c r="H790" s="73"/>
      <c r="I790" s="73"/>
      <c r="J790" s="73"/>
      <c r="K790" s="73"/>
      <c r="L790" s="73"/>
      <c r="M790" s="73"/>
      <c r="N790" s="73"/>
      <c r="O790" s="73"/>
      <c r="P790" s="73"/>
      <c r="Q790" s="73"/>
      <c r="R790" s="73"/>
      <c r="S790" s="73"/>
      <c r="T790" s="73"/>
      <c r="U790" s="73"/>
      <c r="V790" s="73"/>
      <c r="W790" s="73"/>
      <c r="X790" s="73"/>
      <c r="Y790" s="73"/>
      <c r="Z790" s="73"/>
      <c r="AA790" s="73"/>
      <c r="AB790" s="73"/>
      <c r="AC790" s="73"/>
      <c r="AD790" s="73"/>
      <c r="AE790" s="73"/>
      <c r="AF790" s="73"/>
    </row>
    <row r="791" spans="1:32" ht="15.75" customHeight="1" x14ac:dyDescent="0.2">
      <c r="A791" s="73"/>
      <c r="B791" s="73"/>
      <c r="C791" s="74"/>
      <c r="D791" s="74"/>
      <c r="E791" s="74"/>
      <c r="F791" s="73"/>
      <c r="G791" s="74"/>
      <c r="H791" s="73"/>
      <c r="I791" s="73"/>
      <c r="J791" s="73"/>
      <c r="K791" s="73"/>
      <c r="L791" s="73"/>
      <c r="M791" s="73"/>
      <c r="N791" s="73"/>
      <c r="O791" s="73"/>
      <c r="P791" s="73"/>
      <c r="Q791" s="73"/>
      <c r="R791" s="73"/>
      <c r="S791" s="73"/>
      <c r="T791" s="73"/>
      <c r="U791" s="73"/>
      <c r="V791" s="73"/>
      <c r="W791" s="73"/>
      <c r="X791" s="73"/>
      <c r="Y791" s="73"/>
      <c r="Z791" s="73"/>
      <c r="AA791" s="73"/>
      <c r="AB791" s="73"/>
      <c r="AC791" s="73"/>
      <c r="AD791" s="73"/>
      <c r="AE791" s="73"/>
      <c r="AF791" s="73"/>
    </row>
    <row r="792" spans="1:32" ht="15.75" customHeight="1" x14ac:dyDescent="0.2">
      <c r="A792" s="73"/>
      <c r="B792" s="73"/>
      <c r="C792" s="74"/>
      <c r="D792" s="74"/>
      <c r="E792" s="74"/>
      <c r="F792" s="73"/>
      <c r="G792" s="74"/>
      <c r="H792" s="73"/>
      <c r="I792" s="73"/>
      <c r="J792" s="73"/>
      <c r="K792" s="73"/>
      <c r="L792" s="73"/>
      <c r="M792" s="73"/>
      <c r="N792" s="73"/>
      <c r="O792" s="73"/>
      <c r="P792" s="73"/>
      <c r="Q792" s="73"/>
      <c r="R792" s="73"/>
      <c r="S792" s="73"/>
      <c r="T792" s="73"/>
      <c r="U792" s="73"/>
      <c r="V792" s="73"/>
      <c r="W792" s="73"/>
      <c r="X792" s="73"/>
      <c r="Y792" s="73"/>
      <c r="Z792" s="73"/>
      <c r="AA792" s="73"/>
      <c r="AB792" s="73"/>
      <c r="AC792" s="73"/>
      <c r="AD792" s="73"/>
      <c r="AE792" s="73"/>
      <c r="AF792" s="73"/>
    </row>
    <row r="793" spans="1:32" ht="15.75" customHeight="1" x14ac:dyDescent="0.2">
      <c r="A793" s="73"/>
      <c r="B793" s="73"/>
      <c r="C793" s="74"/>
      <c r="D793" s="74"/>
      <c r="E793" s="74"/>
      <c r="F793" s="73"/>
      <c r="G793" s="74"/>
      <c r="H793" s="73"/>
      <c r="I793" s="73"/>
      <c r="J793" s="73"/>
      <c r="K793" s="73"/>
      <c r="L793" s="73"/>
      <c r="M793" s="73"/>
      <c r="N793" s="73"/>
      <c r="O793" s="73"/>
      <c r="P793" s="73"/>
      <c r="Q793" s="73"/>
      <c r="R793" s="73"/>
      <c r="S793" s="73"/>
      <c r="T793" s="73"/>
      <c r="U793" s="73"/>
      <c r="V793" s="73"/>
      <c r="W793" s="73"/>
      <c r="X793" s="73"/>
      <c r="Y793" s="73"/>
      <c r="Z793" s="73"/>
      <c r="AA793" s="73"/>
      <c r="AB793" s="73"/>
      <c r="AC793" s="73"/>
      <c r="AD793" s="73"/>
      <c r="AE793" s="73"/>
      <c r="AF793" s="73"/>
    </row>
    <row r="794" spans="1:32" ht="15.75" customHeight="1" x14ac:dyDescent="0.2">
      <c r="A794" s="73"/>
      <c r="B794" s="73"/>
      <c r="C794" s="74"/>
      <c r="D794" s="74"/>
      <c r="E794" s="74"/>
      <c r="F794" s="73"/>
      <c r="G794" s="74"/>
      <c r="H794" s="73"/>
      <c r="I794" s="73"/>
      <c r="J794" s="73"/>
      <c r="K794" s="73"/>
      <c r="L794" s="73"/>
      <c r="M794" s="73"/>
      <c r="N794" s="73"/>
      <c r="O794" s="73"/>
      <c r="P794" s="73"/>
      <c r="Q794" s="73"/>
      <c r="R794" s="73"/>
      <c r="S794" s="73"/>
      <c r="T794" s="73"/>
      <c r="U794" s="73"/>
      <c r="V794" s="73"/>
      <c r="W794" s="73"/>
      <c r="X794" s="73"/>
      <c r="Y794" s="73"/>
      <c r="Z794" s="73"/>
      <c r="AA794" s="73"/>
      <c r="AB794" s="73"/>
      <c r="AC794" s="73"/>
      <c r="AD794" s="73"/>
      <c r="AE794" s="73"/>
      <c r="AF794" s="73"/>
    </row>
    <row r="795" spans="1:32" ht="15.75" customHeight="1" x14ac:dyDescent="0.2">
      <c r="A795" s="73"/>
      <c r="B795" s="73"/>
      <c r="C795" s="74"/>
      <c r="D795" s="74"/>
      <c r="E795" s="74"/>
      <c r="F795" s="73"/>
      <c r="G795" s="74"/>
      <c r="H795" s="73"/>
      <c r="I795" s="73"/>
      <c r="J795" s="73"/>
      <c r="K795" s="73"/>
      <c r="L795" s="73"/>
      <c r="M795" s="73"/>
      <c r="N795" s="73"/>
      <c r="O795" s="73"/>
      <c r="P795" s="73"/>
      <c r="Q795" s="73"/>
      <c r="R795" s="73"/>
      <c r="S795" s="73"/>
      <c r="T795" s="73"/>
      <c r="U795" s="73"/>
      <c r="V795" s="73"/>
      <c r="W795" s="73"/>
      <c r="X795" s="73"/>
      <c r="Y795" s="73"/>
      <c r="Z795" s="73"/>
      <c r="AA795" s="73"/>
      <c r="AB795" s="73"/>
      <c r="AC795" s="73"/>
      <c r="AD795" s="73"/>
      <c r="AE795" s="73"/>
      <c r="AF795" s="73"/>
    </row>
    <row r="796" spans="1:32" ht="15.75" customHeight="1" x14ac:dyDescent="0.2">
      <c r="A796" s="73"/>
      <c r="B796" s="73"/>
      <c r="C796" s="74"/>
      <c r="D796" s="74"/>
      <c r="E796" s="74"/>
      <c r="F796" s="73"/>
      <c r="G796" s="74"/>
      <c r="H796" s="73"/>
      <c r="I796" s="73"/>
      <c r="J796" s="73"/>
      <c r="K796" s="73"/>
      <c r="L796" s="73"/>
      <c r="M796" s="73"/>
      <c r="N796" s="73"/>
      <c r="O796" s="73"/>
      <c r="P796" s="73"/>
      <c r="Q796" s="73"/>
      <c r="R796" s="73"/>
      <c r="S796" s="73"/>
      <c r="T796" s="73"/>
      <c r="U796" s="73"/>
      <c r="V796" s="73"/>
      <c r="W796" s="73"/>
      <c r="X796" s="73"/>
      <c r="Y796" s="73"/>
      <c r="Z796" s="73"/>
      <c r="AA796" s="73"/>
      <c r="AB796" s="73"/>
      <c r="AC796" s="73"/>
      <c r="AD796" s="73"/>
      <c r="AE796" s="73"/>
      <c r="AF796" s="73"/>
    </row>
    <row r="797" spans="1:32" ht="15.75" customHeight="1" x14ac:dyDescent="0.2">
      <c r="A797" s="73"/>
      <c r="B797" s="73"/>
      <c r="C797" s="74"/>
      <c r="D797" s="74"/>
      <c r="E797" s="74"/>
      <c r="F797" s="73"/>
      <c r="G797" s="74"/>
      <c r="H797" s="73"/>
      <c r="I797" s="73"/>
      <c r="J797" s="73"/>
      <c r="K797" s="73"/>
      <c r="L797" s="73"/>
      <c r="M797" s="73"/>
      <c r="N797" s="73"/>
      <c r="O797" s="73"/>
      <c r="P797" s="73"/>
      <c r="Q797" s="73"/>
      <c r="R797" s="73"/>
      <c r="S797" s="73"/>
      <c r="T797" s="73"/>
      <c r="U797" s="73"/>
      <c r="V797" s="73"/>
      <c r="W797" s="73"/>
      <c r="X797" s="73"/>
      <c r="Y797" s="73"/>
      <c r="Z797" s="73"/>
      <c r="AA797" s="73"/>
      <c r="AB797" s="73"/>
      <c r="AC797" s="73"/>
      <c r="AD797" s="73"/>
      <c r="AE797" s="73"/>
      <c r="AF797" s="73"/>
    </row>
    <row r="798" spans="1:32" ht="15.75" customHeight="1" x14ac:dyDescent="0.2">
      <c r="A798" s="73"/>
      <c r="B798" s="73"/>
      <c r="C798" s="74"/>
      <c r="D798" s="74"/>
      <c r="E798" s="74"/>
      <c r="F798" s="73"/>
      <c r="G798" s="74"/>
      <c r="H798" s="73"/>
      <c r="I798" s="73"/>
      <c r="J798" s="73"/>
      <c r="K798" s="73"/>
      <c r="L798" s="73"/>
      <c r="M798" s="73"/>
      <c r="N798" s="73"/>
      <c r="O798" s="73"/>
      <c r="P798" s="73"/>
      <c r="Q798" s="73"/>
      <c r="R798" s="73"/>
      <c r="S798" s="73"/>
      <c r="T798" s="73"/>
      <c r="U798" s="73"/>
      <c r="V798" s="73"/>
      <c r="W798" s="73"/>
      <c r="X798" s="73"/>
      <c r="Y798" s="73"/>
      <c r="Z798" s="73"/>
      <c r="AA798" s="73"/>
      <c r="AB798" s="73"/>
      <c r="AC798" s="73"/>
      <c r="AD798" s="73"/>
      <c r="AE798" s="73"/>
      <c r="AF798" s="73"/>
    </row>
    <row r="799" spans="1:32" ht="15.75" customHeight="1" x14ac:dyDescent="0.2">
      <c r="A799" s="73"/>
      <c r="B799" s="73"/>
      <c r="C799" s="74"/>
      <c r="D799" s="74"/>
      <c r="E799" s="74"/>
      <c r="F799" s="73"/>
      <c r="G799" s="74"/>
      <c r="H799" s="73"/>
      <c r="I799" s="73"/>
      <c r="J799" s="73"/>
      <c r="K799" s="73"/>
      <c r="L799" s="73"/>
      <c r="M799" s="73"/>
      <c r="N799" s="73"/>
      <c r="O799" s="73"/>
      <c r="P799" s="73"/>
      <c r="Q799" s="73"/>
      <c r="R799" s="73"/>
      <c r="S799" s="73"/>
      <c r="T799" s="73"/>
      <c r="U799" s="73"/>
      <c r="V799" s="73"/>
      <c r="W799" s="73"/>
      <c r="X799" s="73"/>
      <c r="Y799" s="73"/>
      <c r="Z799" s="73"/>
      <c r="AA799" s="73"/>
      <c r="AB799" s="73"/>
      <c r="AC799" s="73"/>
      <c r="AD799" s="73"/>
      <c r="AE799" s="73"/>
      <c r="AF799" s="73"/>
    </row>
    <row r="800" spans="1:32" ht="15.75" customHeight="1" x14ac:dyDescent="0.2">
      <c r="A800" s="73"/>
      <c r="B800" s="73"/>
      <c r="C800" s="74"/>
      <c r="D800" s="74"/>
      <c r="E800" s="74"/>
      <c r="F800" s="73"/>
      <c r="G800" s="74"/>
      <c r="H800" s="73"/>
      <c r="I800" s="73"/>
      <c r="J800" s="73"/>
      <c r="K800" s="73"/>
      <c r="L800" s="73"/>
      <c r="M800" s="73"/>
      <c r="N800" s="73"/>
      <c r="O800" s="73"/>
      <c r="P800" s="73"/>
      <c r="Q800" s="73"/>
      <c r="R800" s="73"/>
      <c r="S800" s="73"/>
      <c r="T800" s="73"/>
      <c r="U800" s="73"/>
      <c r="V800" s="73"/>
      <c r="W800" s="73"/>
      <c r="X800" s="73"/>
      <c r="Y800" s="73"/>
      <c r="Z800" s="73"/>
      <c r="AA800" s="73"/>
      <c r="AB800" s="73"/>
      <c r="AC800" s="73"/>
      <c r="AD800" s="73"/>
      <c r="AE800" s="73"/>
      <c r="AF800" s="73"/>
    </row>
    <row r="801" spans="1:32" ht="15.75" customHeight="1" x14ac:dyDescent="0.2">
      <c r="A801" s="73"/>
      <c r="B801" s="73"/>
      <c r="C801" s="74"/>
      <c r="D801" s="74"/>
      <c r="E801" s="74"/>
      <c r="F801" s="73"/>
      <c r="G801" s="74"/>
      <c r="H801" s="73"/>
      <c r="I801" s="73"/>
      <c r="J801" s="73"/>
      <c r="K801" s="73"/>
      <c r="L801" s="73"/>
      <c r="M801" s="73"/>
      <c r="N801" s="73"/>
      <c r="O801" s="73"/>
      <c r="P801" s="73"/>
      <c r="Q801" s="73"/>
      <c r="R801" s="73"/>
      <c r="S801" s="73"/>
      <c r="T801" s="73"/>
      <c r="U801" s="73"/>
      <c r="V801" s="73"/>
      <c r="W801" s="73"/>
      <c r="X801" s="73"/>
      <c r="Y801" s="73"/>
      <c r="Z801" s="73"/>
      <c r="AA801" s="73"/>
      <c r="AB801" s="73"/>
      <c r="AC801" s="73"/>
      <c r="AD801" s="73"/>
      <c r="AE801" s="73"/>
      <c r="AF801" s="73"/>
    </row>
    <row r="802" spans="1:32" ht="15.75" customHeight="1" x14ac:dyDescent="0.2">
      <c r="A802" s="73"/>
      <c r="B802" s="73"/>
      <c r="C802" s="74"/>
      <c r="D802" s="74"/>
      <c r="E802" s="74"/>
      <c r="F802" s="73"/>
      <c r="G802" s="74"/>
      <c r="H802" s="73"/>
      <c r="I802" s="73"/>
      <c r="J802" s="73"/>
      <c r="K802" s="73"/>
      <c r="L802" s="73"/>
      <c r="M802" s="73"/>
      <c r="N802" s="73"/>
      <c r="O802" s="73"/>
      <c r="P802" s="73"/>
      <c r="Q802" s="73"/>
      <c r="R802" s="73"/>
      <c r="S802" s="73"/>
      <c r="T802" s="73"/>
      <c r="U802" s="73"/>
      <c r="V802" s="73"/>
      <c r="W802" s="73"/>
      <c r="X802" s="73"/>
      <c r="Y802" s="73"/>
      <c r="Z802" s="73"/>
      <c r="AA802" s="73"/>
      <c r="AB802" s="73"/>
      <c r="AC802" s="73"/>
      <c r="AD802" s="73"/>
      <c r="AE802" s="73"/>
      <c r="AF802" s="73"/>
    </row>
    <row r="803" spans="1:32" ht="15.75" customHeight="1" x14ac:dyDescent="0.2">
      <c r="A803" s="73"/>
      <c r="B803" s="73"/>
      <c r="C803" s="74"/>
      <c r="D803" s="74"/>
      <c r="E803" s="74"/>
      <c r="F803" s="73"/>
      <c r="G803" s="74"/>
      <c r="H803" s="73"/>
      <c r="I803" s="73"/>
      <c r="J803" s="73"/>
      <c r="K803" s="73"/>
      <c r="L803" s="73"/>
      <c r="M803" s="73"/>
      <c r="N803" s="73"/>
      <c r="O803" s="73"/>
      <c r="P803" s="73"/>
      <c r="Q803" s="73"/>
      <c r="R803" s="73"/>
      <c r="S803" s="73"/>
      <c r="T803" s="73"/>
      <c r="U803" s="73"/>
      <c r="V803" s="73"/>
      <c r="W803" s="73"/>
      <c r="X803" s="73"/>
      <c r="Y803" s="73"/>
      <c r="Z803" s="73"/>
      <c r="AA803" s="73"/>
      <c r="AB803" s="73"/>
      <c r="AC803" s="73"/>
      <c r="AD803" s="73"/>
      <c r="AE803" s="73"/>
      <c r="AF803" s="73"/>
    </row>
    <row r="804" spans="1:32" ht="15.75" customHeight="1" x14ac:dyDescent="0.2">
      <c r="A804" s="73"/>
      <c r="B804" s="73"/>
      <c r="C804" s="74"/>
      <c r="D804" s="74"/>
      <c r="E804" s="74"/>
      <c r="F804" s="73"/>
      <c r="G804" s="74"/>
      <c r="H804" s="73"/>
      <c r="I804" s="73"/>
      <c r="J804" s="73"/>
      <c r="K804" s="73"/>
      <c r="L804" s="73"/>
      <c r="M804" s="73"/>
      <c r="N804" s="73"/>
      <c r="O804" s="73"/>
      <c r="P804" s="73"/>
      <c r="Q804" s="73"/>
      <c r="R804" s="73"/>
      <c r="S804" s="73"/>
      <c r="T804" s="73"/>
      <c r="U804" s="73"/>
      <c r="V804" s="73"/>
      <c r="W804" s="73"/>
      <c r="X804" s="73"/>
      <c r="Y804" s="73"/>
      <c r="Z804" s="73"/>
      <c r="AA804" s="73"/>
      <c r="AB804" s="73"/>
      <c r="AC804" s="73"/>
      <c r="AD804" s="73"/>
      <c r="AE804" s="73"/>
      <c r="AF804" s="73"/>
    </row>
    <row r="805" spans="1:32" ht="15.75" customHeight="1" x14ac:dyDescent="0.2">
      <c r="A805" s="73"/>
      <c r="B805" s="73"/>
      <c r="C805" s="74"/>
      <c r="D805" s="74"/>
      <c r="E805" s="74"/>
      <c r="F805" s="73"/>
      <c r="G805" s="74"/>
      <c r="H805" s="73"/>
      <c r="I805" s="73"/>
      <c r="J805" s="73"/>
      <c r="K805" s="73"/>
      <c r="L805" s="73"/>
      <c r="M805" s="73"/>
      <c r="N805" s="73"/>
      <c r="O805" s="73"/>
      <c r="P805" s="73"/>
      <c r="Q805" s="73"/>
      <c r="R805" s="73"/>
      <c r="S805" s="73"/>
      <c r="T805" s="73"/>
      <c r="U805" s="73"/>
      <c r="V805" s="73"/>
      <c r="W805" s="73"/>
      <c r="X805" s="73"/>
      <c r="Y805" s="73"/>
      <c r="Z805" s="73"/>
      <c r="AA805" s="73"/>
      <c r="AB805" s="73"/>
      <c r="AC805" s="73"/>
      <c r="AD805" s="73"/>
      <c r="AE805" s="73"/>
      <c r="AF805" s="73"/>
    </row>
    <row r="806" spans="1:32" ht="15.75" customHeight="1" x14ac:dyDescent="0.2">
      <c r="A806" s="73"/>
      <c r="B806" s="73"/>
      <c r="C806" s="74"/>
      <c r="D806" s="74"/>
      <c r="E806" s="74"/>
      <c r="F806" s="73"/>
      <c r="G806" s="74"/>
      <c r="H806" s="73"/>
      <c r="I806" s="73"/>
      <c r="J806" s="73"/>
      <c r="K806" s="73"/>
      <c r="L806" s="73"/>
      <c r="M806" s="73"/>
      <c r="N806" s="73"/>
      <c r="O806" s="73"/>
      <c r="P806" s="73"/>
      <c r="Q806" s="73"/>
      <c r="R806" s="73"/>
      <c r="S806" s="73"/>
      <c r="T806" s="73"/>
      <c r="U806" s="73"/>
      <c r="V806" s="73"/>
      <c r="W806" s="73"/>
      <c r="X806" s="73"/>
      <c r="Y806" s="73"/>
      <c r="Z806" s="73"/>
      <c r="AA806" s="73"/>
      <c r="AB806" s="73"/>
      <c r="AC806" s="73"/>
      <c r="AD806" s="73"/>
      <c r="AE806" s="73"/>
      <c r="AF806" s="73"/>
    </row>
    <row r="807" spans="1:32" ht="15.75" customHeight="1" x14ac:dyDescent="0.2">
      <c r="A807" s="73"/>
      <c r="B807" s="73"/>
      <c r="C807" s="74"/>
      <c r="D807" s="74"/>
      <c r="E807" s="74"/>
      <c r="F807" s="73"/>
      <c r="G807" s="74"/>
      <c r="H807" s="73"/>
      <c r="I807" s="73"/>
      <c r="J807" s="73"/>
      <c r="K807" s="73"/>
      <c r="L807" s="73"/>
      <c r="M807" s="73"/>
      <c r="N807" s="73"/>
      <c r="O807" s="73"/>
      <c r="P807" s="73"/>
      <c r="Q807" s="73"/>
      <c r="R807" s="73"/>
      <c r="S807" s="73"/>
      <c r="T807" s="73"/>
      <c r="U807" s="73"/>
      <c r="V807" s="73"/>
      <c r="W807" s="73"/>
      <c r="X807" s="73"/>
      <c r="Y807" s="73"/>
      <c r="Z807" s="73"/>
      <c r="AA807" s="73"/>
      <c r="AB807" s="73"/>
      <c r="AC807" s="73"/>
      <c r="AD807" s="73"/>
      <c r="AE807" s="73"/>
      <c r="AF807" s="73"/>
    </row>
    <row r="808" spans="1:32" ht="15.75" customHeight="1" x14ac:dyDescent="0.2">
      <c r="A808" s="73"/>
      <c r="B808" s="73"/>
      <c r="C808" s="74"/>
      <c r="D808" s="74"/>
      <c r="E808" s="74"/>
      <c r="F808" s="73"/>
      <c r="G808" s="74"/>
      <c r="H808" s="73"/>
      <c r="I808" s="73"/>
      <c r="J808" s="73"/>
      <c r="K808" s="73"/>
      <c r="L808" s="73"/>
      <c r="M808" s="73"/>
      <c r="N808" s="73"/>
      <c r="O808" s="73"/>
      <c r="P808" s="73"/>
      <c r="Q808" s="73"/>
      <c r="R808" s="73"/>
      <c r="S808" s="73"/>
      <c r="T808" s="73"/>
      <c r="U808" s="73"/>
      <c r="V808" s="73"/>
      <c r="W808" s="73"/>
      <c r="X808" s="73"/>
      <c r="Y808" s="73"/>
      <c r="Z808" s="73"/>
      <c r="AA808" s="73"/>
      <c r="AB808" s="73"/>
      <c r="AC808" s="73"/>
      <c r="AD808" s="73"/>
      <c r="AE808" s="73"/>
      <c r="AF808" s="73"/>
    </row>
    <row r="809" spans="1:32" ht="15.75" customHeight="1" x14ac:dyDescent="0.2">
      <c r="A809" s="73"/>
      <c r="B809" s="73"/>
      <c r="C809" s="74"/>
      <c r="D809" s="74"/>
      <c r="E809" s="74"/>
      <c r="F809" s="73"/>
      <c r="G809" s="74"/>
      <c r="H809" s="73"/>
      <c r="I809" s="73"/>
      <c r="J809" s="73"/>
      <c r="K809" s="73"/>
      <c r="L809" s="73"/>
      <c r="M809" s="73"/>
      <c r="N809" s="73"/>
      <c r="O809" s="73"/>
      <c r="P809" s="73"/>
      <c r="Q809" s="73"/>
      <c r="R809" s="73"/>
      <c r="S809" s="73"/>
      <c r="T809" s="73"/>
      <c r="U809" s="73"/>
      <c r="V809" s="73"/>
      <c r="W809" s="73"/>
      <c r="X809" s="73"/>
      <c r="Y809" s="73"/>
      <c r="Z809" s="73"/>
      <c r="AA809" s="73"/>
      <c r="AB809" s="73"/>
      <c r="AC809" s="73"/>
      <c r="AD809" s="73"/>
      <c r="AE809" s="73"/>
      <c r="AF809" s="73"/>
    </row>
    <row r="810" spans="1:32" ht="15.75" customHeight="1" x14ac:dyDescent="0.2">
      <c r="A810" s="73"/>
      <c r="B810" s="73"/>
      <c r="C810" s="74"/>
      <c r="D810" s="74"/>
      <c r="E810" s="74"/>
      <c r="F810" s="73"/>
      <c r="G810" s="74"/>
      <c r="H810" s="73"/>
      <c r="I810" s="73"/>
      <c r="J810" s="73"/>
      <c r="K810" s="73"/>
      <c r="L810" s="73"/>
      <c r="M810" s="73"/>
      <c r="N810" s="73"/>
      <c r="O810" s="73"/>
      <c r="P810" s="73"/>
      <c r="Q810" s="73"/>
      <c r="R810" s="73"/>
      <c r="S810" s="73"/>
      <c r="T810" s="73"/>
      <c r="U810" s="73"/>
      <c r="V810" s="73"/>
      <c r="W810" s="73"/>
      <c r="X810" s="73"/>
      <c r="Y810" s="73"/>
      <c r="Z810" s="73"/>
      <c r="AA810" s="73"/>
      <c r="AB810" s="73"/>
      <c r="AC810" s="73"/>
      <c r="AD810" s="73"/>
      <c r="AE810" s="73"/>
      <c r="AF810" s="73"/>
    </row>
    <row r="811" spans="1:32" ht="15.75" customHeight="1" x14ac:dyDescent="0.2">
      <c r="A811" s="73"/>
      <c r="B811" s="73"/>
      <c r="C811" s="74"/>
      <c r="D811" s="74"/>
      <c r="E811" s="74"/>
      <c r="F811" s="73"/>
      <c r="G811" s="74"/>
      <c r="H811" s="73"/>
      <c r="I811" s="73"/>
      <c r="J811" s="73"/>
      <c r="K811" s="73"/>
      <c r="L811" s="73"/>
      <c r="M811" s="73"/>
      <c r="N811" s="73"/>
      <c r="O811" s="73"/>
      <c r="P811" s="73"/>
      <c r="Q811" s="73"/>
      <c r="R811" s="73"/>
      <c r="S811" s="73"/>
      <c r="T811" s="73"/>
      <c r="U811" s="73"/>
      <c r="V811" s="73"/>
      <c r="W811" s="73"/>
      <c r="X811" s="73"/>
      <c r="Y811" s="73"/>
      <c r="Z811" s="73"/>
      <c r="AA811" s="73"/>
      <c r="AB811" s="73"/>
      <c r="AC811" s="73"/>
      <c r="AD811" s="73"/>
      <c r="AE811" s="73"/>
      <c r="AF811" s="73"/>
    </row>
    <row r="812" spans="1:32" ht="15.75" customHeight="1" x14ac:dyDescent="0.2">
      <c r="A812" s="73"/>
      <c r="B812" s="73"/>
      <c r="C812" s="74"/>
      <c r="D812" s="74"/>
      <c r="E812" s="74"/>
      <c r="F812" s="73"/>
      <c r="G812" s="74"/>
      <c r="H812" s="73"/>
      <c r="I812" s="73"/>
      <c r="J812" s="73"/>
      <c r="K812" s="73"/>
      <c r="L812" s="73"/>
      <c r="M812" s="73"/>
      <c r="N812" s="73"/>
      <c r="O812" s="73"/>
      <c r="P812" s="73"/>
      <c r="Q812" s="73"/>
      <c r="R812" s="73"/>
      <c r="S812" s="73"/>
      <c r="T812" s="73"/>
      <c r="U812" s="73"/>
      <c r="V812" s="73"/>
      <c r="W812" s="73"/>
      <c r="X812" s="73"/>
      <c r="Y812" s="73"/>
      <c r="Z812" s="73"/>
      <c r="AA812" s="73"/>
      <c r="AB812" s="73"/>
      <c r="AC812" s="73"/>
      <c r="AD812" s="73"/>
      <c r="AE812" s="73"/>
      <c r="AF812" s="73"/>
    </row>
    <row r="813" spans="1:32" ht="15.75" customHeight="1" x14ac:dyDescent="0.2">
      <c r="A813" s="73"/>
      <c r="B813" s="73"/>
      <c r="C813" s="74"/>
      <c r="D813" s="74"/>
      <c r="E813" s="74"/>
      <c r="F813" s="73"/>
      <c r="G813" s="74"/>
      <c r="H813" s="73"/>
      <c r="I813" s="73"/>
      <c r="J813" s="73"/>
      <c r="K813" s="73"/>
      <c r="L813" s="73"/>
      <c r="M813" s="73"/>
      <c r="N813" s="73"/>
      <c r="O813" s="73"/>
      <c r="P813" s="73"/>
      <c r="Q813" s="73"/>
      <c r="R813" s="73"/>
      <c r="S813" s="73"/>
      <c r="T813" s="73"/>
      <c r="U813" s="73"/>
      <c r="V813" s="73"/>
      <c r="W813" s="73"/>
      <c r="X813" s="73"/>
      <c r="Y813" s="73"/>
      <c r="Z813" s="73"/>
      <c r="AA813" s="73"/>
      <c r="AB813" s="73"/>
      <c r="AC813" s="73"/>
      <c r="AD813" s="73"/>
      <c r="AE813" s="73"/>
      <c r="AF813" s="73"/>
    </row>
    <row r="814" spans="1:32" ht="15.75" customHeight="1" x14ac:dyDescent="0.2">
      <c r="A814" s="73"/>
      <c r="B814" s="73"/>
      <c r="C814" s="74"/>
      <c r="D814" s="74"/>
      <c r="E814" s="74"/>
      <c r="F814" s="73"/>
      <c r="G814" s="74"/>
      <c r="H814" s="73"/>
      <c r="I814" s="73"/>
      <c r="J814" s="73"/>
      <c r="K814" s="73"/>
      <c r="L814" s="73"/>
      <c r="M814" s="73"/>
      <c r="N814" s="73"/>
      <c r="O814" s="73"/>
      <c r="P814" s="73"/>
      <c r="Q814" s="73"/>
      <c r="R814" s="73"/>
      <c r="S814" s="73"/>
      <c r="T814" s="73"/>
      <c r="U814" s="73"/>
      <c r="V814" s="73"/>
      <c r="W814" s="73"/>
      <c r="X814" s="73"/>
      <c r="Y814" s="73"/>
      <c r="Z814" s="73"/>
      <c r="AA814" s="73"/>
      <c r="AB814" s="73"/>
      <c r="AC814" s="73"/>
      <c r="AD814" s="73"/>
      <c r="AE814" s="73"/>
      <c r="AF814" s="73"/>
    </row>
    <row r="815" spans="1:32" ht="15.75" customHeight="1" x14ac:dyDescent="0.2">
      <c r="A815" s="73"/>
      <c r="B815" s="73"/>
      <c r="C815" s="74"/>
      <c r="D815" s="74"/>
      <c r="E815" s="74"/>
      <c r="F815" s="73"/>
      <c r="G815" s="74"/>
      <c r="H815" s="73"/>
      <c r="I815" s="73"/>
      <c r="J815" s="73"/>
      <c r="K815" s="73"/>
      <c r="L815" s="73"/>
      <c r="M815" s="73"/>
      <c r="N815" s="73"/>
      <c r="O815" s="73"/>
      <c r="P815" s="73"/>
      <c r="Q815" s="73"/>
      <c r="R815" s="73"/>
      <c r="S815" s="73"/>
      <c r="T815" s="73"/>
      <c r="U815" s="73"/>
      <c r="V815" s="73"/>
      <c r="W815" s="73"/>
      <c r="X815" s="73"/>
      <c r="Y815" s="73"/>
      <c r="Z815" s="73"/>
      <c r="AA815" s="73"/>
      <c r="AB815" s="73"/>
      <c r="AC815" s="73"/>
      <c r="AD815" s="73"/>
      <c r="AE815" s="73"/>
      <c r="AF815" s="73"/>
    </row>
    <row r="816" spans="1:32" ht="15.75" customHeight="1" x14ac:dyDescent="0.2">
      <c r="A816" s="73"/>
      <c r="B816" s="73"/>
      <c r="C816" s="74"/>
      <c r="D816" s="74"/>
      <c r="E816" s="74"/>
      <c r="F816" s="73"/>
      <c r="G816" s="74"/>
      <c r="H816" s="73"/>
      <c r="I816" s="73"/>
      <c r="J816" s="73"/>
      <c r="K816" s="73"/>
      <c r="L816" s="73"/>
      <c r="M816" s="73"/>
      <c r="N816" s="73"/>
      <c r="O816" s="73"/>
      <c r="P816" s="73"/>
      <c r="Q816" s="73"/>
      <c r="R816" s="73"/>
      <c r="S816" s="73"/>
      <c r="T816" s="73"/>
      <c r="U816" s="73"/>
      <c r="V816" s="73"/>
      <c r="W816" s="73"/>
      <c r="X816" s="73"/>
      <c r="Y816" s="73"/>
      <c r="Z816" s="73"/>
      <c r="AA816" s="73"/>
      <c r="AB816" s="73"/>
      <c r="AC816" s="73"/>
      <c r="AD816" s="73"/>
      <c r="AE816" s="73"/>
      <c r="AF816" s="73"/>
    </row>
    <row r="817" spans="1:32" ht="15.75" customHeight="1" x14ac:dyDescent="0.2">
      <c r="A817" s="73"/>
      <c r="B817" s="73"/>
      <c r="C817" s="74"/>
      <c r="D817" s="74"/>
      <c r="E817" s="74"/>
      <c r="F817" s="73"/>
      <c r="G817" s="74"/>
      <c r="H817" s="73"/>
      <c r="I817" s="73"/>
      <c r="J817" s="73"/>
      <c r="K817" s="73"/>
      <c r="L817" s="73"/>
      <c r="M817" s="73"/>
      <c r="N817" s="73"/>
      <c r="O817" s="73"/>
      <c r="P817" s="73"/>
      <c r="Q817" s="73"/>
      <c r="R817" s="73"/>
      <c r="S817" s="73"/>
      <c r="T817" s="73"/>
      <c r="U817" s="73"/>
      <c r="V817" s="73"/>
      <c r="W817" s="73"/>
      <c r="X817" s="73"/>
      <c r="Y817" s="73"/>
      <c r="Z817" s="73"/>
      <c r="AA817" s="73"/>
      <c r="AB817" s="73"/>
      <c r="AC817" s="73"/>
      <c r="AD817" s="73"/>
      <c r="AE817" s="73"/>
      <c r="AF817" s="73"/>
    </row>
    <row r="818" spans="1:32" ht="15.75" customHeight="1" x14ac:dyDescent="0.2">
      <c r="A818" s="73"/>
      <c r="B818" s="73"/>
      <c r="C818" s="74"/>
      <c r="D818" s="74"/>
      <c r="E818" s="74"/>
      <c r="F818" s="73"/>
      <c r="G818" s="74"/>
      <c r="H818" s="73"/>
      <c r="I818" s="73"/>
      <c r="J818" s="73"/>
      <c r="K818" s="73"/>
      <c r="L818" s="73"/>
      <c r="M818" s="73"/>
      <c r="N818" s="73"/>
      <c r="O818" s="73"/>
      <c r="P818" s="73"/>
      <c r="Q818" s="73"/>
      <c r="R818" s="73"/>
      <c r="S818" s="73"/>
      <c r="T818" s="73"/>
      <c r="U818" s="73"/>
      <c r="V818" s="73"/>
      <c r="W818" s="73"/>
      <c r="X818" s="73"/>
      <c r="Y818" s="73"/>
      <c r="Z818" s="73"/>
      <c r="AA818" s="73"/>
      <c r="AB818" s="73"/>
      <c r="AC818" s="73"/>
      <c r="AD818" s="73"/>
      <c r="AE818" s="73"/>
      <c r="AF818" s="73"/>
    </row>
    <row r="819" spans="1:32" ht="15.75" customHeight="1" x14ac:dyDescent="0.2">
      <c r="A819" s="73"/>
      <c r="B819" s="73"/>
      <c r="C819" s="74"/>
      <c r="D819" s="74"/>
      <c r="E819" s="74"/>
      <c r="F819" s="73"/>
      <c r="G819" s="74"/>
      <c r="H819" s="73"/>
      <c r="I819" s="73"/>
      <c r="J819" s="73"/>
      <c r="K819" s="73"/>
      <c r="L819" s="73"/>
      <c r="M819" s="73"/>
      <c r="N819" s="73"/>
      <c r="O819" s="73"/>
      <c r="P819" s="73"/>
      <c r="Q819" s="73"/>
      <c r="R819" s="73"/>
      <c r="S819" s="73"/>
      <c r="T819" s="73"/>
      <c r="U819" s="73"/>
      <c r="V819" s="73"/>
      <c r="W819" s="73"/>
      <c r="X819" s="73"/>
      <c r="Y819" s="73"/>
      <c r="Z819" s="73"/>
      <c r="AA819" s="73"/>
      <c r="AB819" s="73"/>
      <c r="AC819" s="73"/>
      <c r="AD819" s="73"/>
      <c r="AE819" s="73"/>
      <c r="AF819" s="73"/>
    </row>
    <row r="820" spans="1:32" ht="15.75" customHeight="1" x14ac:dyDescent="0.2">
      <c r="A820" s="73"/>
      <c r="B820" s="73"/>
      <c r="C820" s="74"/>
      <c r="D820" s="74"/>
      <c r="E820" s="74"/>
      <c r="F820" s="73"/>
      <c r="G820" s="74"/>
      <c r="H820" s="73"/>
      <c r="I820" s="73"/>
      <c r="J820" s="73"/>
      <c r="K820" s="73"/>
      <c r="L820" s="73"/>
      <c r="M820" s="73"/>
      <c r="N820" s="73"/>
      <c r="O820" s="73"/>
      <c r="P820" s="73"/>
      <c r="Q820" s="73"/>
      <c r="R820" s="73"/>
      <c r="S820" s="73"/>
      <c r="T820" s="73"/>
      <c r="U820" s="73"/>
      <c r="V820" s="73"/>
      <c r="W820" s="73"/>
      <c r="X820" s="73"/>
      <c r="Y820" s="73"/>
      <c r="Z820" s="73"/>
      <c r="AA820" s="73"/>
      <c r="AB820" s="73"/>
      <c r="AC820" s="73"/>
      <c r="AD820" s="73"/>
      <c r="AE820" s="73"/>
      <c r="AF820" s="73"/>
    </row>
    <row r="821" spans="1:32" ht="15.75" customHeight="1" x14ac:dyDescent="0.2">
      <c r="A821" s="73"/>
      <c r="B821" s="73"/>
      <c r="C821" s="74"/>
      <c r="D821" s="74"/>
      <c r="E821" s="74"/>
      <c r="F821" s="73"/>
      <c r="G821" s="74"/>
      <c r="H821" s="73"/>
      <c r="I821" s="73"/>
      <c r="J821" s="73"/>
      <c r="K821" s="73"/>
      <c r="L821" s="73"/>
      <c r="M821" s="73"/>
      <c r="N821" s="73"/>
      <c r="O821" s="73"/>
      <c r="P821" s="73"/>
      <c r="Q821" s="73"/>
      <c r="R821" s="73"/>
      <c r="S821" s="73"/>
      <c r="T821" s="73"/>
      <c r="U821" s="73"/>
      <c r="V821" s="73"/>
      <c r="W821" s="73"/>
      <c r="X821" s="73"/>
      <c r="Y821" s="73"/>
      <c r="Z821" s="73"/>
      <c r="AA821" s="73"/>
      <c r="AB821" s="73"/>
      <c r="AC821" s="73"/>
      <c r="AD821" s="73"/>
      <c r="AE821" s="73"/>
      <c r="AF821" s="73"/>
    </row>
    <row r="822" spans="1:32" ht="15.75" customHeight="1" x14ac:dyDescent="0.2">
      <c r="A822" s="73"/>
      <c r="B822" s="73"/>
      <c r="C822" s="74"/>
      <c r="D822" s="74"/>
      <c r="E822" s="74"/>
      <c r="F822" s="73"/>
      <c r="G822" s="74"/>
      <c r="H822" s="73"/>
      <c r="I822" s="73"/>
      <c r="J822" s="73"/>
      <c r="K822" s="73"/>
      <c r="L822" s="73"/>
      <c r="M822" s="73"/>
      <c r="N822" s="73"/>
      <c r="O822" s="73"/>
      <c r="P822" s="73"/>
      <c r="Q822" s="73"/>
      <c r="R822" s="73"/>
      <c r="S822" s="73"/>
      <c r="T822" s="73"/>
      <c r="U822" s="73"/>
      <c r="V822" s="73"/>
      <c r="W822" s="73"/>
      <c r="X822" s="73"/>
      <c r="Y822" s="73"/>
      <c r="Z822" s="73"/>
      <c r="AA822" s="73"/>
      <c r="AB822" s="73"/>
      <c r="AC822" s="73"/>
      <c r="AD822" s="73"/>
      <c r="AE822" s="73"/>
      <c r="AF822" s="73"/>
    </row>
    <row r="823" spans="1:32" ht="15.75" customHeight="1" x14ac:dyDescent="0.2">
      <c r="A823" s="73"/>
      <c r="B823" s="73"/>
      <c r="C823" s="74"/>
      <c r="D823" s="74"/>
      <c r="E823" s="74"/>
      <c r="F823" s="73"/>
      <c r="G823" s="74"/>
      <c r="H823" s="73"/>
      <c r="I823" s="73"/>
      <c r="J823" s="73"/>
      <c r="K823" s="73"/>
      <c r="L823" s="73"/>
      <c r="M823" s="73"/>
      <c r="N823" s="73"/>
      <c r="O823" s="73"/>
      <c r="P823" s="73"/>
      <c r="Q823" s="73"/>
      <c r="R823" s="73"/>
      <c r="S823" s="73"/>
      <c r="T823" s="73"/>
      <c r="U823" s="73"/>
      <c r="V823" s="73"/>
      <c r="W823" s="73"/>
      <c r="X823" s="73"/>
      <c r="Y823" s="73"/>
      <c r="Z823" s="73"/>
      <c r="AA823" s="73"/>
      <c r="AB823" s="73"/>
      <c r="AC823" s="73"/>
      <c r="AD823" s="73"/>
      <c r="AE823" s="73"/>
      <c r="AF823" s="73"/>
    </row>
    <row r="824" spans="1:32" ht="15.75" customHeight="1" x14ac:dyDescent="0.2">
      <c r="A824" s="73"/>
      <c r="B824" s="73"/>
      <c r="C824" s="74"/>
      <c r="D824" s="74"/>
      <c r="E824" s="74"/>
      <c r="F824" s="73"/>
      <c r="G824" s="74"/>
      <c r="H824" s="73"/>
      <c r="I824" s="73"/>
      <c r="J824" s="73"/>
      <c r="K824" s="73"/>
      <c r="L824" s="73"/>
      <c r="M824" s="73"/>
      <c r="N824" s="73"/>
      <c r="O824" s="73"/>
      <c r="P824" s="73"/>
      <c r="Q824" s="73"/>
      <c r="R824" s="73"/>
      <c r="S824" s="73"/>
      <c r="T824" s="73"/>
      <c r="U824" s="73"/>
      <c r="V824" s="73"/>
      <c r="W824" s="73"/>
      <c r="X824" s="73"/>
      <c r="Y824" s="73"/>
      <c r="Z824" s="73"/>
      <c r="AA824" s="73"/>
      <c r="AB824" s="73"/>
      <c r="AC824" s="73"/>
      <c r="AD824" s="73"/>
      <c r="AE824" s="73"/>
      <c r="AF824" s="73"/>
    </row>
    <row r="825" spans="1:32" ht="15.75" customHeight="1" x14ac:dyDescent="0.2">
      <c r="A825" s="73"/>
      <c r="B825" s="73"/>
      <c r="C825" s="74"/>
      <c r="D825" s="74"/>
      <c r="E825" s="74"/>
      <c r="F825" s="73"/>
      <c r="G825" s="74"/>
      <c r="H825" s="73"/>
      <c r="I825" s="73"/>
      <c r="J825" s="73"/>
      <c r="K825" s="73"/>
      <c r="L825" s="73"/>
      <c r="M825" s="73"/>
      <c r="N825" s="73"/>
      <c r="O825" s="73"/>
      <c r="P825" s="73"/>
      <c r="Q825" s="73"/>
      <c r="R825" s="73"/>
      <c r="S825" s="73"/>
      <c r="T825" s="73"/>
      <c r="U825" s="73"/>
      <c r="V825" s="73"/>
      <c r="W825" s="73"/>
      <c r="X825" s="73"/>
      <c r="Y825" s="73"/>
      <c r="Z825" s="73"/>
      <c r="AA825" s="73"/>
      <c r="AB825" s="73"/>
      <c r="AC825" s="73"/>
      <c r="AD825" s="73"/>
      <c r="AE825" s="73"/>
      <c r="AF825" s="73"/>
    </row>
    <row r="826" spans="1:32" ht="15.75" customHeight="1" x14ac:dyDescent="0.2">
      <c r="A826" s="73"/>
      <c r="B826" s="73"/>
      <c r="C826" s="74"/>
      <c r="D826" s="74"/>
      <c r="E826" s="74"/>
      <c r="F826" s="73"/>
      <c r="G826" s="74"/>
      <c r="H826" s="73"/>
      <c r="I826" s="73"/>
      <c r="J826" s="73"/>
      <c r="K826" s="73"/>
      <c r="L826" s="73"/>
      <c r="M826" s="73"/>
      <c r="N826" s="73"/>
      <c r="O826" s="73"/>
      <c r="P826" s="73"/>
      <c r="Q826" s="73"/>
      <c r="R826" s="73"/>
      <c r="S826" s="73"/>
      <c r="T826" s="73"/>
      <c r="U826" s="73"/>
      <c r="V826" s="73"/>
      <c r="W826" s="73"/>
      <c r="X826" s="73"/>
      <c r="Y826" s="73"/>
      <c r="Z826" s="73"/>
      <c r="AA826" s="73"/>
      <c r="AB826" s="73"/>
      <c r="AC826" s="73"/>
      <c r="AD826" s="73"/>
      <c r="AE826" s="73"/>
      <c r="AF826" s="73"/>
    </row>
    <row r="827" spans="1:32" ht="15.75" customHeight="1" x14ac:dyDescent="0.2">
      <c r="A827" s="73"/>
      <c r="B827" s="73"/>
      <c r="C827" s="74"/>
      <c r="D827" s="74"/>
      <c r="E827" s="74"/>
      <c r="F827" s="73"/>
      <c r="G827" s="74"/>
      <c r="H827" s="73"/>
      <c r="I827" s="73"/>
      <c r="J827" s="73"/>
      <c r="K827" s="73"/>
      <c r="L827" s="73"/>
      <c r="M827" s="73"/>
      <c r="N827" s="73"/>
      <c r="O827" s="73"/>
      <c r="P827" s="73"/>
      <c r="Q827" s="73"/>
      <c r="R827" s="73"/>
      <c r="S827" s="73"/>
      <c r="T827" s="73"/>
      <c r="U827" s="73"/>
      <c r="V827" s="73"/>
      <c r="W827" s="73"/>
      <c r="X827" s="73"/>
      <c r="Y827" s="73"/>
      <c r="Z827" s="73"/>
      <c r="AA827" s="73"/>
      <c r="AB827" s="73"/>
      <c r="AC827" s="73"/>
      <c r="AD827" s="73"/>
      <c r="AE827" s="73"/>
      <c r="AF827" s="73"/>
    </row>
    <row r="828" spans="1:32" ht="15.75" customHeight="1" x14ac:dyDescent="0.2">
      <c r="A828" s="73"/>
      <c r="B828" s="73"/>
      <c r="C828" s="74"/>
      <c r="D828" s="74"/>
      <c r="E828" s="74"/>
      <c r="F828" s="73"/>
      <c r="G828" s="74"/>
      <c r="H828" s="73"/>
      <c r="I828" s="73"/>
      <c r="J828" s="73"/>
      <c r="K828" s="73"/>
      <c r="L828" s="73"/>
      <c r="M828" s="73"/>
      <c r="N828" s="73"/>
      <c r="O828" s="73"/>
      <c r="P828" s="73"/>
      <c r="Q828" s="73"/>
      <c r="R828" s="73"/>
      <c r="S828" s="73"/>
      <c r="T828" s="73"/>
      <c r="U828" s="73"/>
      <c r="V828" s="73"/>
      <c r="W828" s="73"/>
      <c r="X828" s="73"/>
      <c r="Y828" s="73"/>
      <c r="Z828" s="73"/>
      <c r="AA828" s="73"/>
      <c r="AB828" s="73"/>
      <c r="AC828" s="73"/>
      <c r="AD828" s="73"/>
      <c r="AE828" s="73"/>
      <c r="AF828" s="73"/>
    </row>
    <row r="829" spans="1:32" ht="15.75" customHeight="1" x14ac:dyDescent="0.2">
      <c r="A829" s="73"/>
      <c r="B829" s="73"/>
      <c r="C829" s="74"/>
      <c r="D829" s="74"/>
      <c r="E829" s="74"/>
      <c r="F829" s="73"/>
      <c r="G829" s="74"/>
      <c r="H829" s="73"/>
      <c r="I829" s="73"/>
      <c r="J829" s="73"/>
      <c r="K829" s="73"/>
      <c r="L829" s="73"/>
      <c r="M829" s="73"/>
      <c r="N829" s="73"/>
      <c r="O829" s="73"/>
      <c r="P829" s="73"/>
      <c r="Q829" s="73"/>
      <c r="R829" s="73"/>
      <c r="S829" s="73"/>
      <c r="T829" s="73"/>
      <c r="U829" s="73"/>
      <c r="V829" s="73"/>
      <c r="W829" s="73"/>
      <c r="X829" s="73"/>
      <c r="Y829" s="73"/>
      <c r="Z829" s="73"/>
      <c r="AA829" s="73"/>
      <c r="AB829" s="73"/>
      <c r="AC829" s="73"/>
      <c r="AD829" s="73"/>
      <c r="AE829" s="73"/>
      <c r="AF829" s="73"/>
    </row>
    <row r="830" spans="1:32" ht="15.75" customHeight="1" x14ac:dyDescent="0.2">
      <c r="A830" s="73"/>
      <c r="B830" s="73"/>
      <c r="C830" s="74"/>
      <c r="D830" s="74"/>
      <c r="E830" s="74"/>
      <c r="F830" s="73"/>
      <c r="G830" s="74"/>
      <c r="H830" s="73"/>
      <c r="I830" s="73"/>
      <c r="J830" s="73"/>
      <c r="K830" s="73"/>
      <c r="L830" s="73"/>
      <c r="M830" s="73"/>
      <c r="N830" s="73"/>
      <c r="O830" s="73"/>
      <c r="P830" s="73"/>
      <c r="Q830" s="73"/>
      <c r="R830" s="73"/>
      <c r="S830" s="73"/>
      <c r="T830" s="73"/>
      <c r="U830" s="73"/>
      <c r="V830" s="73"/>
      <c r="W830" s="73"/>
      <c r="X830" s="73"/>
      <c r="Y830" s="73"/>
      <c r="Z830" s="73"/>
      <c r="AA830" s="73"/>
      <c r="AB830" s="73"/>
      <c r="AC830" s="73"/>
      <c r="AD830" s="73"/>
      <c r="AE830" s="73"/>
      <c r="AF830" s="73"/>
    </row>
    <row r="831" spans="1:32" ht="15.75" customHeight="1" x14ac:dyDescent="0.2">
      <c r="A831" s="73"/>
      <c r="B831" s="73"/>
      <c r="C831" s="74"/>
      <c r="D831" s="74"/>
      <c r="E831" s="74"/>
      <c r="F831" s="73"/>
      <c r="G831" s="74"/>
      <c r="H831" s="73"/>
      <c r="I831" s="73"/>
      <c r="J831" s="73"/>
      <c r="K831" s="73"/>
      <c r="L831" s="73"/>
      <c r="M831" s="73"/>
      <c r="N831" s="73"/>
      <c r="O831" s="73"/>
      <c r="P831" s="73"/>
      <c r="Q831" s="73"/>
      <c r="R831" s="73"/>
      <c r="S831" s="73"/>
      <c r="T831" s="73"/>
      <c r="U831" s="73"/>
      <c r="V831" s="73"/>
      <c r="W831" s="73"/>
      <c r="X831" s="73"/>
      <c r="Y831" s="73"/>
      <c r="Z831" s="73"/>
      <c r="AA831" s="73"/>
      <c r="AB831" s="73"/>
      <c r="AC831" s="73"/>
      <c r="AD831" s="73"/>
      <c r="AE831" s="73"/>
      <c r="AF831" s="73"/>
    </row>
    <row r="832" spans="1:32" ht="15.75" customHeight="1" x14ac:dyDescent="0.2">
      <c r="A832" s="73"/>
      <c r="B832" s="73"/>
      <c r="C832" s="74"/>
      <c r="D832" s="74"/>
      <c r="E832" s="74"/>
      <c r="F832" s="73"/>
      <c r="G832" s="74"/>
      <c r="H832" s="73"/>
      <c r="I832" s="73"/>
      <c r="J832" s="73"/>
      <c r="K832" s="73"/>
      <c r="L832" s="73"/>
      <c r="M832" s="73"/>
      <c r="N832" s="73"/>
      <c r="O832" s="73"/>
      <c r="P832" s="73"/>
      <c r="Q832" s="73"/>
      <c r="R832" s="73"/>
      <c r="S832" s="73"/>
      <c r="T832" s="73"/>
      <c r="U832" s="73"/>
      <c r="V832" s="73"/>
      <c r="W832" s="73"/>
      <c r="X832" s="73"/>
      <c r="Y832" s="73"/>
      <c r="Z832" s="73"/>
      <c r="AA832" s="73"/>
      <c r="AB832" s="73"/>
      <c r="AC832" s="73"/>
      <c r="AD832" s="73"/>
      <c r="AE832" s="73"/>
      <c r="AF832" s="73"/>
    </row>
    <row r="833" spans="1:32" ht="15.75" customHeight="1" x14ac:dyDescent="0.2">
      <c r="A833" s="73"/>
      <c r="B833" s="73"/>
      <c r="C833" s="74"/>
      <c r="D833" s="74"/>
      <c r="E833" s="74"/>
      <c r="F833" s="73"/>
      <c r="G833" s="74"/>
      <c r="H833" s="73"/>
      <c r="I833" s="73"/>
      <c r="J833" s="73"/>
      <c r="K833" s="73"/>
      <c r="L833" s="73"/>
      <c r="M833" s="73"/>
      <c r="N833" s="73"/>
      <c r="O833" s="73"/>
      <c r="P833" s="73"/>
      <c r="Q833" s="73"/>
      <c r="R833" s="73"/>
      <c r="S833" s="73"/>
      <c r="T833" s="73"/>
      <c r="U833" s="73"/>
      <c r="V833" s="73"/>
      <c r="W833" s="73"/>
      <c r="X833" s="73"/>
      <c r="Y833" s="73"/>
      <c r="Z833" s="73"/>
      <c r="AA833" s="73"/>
      <c r="AB833" s="73"/>
      <c r="AC833" s="73"/>
      <c r="AD833" s="73"/>
      <c r="AE833" s="73"/>
      <c r="AF833" s="73"/>
    </row>
    <row r="834" spans="1:32" ht="15.75" customHeight="1" x14ac:dyDescent="0.2">
      <c r="A834" s="73"/>
      <c r="B834" s="73"/>
      <c r="C834" s="74"/>
      <c r="D834" s="74"/>
      <c r="E834" s="74"/>
      <c r="F834" s="73"/>
      <c r="G834" s="74"/>
      <c r="H834" s="73"/>
      <c r="I834" s="73"/>
      <c r="J834" s="73"/>
      <c r="K834" s="73"/>
      <c r="L834" s="73"/>
      <c r="M834" s="73"/>
      <c r="N834" s="73"/>
      <c r="O834" s="73"/>
      <c r="P834" s="73"/>
      <c r="Q834" s="73"/>
      <c r="R834" s="73"/>
      <c r="S834" s="73"/>
      <c r="T834" s="73"/>
      <c r="U834" s="73"/>
      <c r="V834" s="73"/>
      <c r="W834" s="73"/>
      <c r="X834" s="73"/>
      <c r="Y834" s="73"/>
      <c r="Z834" s="73"/>
      <c r="AA834" s="73"/>
      <c r="AB834" s="73"/>
      <c r="AC834" s="73"/>
      <c r="AD834" s="73"/>
      <c r="AE834" s="73"/>
      <c r="AF834" s="73"/>
    </row>
    <row r="835" spans="1:32" ht="15.75" customHeight="1" x14ac:dyDescent="0.2">
      <c r="A835" s="73"/>
      <c r="B835" s="73"/>
      <c r="C835" s="74"/>
      <c r="D835" s="74"/>
      <c r="E835" s="74"/>
      <c r="F835" s="73"/>
      <c r="G835" s="74"/>
      <c r="H835" s="73"/>
      <c r="I835" s="73"/>
      <c r="J835" s="73"/>
      <c r="K835" s="73"/>
      <c r="L835" s="73"/>
      <c r="M835" s="73"/>
      <c r="N835" s="73"/>
      <c r="O835" s="73"/>
      <c r="P835" s="73"/>
      <c r="Q835" s="73"/>
      <c r="R835" s="73"/>
      <c r="S835" s="73"/>
      <c r="T835" s="73"/>
      <c r="U835" s="73"/>
      <c r="V835" s="73"/>
      <c r="W835" s="73"/>
      <c r="X835" s="73"/>
      <c r="Y835" s="73"/>
      <c r="Z835" s="73"/>
      <c r="AA835" s="73"/>
      <c r="AB835" s="73"/>
      <c r="AC835" s="73"/>
      <c r="AD835" s="73"/>
      <c r="AE835" s="73"/>
      <c r="AF835" s="73"/>
    </row>
    <row r="836" spans="1:32" ht="15.75" customHeight="1" x14ac:dyDescent="0.2">
      <c r="A836" s="73"/>
      <c r="B836" s="73"/>
      <c r="C836" s="74"/>
      <c r="D836" s="74"/>
      <c r="E836" s="74"/>
      <c r="F836" s="73"/>
      <c r="G836" s="74"/>
      <c r="H836" s="73"/>
      <c r="I836" s="73"/>
      <c r="J836" s="73"/>
      <c r="K836" s="73"/>
      <c r="L836" s="73"/>
      <c r="M836" s="73"/>
      <c r="N836" s="73"/>
      <c r="O836" s="73"/>
      <c r="P836" s="73"/>
      <c r="Q836" s="73"/>
      <c r="R836" s="73"/>
      <c r="S836" s="73"/>
      <c r="T836" s="73"/>
      <c r="U836" s="73"/>
      <c r="V836" s="73"/>
      <c r="W836" s="73"/>
      <c r="X836" s="73"/>
      <c r="Y836" s="73"/>
      <c r="Z836" s="73"/>
      <c r="AA836" s="73"/>
      <c r="AB836" s="73"/>
      <c r="AC836" s="73"/>
      <c r="AD836" s="73"/>
      <c r="AE836" s="73"/>
      <c r="AF836" s="73"/>
    </row>
    <row r="837" spans="1:32" ht="15.75" customHeight="1" x14ac:dyDescent="0.2">
      <c r="A837" s="73"/>
      <c r="B837" s="73"/>
      <c r="C837" s="74"/>
      <c r="D837" s="74"/>
      <c r="E837" s="74"/>
      <c r="F837" s="73"/>
      <c r="G837" s="74"/>
      <c r="H837" s="73"/>
      <c r="I837" s="73"/>
      <c r="J837" s="73"/>
      <c r="K837" s="73"/>
      <c r="L837" s="73"/>
      <c r="M837" s="73"/>
      <c r="N837" s="73"/>
      <c r="O837" s="73"/>
      <c r="P837" s="73"/>
      <c r="Q837" s="73"/>
      <c r="R837" s="73"/>
      <c r="S837" s="73"/>
      <c r="T837" s="73"/>
      <c r="U837" s="73"/>
      <c r="V837" s="73"/>
      <c r="W837" s="73"/>
      <c r="X837" s="73"/>
      <c r="Y837" s="73"/>
      <c r="Z837" s="73"/>
      <c r="AA837" s="73"/>
      <c r="AB837" s="73"/>
      <c r="AC837" s="73"/>
      <c r="AD837" s="73"/>
      <c r="AE837" s="73"/>
      <c r="AF837" s="73"/>
    </row>
    <row r="838" spans="1:32" ht="15.75" customHeight="1" x14ac:dyDescent="0.2">
      <c r="A838" s="73"/>
      <c r="B838" s="73"/>
      <c r="C838" s="74"/>
      <c r="D838" s="74"/>
      <c r="E838" s="74"/>
      <c r="F838" s="73"/>
      <c r="G838" s="74"/>
      <c r="H838" s="73"/>
      <c r="I838" s="73"/>
      <c r="J838" s="73"/>
      <c r="K838" s="73"/>
      <c r="L838" s="73"/>
      <c r="M838" s="73"/>
      <c r="N838" s="73"/>
      <c r="O838" s="73"/>
      <c r="P838" s="73"/>
      <c r="Q838" s="73"/>
      <c r="R838" s="73"/>
      <c r="S838" s="73"/>
      <c r="T838" s="73"/>
      <c r="U838" s="73"/>
      <c r="V838" s="73"/>
      <c r="W838" s="73"/>
      <c r="X838" s="73"/>
      <c r="Y838" s="73"/>
      <c r="Z838" s="73"/>
      <c r="AA838" s="73"/>
      <c r="AB838" s="73"/>
      <c r="AC838" s="73"/>
      <c r="AD838" s="73"/>
      <c r="AE838" s="73"/>
      <c r="AF838" s="73"/>
    </row>
    <row r="839" spans="1:32" ht="15.75" customHeight="1" x14ac:dyDescent="0.2">
      <c r="A839" s="73"/>
      <c r="B839" s="73"/>
      <c r="C839" s="74"/>
      <c r="D839" s="74"/>
      <c r="E839" s="74"/>
      <c r="F839" s="73"/>
      <c r="G839" s="74"/>
      <c r="H839" s="73"/>
      <c r="I839" s="73"/>
      <c r="J839" s="73"/>
      <c r="K839" s="73"/>
      <c r="L839" s="73"/>
      <c r="M839" s="73"/>
      <c r="N839" s="73"/>
      <c r="O839" s="73"/>
      <c r="P839" s="73"/>
      <c r="Q839" s="73"/>
      <c r="R839" s="73"/>
      <c r="S839" s="73"/>
      <c r="T839" s="73"/>
      <c r="U839" s="73"/>
      <c r="V839" s="73"/>
      <c r="W839" s="73"/>
      <c r="X839" s="73"/>
      <c r="Y839" s="73"/>
      <c r="Z839" s="73"/>
      <c r="AA839" s="73"/>
      <c r="AB839" s="73"/>
      <c r="AC839" s="73"/>
      <c r="AD839" s="73"/>
      <c r="AE839" s="73"/>
      <c r="AF839" s="73"/>
    </row>
    <row r="840" spans="1:32" ht="15.75" customHeight="1" x14ac:dyDescent="0.2">
      <c r="A840" s="73"/>
      <c r="B840" s="73"/>
      <c r="C840" s="74"/>
      <c r="D840" s="74"/>
      <c r="E840" s="74"/>
      <c r="F840" s="73"/>
      <c r="G840" s="74"/>
      <c r="H840" s="73"/>
      <c r="I840" s="73"/>
      <c r="J840" s="73"/>
      <c r="K840" s="73"/>
      <c r="L840" s="73"/>
      <c r="M840" s="73"/>
      <c r="N840" s="73"/>
      <c r="O840" s="73"/>
      <c r="P840" s="73"/>
      <c r="Q840" s="73"/>
      <c r="R840" s="73"/>
      <c r="S840" s="73"/>
      <c r="T840" s="73"/>
      <c r="U840" s="73"/>
      <c r="V840" s="73"/>
      <c r="W840" s="73"/>
      <c r="X840" s="73"/>
      <c r="Y840" s="73"/>
      <c r="Z840" s="73"/>
      <c r="AA840" s="73"/>
      <c r="AB840" s="73"/>
      <c r="AC840" s="73"/>
      <c r="AD840" s="73"/>
      <c r="AE840" s="73"/>
      <c r="AF840" s="73"/>
    </row>
    <row r="841" spans="1:32" ht="15.75" customHeight="1" x14ac:dyDescent="0.2">
      <c r="A841" s="73"/>
      <c r="B841" s="73"/>
      <c r="C841" s="74"/>
      <c r="D841" s="74"/>
      <c r="E841" s="74"/>
      <c r="F841" s="73"/>
      <c r="G841" s="74"/>
      <c r="H841" s="73"/>
      <c r="I841" s="73"/>
      <c r="J841" s="73"/>
      <c r="K841" s="73"/>
      <c r="L841" s="73"/>
      <c r="M841" s="73"/>
      <c r="N841" s="73"/>
      <c r="O841" s="73"/>
      <c r="P841" s="73"/>
      <c r="Q841" s="73"/>
      <c r="R841" s="73"/>
      <c r="S841" s="73"/>
      <c r="T841" s="73"/>
      <c r="U841" s="73"/>
      <c r="V841" s="73"/>
      <c r="W841" s="73"/>
      <c r="X841" s="73"/>
      <c r="Y841" s="73"/>
      <c r="Z841" s="73"/>
      <c r="AA841" s="73"/>
      <c r="AB841" s="73"/>
      <c r="AC841" s="73"/>
      <c r="AD841" s="73"/>
      <c r="AE841" s="73"/>
      <c r="AF841" s="73"/>
    </row>
    <row r="842" spans="1:32" ht="15.75" customHeight="1" x14ac:dyDescent="0.2">
      <c r="A842" s="73"/>
      <c r="B842" s="73"/>
      <c r="C842" s="74"/>
      <c r="D842" s="74"/>
      <c r="E842" s="74"/>
      <c r="F842" s="73"/>
      <c r="G842" s="74"/>
      <c r="H842" s="73"/>
      <c r="I842" s="73"/>
      <c r="J842" s="73"/>
      <c r="K842" s="73"/>
      <c r="L842" s="73"/>
      <c r="M842" s="73"/>
      <c r="N842" s="73"/>
      <c r="O842" s="73"/>
      <c r="P842" s="73"/>
      <c r="Q842" s="73"/>
      <c r="R842" s="73"/>
      <c r="S842" s="73"/>
      <c r="T842" s="73"/>
      <c r="U842" s="73"/>
      <c r="V842" s="73"/>
      <c r="W842" s="73"/>
      <c r="X842" s="73"/>
      <c r="Y842" s="73"/>
      <c r="Z842" s="73"/>
      <c r="AA842" s="73"/>
      <c r="AB842" s="73"/>
      <c r="AC842" s="73"/>
      <c r="AD842" s="73"/>
      <c r="AE842" s="73"/>
      <c r="AF842" s="73"/>
    </row>
    <row r="843" spans="1:32" ht="15.75" customHeight="1" x14ac:dyDescent="0.2">
      <c r="A843" s="73"/>
      <c r="B843" s="73"/>
      <c r="C843" s="74"/>
      <c r="D843" s="74"/>
      <c r="E843" s="74"/>
      <c r="F843" s="73"/>
      <c r="G843" s="74"/>
      <c r="H843" s="73"/>
      <c r="I843" s="73"/>
      <c r="J843" s="73"/>
      <c r="K843" s="73"/>
      <c r="L843" s="73"/>
      <c r="M843" s="73"/>
      <c r="N843" s="73"/>
      <c r="O843" s="73"/>
      <c r="P843" s="73"/>
      <c r="Q843" s="73"/>
      <c r="R843" s="73"/>
      <c r="S843" s="73"/>
      <c r="T843" s="73"/>
      <c r="U843" s="73"/>
      <c r="V843" s="73"/>
      <c r="W843" s="73"/>
      <c r="X843" s="73"/>
      <c r="Y843" s="73"/>
      <c r="Z843" s="73"/>
      <c r="AA843" s="73"/>
      <c r="AB843" s="73"/>
      <c r="AC843" s="73"/>
      <c r="AD843" s="73"/>
      <c r="AE843" s="73"/>
      <c r="AF843" s="73"/>
    </row>
    <row r="844" spans="1:32" ht="15.75" customHeight="1" x14ac:dyDescent="0.2">
      <c r="A844" s="73"/>
      <c r="B844" s="73"/>
      <c r="C844" s="74"/>
      <c r="D844" s="74"/>
      <c r="E844" s="74"/>
      <c r="F844" s="73"/>
      <c r="G844" s="74"/>
      <c r="H844" s="73"/>
      <c r="I844" s="73"/>
      <c r="J844" s="73"/>
      <c r="K844" s="73"/>
      <c r="L844" s="73"/>
      <c r="M844" s="73"/>
      <c r="N844" s="73"/>
      <c r="O844" s="73"/>
      <c r="P844" s="73"/>
      <c r="Q844" s="73"/>
      <c r="R844" s="73"/>
      <c r="S844" s="73"/>
      <c r="T844" s="73"/>
      <c r="U844" s="73"/>
      <c r="V844" s="73"/>
      <c r="W844" s="73"/>
      <c r="X844" s="73"/>
      <c r="Y844" s="73"/>
      <c r="Z844" s="73"/>
      <c r="AA844" s="73"/>
      <c r="AB844" s="73"/>
      <c r="AC844" s="73"/>
      <c r="AD844" s="73"/>
      <c r="AE844" s="73"/>
      <c r="AF844" s="73"/>
    </row>
    <row r="845" spans="1:32" ht="15.75" customHeight="1" x14ac:dyDescent="0.2">
      <c r="A845" s="73"/>
      <c r="B845" s="73"/>
      <c r="C845" s="74"/>
      <c r="D845" s="74"/>
      <c r="E845" s="74"/>
      <c r="F845" s="73"/>
      <c r="G845" s="74"/>
      <c r="H845" s="73"/>
      <c r="I845" s="73"/>
      <c r="J845" s="73"/>
      <c r="K845" s="73"/>
      <c r="L845" s="73"/>
      <c r="M845" s="73"/>
      <c r="N845" s="73"/>
      <c r="O845" s="73"/>
      <c r="P845" s="73"/>
      <c r="Q845" s="73"/>
      <c r="R845" s="73"/>
      <c r="S845" s="73"/>
      <c r="T845" s="73"/>
      <c r="U845" s="73"/>
      <c r="V845" s="73"/>
      <c r="W845" s="73"/>
      <c r="X845" s="73"/>
      <c r="Y845" s="73"/>
      <c r="Z845" s="73"/>
      <c r="AA845" s="73"/>
      <c r="AB845" s="73"/>
      <c r="AC845" s="73"/>
      <c r="AD845" s="73"/>
      <c r="AE845" s="73"/>
      <c r="AF845" s="73"/>
    </row>
    <row r="846" spans="1:32" ht="15.75" customHeight="1" x14ac:dyDescent="0.2">
      <c r="A846" s="73"/>
      <c r="B846" s="73"/>
      <c r="C846" s="74"/>
      <c r="D846" s="74"/>
      <c r="E846" s="74"/>
      <c r="F846" s="73"/>
      <c r="G846" s="74"/>
      <c r="H846" s="73"/>
      <c r="I846" s="73"/>
      <c r="J846" s="73"/>
      <c r="K846" s="73"/>
      <c r="L846" s="73"/>
      <c r="M846" s="73"/>
      <c r="N846" s="73"/>
      <c r="O846" s="73"/>
      <c r="P846" s="73"/>
      <c r="Q846" s="73"/>
      <c r="R846" s="73"/>
      <c r="S846" s="73"/>
      <c r="T846" s="73"/>
      <c r="U846" s="73"/>
      <c r="V846" s="73"/>
      <c r="W846" s="73"/>
      <c r="X846" s="73"/>
      <c r="Y846" s="73"/>
      <c r="Z846" s="73"/>
      <c r="AA846" s="73"/>
      <c r="AB846" s="73"/>
      <c r="AC846" s="73"/>
      <c r="AD846" s="73"/>
      <c r="AE846" s="73"/>
      <c r="AF846" s="73"/>
    </row>
    <row r="847" spans="1:32" ht="15.75" customHeight="1" x14ac:dyDescent="0.2">
      <c r="A847" s="73"/>
      <c r="B847" s="73"/>
      <c r="C847" s="74"/>
      <c r="D847" s="74"/>
      <c r="E847" s="74"/>
      <c r="F847" s="73"/>
      <c r="G847" s="74"/>
      <c r="H847" s="73"/>
      <c r="I847" s="73"/>
      <c r="J847" s="73"/>
      <c r="K847" s="73"/>
      <c r="L847" s="73"/>
      <c r="M847" s="73"/>
      <c r="N847" s="73"/>
      <c r="O847" s="73"/>
      <c r="P847" s="73"/>
      <c r="Q847" s="73"/>
      <c r="R847" s="73"/>
      <c r="S847" s="73"/>
      <c r="T847" s="73"/>
      <c r="U847" s="73"/>
      <c r="V847" s="73"/>
      <c r="W847" s="73"/>
      <c r="X847" s="73"/>
      <c r="Y847" s="73"/>
      <c r="Z847" s="73"/>
      <c r="AA847" s="73"/>
      <c r="AB847" s="73"/>
      <c r="AC847" s="73"/>
      <c r="AD847" s="73"/>
      <c r="AE847" s="73"/>
      <c r="AF847" s="73"/>
    </row>
    <row r="848" spans="1:32" ht="15.75" customHeight="1" x14ac:dyDescent="0.2">
      <c r="A848" s="73"/>
      <c r="B848" s="73"/>
      <c r="C848" s="74"/>
      <c r="D848" s="74"/>
      <c r="E848" s="74"/>
      <c r="F848" s="73"/>
      <c r="G848" s="74"/>
      <c r="H848" s="73"/>
      <c r="I848" s="73"/>
      <c r="J848" s="73"/>
      <c r="K848" s="73"/>
      <c r="L848" s="73"/>
      <c r="M848" s="73"/>
      <c r="N848" s="73"/>
      <c r="O848" s="73"/>
      <c r="P848" s="73"/>
      <c r="Q848" s="73"/>
      <c r="R848" s="73"/>
      <c r="S848" s="73"/>
      <c r="T848" s="73"/>
      <c r="U848" s="73"/>
      <c r="V848" s="73"/>
      <c r="W848" s="73"/>
      <c r="X848" s="73"/>
      <c r="Y848" s="73"/>
      <c r="Z848" s="73"/>
      <c r="AA848" s="73"/>
      <c r="AB848" s="73"/>
      <c r="AC848" s="73"/>
      <c r="AD848" s="73"/>
      <c r="AE848" s="73"/>
      <c r="AF848" s="73"/>
    </row>
    <row r="849" spans="1:32" ht="15.75" customHeight="1" x14ac:dyDescent="0.2">
      <c r="A849" s="73"/>
      <c r="B849" s="73"/>
      <c r="C849" s="74"/>
      <c r="D849" s="74"/>
      <c r="E849" s="74"/>
      <c r="F849" s="73"/>
      <c r="G849" s="74"/>
      <c r="H849" s="73"/>
      <c r="I849" s="73"/>
      <c r="J849" s="73"/>
      <c r="K849" s="73"/>
      <c r="L849" s="73"/>
      <c r="M849" s="73"/>
      <c r="N849" s="73"/>
      <c r="O849" s="73"/>
      <c r="P849" s="73"/>
      <c r="Q849" s="73"/>
      <c r="R849" s="73"/>
      <c r="S849" s="73"/>
      <c r="T849" s="73"/>
      <c r="U849" s="73"/>
      <c r="V849" s="73"/>
      <c r="W849" s="73"/>
      <c r="X849" s="73"/>
      <c r="Y849" s="73"/>
      <c r="Z849" s="73"/>
      <c r="AA849" s="73"/>
      <c r="AB849" s="73"/>
      <c r="AC849" s="73"/>
      <c r="AD849" s="73"/>
      <c r="AE849" s="73"/>
      <c r="AF849" s="73"/>
    </row>
    <row r="850" spans="1:32" ht="15.75" customHeight="1" x14ac:dyDescent="0.2">
      <c r="A850" s="73"/>
      <c r="B850" s="73"/>
      <c r="C850" s="74"/>
      <c r="D850" s="74"/>
      <c r="E850" s="74"/>
      <c r="F850" s="73"/>
      <c r="G850" s="74"/>
      <c r="H850" s="73"/>
      <c r="I850" s="73"/>
      <c r="J850" s="73"/>
      <c r="K850" s="73"/>
      <c r="L850" s="73"/>
      <c r="M850" s="73"/>
      <c r="N850" s="73"/>
      <c r="O850" s="73"/>
      <c r="P850" s="73"/>
      <c r="Q850" s="73"/>
      <c r="R850" s="73"/>
      <c r="S850" s="73"/>
      <c r="T850" s="73"/>
      <c r="U850" s="73"/>
      <c r="V850" s="73"/>
      <c r="W850" s="73"/>
      <c r="X850" s="73"/>
      <c r="Y850" s="73"/>
      <c r="Z850" s="73"/>
      <c r="AA850" s="73"/>
      <c r="AB850" s="73"/>
      <c r="AC850" s="73"/>
      <c r="AD850" s="73"/>
      <c r="AE850" s="73"/>
      <c r="AF850" s="73"/>
    </row>
    <row r="851" spans="1:32" ht="15.75" customHeight="1" x14ac:dyDescent="0.2">
      <c r="A851" s="73"/>
      <c r="B851" s="73"/>
      <c r="C851" s="74"/>
      <c r="D851" s="74"/>
      <c r="E851" s="74"/>
      <c r="F851" s="73"/>
      <c r="G851" s="74"/>
      <c r="H851" s="73"/>
      <c r="I851" s="73"/>
      <c r="J851" s="73"/>
      <c r="K851" s="73"/>
      <c r="L851" s="73"/>
      <c r="M851" s="73"/>
      <c r="N851" s="73"/>
      <c r="O851" s="73"/>
      <c r="P851" s="73"/>
      <c r="Q851" s="73"/>
      <c r="R851" s="73"/>
      <c r="S851" s="73"/>
      <c r="T851" s="73"/>
      <c r="U851" s="73"/>
      <c r="V851" s="73"/>
      <c r="W851" s="73"/>
      <c r="X851" s="73"/>
      <c r="Y851" s="73"/>
      <c r="Z851" s="73"/>
      <c r="AA851" s="73"/>
      <c r="AB851" s="73"/>
      <c r="AC851" s="73"/>
      <c r="AD851" s="73"/>
      <c r="AE851" s="73"/>
      <c r="AF851" s="73"/>
    </row>
    <row r="852" spans="1:32" ht="15.75" customHeight="1" x14ac:dyDescent="0.2">
      <c r="A852" s="73"/>
      <c r="B852" s="73"/>
      <c r="C852" s="74"/>
      <c r="D852" s="74"/>
      <c r="E852" s="74"/>
      <c r="F852" s="73"/>
      <c r="G852" s="74"/>
      <c r="H852" s="73"/>
      <c r="I852" s="73"/>
      <c r="J852" s="73"/>
      <c r="K852" s="73"/>
      <c r="L852" s="73"/>
      <c r="M852" s="73"/>
      <c r="N852" s="73"/>
      <c r="O852" s="73"/>
      <c r="P852" s="73"/>
      <c r="Q852" s="73"/>
      <c r="R852" s="73"/>
      <c r="S852" s="73"/>
      <c r="T852" s="73"/>
      <c r="U852" s="73"/>
      <c r="V852" s="73"/>
      <c r="W852" s="73"/>
      <c r="X852" s="73"/>
      <c r="Y852" s="73"/>
      <c r="Z852" s="73"/>
      <c r="AA852" s="73"/>
      <c r="AB852" s="73"/>
      <c r="AC852" s="73"/>
      <c r="AD852" s="73"/>
      <c r="AE852" s="73"/>
      <c r="AF852" s="73"/>
    </row>
    <row r="853" spans="1:32" ht="15.75" customHeight="1" x14ac:dyDescent="0.2">
      <c r="A853" s="73"/>
      <c r="B853" s="73"/>
      <c r="C853" s="74"/>
      <c r="D853" s="74"/>
      <c r="E853" s="74"/>
      <c r="F853" s="73"/>
      <c r="G853" s="74"/>
      <c r="H853" s="73"/>
      <c r="I853" s="73"/>
      <c r="J853" s="73"/>
      <c r="K853" s="73"/>
      <c r="L853" s="73"/>
      <c r="M853" s="73"/>
      <c r="N853" s="73"/>
      <c r="O853" s="73"/>
      <c r="P853" s="73"/>
      <c r="Q853" s="73"/>
      <c r="R853" s="73"/>
      <c r="S853" s="73"/>
      <c r="T853" s="73"/>
      <c r="U853" s="73"/>
      <c r="V853" s="73"/>
      <c r="W853" s="73"/>
      <c r="X853" s="73"/>
      <c r="Y853" s="73"/>
      <c r="Z853" s="73"/>
      <c r="AA853" s="73"/>
      <c r="AB853" s="73"/>
      <c r="AC853" s="73"/>
      <c r="AD853" s="73"/>
      <c r="AE853" s="73"/>
      <c r="AF853" s="73"/>
    </row>
    <row r="854" spans="1:32" ht="15.75" customHeight="1" x14ac:dyDescent="0.2">
      <c r="A854" s="73"/>
      <c r="B854" s="73"/>
      <c r="C854" s="74"/>
      <c r="D854" s="74"/>
      <c r="E854" s="74"/>
      <c r="F854" s="73"/>
      <c r="G854" s="74"/>
      <c r="H854" s="73"/>
      <c r="I854" s="73"/>
      <c r="J854" s="73"/>
      <c r="K854" s="73"/>
      <c r="L854" s="73"/>
      <c r="M854" s="73"/>
      <c r="N854" s="73"/>
      <c r="O854" s="73"/>
      <c r="P854" s="73"/>
      <c r="Q854" s="73"/>
      <c r="R854" s="73"/>
      <c r="S854" s="73"/>
      <c r="T854" s="73"/>
      <c r="U854" s="73"/>
      <c r="V854" s="73"/>
      <c r="W854" s="73"/>
      <c r="X854" s="73"/>
      <c r="Y854" s="73"/>
      <c r="Z854" s="73"/>
      <c r="AA854" s="73"/>
      <c r="AB854" s="73"/>
      <c r="AC854" s="73"/>
      <c r="AD854" s="73"/>
      <c r="AE854" s="73"/>
      <c r="AF854" s="73"/>
    </row>
    <row r="855" spans="1:32" ht="15.75" customHeight="1" x14ac:dyDescent="0.2">
      <c r="A855" s="73"/>
      <c r="B855" s="73"/>
      <c r="C855" s="74"/>
      <c r="D855" s="74"/>
      <c r="E855" s="74"/>
      <c r="F855" s="73"/>
      <c r="G855" s="74"/>
      <c r="H855" s="73"/>
      <c r="I855" s="73"/>
      <c r="J855" s="73"/>
      <c r="K855" s="73"/>
      <c r="L855" s="73"/>
      <c r="M855" s="73"/>
      <c r="N855" s="73"/>
      <c r="O855" s="73"/>
      <c r="P855" s="73"/>
      <c r="Q855" s="73"/>
      <c r="R855" s="73"/>
      <c r="S855" s="73"/>
      <c r="T855" s="73"/>
      <c r="U855" s="73"/>
      <c r="V855" s="73"/>
      <c r="W855" s="73"/>
      <c r="X855" s="73"/>
      <c r="Y855" s="73"/>
      <c r="Z855" s="73"/>
      <c r="AA855" s="73"/>
      <c r="AB855" s="73"/>
      <c r="AC855" s="73"/>
      <c r="AD855" s="73"/>
      <c r="AE855" s="73"/>
      <c r="AF855" s="73"/>
    </row>
    <row r="856" spans="1:32" ht="15.75" customHeight="1" x14ac:dyDescent="0.2">
      <c r="A856" s="73"/>
      <c r="B856" s="73"/>
      <c r="C856" s="74"/>
      <c r="D856" s="74"/>
      <c r="E856" s="74"/>
      <c r="F856" s="73"/>
      <c r="G856" s="74"/>
      <c r="H856" s="73"/>
      <c r="I856" s="73"/>
      <c r="J856" s="73"/>
      <c r="K856" s="73"/>
      <c r="L856" s="73"/>
      <c r="M856" s="73"/>
      <c r="N856" s="73"/>
      <c r="O856" s="73"/>
      <c r="P856" s="73"/>
      <c r="Q856" s="73"/>
      <c r="R856" s="73"/>
      <c r="S856" s="73"/>
      <c r="T856" s="73"/>
      <c r="U856" s="73"/>
      <c r="V856" s="73"/>
      <c r="W856" s="73"/>
      <c r="X856" s="73"/>
      <c r="Y856" s="73"/>
      <c r="Z856" s="73"/>
      <c r="AA856" s="73"/>
      <c r="AB856" s="73"/>
      <c r="AC856" s="73"/>
      <c r="AD856" s="73"/>
      <c r="AE856" s="73"/>
      <c r="AF856" s="73"/>
    </row>
    <row r="857" spans="1:32" ht="15.75" customHeight="1" x14ac:dyDescent="0.2">
      <c r="A857" s="73"/>
      <c r="B857" s="73"/>
      <c r="C857" s="74"/>
      <c r="D857" s="74"/>
      <c r="E857" s="74"/>
      <c r="F857" s="73"/>
      <c r="G857" s="74"/>
      <c r="H857" s="73"/>
      <c r="I857" s="73"/>
      <c r="J857" s="73"/>
      <c r="K857" s="73"/>
      <c r="L857" s="73"/>
      <c r="M857" s="73"/>
      <c r="N857" s="73"/>
      <c r="O857" s="73"/>
      <c r="P857" s="73"/>
      <c r="Q857" s="73"/>
      <c r="R857" s="73"/>
      <c r="S857" s="73"/>
      <c r="T857" s="73"/>
      <c r="U857" s="73"/>
      <c r="V857" s="73"/>
      <c r="W857" s="73"/>
      <c r="X857" s="73"/>
      <c r="Y857" s="73"/>
      <c r="Z857" s="73"/>
      <c r="AA857" s="73"/>
      <c r="AB857" s="73"/>
      <c r="AC857" s="73"/>
      <c r="AD857" s="73"/>
      <c r="AE857" s="73"/>
      <c r="AF857" s="73"/>
    </row>
    <row r="858" spans="1:32" ht="15.75" customHeight="1" x14ac:dyDescent="0.2">
      <c r="A858" s="73"/>
      <c r="B858" s="73"/>
      <c r="C858" s="74"/>
      <c r="D858" s="74"/>
      <c r="E858" s="74"/>
      <c r="F858" s="73"/>
      <c r="G858" s="74"/>
      <c r="H858" s="73"/>
      <c r="I858" s="73"/>
      <c r="J858" s="73"/>
      <c r="K858" s="73"/>
      <c r="L858" s="73"/>
      <c r="M858" s="73"/>
      <c r="N858" s="73"/>
      <c r="O858" s="73"/>
      <c r="P858" s="73"/>
      <c r="Q858" s="73"/>
      <c r="R858" s="73"/>
      <c r="S858" s="73"/>
      <c r="T858" s="73"/>
      <c r="U858" s="73"/>
      <c r="V858" s="73"/>
      <c r="W858" s="73"/>
      <c r="X858" s="73"/>
      <c r="Y858" s="73"/>
      <c r="Z858" s="73"/>
      <c r="AA858" s="73"/>
      <c r="AB858" s="73"/>
      <c r="AC858" s="73"/>
      <c r="AD858" s="73"/>
      <c r="AE858" s="73"/>
      <c r="AF858" s="73"/>
    </row>
    <row r="859" spans="1:32" ht="15.75" customHeight="1" x14ac:dyDescent="0.2">
      <c r="A859" s="73"/>
      <c r="B859" s="73"/>
      <c r="C859" s="74"/>
      <c r="D859" s="74"/>
      <c r="E859" s="74"/>
      <c r="F859" s="73"/>
      <c r="G859" s="74"/>
      <c r="H859" s="73"/>
      <c r="I859" s="73"/>
      <c r="J859" s="73"/>
      <c r="K859" s="73"/>
      <c r="L859" s="73"/>
      <c r="M859" s="73"/>
      <c r="N859" s="73"/>
      <c r="O859" s="73"/>
      <c r="P859" s="73"/>
      <c r="Q859" s="73"/>
      <c r="R859" s="73"/>
      <c r="S859" s="73"/>
      <c r="T859" s="73"/>
      <c r="U859" s="73"/>
      <c r="V859" s="73"/>
      <c r="W859" s="73"/>
      <c r="X859" s="73"/>
      <c r="Y859" s="73"/>
      <c r="Z859" s="73"/>
      <c r="AA859" s="73"/>
      <c r="AB859" s="73"/>
      <c r="AC859" s="73"/>
      <c r="AD859" s="73"/>
      <c r="AE859" s="73"/>
      <c r="AF859" s="73"/>
    </row>
    <row r="860" spans="1:32" ht="15.75" customHeight="1" x14ac:dyDescent="0.2">
      <c r="A860" s="73"/>
      <c r="B860" s="73"/>
      <c r="C860" s="74"/>
      <c r="D860" s="74"/>
      <c r="E860" s="74"/>
      <c r="F860" s="73"/>
      <c r="G860" s="74"/>
      <c r="H860" s="73"/>
      <c r="I860" s="73"/>
      <c r="J860" s="73"/>
      <c r="K860" s="73"/>
      <c r="L860" s="73"/>
      <c r="M860" s="73"/>
      <c r="N860" s="73"/>
      <c r="O860" s="73"/>
      <c r="P860" s="73"/>
      <c r="Q860" s="73"/>
      <c r="R860" s="73"/>
      <c r="S860" s="73"/>
      <c r="T860" s="73"/>
      <c r="U860" s="73"/>
      <c r="V860" s="73"/>
      <c r="W860" s="73"/>
      <c r="X860" s="73"/>
      <c r="Y860" s="73"/>
      <c r="Z860" s="73"/>
      <c r="AA860" s="73"/>
      <c r="AB860" s="73"/>
      <c r="AC860" s="73"/>
      <c r="AD860" s="73"/>
      <c r="AE860" s="73"/>
      <c r="AF860" s="73"/>
    </row>
    <row r="861" spans="1:32" ht="15.75" customHeight="1" x14ac:dyDescent="0.2">
      <c r="A861" s="73"/>
      <c r="B861" s="73"/>
      <c r="C861" s="74"/>
      <c r="D861" s="74"/>
      <c r="E861" s="74"/>
      <c r="F861" s="73"/>
      <c r="G861" s="74"/>
      <c r="H861" s="73"/>
      <c r="I861" s="73"/>
      <c r="J861" s="73"/>
      <c r="K861" s="73"/>
      <c r="L861" s="73"/>
      <c r="M861" s="73"/>
      <c r="N861" s="73"/>
      <c r="O861" s="73"/>
      <c r="P861" s="73"/>
      <c r="Q861" s="73"/>
      <c r="R861" s="73"/>
      <c r="S861" s="73"/>
      <c r="T861" s="73"/>
      <c r="U861" s="73"/>
      <c r="V861" s="73"/>
      <c r="W861" s="73"/>
      <c r="X861" s="73"/>
      <c r="Y861" s="73"/>
      <c r="Z861" s="73"/>
      <c r="AA861" s="73"/>
      <c r="AB861" s="73"/>
      <c r="AC861" s="73"/>
      <c r="AD861" s="73"/>
      <c r="AE861" s="73"/>
      <c r="AF861" s="73"/>
    </row>
    <row r="862" spans="1:32" ht="15.75" customHeight="1" x14ac:dyDescent="0.2">
      <c r="A862" s="73"/>
      <c r="B862" s="73"/>
      <c r="C862" s="74"/>
      <c r="D862" s="74"/>
      <c r="E862" s="74"/>
      <c r="F862" s="73"/>
      <c r="G862" s="74"/>
      <c r="H862" s="73"/>
      <c r="I862" s="73"/>
      <c r="J862" s="73"/>
      <c r="K862" s="73"/>
      <c r="L862" s="73"/>
      <c r="M862" s="73"/>
      <c r="N862" s="73"/>
      <c r="O862" s="73"/>
      <c r="P862" s="73"/>
      <c r="Q862" s="73"/>
      <c r="R862" s="73"/>
      <c r="S862" s="73"/>
      <c r="T862" s="73"/>
      <c r="U862" s="73"/>
      <c r="V862" s="73"/>
      <c r="W862" s="73"/>
      <c r="X862" s="73"/>
      <c r="Y862" s="73"/>
      <c r="Z862" s="73"/>
      <c r="AA862" s="73"/>
      <c r="AB862" s="73"/>
      <c r="AC862" s="73"/>
      <c r="AD862" s="73"/>
      <c r="AE862" s="73"/>
      <c r="AF862" s="73"/>
    </row>
    <row r="863" spans="1:32" ht="15.75" customHeight="1" x14ac:dyDescent="0.2">
      <c r="A863" s="73"/>
      <c r="B863" s="73"/>
      <c r="C863" s="74"/>
      <c r="D863" s="74"/>
      <c r="E863" s="74"/>
      <c r="F863" s="73"/>
      <c r="G863" s="74"/>
      <c r="H863" s="73"/>
      <c r="I863" s="73"/>
      <c r="J863" s="73"/>
      <c r="K863" s="73"/>
      <c r="L863" s="73"/>
      <c r="M863" s="73"/>
      <c r="N863" s="73"/>
      <c r="O863" s="73"/>
      <c r="P863" s="73"/>
      <c r="Q863" s="73"/>
      <c r="R863" s="73"/>
      <c r="S863" s="73"/>
      <c r="T863" s="73"/>
      <c r="U863" s="73"/>
      <c r="V863" s="73"/>
      <c r="W863" s="73"/>
      <c r="X863" s="73"/>
      <c r="Y863" s="73"/>
      <c r="Z863" s="73"/>
      <c r="AA863" s="73"/>
      <c r="AB863" s="73"/>
      <c r="AC863" s="73"/>
      <c r="AD863" s="73"/>
      <c r="AE863" s="73"/>
      <c r="AF863" s="73"/>
    </row>
    <row r="864" spans="1:32" ht="15.75" customHeight="1" x14ac:dyDescent="0.2">
      <c r="A864" s="73"/>
      <c r="B864" s="73"/>
      <c r="C864" s="74"/>
      <c r="D864" s="74"/>
      <c r="E864" s="74"/>
      <c r="F864" s="73"/>
      <c r="G864" s="74"/>
      <c r="H864" s="73"/>
      <c r="I864" s="73"/>
      <c r="J864" s="73"/>
      <c r="K864" s="73"/>
      <c r="L864" s="73"/>
      <c r="M864" s="73"/>
      <c r="N864" s="73"/>
      <c r="O864" s="73"/>
      <c r="P864" s="73"/>
      <c r="Q864" s="73"/>
      <c r="R864" s="73"/>
      <c r="S864" s="73"/>
      <c r="T864" s="73"/>
      <c r="U864" s="73"/>
      <c r="V864" s="73"/>
      <c r="W864" s="73"/>
      <c r="X864" s="73"/>
      <c r="Y864" s="73"/>
      <c r="Z864" s="73"/>
      <c r="AA864" s="73"/>
      <c r="AB864" s="73"/>
      <c r="AC864" s="73"/>
      <c r="AD864" s="73"/>
      <c r="AE864" s="73"/>
      <c r="AF864" s="73"/>
    </row>
    <row r="865" spans="1:32" ht="15.75" customHeight="1" x14ac:dyDescent="0.2">
      <c r="A865" s="73"/>
      <c r="B865" s="73"/>
      <c r="C865" s="74"/>
      <c r="D865" s="74"/>
      <c r="E865" s="74"/>
      <c r="F865" s="73"/>
      <c r="G865" s="74"/>
      <c r="H865" s="73"/>
      <c r="I865" s="73"/>
      <c r="J865" s="73"/>
      <c r="K865" s="73"/>
      <c r="L865" s="73"/>
      <c r="M865" s="73"/>
      <c r="N865" s="73"/>
      <c r="O865" s="73"/>
      <c r="P865" s="73"/>
      <c r="Q865" s="73"/>
      <c r="R865" s="73"/>
      <c r="S865" s="73"/>
      <c r="T865" s="73"/>
      <c r="U865" s="73"/>
      <c r="V865" s="73"/>
      <c r="W865" s="73"/>
      <c r="X865" s="73"/>
      <c r="Y865" s="73"/>
      <c r="Z865" s="73"/>
      <c r="AA865" s="73"/>
      <c r="AB865" s="73"/>
      <c r="AC865" s="73"/>
      <c r="AD865" s="73"/>
      <c r="AE865" s="73"/>
      <c r="AF865" s="73"/>
    </row>
    <row r="866" spans="1:32" ht="15.75" customHeight="1" x14ac:dyDescent="0.2">
      <c r="A866" s="73"/>
      <c r="B866" s="73"/>
      <c r="C866" s="74"/>
      <c r="D866" s="74"/>
      <c r="E866" s="74"/>
      <c r="F866" s="73"/>
      <c r="G866" s="74"/>
      <c r="H866" s="73"/>
      <c r="I866" s="73"/>
      <c r="J866" s="73"/>
      <c r="K866" s="73"/>
      <c r="L866" s="73"/>
      <c r="M866" s="73"/>
      <c r="N866" s="73"/>
      <c r="O866" s="73"/>
      <c r="P866" s="73"/>
      <c r="Q866" s="73"/>
      <c r="R866" s="73"/>
      <c r="S866" s="73"/>
      <c r="T866" s="73"/>
      <c r="U866" s="73"/>
      <c r="V866" s="73"/>
      <c r="W866" s="73"/>
      <c r="X866" s="73"/>
      <c r="Y866" s="73"/>
      <c r="Z866" s="73"/>
      <c r="AA866" s="73"/>
      <c r="AB866" s="73"/>
      <c r="AC866" s="73"/>
      <c r="AD866" s="73"/>
      <c r="AE866" s="73"/>
      <c r="AF866" s="73"/>
    </row>
    <row r="867" spans="1:32" ht="15.75" customHeight="1" x14ac:dyDescent="0.2">
      <c r="A867" s="73"/>
      <c r="B867" s="73"/>
      <c r="C867" s="74"/>
      <c r="D867" s="74"/>
      <c r="E867" s="74"/>
      <c r="F867" s="73"/>
      <c r="G867" s="74"/>
      <c r="H867" s="73"/>
      <c r="I867" s="73"/>
      <c r="J867" s="73"/>
      <c r="K867" s="73"/>
      <c r="L867" s="73"/>
      <c r="M867" s="73"/>
      <c r="N867" s="73"/>
      <c r="O867" s="73"/>
      <c r="P867" s="73"/>
      <c r="Q867" s="73"/>
      <c r="R867" s="73"/>
      <c r="S867" s="73"/>
      <c r="T867" s="73"/>
      <c r="U867" s="73"/>
      <c r="V867" s="73"/>
      <c r="W867" s="73"/>
      <c r="X867" s="73"/>
      <c r="Y867" s="73"/>
      <c r="Z867" s="73"/>
      <c r="AA867" s="73"/>
      <c r="AB867" s="73"/>
      <c r="AC867" s="73"/>
      <c r="AD867" s="73"/>
      <c r="AE867" s="73"/>
      <c r="AF867" s="73"/>
    </row>
    <row r="868" spans="1:32" ht="15.75" customHeight="1" x14ac:dyDescent="0.2">
      <c r="A868" s="73"/>
      <c r="B868" s="73"/>
      <c r="C868" s="74"/>
      <c r="D868" s="74"/>
      <c r="E868" s="74"/>
      <c r="F868" s="73"/>
      <c r="G868" s="74"/>
      <c r="H868" s="73"/>
      <c r="I868" s="73"/>
      <c r="J868" s="73"/>
      <c r="K868" s="73"/>
      <c r="L868" s="73"/>
      <c r="M868" s="73"/>
      <c r="N868" s="73"/>
      <c r="O868" s="73"/>
      <c r="P868" s="73"/>
      <c r="Q868" s="73"/>
      <c r="R868" s="73"/>
      <c r="S868" s="73"/>
      <c r="T868" s="73"/>
      <c r="U868" s="73"/>
      <c r="V868" s="73"/>
      <c r="W868" s="73"/>
      <c r="X868" s="73"/>
      <c r="Y868" s="73"/>
      <c r="Z868" s="73"/>
      <c r="AA868" s="73"/>
      <c r="AB868" s="73"/>
      <c r="AC868" s="73"/>
      <c r="AD868" s="73"/>
      <c r="AE868" s="73"/>
      <c r="AF868" s="73"/>
    </row>
    <row r="869" spans="1:32" ht="15.75" customHeight="1" x14ac:dyDescent="0.2">
      <c r="A869" s="73"/>
      <c r="B869" s="73"/>
      <c r="C869" s="74"/>
      <c r="D869" s="74"/>
      <c r="E869" s="74"/>
      <c r="F869" s="73"/>
      <c r="G869" s="74"/>
      <c r="H869" s="73"/>
      <c r="I869" s="73"/>
      <c r="J869" s="73"/>
      <c r="K869" s="73"/>
      <c r="L869" s="73"/>
      <c r="M869" s="73"/>
      <c r="N869" s="73"/>
      <c r="O869" s="73"/>
      <c r="P869" s="73"/>
      <c r="Q869" s="73"/>
      <c r="R869" s="73"/>
      <c r="S869" s="73"/>
      <c r="T869" s="73"/>
      <c r="U869" s="73"/>
      <c r="V869" s="73"/>
      <c r="W869" s="73"/>
      <c r="X869" s="73"/>
      <c r="Y869" s="73"/>
      <c r="Z869" s="73"/>
      <c r="AA869" s="73"/>
      <c r="AB869" s="73"/>
      <c r="AC869" s="73"/>
      <c r="AD869" s="73"/>
      <c r="AE869" s="73"/>
      <c r="AF869" s="73"/>
    </row>
    <row r="870" spans="1:32" ht="15.75" customHeight="1" x14ac:dyDescent="0.2">
      <c r="A870" s="73"/>
      <c r="B870" s="73"/>
      <c r="C870" s="74"/>
      <c r="D870" s="74"/>
      <c r="E870" s="74"/>
      <c r="F870" s="73"/>
      <c r="G870" s="74"/>
      <c r="H870" s="73"/>
      <c r="I870" s="73"/>
      <c r="J870" s="73"/>
      <c r="K870" s="73"/>
      <c r="L870" s="73"/>
      <c r="M870" s="73"/>
      <c r="N870" s="73"/>
      <c r="O870" s="73"/>
      <c r="P870" s="73"/>
      <c r="Q870" s="73"/>
      <c r="R870" s="73"/>
      <c r="S870" s="73"/>
      <c r="T870" s="73"/>
      <c r="U870" s="73"/>
      <c r="V870" s="73"/>
      <c r="W870" s="73"/>
      <c r="X870" s="73"/>
      <c r="Y870" s="73"/>
      <c r="Z870" s="73"/>
      <c r="AA870" s="73"/>
      <c r="AB870" s="73"/>
      <c r="AC870" s="73"/>
      <c r="AD870" s="73"/>
      <c r="AE870" s="73"/>
      <c r="AF870" s="73"/>
    </row>
    <row r="871" spans="1:32" ht="15.75" customHeight="1" x14ac:dyDescent="0.2">
      <c r="A871" s="73"/>
      <c r="B871" s="73"/>
      <c r="C871" s="74"/>
      <c r="D871" s="74"/>
      <c r="E871" s="74"/>
      <c r="F871" s="73"/>
      <c r="G871" s="74"/>
      <c r="H871" s="73"/>
      <c r="I871" s="73"/>
      <c r="J871" s="73"/>
      <c r="K871" s="73"/>
      <c r="L871" s="73"/>
      <c r="M871" s="73"/>
      <c r="N871" s="73"/>
      <c r="O871" s="73"/>
      <c r="P871" s="73"/>
      <c r="Q871" s="73"/>
      <c r="R871" s="73"/>
      <c r="S871" s="73"/>
      <c r="T871" s="73"/>
      <c r="U871" s="73"/>
      <c r="V871" s="73"/>
      <c r="W871" s="73"/>
      <c r="X871" s="73"/>
      <c r="Y871" s="73"/>
      <c r="Z871" s="73"/>
      <c r="AA871" s="73"/>
      <c r="AB871" s="73"/>
      <c r="AC871" s="73"/>
      <c r="AD871" s="73"/>
      <c r="AE871" s="73"/>
      <c r="AF871" s="73"/>
    </row>
    <row r="872" spans="1:32" ht="15.75" customHeight="1" x14ac:dyDescent="0.2">
      <c r="A872" s="73"/>
      <c r="B872" s="73"/>
      <c r="C872" s="74"/>
      <c r="D872" s="74"/>
      <c r="E872" s="74"/>
      <c r="F872" s="73"/>
      <c r="G872" s="74"/>
      <c r="H872" s="73"/>
      <c r="I872" s="73"/>
      <c r="J872" s="73"/>
      <c r="K872" s="73"/>
      <c r="L872" s="73"/>
      <c r="M872" s="73"/>
      <c r="N872" s="73"/>
      <c r="O872" s="73"/>
      <c r="P872" s="73"/>
      <c r="Q872" s="73"/>
      <c r="R872" s="73"/>
      <c r="S872" s="73"/>
      <c r="T872" s="73"/>
      <c r="U872" s="73"/>
      <c r="V872" s="73"/>
      <c r="W872" s="73"/>
      <c r="X872" s="73"/>
      <c r="Y872" s="73"/>
      <c r="Z872" s="73"/>
      <c r="AA872" s="73"/>
      <c r="AB872" s="73"/>
      <c r="AC872" s="73"/>
      <c r="AD872" s="73"/>
      <c r="AE872" s="73"/>
      <c r="AF872" s="73"/>
    </row>
    <row r="873" spans="1:32" ht="15.75" customHeight="1" x14ac:dyDescent="0.2">
      <c r="A873" s="73"/>
      <c r="B873" s="73"/>
      <c r="C873" s="74"/>
      <c r="D873" s="74"/>
      <c r="E873" s="74"/>
      <c r="F873" s="73"/>
      <c r="G873" s="74"/>
      <c r="H873" s="73"/>
      <c r="I873" s="73"/>
      <c r="J873" s="73"/>
      <c r="K873" s="73"/>
      <c r="L873" s="73"/>
      <c r="M873" s="73"/>
      <c r="N873" s="73"/>
      <c r="O873" s="73"/>
      <c r="P873" s="73"/>
      <c r="Q873" s="73"/>
      <c r="R873" s="73"/>
      <c r="S873" s="73"/>
      <c r="T873" s="73"/>
      <c r="U873" s="73"/>
      <c r="V873" s="73"/>
      <c r="W873" s="73"/>
      <c r="X873" s="73"/>
      <c r="Y873" s="73"/>
      <c r="Z873" s="73"/>
      <c r="AA873" s="73"/>
      <c r="AB873" s="73"/>
      <c r="AC873" s="73"/>
      <c r="AD873" s="73"/>
      <c r="AE873" s="73"/>
      <c r="AF873" s="73"/>
    </row>
    <row r="874" spans="1:32" ht="15.75" customHeight="1" x14ac:dyDescent="0.2">
      <c r="A874" s="73"/>
      <c r="B874" s="73"/>
      <c r="C874" s="74"/>
      <c r="D874" s="74"/>
      <c r="E874" s="74"/>
      <c r="F874" s="73"/>
      <c r="G874" s="74"/>
      <c r="H874" s="73"/>
      <c r="I874" s="73"/>
      <c r="J874" s="73"/>
      <c r="K874" s="73"/>
      <c r="L874" s="73"/>
      <c r="M874" s="73"/>
      <c r="N874" s="73"/>
      <c r="O874" s="73"/>
      <c r="P874" s="73"/>
      <c r="Q874" s="73"/>
      <c r="R874" s="73"/>
      <c r="S874" s="73"/>
      <c r="T874" s="73"/>
      <c r="U874" s="73"/>
      <c r="V874" s="73"/>
      <c r="W874" s="73"/>
      <c r="X874" s="73"/>
      <c r="Y874" s="73"/>
      <c r="Z874" s="73"/>
      <c r="AA874" s="73"/>
      <c r="AB874" s="73"/>
      <c r="AC874" s="73"/>
      <c r="AD874" s="73"/>
      <c r="AE874" s="73"/>
      <c r="AF874" s="73"/>
    </row>
    <row r="875" spans="1:32" ht="15.75" customHeight="1" x14ac:dyDescent="0.2">
      <c r="A875" s="73"/>
      <c r="B875" s="73"/>
      <c r="C875" s="74"/>
      <c r="D875" s="74"/>
      <c r="E875" s="74"/>
      <c r="F875" s="73"/>
      <c r="G875" s="74"/>
      <c r="H875" s="73"/>
      <c r="I875" s="73"/>
      <c r="J875" s="73"/>
      <c r="K875" s="73"/>
      <c r="L875" s="73"/>
      <c r="M875" s="73"/>
      <c r="N875" s="73"/>
      <c r="O875" s="73"/>
      <c r="P875" s="73"/>
      <c r="Q875" s="73"/>
      <c r="R875" s="73"/>
      <c r="S875" s="73"/>
      <c r="T875" s="73"/>
      <c r="U875" s="73"/>
      <c r="V875" s="73"/>
      <c r="W875" s="73"/>
      <c r="X875" s="73"/>
      <c r="Y875" s="73"/>
      <c r="Z875" s="73"/>
      <c r="AA875" s="73"/>
      <c r="AB875" s="73"/>
      <c r="AC875" s="73"/>
      <c r="AD875" s="73"/>
      <c r="AE875" s="73"/>
      <c r="AF875" s="73"/>
    </row>
    <row r="876" spans="1:32" ht="15.75" customHeight="1" x14ac:dyDescent="0.2">
      <c r="A876" s="73"/>
      <c r="B876" s="73"/>
      <c r="C876" s="74"/>
      <c r="D876" s="74"/>
      <c r="E876" s="74"/>
      <c r="F876" s="73"/>
      <c r="G876" s="74"/>
      <c r="H876" s="73"/>
      <c r="I876" s="73"/>
      <c r="J876" s="73"/>
      <c r="K876" s="73"/>
      <c r="L876" s="73"/>
      <c r="M876" s="73"/>
      <c r="N876" s="73"/>
      <c r="O876" s="73"/>
      <c r="P876" s="73"/>
      <c r="Q876" s="73"/>
      <c r="R876" s="73"/>
      <c r="S876" s="73"/>
      <c r="T876" s="73"/>
      <c r="U876" s="73"/>
      <c r="V876" s="73"/>
      <c r="W876" s="73"/>
      <c r="X876" s="73"/>
      <c r="Y876" s="73"/>
      <c r="Z876" s="73"/>
      <c r="AA876" s="73"/>
      <c r="AB876" s="73"/>
      <c r="AC876" s="73"/>
      <c r="AD876" s="73"/>
      <c r="AE876" s="73"/>
      <c r="AF876" s="73"/>
    </row>
    <row r="877" spans="1:32" ht="15.75" customHeight="1" x14ac:dyDescent="0.2">
      <c r="A877" s="73"/>
      <c r="B877" s="73"/>
      <c r="C877" s="74"/>
      <c r="D877" s="74"/>
      <c r="E877" s="74"/>
      <c r="F877" s="73"/>
      <c r="G877" s="74"/>
      <c r="H877" s="73"/>
      <c r="I877" s="73"/>
      <c r="J877" s="73"/>
      <c r="K877" s="73"/>
      <c r="L877" s="73"/>
      <c r="M877" s="73"/>
      <c r="N877" s="73"/>
      <c r="O877" s="73"/>
      <c r="P877" s="73"/>
      <c r="Q877" s="73"/>
      <c r="R877" s="73"/>
      <c r="S877" s="73"/>
      <c r="T877" s="73"/>
      <c r="U877" s="73"/>
      <c r="V877" s="73"/>
      <c r="W877" s="73"/>
      <c r="X877" s="73"/>
      <c r="Y877" s="73"/>
      <c r="Z877" s="73"/>
      <c r="AA877" s="73"/>
      <c r="AB877" s="73"/>
      <c r="AC877" s="73"/>
      <c r="AD877" s="73"/>
      <c r="AE877" s="73"/>
      <c r="AF877" s="73"/>
    </row>
    <row r="878" spans="1:32" ht="15.75" customHeight="1" x14ac:dyDescent="0.2">
      <c r="A878" s="73"/>
      <c r="B878" s="73"/>
      <c r="C878" s="74"/>
      <c r="D878" s="74"/>
      <c r="E878" s="74"/>
      <c r="F878" s="73"/>
      <c r="G878" s="74"/>
      <c r="H878" s="73"/>
      <c r="I878" s="73"/>
      <c r="J878" s="73"/>
      <c r="K878" s="73"/>
      <c r="L878" s="73"/>
      <c r="M878" s="73"/>
      <c r="N878" s="73"/>
      <c r="O878" s="73"/>
      <c r="P878" s="73"/>
      <c r="Q878" s="73"/>
      <c r="R878" s="73"/>
      <c r="S878" s="73"/>
      <c r="T878" s="73"/>
      <c r="U878" s="73"/>
      <c r="V878" s="73"/>
      <c r="W878" s="73"/>
      <c r="X878" s="73"/>
      <c r="Y878" s="73"/>
      <c r="Z878" s="73"/>
      <c r="AA878" s="73"/>
      <c r="AB878" s="73"/>
      <c r="AC878" s="73"/>
      <c r="AD878" s="73"/>
      <c r="AE878" s="73"/>
      <c r="AF878" s="73"/>
    </row>
    <row r="879" spans="1:32" ht="15.75" customHeight="1" x14ac:dyDescent="0.2">
      <c r="A879" s="73"/>
      <c r="B879" s="73"/>
      <c r="C879" s="74"/>
      <c r="D879" s="74"/>
      <c r="E879" s="74"/>
      <c r="F879" s="73"/>
      <c r="G879" s="74"/>
      <c r="H879" s="73"/>
      <c r="I879" s="73"/>
      <c r="J879" s="73"/>
      <c r="K879" s="73"/>
      <c r="L879" s="73"/>
      <c r="M879" s="73"/>
      <c r="N879" s="73"/>
      <c r="O879" s="73"/>
      <c r="P879" s="73"/>
      <c r="Q879" s="73"/>
      <c r="R879" s="73"/>
      <c r="S879" s="73"/>
      <c r="T879" s="73"/>
      <c r="U879" s="73"/>
      <c r="V879" s="73"/>
      <c r="W879" s="73"/>
      <c r="X879" s="73"/>
      <c r="Y879" s="73"/>
      <c r="Z879" s="73"/>
      <c r="AA879" s="73"/>
      <c r="AB879" s="73"/>
      <c r="AC879" s="73"/>
      <c r="AD879" s="73"/>
      <c r="AE879" s="73"/>
      <c r="AF879" s="73"/>
    </row>
    <row r="880" spans="1:32" ht="15.75" customHeight="1" x14ac:dyDescent="0.2">
      <c r="A880" s="73"/>
      <c r="B880" s="73"/>
      <c r="C880" s="74"/>
      <c r="D880" s="74"/>
      <c r="E880" s="74"/>
      <c r="F880" s="73"/>
      <c r="G880" s="74"/>
      <c r="H880" s="73"/>
      <c r="I880" s="73"/>
      <c r="J880" s="73"/>
      <c r="K880" s="73"/>
      <c r="L880" s="73"/>
      <c r="M880" s="73"/>
      <c r="N880" s="73"/>
      <c r="O880" s="73"/>
      <c r="P880" s="73"/>
      <c r="Q880" s="73"/>
      <c r="R880" s="73"/>
      <c r="S880" s="73"/>
      <c r="T880" s="73"/>
      <c r="U880" s="73"/>
      <c r="V880" s="73"/>
      <c r="W880" s="73"/>
      <c r="X880" s="73"/>
      <c r="Y880" s="73"/>
      <c r="Z880" s="73"/>
      <c r="AA880" s="73"/>
      <c r="AB880" s="73"/>
      <c r="AC880" s="73"/>
      <c r="AD880" s="73"/>
      <c r="AE880" s="73"/>
      <c r="AF880" s="73"/>
    </row>
    <row r="881" spans="1:32" ht="15.75" customHeight="1" x14ac:dyDescent="0.2">
      <c r="A881" s="73"/>
      <c r="B881" s="73"/>
      <c r="C881" s="74"/>
      <c r="D881" s="74"/>
      <c r="E881" s="74"/>
      <c r="F881" s="73"/>
      <c r="G881" s="74"/>
      <c r="H881" s="73"/>
      <c r="I881" s="73"/>
      <c r="J881" s="73"/>
      <c r="K881" s="73"/>
      <c r="L881" s="73"/>
      <c r="M881" s="73"/>
      <c r="N881" s="73"/>
      <c r="O881" s="73"/>
      <c r="P881" s="73"/>
      <c r="Q881" s="73"/>
      <c r="R881" s="73"/>
      <c r="S881" s="73"/>
      <c r="T881" s="73"/>
      <c r="U881" s="73"/>
      <c r="V881" s="73"/>
      <c r="W881" s="73"/>
      <c r="X881" s="73"/>
      <c r="Y881" s="73"/>
      <c r="Z881" s="73"/>
      <c r="AA881" s="73"/>
      <c r="AB881" s="73"/>
      <c r="AC881" s="73"/>
      <c r="AD881" s="73"/>
      <c r="AE881" s="73"/>
      <c r="AF881" s="73"/>
    </row>
    <row r="882" spans="1:32" ht="15.75" customHeight="1" x14ac:dyDescent="0.2">
      <c r="A882" s="73"/>
      <c r="B882" s="73"/>
      <c r="C882" s="74"/>
      <c r="D882" s="74"/>
      <c r="E882" s="74"/>
      <c r="F882" s="73"/>
      <c r="G882" s="74"/>
      <c r="H882" s="73"/>
      <c r="I882" s="73"/>
      <c r="J882" s="73"/>
      <c r="K882" s="73"/>
      <c r="L882" s="73"/>
      <c r="M882" s="73"/>
      <c r="N882" s="73"/>
      <c r="O882" s="73"/>
      <c r="P882" s="73"/>
      <c r="Q882" s="73"/>
      <c r="R882" s="73"/>
      <c r="S882" s="73"/>
      <c r="T882" s="73"/>
      <c r="U882" s="73"/>
      <c r="V882" s="73"/>
      <c r="W882" s="73"/>
      <c r="X882" s="73"/>
      <c r="Y882" s="73"/>
      <c r="Z882" s="73"/>
      <c r="AA882" s="73"/>
      <c r="AB882" s="73"/>
      <c r="AC882" s="73"/>
      <c r="AD882" s="73"/>
      <c r="AE882" s="73"/>
      <c r="AF882" s="73"/>
    </row>
    <row r="883" spans="1:32" ht="15.75" customHeight="1" x14ac:dyDescent="0.2">
      <c r="A883" s="73"/>
      <c r="B883" s="73"/>
      <c r="C883" s="74"/>
      <c r="D883" s="74"/>
      <c r="E883" s="74"/>
      <c r="F883" s="73"/>
      <c r="G883" s="74"/>
      <c r="H883" s="73"/>
      <c r="I883" s="73"/>
      <c r="J883" s="73"/>
      <c r="K883" s="73"/>
      <c r="L883" s="73"/>
      <c r="M883" s="73"/>
      <c r="N883" s="73"/>
      <c r="O883" s="73"/>
      <c r="P883" s="73"/>
      <c r="Q883" s="73"/>
      <c r="R883" s="73"/>
      <c r="S883" s="73"/>
      <c r="T883" s="73"/>
      <c r="U883" s="73"/>
      <c r="V883" s="73"/>
      <c r="W883" s="73"/>
      <c r="X883" s="73"/>
      <c r="Y883" s="73"/>
      <c r="Z883" s="73"/>
      <c r="AA883" s="73"/>
      <c r="AB883" s="73"/>
      <c r="AC883" s="73"/>
      <c r="AD883" s="73"/>
      <c r="AE883" s="73"/>
      <c r="AF883" s="73"/>
    </row>
    <row r="884" spans="1:32" ht="15.75" customHeight="1" x14ac:dyDescent="0.2">
      <c r="A884" s="73"/>
      <c r="B884" s="73"/>
      <c r="C884" s="74"/>
      <c r="D884" s="74"/>
      <c r="E884" s="74"/>
      <c r="F884" s="73"/>
      <c r="G884" s="74"/>
      <c r="H884" s="73"/>
      <c r="I884" s="73"/>
      <c r="J884" s="73"/>
      <c r="K884" s="73"/>
      <c r="L884" s="73"/>
      <c r="M884" s="73"/>
      <c r="N884" s="73"/>
      <c r="O884" s="73"/>
      <c r="P884" s="73"/>
      <c r="Q884" s="73"/>
      <c r="R884" s="73"/>
      <c r="S884" s="73"/>
      <c r="T884" s="73"/>
      <c r="U884" s="73"/>
      <c r="V884" s="73"/>
      <c r="W884" s="73"/>
      <c r="X884" s="73"/>
      <c r="Y884" s="73"/>
      <c r="Z884" s="73"/>
      <c r="AA884" s="73"/>
      <c r="AB884" s="73"/>
      <c r="AC884" s="73"/>
      <c r="AD884" s="73"/>
      <c r="AE884" s="73"/>
      <c r="AF884" s="73"/>
    </row>
    <row r="885" spans="1:32" ht="15.75" customHeight="1" x14ac:dyDescent="0.2">
      <c r="A885" s="73"/>
      <c r="B885" s="73"/>
      <c r="C885" s="74"/>
      <c r="D885" s="74"/>
      <c r="E885" s="74"/>
      <c r="F885" s="73"/>
      <c r="G885" s="74"/>
      <c r="H885" s="73"/>
      <c r="I885" s="73"/>
      <c r="J885" s="73"/>
      <c r="K885" s="73"/>
      <c r="L885" s="73"/>
      <c r="M885" s="73"/>
      <c r="N885" s="73"/>
      <c r="O885" s="73"/>
      <c r="P885" s="73"/>
      <c r="Q885" s="73"/>
      <c r="R885" s="73"/>
      <c r="S885" s="73"/>
      <c r="T885" s="73"/>
      <c r="U885" s="73"/>
      <c r="V885" s="73"/>
      <c r="W885" s="73"/>
      <c r="X885" s="73"/>
      <c r="Y885" s="73"/>
      <c r="Z885" s="73"/>
      <c r="AA885" s="73"/>
      <c r="AB885" s="73"/>
      <c r="AC885" s="73"/>
      <c r="AD885" s="73"/>
      <c r="AE885" s="73"/>
      <c r="AF885" s="73"/>
    </row>
    <row r="886" spans="1:32" ht="15.75" customHeight="1" x14ac:dyDescent="0.2">
      <c r="A886" s="73"/>
      <c r="B886" s="73"/>
      <c r="C886" s="74"/>
      <c r="D886" s="74"/>
      <c r="E886" s="74"/>
      <c r="F886" s="73"/>
      <c r="G886" s="74"/>
      <c r="H886" s="73"/>
      <c r="I886" s="73"/>
      <c r="J886" s="73"/>
      <c r="K886" s="73"/>
      <c r="L886" s="73"/>
      <c r="M886" s="73"/>
      <c r="N886" s="73"/>
      <c r="O886" s="73"/>
      <c r="P886" s="73"/>
      <c r="Q886" s="73"/>
      <c r="R886" s="73"/>
      <c r="S886" s="73"/>
      <c r="T886" s="73"/>
      <c r="U886" s="73"/>
      <c r="V886" s="73"/>
      <c r="W886" s="73"/>
      <c r="X886" s="73"/>
      <c r="Y886" s="73"/>
      <c r="Z886" s="73"/>
      <c r="AA886" s="73"/>
      <c r="AB886" s="73"/>
      <c r="AC886" s="73"/>
      <c r="AD886" s="73"/>
      <c r="AE886" s="73"/>
      <c r="AF886" s="73"/>
    </row>
    <row r="887" spans="1:32" ht="15.75" customHeight="1" x14ac:dyDescent="0.2">
      <c r="A887" s="73"/>
      <c r="B887" s="73"/>
      <c r="C887" s="74"/>
      <c r="D887" s="74"/>
      <c r="E887" s="74"/>
      <c r="F887" s="73"/>
      <c r="G887" s="74"/>
      <c r="H887" s="73"/>
      <c r="I887" s="73"/>
      <c r="J887" s="73"/>
      <c r="K887" s="73"/>
      <c r="L887" s="73"/>
      <c r="M887" s="73"/>
      <c r="N887" s="73"/>
      <c r="O887" s="73"/>
      <c r="P887" s="73"/>
      <c r="Q887" s="73"/>
      <c r="R887" s="73"/>
      <c r="S887" s="73"/>
      <c r="T887" s="73"/>
      <c r="U887" s="73"/>
      <c r="V887" s="73"/>
      <c r="W887" s="73"/>
      <c r="X887" s="73"/>
      <c r="Y887" s="73"/>
      <c r="Z887" s="73"/>
      <c r="AA887" s="73"/>
      <c r="AB887" s="73"/>
      <c r="AC887" s="73"/>
      <c r="AD887" s="73"/>
      <c r="AE887" s="73"/>
      <c r="AF887" s="73"/>
    </row>
    <row r="888" spans="1:32" ht="15.75" customHeight="1" x14ac:dyDescent="0.2">
      <c r="A888" s="73"/>
      <c r="B888" s="73"/>
      <c r="C888" s="74"/>
      <c r="D888" s="74"/>
      <c r="E888" s="74"/>
      <c r="F888" s="73"/>
      <c r="G888" s="74"/>
      <c r="H888" s="73"/>
      <c r="I888" s="73"/>
      <c r="J888" s="73"/>
      <c r="K888" s="73"/>
      <c r="L888" s="73"/>
      <c r="M888" s="73"/>
      <c r="N888" s="73"/>
      <c r="O888" s="73"/>
      <c r="P888" s="73"/>
      <c r="Q888" s="73"/>
      <c r="R888" s="73"/>
      <c r="S888" s="73"/>
      <c r="T888" s="73"/>
      <c r="U888" s="73"/>
      <c r="V888" s="73"/>
      <c r="W888" s="73"/>
      <c r="X888" s="73"/>
      <c r="Y888" s="73"/>
      <c r="Z888" s="73"/>
      <c r="AA888" s="73"/>
      <c r="AB888" s="73"/>
      <c r="AC888" s="73"/>
      <c r="AD888" s="73"/>
      <c r="AE888" s="73"/>
      <c r="AF888" s="73"/>
    </row>
    <row r="889" spans="1:32" ht="15.75" customHeight="1" x14ac:dyDescent="0.2">
      <c r="A889" s="73"/>
      <c r="B889" s="73"/>
      <c r="C889" s="74"/>
      <c r="D889" s="74"/>
      <c r="E889" s="74"/>
      <c r="F889" s="73"/>
      <c r="G889" s="74"/>
      <c r="H889" s="73"/>
      <c r="I889" s="73"/>
      <c r="J889" s="73"/>
      <c r="K889" s="73"/>
      <c r="L889" s="73"/>
      <c r="M889" s="73"/>
      <c r="N889" s="73"/>
      <c r="O889" s="73"/>
      <c r="P889" s="73"/>
      <c r="Q889" s="73"/>
      <c r="R889" s="73"/>
      <c r="S889" s="73"/>
      <c r="T889" s="73"/>
      <c r="U889" s="73"/>
      <c r="V889" s="73"/>
      <c r="W889" s="73"/>
      <c r="X889" s="73"/>
      <c r="Y889" s="73"/>
      <c r="Z889" s="73"/>
      <c r="AA889" s="73"/>
      <c r="AB889" s="73"/>
      <c r="AC889" s="73"/>
      <c r="AD889" s="73"/>
      <c r="AE889" s="73"/>
      <c r="AF889" s="73"/>
    </row>
    <row r="890" spans="1:32" ht="15.75" customHeight="1" x14ac:dyDescent="0.2">
      <c r="A890" s="73"/>
      <c r="B890" s="73"/>
      <c r="C890" s="74"/>
      <c r="D890" s="74"/>
      <c r="E890" s="74"/>
      <c r="F890" s="73"/>
      <c r="G890" s="74"/>
      <c r="H890" s="73"/>
      <c r="I890" s="73"/>
      <c r="J890" s="73"/>
      <c r="K890" s="73"/>
      <c r="L890" s="73"/>
      <c r="M890" s="73"/>
      <c r="N890" s="73"/>
      <c r="O890" s="73"/>
      <c r="P890" s="73"/>
      <c r="Q890" s="73"/>
      <c r="R890" s="73"/>
      <c r="S890" s="73"/>
      <c r="T890" s="73"/>
      <c r="U890" s="73"/>
      <c r="V890" s="73"/>
      <c r="W890" s="73"/>
      <c r="X890" s="73"/>
      <c r="Y890" s="73"/>
      <c r="Z890" s="73"/>
      <c r="AA890" s="73"/>
      <c r="AB890" s="73"/>
      <c r="AC890" s="73"/>
      <c r="AD890" s="73"/>
      <c r="AE890" s="73"/>
      <c r="AF890" s="73"/>
    </row>
    <row r="891" spans="1:32" ht="15.75" customHeight="1" x14ac:dyDescent="0.2">
      <c r="A891" s="73"/>
      <c r="B891" s="73"/>
      <c r="C891" s="74"/>
      <c r="D891" s="74"/>
      <c r="E891" s="74"/>
      <c r="F891" s="73"/>
      <c r="G891" s="74"/>
      <c r="H891" s="73"/>
      <c r="I891" s="73"/>
      <c r="J891" s="73"/>
      <c r="K891" s="73"/>
      <c r="L891" s="73"/>
      <c r="M891" s="73"/>
      <c r="N891" s="73"/>
      <c r="O891" s="73"/>
      <c r="P891" s="73"/>
      <c r="Q891" s="73"/>
      <c r="R891" s="73"/>
      <c r="S891" s="73"/>
      <c r="T891" s="73"/>
      <c r="U891" s="73"/>
      <c r="V891" s="73"/>
      <c r="W891" s="73"/>
      <c r="X891" s="73"/>
      <c r="Y891" s="73"/>
      <c r="Z891" s="73"/>
      <c r="AA891" s="73"/>
      <c r="AB891" s="73"/>
      <c r="AC891" s="73"/>
      <c r="AD891" s="73"/>
      <c r="AE891" s="73"/>
      <c r="AF891" s="73"/>
    </row>
    <row r="892" spans="1:32" ht="15.75" customHeight="1" x14ac:dyDescent="0.2">
      <c r="A892" s="73"/>
      <c r="B892" s="73"/>
      <c r="C892" s="74"/>
      <c r="D892" s="74"/>
      <c r="E892" s="74"/>
      <c r="F892" s="73"/>
      <c r="G892" s="74"/>
      <c r="H892" s="73"/>
      <c r="I892" s="73"/>
      <c r="J892" s="73"/>
      <c r="K892" s="73"/>
      <c r="L892" s="73"/>
      <c r="M892" s="73"/>
      <c r="N892" s="73"/>
      <c r="O892" s="73"/>
      <c r="P892" s="73"/>
      <c r="Q892" s="73"/>
      <c r="R892" s="73"/>
      <c r="S892" s="73"/>
      <c r="T892" s="73"/>
      <c r="U892" s="73"/>
      <c r="V892" s="73"/>
      <c r="W892" s="73"/>
      <c r="X892" s="73"/>
      <c r="Y892" s="73"/>
      <c r="Z892" s="73"/>
      <c r="AA892" s="73"/>
      <c r="AB892" s="73"/>
      <c r="AC892" s="73"/>
      <c r="AD892" s="73"/>
      <c r="AE892" s="73"/>
      <c r="AF892" s="73"/>
    </row>
    <row r="893" spans="1:32" ht="15.75" customHeight="1" x14ac:dyDescent="0.2">
      <c r="A893" s="73"/>
      <c r="B893" s="73"/>
      <c r="C893" s="74"/>
      <c r="D893" s="74"/>
      <c r="E893" s="74"/>
      <c r="F893" s="73"/>
      <c r="G893" s="74"/>
      <c r="H893" s="73"/>
      <c r="I893" s="73"/>
      <c r="J893" s="73"/>
      <c r="K893" s="73"/>
      <c r="L893" s="73"/>
      <c r="M893" s="73"/>
      <c r="N893" s="73"/>
      <c r="O893" s="73"/>
      <c r="P893" s="73"/>
      <c r="Q893" s="73"/>
      <c r="R893" s="73"/>
      <c r="S893" s="73"/>
      <c r="T893" s="73"/>
      <c r="U893" s="73"/>
      <c r="V893" s="73"/>
      <c r="W893" s="73"/>
      <c r="X893" s="73"/>
      <c r="Y893" s="73"/>
      <c r="Z893" s="73"/>
      <c r="AA893" s="73"/>
      <c r="AB893" s="73"/>
      <c r="AC893" s="73"/>
      <c r="AD893" s="73"/>
      <c r="AE893" s="73"/>
      <c r="AF893" s="73"/>
    </row>
    <row r="894" spans="1:32" ht="15.75" customHeight="1" x14ac:dyDescent="0.2">
      <c r="A894" s="73"/>
      <c r="B894" s="73"/>
      <c r="C894" s="74"/>
      <c r="D894" s="74"/>
      <c r="E894" s="74"/>
      <c r="F894" s="73"/>
      <c r="G894" s="74"/>
      <c r="H894" s="73"/>
      <c r="I894" s="73"/>
      <c r="J894" s="73"/>
      <c r="K894" s="73"/>
      <c r="L894" s="73"/>
      <c r="M894" s="73"/>
      <c r="N894" s="73"/>
      <c r="O894" s="73"/>
      <c r="P894" s="73"/>
      <c r="Q894" s="73"/>
      <c r="R894" s="73"/>
      <c r="S894" s="73"/>
      <c r="T894" s="73"/>
      <c r="U894" s="73"/>
      <c r="V894" s="73"/>
      <c r="W894" s="73"/>
      <c r="X894" s="73"/>
      <c r="Y894" s="73"/>
      <c r="Z894" s="73"/>
      <c r="AA894" s="73"/>
      <c r="AB894" s="73"/>
      <c r="AC894" s="73"/>
      <c r="AD894" s="73"/>
      <c r="AE894" s="73"/>
      <c r="AF894" s="73"/>
    </row>
    <row r="895" spans="1:32" ht="15.75" customHeight="1" x14ac:dyDescent="0.2">
      <c r="A895" s="73"/>
      <c r="B895" s="73"/>
      <c r="C895" s="74"/>
      <c r="D895" s="74"/>
      <c r="E895" s="74"/>
      <c r="F895" s="73"/>
      <c r="G895" s="74"/>
      <c r="H895" s="73"/>
      <c r="I895" s="73"/>
      <c r="J895" s="73"/>
      <c r="K895" s="73"/>
      <c r="L895" s="73"/>
      <c r="M895" s="73"/>
      <c r="N895" s="73"/>
      <c r="O895" s="73"/>
      <c r="P895" s="73"/>
      <c r="Q895" s="73"/>
      <c r="R895" s="73"/>
      <c r="S895" s="73"/>
      <c r="T895" s="73"/>
      <c r="U895" s="73"/>
      <c r="V895" s="73"/>
      <c r="W895" s="73"/>
      <c r="X895" s="73"/>
      <c r="Y895" s="73"/>
      <c r="Z895" s="73"/>
      <c r="AA895" s="73"/>
      <c r="AB895" s="73"/>
      <c r="AC895" s="73"/>
      <c r="AD895" s="73"/>
      <c r="AE895" s="73"/>
      <c r="AF895" s="73"/>
    </row>
    <row r="896" spans="1:32" ht="15.75" customHeight="1" x14ac:dyDescent="0.2">
      <c r="A896" s="73"/>
      <c r="B896" s="73"/>
      <c r="C896" s="74"/>
      <c r="D896" s="74"/>
      <c r="E896" s="74"/>
      <c r="F896" s="73"/>
      <c r="G896" s="74"/>
      <c r="H896" s="73"/>
      <c r="I896" s="73"/>
      <c r="J896" s="73"/>
      <c r="K896" s="73"/>
      <c r="L896" s="73"/>
      <c r="M896" s="73"/>
      <c r="N896" s="73"/>
      <c r="O896" s="73"/>
      <c r="P896" s="73"/>
      <c r="Q896" s="73"/>
      <c r="R896" s="73"/>
      <c r="S896" s="73"/>
      <c r="T896" s="73"/>
      <c r="U896" s="73"/>
      <c r="V896" s="73"/>
      <c r="W896" s="73"/>
      <c r="X896" s="73"/>
      <c r="Y896" s="73"/>
      <c r="Z896" s="73"/>
      <c r="AA896" s="73"/>
      <c r="AB896" s="73"/>
      <c r="AC896" s="73"/>
      <c r="AD896" s="73"/>
      <c r="AE896" s="73"/>
      <c r="AF896" s="73"/>
    </row>
    <row r="897" spans="1:32" ht="15.75" customHeight="1" x14ac:dyDescent="0.2">
      <c r="A897" s="73"/>
      <c r="B897" s="73"/>
      <c r="C897" s="74"/>
      <c r="D897" s="74"/>
      <c r="E897" s="74"/>
      <c r="F897" s="73"/>
      <c r="G897" s="74"/>
      <c r="H897" s="73"/>
      <c r="I897" s="73"/>
      <c r="J897" s="73"/>
      <c r="K897" s="73"/>
      <c r="L897" s="73"/>
      <c r="M897" s="73"/>
      <c r="N897" s="73"/>
      <c r="O897" s="73"/>
      <c r="P897" s="73"/>
      <c r="Q897" s="73"/>
      <c r="R897" s="73"/>
      <c r="S897" s="73"/>
      <c r="T897" s="73"/>
      <c r="U897" s="73"/>
      <c r="V897" s="73"/>
      <c r="W897" s="73"/>
      <c r="X897" s="73"/>
      <c r="Y897" s="73"/>
      <c r="Z897" s="73"/>
      <c r="AA897" s="73"/>
      <c r="AB897" s="73"/>
      <c r="AC897" s="73"/>
      <c r="AD897" s="73"/>
      <c r="AE897" s="73"/>
      <c r="AF897" s="73"/>
    </row>
    <row r="898" spans="1:32" ht="15.75" customHeight="1" x14ac:dyDescent="0.2">
      <c r="A898" s="73"/>
      <c r="B898" s="73"/>
      <c r="C898" s="74"/>
      <c r="D898" s="74"/>
      <c r="E898" s="74"/>
      <c r="F898" s="73"/>
      <c r="G898" s="74"/>
      <c r="H898" s="73"/>
      <c r="I898" s="73"/>
      <c r="J898" s="73"/>
      <c r="K898" s="73"/>
      <c r="L898" s="73"/>
      <c r="M898" s="73"/>
      <c r="N898" s="73"/>
      <c r="O898" s="73"/>
      <c r="P898" s="73"/>
      <c r="Q898" s="73"/>
      <c r="R898" s="73"/>
      <c r="S898" s="73"/>
      <c r="T898" s="73"/>
      <c r="U898" s="73"/>
      <c r="V898" s="73"/>
      <c r="W898" s="73"/>
      <c r="X898" s="73"/>
      <c r="Y898" s="73"/>
      <c r="Z898" s="73"/>
      <c r="AA898" s="73"/>
      <c r="AB898" s="73"/>
      <c r="AC898" s="73"/>
      <c r="AD898" s="73"/>
      <c r="AE898" s="73"/>
      <c r="AF898" s="73"/>
    </row>
    <row r="899" spans="1:32" ht="15.75" customHeight="1" x14ac:dyDescent="0.2">
      <c r="A899" s="73"/>
      <c r="B899" s="73"/>
      <c r="C899" s="74"/>
      <c r="D899" s="74"/>
      <c r="E899" s="74"/>
      <c r="F899" s="73"/>
      <c r="G899" s="74"/>
      <c r="H899" s="73"/>
      <c r="I899" s="73"/>
      <c r="J899" s="73"/>
      <c r="K899" s="73"/>
      <c r="L899" s="73"/>
      <c r="M899" s="73"/>
      <c r="N899" s="73"/>
      <c r="O899" s="73"/>
      <c r="P899" s="73"/>
      <c r="Q899" s="73"/>
      <c r="R899" s="73"/>
      <c r="S899" s="73"/>
      <c r="T899" s="73"/>
      <c r="U899" s="73"/>
      <c r="V899" s="73"/>
      <c r="W899" s="73"/>
      <c r="X899" s="73"/>
      <c r="Y899" s="73"/>
      <c r="Z899" s="73"/>
      <c r="AA899" s="73"/>
      <c r="AB899" s="73"/>
      <c r="AC899" s="73"/>
      <c r="AD899" s="73"/>
      <c r="AE899" s="73"/>
      <c r="AF899" s="73"/>
    </row>
    <row r="900" spans="1:32" ht="15.75" customHeight="1" x14ac:dyDescent="0.2">
      <c r="A900" s="73"/>
      <c r="B900" s="73"/>
      <c r="C900" s="74"/>
      <c r="D900" s="74"/>
      <c r="E900" s="74"/>
      <c r="F900" s="73"/>
      <c r="G900" s="74"/>
      <c r="H900" s="73"/>
      <c r="I900" s="73"/>
      <c r="J900" s="73"/>
      <c r="K900" s="73"/>
      <c r="L900" s="73"/>
      <c r="M900" s="73"/>
      <c r="N900" s="73"/>
      <c r="O900" s="73"/>
      <c r="P900" s="73"/>
      <c r="Q900" s="73"/>
      <c r="R900" s="73"/>
      <c r="S900" s="73"/>
      <c r="T900" s="73"/>
      <c r="U900" s="73"/>
      <c r="V900" s="73"/>
      <c r="W900" s="73"/>
      <c r="X900" s="73"/>
      <c r="Y900" s="73"/>
      <c r="Z900" s="73"/>
      <c r="AA900" s="73"/>
      <c r="AB900" s="73"/>
      <c r="AC900" s="73"/>
      <c r="AD900" s="73"/>
      <c r="AE900" s="73"/>
      <c r="AF900" s="73"/>
    </row>
    <row r="901" spans="1:32" ht="15.75" customHeight="1" x14ac:dyDescent="0.2">
      <c r="A901" s="73"/>
      <c r="B901" s="73"/>
      <c r="C901" s="74"/>
      <c r="D901" s="74"/>
      <c r="E901" s="74"/>
      <c r="F901" s="73"/>
      <c r="G901" s="74"/>
      <c r="H901" s="73"/>
      <c r="I901" s="73"/>
      <c r="J901" s="73"/>
      <c r="K901" s="73"/>
      <c r="L901" s="73"/>
      <c r="M901" s="73"/>
      <c r="N901" s="73"/>
      <c r="O901" s="73"/>
      <c r="P901" s="73"/>
      <c r="Q901" s="73"/>
      <c r="R901" s="73"/>
      <c r="S901" s="73"/>
      <c r="T901" s="73"/>
      <c r="U901" s="73"/>
      <c r="V901" s="73"/>
      <c r="W901" s="73"/>
      <c r="X901" s="73"/>
      <c r="Y901" s="73"/>
      <c r="Z901" s="73"/>
      <c r="AA901" s="73"/>
      <c r="AB901" s="73"/>
      <c r="AC901" s="73"/>
      <c r="AD901" s="73"/>
      <c r="AE901" s="73"/>
      <c r="AF901" s="73"/>
    </row>
    <row r="902" spans="1:32" ht="15.75" customHeight="1" x14ac:dyDescent="0.2">
      <c r="A902" s="73"/>
      <c r="B902" s="73"/>
      <c r="C902" s="74"/>
      <c r="D902" s="74"/>
      <c r="E902" s="74"/>
      <c r="F902" s="73"/>
      <c r="G902" s="74"/>
      <c r="H902" s="73"/>
      <c r="I902" s="73"/>
      <c r="J902" s="73"/>
      <c r="K902" s="73"/>
      <c r="L902" s="73"/>
      <c r="M902" s="73"/>
      <c r="N902" s="73"/>
      <c r="O902" s="73"/>
      <c r="P902" s="73"/>
      <c r="Q902" s="73"/>
      <c r="R902" s="73"/>
      <c r="S902" s="73"/>
      <c r="T902" s="73"/>
      <c r="U902" s="73"/>
      <c r="V902" s="73"/>
      <c r="W902" s="73"/>
      <c r="X902" s="73"/>
      <c r="Y902" s="73"/>
      <c r="Z902" s="73"/>
      <c r="AA902" s="73"/>
      <c r="AB902" s="73"/>
      <c r="AC902" s="73"/>
      <c r="AD902" s="73"/>
      <c r="AE902" s="73"/>
      <c r="AF902" s="73"/>
    </row>
    <row r="903" spans="1:32" ht="15.75" customHeight="1" x14ac:dyDescent="0.2">
      <c r="A903" s="73"/>
      <c r="B903" s="73"/>
      <c r="C903" s="74"/>
      <c r="D903" s="74"/>
      <c r="E903" s="74"/>
      <c r="F903" s="73"/>
      <c r="G903" s="74"/>
      <c r="H903" s="73"/>
      <c r="I903" s="73"/>
      <c r="J903" s="73"/>
      <c r="K903" s="73"/>
      <c r="L903" s="73"/>
      <c r="M903" s="73"/>
      <c r="N903" s="73"/>
      <c r="O903" s="73"/>
      <c r="P903" s="73"/>
      <c r="Q903" s="73"/>
      <c r="R903" s="73"/>
      <c r="S903" s="73"/>
      <c r="T903" s="73"/>
      <c r="U903" s="73"/>
      <c r="V903" s="73"/>
      <c r="W903" s="73"/>
      <c r="X903" s="73"/>
      <c r="Y903" s="73"/>
      <c r="Z903" s="73"/>
      <c r="AA903" s="73"/>
      <c r="AB903" s="73"/>
      <c r="AC903" s="73"/>
      <c r="AD903" s="73"/>
      <c r="AE903" s="73"/>
      <c r="AF903" s="73"/>
    </row>
    <row r="904" spans="1:32" ht="15.75" customHeight="1" x14ac:dyDescent="0.2">
      <c r="A904" s="73"/>
      <c r="B904" s="73"/>
      <c r="C904" s="74"/>
      <c r="D904" s="74"/>
      <c r="E904" s="74"/>
      <c r="F904" s="73"/>
      <c r="G904" s="74"/>
      <c r="H904" s="73"/>
      <c r="I904" s="73"/>
      <c r="J904" s="73"/>
      <c r="K904" s="73"/>
      <c r="L904" s="73"/>
      <c r="M904" s="73"/>
      <c r="N904" s="73"/>
      <c r="O904" s="73"/>
      <c r="P904" s="73"/>
      <c r="Q904" s="73"/>
      <c r="R904" s="73"/>
      <c r="S904" s="73"/>
      <c r="T904" s="73"/>
      <c r="U904" s="73"/>
      <c r="V904" s="73"/>
      <c r="W904" s="73"/>
      <c r="X904" s="73"/>
      <c r="Y904" s="73"/>
      <c r="Z904" s="73"/>
      <c r="AA904" s="73"/>
      <c r="AB904" s="73"/>
      <c r="AC904" s="73"/>
      <c r="AD904" s="73"/>
      <c r="AE904" s="73"/>
      <c r="AF904" s="73"/>
    </row>
    <row r="905" spans="1:32" ht="15.75" customHeight="1" x14ac:dyDescent="0.2">
      <c r="A905" s="73"/>
      <c r="B905" s="73"/>
      <c r="C905" s="74"/>
      <c r="D905" s="74"/>
      <c r="E905" s="74"/>
      <c r="F905" s="73"/>
      <c r="G905" s="74"/>
      <c r="H905" s="73"/>
      <c r="I905" s="73"/>
      <c r="J905" s="73"/>
      <c r="K905" s="73"/>
      <c r="L905" s="73"/>
      <c r="M905" s="73"/>
      <c r="N905" s="73"/>
      <c r="O905" s="73"/>
      <c r="P905" s="73"/>
      <c r="Q905" s="73"/>
      <c r="R905" s="73"/>
      <c r="S905" s="73"/>
      <c r="T905" s="73"/>
      <c r="U905" s="73"/>
      <c r="V905" s="73"/>
      <c r="W905" s="73"/>
      <c r="X905" s="73"/>
      <c r="Y905" s="73"/>
      <c r="Z905" s="73"/>
      <c r="AA905" s="73"/>
      <c r="AB905" s="73"/>
      <c r="AC905" s="73"/>
      <c r="AD905" s="73"/>
      <c r="AE905" s="73"/>
      <c r="AF905" s="73"/>
    </row>
    <row r="906" spans="1:32" ht="15.75" customHeight="1" x14ac:dyDescent="0.2">
      <c r="A906" s="73"/>
      <c r="B906" s="73"/>
      <c r="C906" s="74"/>
      <c r="D906" s="74"/>
      <c r="E906" s="74"/>
      <c r="F906" s="73"/>
      <c r="G906" s="74"/>
      <c r="H906" s="73"/>
      <c r="I906" s="73"/>
      <c r="J906" s="73"/>
      <c r="K906" s="73"/>
      <c r="L906" s="73"/>
      <c r="M906" s="73"/>
      <c r="N906" s="73"/>
      <c r="O906" s="73"/>
      <c r="P906" s="73"/>
      <c r="Q906" s="73"/>
      <c r="R906" s="73"/>
      <c r="S906" s="73"/>
      <c r="T906" s="73"/>
      <c r="U906" s="73"/>
      <c r="V906" s="73"/>
      <c r="W906" s="73"/>
      <c r="X906" s="73"/>
      <c r="Y906" s="73"/>
      <c r="Z906" s="73"/>
      <c r="AA906" s="73"/>
      <c r="AB906" s="73"/>
      <c r="AC906" s="73"/>
      <c r="AD906" s="73"/>
      <c r="AE906" s="73"/>
      <c r="AF906" s="73"/>
    </row>
    <row r="907" spans="1:32" ht="15.75" customHeight="1" x14ac:dyDescent="0.2">
      <c r="A907" s="73"/>
      <c r="B907" s="73"/>
      <c r="C907" s="74"/>
      <c r="D907" s="74"/>
      <c r="E907" s="74"/>
      <c r="F907" s="73"/>
      <c r="G907" s="74"/>
      <c r="H907" s="73"/>
      <c r="I907" s="73"/>
      <c r="J907" s="73"/>
      <c r="K907" s="73"/>
      <c r="L907" s="73"/>
      <c r="M907" s="73"/>
      <c r="N907" s="73"/>
      <c r="O907" s="73"/>
      <c r="P907" s="73"/>
      <c r="Q907" s="73"/>
      <c r="R907" s="73"/>
      <c r="S907" s="73"/>
      <c r="T907" s="73"/>
      <c r="U907" s="73"/>
      <c r="V907" s="73"/>
      <c r="W907" s="73"/>
      <c r="X907" s="73"/>
      <c r="Y907" s="73"/>
      <c r="Z907" s="73"/>
      <c r="AA907" s="73"/>
      <c r="AB907" s="73"/>
      <c r="AC907" s="73"/>
      <c r="AD907" s="73"/>
      <c r="AE907" s="73"/>
      <c r="AF907" s="73"/>
    </row>
    <row r="908" spans="1:32" ht="15.75" customHeight="1" x14ac:dyDescent="0.2">
      <c r="A908" s="73"/>
      <c r="B908" s="73"/>
      <c r="C908" s="74"/>
      <c r="D908" s="74"/>
      <c r="E908" s="74"/>
      <c r="F908" s="73"/>
      <c r="G908" s="74"/>
      <c r="H908" s="73"/>
      <c r="I908" s="73"/>
      <c r="J908" s="73"/>
      <c r="K908" s="73"/>
      <c r="L908" s="73"/>
      <c r="M908" s="73"/>
      <c r="N908" s="73"/>
      <c r="O908" s="73"/>
      <c r="P908" s="73"/>
      <c r="Q908" s="73"/>
      <c r="R908" s="73"/>
      <c r="S908" s="73"/>
      <c r="T908" s="73"/>
      <c r="U908" s="73"/>
      <c r="V908" s="73"/>
      <c r="W908" s="73"/>
      <c r="X908" s="73"/>
      <c r="Y908" s="73"/>
      <c r="Z908" s="73"/>
      <c r="AA908" s="73"/>
      <c r="AB908" s="73"/>
      <c r="AC908" s="73"/>
      <c r="AD908" s="73"/>
      <c r="AE908" s="73"/>
      <c r="AF908" s="73"/>
    </row>
    <row r="909" spans="1:32" ht="15.75" customHeight="1" x14ac:dyDescent="0.2">
      <c r="A909" s="73"/>
      <c r="B909" s="73"/>
      <c r="C909" s="74"/>
      <c r="D909" s="74"/>
      <c r="E909" s="74"/>
      <c r="F909" s="73"/>
      <c r="G909" s="74"/>
      <c r="H909" s="73"/>
      <c r="I909" s="73"/>
      <c r="J909" s="73"/>
      <c r="K909" s="73"/>
      <c r="L909" s="73"/>
      <c r="M909" s="73"/>
      <c r="N909" s="73"/>
      <c r="O909" s="73"/>
      <c r="P909" s="73"/>
      <c r="Q909" s="73"/>
      <c r="R909" s="73"/>
      <c r="S909" s="73"/>
      <c r="T909" s="73"/>
      <c r="U909" s="73"/>
      <c r="V909" s="73"/>
      <c r="W909" s="73"/>
      <c r="X909" s="73"/>
      <c r="Y909" s="73"/>
      <c r="Z909" s="73"/>
      <c r="AA909" s="73"/>
      <c r="AB909" s="73"/>
      <c r="AC909" s="73"/>
      <c r="AD909" s="73"/>
      <c r="AE909" s="73"/>
      <c r="AF909" s="73"/>
    </row>
    <row r="910" spans="1:32" ht="15.75" customHeight="1" x14ac:dyDescent="0.2">
      <c r="A910" s="73"/>
      <c r="B910" s="73"/>
      <c r="C910" s="74"/>
      <c r="D910" s="74"/>
      <c r="E910" s="74"/>
      <c r="F910" s="73"/>
      <c r="G910" s="74"/>
      <c r="H910" s="73"/>
      <c r="I910" s="73"/>
      <c r="J910" s="73"/>
      <c r="K910" s="73"/>
      <c r="L910" s="73"/>
      <c r="M910" s="73"/>
      <c r="N910" s="73"/>
      <c r="O910" s="73"/>
      <c r="P910" s="73"/>
      <c r="Q910" s="73"/>
      <c r="R910" s="73"/>
      <c r="S910" s="73"/>
      <c r="T910" s="73"/>
      <c r="U910" s="73"/>
      <c r="V910" s="73"/>
      <c r="W910" s="73"/>
      <c r="X910" s="73"/>
      <c r="Y910" s="73"/>
      <c r="Z910" s="73"/>
      <c r="AA910" s="73"/>
      <c r="AB910" s="73"/>
      <c r="AC910" s="73"/>
      <c r="AD910" s="73"/>
      <c r="AE910" s="73"/>
      <c r="AF910" s="73"/>
    </row>
    <row r="911" spans="1:32" ht="15.75" customHeight="1" x14ac:dyDescent="0.2">
      <c r="A911" s="73"/>
      <c r="B911" s="73"/>
      <c r="C911" s="74"/>
      <c r="D911" s="74"/>
      <c r="E911" s="74"/>
      <c r="F911" s="73"/>
      <c r="G911" s="74"/>
      <c r="H911" s="73"/>
      <c r="I911" s="73"/>
      <c r="J911" s="73"/>
      <c r="K911" s="73"/>
      <c r="L911" s="73"/>
      <c r="M911" s="73"/>
      <c r="N911" s="73"/>
      <c r="O911" s="73"/>
      <c r="P911" s="73"/>
      <c r="Q911" s="73"/>
      <c r="R911" s="73"/>
      <c r="S911" s="73"/>
      <c r="T911" s="73"/>
      <c r="U911" s="73"/>
      <c r="V911" s="73"/>
      <c r="W911" s="73"/>
      <c r="X911" s="73"/>
      <c r="Y911" s="73"/>
      <c r="Z911" s="73"/>
      <c r="AA911" s="73"/>
      <c r="AB911" s="73"/>
      <c r="AC911" s="73"/>
      <c r="AD911" s="73"/>
      <c r="AE911" s="73"/>
      <c r="AF911" s="73"/>
    </row>
    <row r="912" spans="1:32" ht="15.75" customHeight="1" x14ac:dyDescent="0.2">
      <c r="A912" s="73"/>
      <c r="B912" s="73"/>
      <c r="C912" s="74"/>
      <c r="D912" s="74"/>
      <c r="E912" s="74"/>
      <c r="F912" s="73"/>
      <c r="G912" s="74"/>
      <c r="H912" s="73"/>
      <c r="I912" s="73"/>
      <c r="J912" s="73"/>
      <c r="K912" s="73"/>
      <c r="L912" s="73"/>
      <c r="M912" s="73"/>
      <c r="N912" s="73"/>
      <c r="O912" s="73"/>
      <c r="P912" s="73"/>
      <c r="Q912" s="73"/>
      <c r="R912" s="73"/>
      <c r="S912" s="73"/>
      <c r="T912" s="73"/>
      <c r="U912" s="73"/>
      <c r="V912" s="73"/>
      <c r="W912" s="73"/>
      <c r="X912" s="73"/>
      <c r="Y912" s="73"/>
      <c r="Z912" s="73"/>
      <c r="AA912" s="73"/>
      <c r="AB912" s="73"/>
      <c r="AC912" s="73"/>
      <c r="AD912" s="73"/>
      <c r="AE912" s="73"/>
      <c r="AF912" s="73"/>
    </row>
    <row r="913" spans="1:32" ht="15.75" customHeight="1" x14ac:dyDescent="0.2">
      <c r="A913" s="73"/>
      <c r="B913" s="73"/>
      <c r="C913" s="74"/>
      <c r="D913" s="74"/>
      <c r="E913" s="74"/>
      <c r="F913" s="73"/>
      <c r="G913" s="74"/>
      <c r="H913" s="73"/>
      <c r="I913" s="73"/>
      <c r="J913" s="73"/>
      <c r="K913" s="73"/>
      <c r="L913" s="73"/>
      <c r="M913" s="73"/>
      <c r="N913" s="73"/>
      <c r="O913" s="73"/>
      <c r="P913" s="73"/>
      <c r="Q913" s="73"/>
      <c r="R913" s="73"/>
      <c r="S913" s="73"/>
      <c r="T913" s="73"/>
      <c r="U913" s="73"/>
      <c r="V913" s="73"/>
      <c r="W913" s="73"/>
      <c r="X913" s="73"/>
      <c r="Y913" s="73"/>
      <c r="Z913" s="73"/>
      <c r="AA913" s="73"/>
      <c r="AB913" s="73"/>
      <c r="AC913" s="73"/>
      <c r="AD913" s="73"/>
      <c r="AE913" s="73"/>
      <c r="AF913" s="73"/>
    </row>
    <row r="914" spans="1:32" ht="15.75" customHeight="1" x14ac:dyDescent="0.2">
      <c r="A914" s="73"/>
      <c r="B914" s="73"/>
      <c r="C914" s="74"/>
      <c r="D914" s="74"/>
      <c r="E914" s="74"/>
      <c r="F914" s="73"/>
      <c r="G914" s="74"/>
      <c r="H914" s="73"/>
      <c r="I914" s="73"/>
      <c r="J914" s="73"/>
      <c r="K914" s="73"/>
      <c r="L914" s="73"/>
      <c r="M914" s="73"/>
      <c r="N914" s="73"/>
      <c r="O914" s="73"/>
      <c r="P914" s="73"/>
      <c r="Q914" s="73"/>
      <c r="R914" s="73"/>
      <c r="S914" s="73"/>
      <c r="T914" s="73"/>
      <c r="U914" s="73"/>
      <c r="V914" s="73"/>
      <c r="W914" s="73"/>
      <c r="X914" s="73"/>
      <c r="Y914" s="73"/>
      <c r="Z914" s="73"/>
      <c r="AA914" s="73"/>
      <c r="AB914" s="73"/>
      <c r="AC914" s="73"/>
      <c r="AD914" s="73"/>
      <c r="AE914" s="73"/>
      <c r="AF914" s="73"/>
    </row>
    <row r="915" spans="1:32" ht="15.75" customHeight="1" x14ac:dyDescent="0.2">
      <c r="A915" s="73"/>
      <c r="B915" s="73"/>
      <c r="C915" s="74"/>
      <c r="D915" s="74"/>
      <c r="E915" s="74"/>
      <c r="F915" s="73"/>
      <c r="G915" s="74"/>
      <c r="H915" s="73"/>
      <c r="I915" s="73"/>
      <c r="J915" s="73"/>
      <c r="K915" s="73"/>
      <c r="L915" s="73"/>
      <c r="M915" s="73"/>
      <c r="N915" s="73"/>
      <c r="O915" s="73"/>
      <c r="P915" s="73"/>
      <c r="Q915" s="73"/>
      <c r="R915" s="73"/>
      <c r="S915" s="73"/>
      <c r="T915" s="73"/>
      <c r="U915" s="73"/>
      <c r="V915" s="73"/>
      <c r="W915" s="73"/>
      <c r="X915" s="73"/>
      <c r="Y915" s="73"/>
      <c r="Z915" s="73"/>
      <c r="AA915" s="73"/>
      <c r="AB915" s="73"/>
      <c r="AC915" s="73"/>
      <c r="AD915" s="73"/>
      <c r="AE915" s="73"/>
      <c r="AF915" s="73"/>
    </row>
    <row r="916" spans="1:32" ht="15.75" customHeight="1" x14ac:dyDescent="0.2">
      <c r="A916" s="73"/>
      <c r="B916" s="73"/>
      <c r="C916" s="74"/>
      <c r="D916" s="74"/>
      <c r="E916" s="74"/>
      <c r="F916" s="73"/>
      <c r="G916" s="74"/>
      <c r="H916" s="73"/>
      <c r="I916" s="73"/>
      <c r="J916" s="73"/>
      <c r="K916" s="73"/>
      <c r="L916" s="73"/>
      <c r="M916" s="73"/>
      <c r="N916" s="73"/>
      <c r="O916" s="73"/>
      <c r="P916" s="73"/>
      <c r="Q916" s="73"/>
      <c r="R916" s="73"/>
      <c r="S916" s="73"/>
      <c r="T916" s="73"/>
      <c r="U916" s="73"/>
      <c r="V916" s="73"/>
      <c r="W916" s="73"/>
      <c r="X916" s="73"/>
      <c r="Y916" s="73"/>
      <c r="Z916" s="73"/>
      <c r="AA916" s="73"/>
      <c r="AB916" s="73"/>
      <c r="AC916" s="73"/>
      <c r="AD916" s="73"/>
      <c r="AE916" s="73"/>
      <c r="AF916" s="73"/>
    </row>
    <row r="917" spans="1:32" ht="15.75" customHeight="1" x14ac:dyDescent="0.2">
      <c r="A917" s="73"/>
      <c r="B917" s="73"/>
      <c r="C917" s="74"/>
      <c r="D917" s="74"/>
      <c r="E917" s="74"/>
      <c r="F917" s="73"/>
      <c r="G917" s="74"/>
      <c r="H917" s="73"/>
      <c r="I917" s="73"/>
      <c r="J917" s="73"/>
      <c r="K917" s="73"/>
      <c r="L917" s="73"/>
      <c r="M917" s="73"/>
      <c r="N917" s="73"/>
      <c r="O917" s="73"/>
      <c r="P917" s="73"/>
      <c r="Q917" s="73"/>
      <c r="R917" s="73"/>
      <c r="S917" s="73"/>
      <c r="T917" s="73"/>
      <c r="U917" s="73"/>
      <c r="V917" s="73"/>
      <c r="W917" s="73"/>
      <c r="X917" s="73"/>
      <c r="Y917" s="73"/>
      <c r="Z917" s="73"/>
      <c r="AA917" s="73"/>
      <c r="AB917" s="73"/>
      <c r="AC917" s="73"/>
      <c r="AD917" s="73"/>
      <c r="AE917" s="73"/>
      <c r="AF917" s="73"/>
    </row>
    <row r="918" spans="1:32" ht="15.75" customHeight="1" x14ac:dyDescent="0.2">
      <c r="A918" s="73"/>
      <c r="B918" s="73"/>
      <c r="C918" s="74"/>
      <c r="D918" s="74"/>
      <c r="E918" s="74"/>
      <c r="F918" s="73"/>
      <c r="G918" s="74"/>
      <c r="H918" s="73"/>
      <c r="I918" s="73"/>
      <c r="J918" s="73"/>
      <c r="K918" s="73"/>
      <c r="L918" s="73"/>
      <c r="M918" s="73"/>
      <c r="N918" s="73"/>
      <c r="O918" s="73"/>
      <c r="P918" s="73"/>
      <c r="Q918" s="73"/>
      <c r="R918" s="73"/>
      <c r="S918" s="73"/>
      <c r="T918" s="73"/>
      <c r="U918" s="73"/>
      <c r="V918" s="73"/>
      <c r="W918" s="73"/>
      <c r="X918" s="73"/>
      <c r="Y918" s="73"/>
      <c r="Z918" s="73"/>
      <c r="AA918" s="73"/>
      <c r="AB918" s="73"/>
      <c r="AC918" s="73"/>
      <c r="AD918" s="73"/>
      <c r="AE918" s="73"/>
      <c r="AF918" s="73"/>
    </row>
    <row r="919" spans="1:32" ht="15.75" customHeight="1" x14ac:dyDescent="0.2">
      <c r="A919" s="73"/>
      <c r="B919" s="73"/>
      <c r="C919" s="74"/>
      <c r="D919" s="74"/>
      <c r="E919" s="74"/>
      <c r="F919" s="73"/>
      <c r="G919" s="74"/>
      <c r="H919" s="73"/>
      <c r="I919" s="73"/>
      <c r="J919" s="73"/>
      <c r="K919" s="73"/>
      <c r="L919" s="73"/>
      <c r="M919" s="73"/>
      <c r="N919" s="73"/>
      <c r="O919" s="73"/>
      <c r="P919" s="73"/>
      <c r="Q919" s="73"/>
      <c r="R919" s="73"/>
      <c r="S919" s="73"/>
      <c r="T919" s="73"/>
      <c r="U919" s="73"/>
      <c r="V919" s="73"/>
      <c r="W919" s="73"/>
      <c r="X919" s="73"/>
      <c r="Y919" s="73"/>
      <c r="Z919" s="73"/>
      <c r="AA919" s="73"/>
      <c r="AB919" s="73"/>
      <c r="AC919" s="73"/>
      <c r="AD919" s="73"/>
      <c r="AE919" s="73"/>
      <c r="AF919" s="73"/>
    </row>
    <row r="920" spans="1:32" ht="15.75" customHeight="1" x14ac:dyDescent="0.2">
      <c r="A920" s="73"/>
      <c r="B920" s="73"/>
      <c r="C920" s="74"/>
      <c r="D920" s="74"/>
      <c r="E920" s="74"/>
      <c r="F920" s="73"/>
      <c r="G920" s="74"/>
      <c r="H920" s="73"/>
      <c r="I920" s="73"/>
      <c r="J920" s="73"/>
      <c r="K920" s="73"/>
      <c r="L920" s="73"/>
      <c r="M920" s="73"/>
      <c r="N920" s="73"/>
      <c r="O920" s="73"/>
      <c r="P920" s="73"/>
      <c r="Q920" s="73"/>
      <c r="R920" s="73"/>
      <c r="S920" s="73"/>
      <c r="T920" s="73"/>
      <c r="U920" s="73"/>
      <c r="V920" s="73"/>
      <c r="W920" s="73"/>
      <c r="X920" s="73"/>
      <c r="Y920" s="73"/>
      <c r="Z920" s="73"/>
      <c r="AA920" s="73"/>
      <c r="AB920" s="73"/>
      <c r="AC920" s="73"/>
      <c r="AD920" s="73"/>
      <c r="AE920" s="73"/>
      <c r="AF920" s="73"/>
    </row>
    <row r="921" spans="1:32" ht="15.75" customHeight="1" x14ac:dyDescent="0.2">
      <c r="A921" s="73"/>
      <c r="B921" s="73"/>
      <c r="C921" s="74"/>
      <c r="D921" s="74"/>
      <c r="E921" s="74"/>
      <c r="F921" s="73"/>
      <c r="G921" s="74"/>
      <c r="H921" s="73"/>
      <c r="I921" s="73"/>
      <c r="J921" s="73"/>
      <c r="K921" s="73"/>
      <c r="L921" s="73"/>
      <c r="M921" s="73"/>
      <c r="N921" s="73"/>
      <c r="O921" s="73"/>
      <c r="P921" s="73"/>
      <c r="Q921" s="73"/>
      <c r="R921" s="73"/>
      <c r="S921" s="73"/>
      <c r="T921" s="73"/>
      <c r="U921" s="73"/>
      <c r="V921" s="73"/>
      <c r="W921" s="73"/>
      <c r="X921" s="73"/>
      <c r="Y921" s="73"/>
      <c r="Z921" s="73"/>
      <c r="AA921" s="73"/>
      <c r="AB921" s="73"/>
      <c r="AC921" s="73"/>
      <c r="AD921" s="73"/>
      <c r="AE921" s="73"/>
      <c r="AF921" s="73"/>
    </row>
    <row r="922" spans="1:32" ht="15.75" customHeight="1" x14ac:dyDescent="0.2">
      <c r="A922" s="73"/>
      <c r="B922" s="73"/>
      <c r="C922" s="74"/>
      <c r="D922" s="74"/>
      <c r="E922" s="74"/>
      <c r="F922" s="73"/>
      <c r="G922" s="74"/>
      <c r="H922" s="73"/>
      <c r="I922" s="73"/>
      <c r="J922" s="73"/>
      <c r="K922" s="73"/>
      <c r="L922" s="73"/>
      <c r="M922" s="73"/>
      <c r="N922" s="73"/>
      <c r="O922" s="73"/>
      <c r="P922" s="73"/>
      <c r="Q922" s="73"/>
      <c r="R922" s="73"/>
      <c r="S922" s="73"/>
      <c r="T922" s="73"/>
      <c r="U922" s="73"/>
      <c r="V922" s="73"/>
      <c r="W922" s="73"/>
      <c r="X922" s="73"/>
      <c r="Y922" s="73"/>
      <c r="Z922" s="73"/>
      <c r="AA922" s="73"/>
      <c r="AB922" s="73"/>
      <c r="AC922" s="73"/>
      <c r="AD922" s="73"/>
      <c r="AE922" s="73"/>
      <c r="AF922" s="73"/>
    </row>
    <row r="923" spans="1:32" ht="15.75" customHeight="1" x14ac:dyDescent="0.2">
      <c r="A923" s="73"/>
      <c r="B923" s="73"/>
      <c r="C923" s="74"/>
      <c r="D923" s="74"/>
      <c r="E923" s="74"/>
      <c r="F923" s="73"/>
      <c r="G923" s="74"/>
      <c r="H923" s="73"/>
      <c r="I923" s="73"/>
      <c r="J923" s="73"/>
      <c r="K923" s="73"/>
      <c r="L923" s="73"/>
      <c r="M923" s="73"/>
      <c r="N923" s="73"/>
      <c r="O923" s="73"/>
      <c r="P923" s="73"/>
      <c r="Q923" s="73"/>
      <c r="R923" s="73"/>
      <c r="S923" s="73"/>
      <c r="T923" s="73"/>
      <c r="U923" s="73"/>
      <c r="V923" s="73"/>
      <c r="W923" s="73"/>
      <c r="X923" s="73"/>
      <c r="Y923" s="73"/>
      <c r="Z923" s="73"/>
      <c r="AA923" s="73"/>
      <c r="AB923" s="73"/>
      <c r="AC923" s="73"/>
      <c r="AD923" s="73"/>
      <c r="AE923" s="73"/>
      <c r="AF923" s="73"/>
    </row>
    <row r="924" spans="1:32" ht="15.75" customHeight="1" x14ac:dyDescent="0.2">
      <c r="A924" s="73"/>
      <c r="B924" s="73"/>
      <c r="C924" s="74"/>
      <c r="D924" s="74"/>
      <c r="E924" s="74"/>
      <c r="F924" s="73"/>
      <c r="G924" s="74"/>
      <c r="H924" s="73"/>
      <c r="I924" s="73"/>
      <c r="J924" s="73"/>
      <c r="K924" s="73"/>
      <c r="L924" s="73"/>
      <c r="M924" s="73"/>
      <c r="N924" s="73"/>
      <c r="O924" s="73"/>
      <c r="P924" s="73"/>
      <c r="Q924" s="73"/>
      <c r="R924" s="73"/>
      <c r="S924" s="73"/>
      <c r="T924" s="73"/>
      <c r="U924" s="73"/>
      <c r="V924" s="73"/>
      <c r="W924" s="73"/>
      <c r="X924" s="73"/>
      <c r="Y924" s="73"/>
      <c r="Z924" s="73"/>
      <c r="AA924" s="73"/>
      <c r="AB924" s="73"/>
      <c r="AC924" s="73"/>
      <c r="AD924" s="73"/>
      <c r="AE924" s="73"/>
      <c r="AF924" s="73"/>
    </row>
    <row r="925" spans="1:32" ht="15.75" customHeight="1" x14ac:dyDescent="0.2">
      <c r="A925" s="73"/>
      <c r="B925" s="73"/>
      <c r="C925" s="74"/>
      <c r="D925" s="74"/>
      <c r="E925" s="74"/>
      <c r="F925" s="73"/>
      <c r="G925" s="74"/>
      <c r="H925" s="73"/>
      <c r="I925" s="73"/>
      <c r="J925" s="73"/>
      <c r="K925" s="73"/>
      <c r="L925" s="73"/>
      <c r="M925" s="73"/>
      <c r="N925" s="73"/>
      <c r="O925" s="73"/>
      <c r="P925" s="73"/>
      <c r="Q925" s="73"/>
      <c r="R925" s="73"/>
      <c r="S925" s="73"/>
      <c r="T925" s="73"/>
      <c r="U925" s="73"/>
      <c r="V925" s="73"/>
      <c r="W925" s="73"/>
      <c r="X925" s="73"/>
      <c r="Y925" s="73"/>
      <c r="Z925" s="73"/>
      <c r="AA925" s="73"/>
      <c r="AB925" s="73"/>
      <c r="AC925" s="73"/>
      <c r="AD925" s="73"/>
      <c r="AE925" s="73"/>
      <c r="AF925" s="73"/>
    </row>
    <row r="926" spans="1:32" ht="15.75" customHeight="1" x14ac:dyDescent="0.2">
      <c r="A926" s="73"/>
      <c r="B926" s="73"/>
      <c r="C926" s="74"/>
      <c r="D926" s="74"/>
      <c r="E926" s="74"/>
      <c r="F926" s="73"/>
      <c r="G926" s="74"/>
      <c r="H926" s="73"/>
      <c r="I926" s="73"/>
      <c r="J926" s="73"/>
      <c r="K926" s="73"/>
      <c r="L926" s="73"/>
      <c r="M926" s="73"/>
      <c r="N926" s="73"/>
      <c r="O926" s="73"/>
      <c r="P926" s="73"/>
      <c r="Q926" s="73"/>
      <c r="R926" s="73"/>
      <c r="S926" s="73"/>
      <c r="T926" s="73"/>
      <c r="U926" s="73"/>
      <c r="V926" s="73"/>
      <c r="W926" s="73"/>
      <c r="X926" s="73"/>
      <c r="Y926" s="73"/>
      <c r="Z926" s="73"/>
      <c r="AA926" s="73"/>
      <c r="AB926" s="73"/>
      <c r="AC926" s="73"/>
      <c r="AD926" s="73"/>
      <c r="AE926" s="73"/>
      <c r="AF926" s="73"/>
    </row>
    <row r="927" spans="1:32" ht="15.75" customHeight="1" x14ac:dyDescent="0.2">
      <c r="A927" s="73"/>
      <c r="B927" s="73"/>
      <c r="C927" s="74"/>
      <c r="D927" s="74"/>
      <c r="E927" s="74"/>
      <c r="F927" s="73"/>
      <c r="G927" s="74"/>
      <c r="H927" s="73"/>
      <c r="I927" s="73"/>
      <c r="J927" s="73"/>
      <c r="K927" s="73"/>
      <c r="L927" s="73"/>
      <c r="M927" s="73"/>
      <c r="N927" s="73"/>
      <c r="O927" s="73"/>
      <c r="P927" s="73"/>
      <c r="Q927" s="73"/>
      <c r="R927" s="73"/>
      <c r="S927" s="73"/>
      <c r="T927" s="73"/>
      <c r="U927" s="73"/>
      <c r="V927" s="73"/>
      <c r="W927" s="73"/>
      <c r="X927" s="73"/>
      <c r="Y927" s="73"/>
      <c r="Z927" s="73"/>
      <c r="AA927" s="73"/>
      <c r="AB927" s="73"/>
      <c r="AC927" s="73"/>
      <c r="AD927" s="73"/>
      <c r="AE927" s="73"/>
      <c r="AF927" s="73"/>
    </row>
    <row r="928" spans="1:32" ht="15.75" customHeight="1" x14ac:dyDescent="0.2">
      <c r="A928" s="73"/>
      <c r="B928" s="73"/>
      <c r="C928" s="74"/>
      <c r="D928" s="74"/>
      <c r="E928" s="74"/>
      <c r="F928" s="73"/>
      <c r="G928" s="74"/>
      <c r="H928" s="73"/>
      <c r="I928" s="73"/>
      <c r="J928" s="73"/>
      <c r="K928" s="73"/>
      <c r="L928" s="73"/>
      <c r="M928" s="73"/>
      <c r="N928" s="73"/>
      <c r="O928" s="73"/>
      <c r="P928" s="73"/>
      <c r="Q928" s="73"/>
      <c r="R928" s="73"/>
      <c r="S928" s="73"/>
      <c r="T928" s="73"/>
      <c r="U928" s="73"/>
      <c r="V928" s="73"/>
      <c r="W928" s="73"/>
      <c r="X928" s="73"/>
      <c r="Y928" s="73"/>
      <c r="Z928" s="73"/>
      <c r="AA928" s="73"/>
      <c r="AB928" s="73"/>
      <c r="AC928" s="73"/>
      <c r="AD928" s="73"/>
      <c r="AE928" s="73"/>
      <c r="AF928" s="73"/>
    </row>
    <row r="929" spans="1:32" ht="15.75" customHeight="1" x14ac:dyDescent="0.2">
      <c r="A929" s="73"/>
      <c r="B929" s="73"/>
      <c r="C929" s="74"/>
      <c r="D929" s="74"/>
      <c r="E929" s="74"/>
      <c r="F929" s="73"/>
      <c r="G929" s="74"/>
      <c r="H929" s="73"/>
      <c r="I929" s="73"/>
      <c r="J929" s="73"/>
      <c r="K929" s="73"/>
      <c r="L929" s="73"/>
      <c r="M929" s="73"/>
      <c r="N929" s="73"/>
      <c r="O929" s="73"/>
      <c r="P929" s="73"/>
      <c r="Q929" s="73"/>
      <c r="R929" s="73"/>
      <c r="S929" s="73"/>
      <c r="T929" s="73"/>
      <c r="U929" s="73"/>
      <c r="V929" s="73"/>
      <c r="W929" s="73"/>
      <c r="X929" s="73"/>
      <c r="Y929" s="73"/>
      <c r="Z929" s="73"/>
      <c r="AA929" s="73"/>
      <c r="AB929" s="73"/>
      <c r="AC929" s="73"/>
      <c r="AD929" s="73"/>
      <c r="AE929" s="73"/>
      <c r="AF929" s="73"/>
    </row>
    <row r="930" spans="1:32" ht="15.75" customHeight="1" x14ac:dyDescent="0.2">
      <c r="A930" s="73"/>
      <c r="B930" s="73"/>
      <c r="C930" s="74"/>
      <c r="D930" s="74"/>
      <c r="E930" s="74"/>
      <c r="F930" s="73"/>
      <c r="G930" s="74"/>
      <c r="H930" s="73"/>
      <c r="I930" s="73"/>
      <c r="J930" s="73"/>
      <c r="K930" s="73"/>
      <c r="L930" s="73"/>
      <c r="M930" s="73"/>
      <c r="N930" s="73"/>
      <c r="O930" s="73"/>
      <c r="P930" s="73"/>
      <c r="Q930" s="73"/>
      <c r="R930" s="73"/>
      <c r="S930" s="73"/>
      <c r="T930" s="73"/>
      <c r="U930" s="73"/>
      <c r="V930" s="73"/>
      <c r="W930" s="73"/>
      <c r="X930" s="73"/>
      <c r="Y930" s="73"/>
      <c r="Z930" s="73"/>
      <c r="AA930" s="73"/>
      <c r="AB930" s="73"/>
      <c r="AC930" s="73"/>
      <c r="AD930" s="73"/>
      <c r="AE930" s="73"/>
      <c r="AF930" s="73"/>
    </row>
    <row r="931" spans="1:32" ht="15.75" customHeight="1" x14ac:dyDescent="0.2">
      <c r="A931" s="73"/>
      <c r="B931" s="73"/>
      <c r="C931" s="74"/>
      <c r="D931" s="74"/>
      <c r="E931" s="74"/>
      <c r="F931" s="73"/>
      <c r="G931" s="74"/>
      <c r="H931" s="73"/>
      <c r="I931" s="73"/>
      <c r="J931" s="73"/>
      <c r="K931" s="73"/>
      <c r="L931" s="73"/>
      <c r="M931" s="73"/>
      <c r="N931" s="73"/>
      <c r="O931" s="73"/>
      <c r="P931" s="73"/>
      <c r="Q931" s="73"/>
      <c r="R931" s="73"/>
      <c r="S931" s="73"/>
      <c r="T931" s="73"/>
      <c r="U931" s="73"/>
      <c r="V931" s="73"/>
      <c r="W931" s="73"/>
      <c r="X931" s="73"/>
      <c r="Y931" s="73"/>
      <c r="Z931" s="73"/>
      <c r="AA931" s="73"/>
      <c r="AB931" s="73"/>
      <c r="AC931" s="73"/>
      <c r="AD931" s="73"/>
      <c r="AE931" s="73"/>
      <c r="AF931" s="73"/>
    </row>
    <row r="932" spans="1:32" ht="15.75" customHeight="1" x14ac:dyDescent="0.2">
      <c r="A932" s="73"/>
      <c r="B932" s="73"/>
      <c r="C932" s="74"/>
      <c r="D932" s="74"/>
      <c r="E932" s="74"/>
      <c r="F932" s="73"/>
      <c r="G932" s="74"/>
      <c r="H932" s="73"/>
      <c r="I932" s="73"/>
      <c r="J932" s="73"/>
      <c r="K932" s="73"/>
      <c r="L932" s="73"/>
      <c r="M932" s="73"/>
      <c r="N932" s="73"/>
      <c r="O932" s="73"/>
      <c r="P932" s="73"/>
      <c r="Q932" s="73"/>
      <c r="R932" s="73"/>
      <c r="S932" s="73"/>
      <c r="T932" s="73"/>
      <c r="U932" s="73"/>
      <c r="V932" s="73"/>
      <c r="W932" s="73"/>
      <c r="X932" s="73"/>
      <c r="Y932" s="73"/>
      <c r="Z932" s="73"/>
      <c r="AA932" s="73"/>
      <c r="AB932" s="73"/>
      <c r="AC932" s="73"/>
      <c r="AD932" s="73"/>
      <c r="AE932" s="73"/>
      <c r="AF932" s="73"/>
    </row>
    <row r="933" spans="1:32" ht="15.75" customHeight="1" x14ac:dyDescent="0.2">
      <c r="A933" s="73"/>
      <c r="B933" s="73"/>
      <c r="C933" s="74"/>
      <c r="D933" s="74"/>
      <c r="E933" s="74"/>
      <c r="F933" s="73"/>
      <c r="G933" s="74"/>
      <c r="H933" s="73"/>
      <c r="I933" s="73"/>
      <c r="J933" s="73"/>
      <c r="K933" s="73"/>
      <c r="L933" s="73"/>
      <c r="M933" s="73"/>
      <c r="N933" s="73"/>
      <c r="O933" s="73"/>
      <c r="P933" s="73"/>
      <c r="Q933" s="73"/>
      <c r="R933" s="73"/>
      <c r="S933" s="73"/>
      <c r="T933" s="73"/>
      <c r="U933" s="73"/>
      <c r="V933" s="73"/>
      <c r="W933" s="73"/>
      <c r="X933" s="73"/>
      <c r="Y933" s="73"/>
      <c r="Z933" s="73"/>
      <c r="AA933" s="73"/>
      <c r="AB933" s="73"/>
      <c r="AC933" s="73"/>
      <c r="AD933" s="73"/>
      <c r="AE933" s="73"/>
      <c r="AF933" s="73"/>
    </row>
    <row r="934" spans="1:32" ht="15.75" customHeight="1" x14ac:dyDescent="0.2">
      <c r="A934" s="73"/>
      <c r="B934" s="73"/>
      <c r="C934" s="74"/>
      <c r="D934" s="74"/>
      <c r="E934" s="74"/>
      <c r="F934" s="73"/>
      <c r="G934" s="74"/>
      <c r="H934" s="73"/>
      <c r="I934" s="73"/>
      <c r="J934" s="73"/>
      <c r="K934" s="73"/>
      <c r="L934" s="73"/>
      <c r="M934" s="73"/>
      <c r="N934" s="73"/>
      <c r="O934" s="73"/>
      <c r="P934" s="73"/>
      <c r="Q934" s="73"/>
      <c r="R934" s="73"/>
      <c r="S934" s="73"/>
      <c r="T934" s="73"/>
      <c r="U934" s="73"/>
      <c r="V934" s="73"/>
      <c r="W934" s="73"/>
      <c r="X934" s="73"/>
      <c r="Y934" s="73"/>
      <c r="Z934" s="73"/>
      <c r="AA934" s="73"/>
      <c r="AB934" s="73"/>
      <c r="AC934" s="73"/>
      <c r="AD934" s="73"/>
      <c r="AE934" s="73"/>
      <c r="AF934" s="73"/>
    </row>
    <row r="935" spans="1:32" ht="15.75" customHeight="1" x14ac:dyDescent="0.2">
      <c r="A935" s="73"/>
      <c r="B935" s="73"/>
      <c r="C935" s="74"/>
      <c r="D935" s="74"/>
      <c r="E935" s="74"/>
      <c r="F935" s="73"/>
      <c r="G935" s="74"/>
      <c r="H935" s="73"/>
      <c r="I935" s="73"/>
      <c r="J935" s="73"/>
      <c r="K935" s="73"/>
      <c r="L935" s="73"/>
      <c r="M935" s="73"/>
      <c r="N935" s="73"/>
      <c r="O935" s="73"/>
      <c r="P935" s="73"/>
      <c r="Q935" s="73"/>
      <c r="R935" s="73"/>
      <c r="S935" s="73"/>
      <c r="T935" s="73"/>
      <c r="U935" s="73"/>
      <c r="V935" s="73"/>
      <c r="W935" s="73"/>
      <c r="X935" s="73"/>
      <c r="Y935" s="73"/>
      <c r="Z935" s="73"/>
      <c r="AA935" s="73"/>
      <c r="AB935" s="73"/>
      <c r="AC935" s="73"/>
      <c r="AD935" s="73"/>
      <c r="AE935" s="73"/>
      <c r="AF935" s="73"/>
    </row>
    <row r="936" spans="1:32" ht="15.75" customHeight="1" x14ac:dyDescent="0.2">
      <c r="A936" s="73"/>
      <c r="B936" s="73"/>
      <c r="C936" s="74"/>
      <c r="D936" s="74"/>
      <c r="E936" s="74"/>
      <c r="F936" s="73"/>
      <c r="G936" s="74"/>
      <c r="H936" s="73"/>
      <c r="I936" s="73"/>
      <c r="J936" s="73"/>
      <c r="K936" s="73"/>
      <c r="L936" s="73"/>
      <c r="M936" s="73"/>
      <c r="N936" s="73"/>
      <c r="O936" s="73"/>
      <c r="P936" s="73"/>
      <c r="Q936" s="73"/>
      <c r="R936" s="73"/>
      <c r="S936" s="73"/>
      <c r="T936" s="73"/>
      <c r="U936" s="73"/>
      <c r="V936" s="73"/>
      <c r="W936" s="73"/>
      <c r="X936" s="73"/>
      <c r="Y936" s="73"/>
      <c r="Z936" s="73"/>
      <c r="AA936" s="73"/>
      <c r="AB936" s="73"/>
      <c r="AC936" s="73"/>
      <c r="AD936" s="73"/>
      <c r="AE936" s="73"/>
      <c r="AF936" s="73"/>
    </row>
    <row r="937" spans="1:32" ht="15.75" customHeight="1" x14ac:dyDescent="0.2">
      <c r="A937" s="73"/>
      <c r="B937" s="73"/>
      <c r="C937" s="74"/>
      <c r="D937" s="74"/>
      <c r="E937" s="74"/>
      <c r="F937" s="73"/>
      <c r="G937" s="74"/>
      <c r="H937" s="73"/>
      <c r="I937" s="73"/>
      <c r="J937" s="73"/>
      <c r="K937" s="73"/>
      <c r="L937" s="73"/>
      <c r="M937" s="73"/>
      <c r="N937" s="73"/>
      <c r="O937" s="73"/>
      <c r="P937" s="73"/>
      <c r="Q937" s="73"/>
      <c r="R937" s="73"/>
      <c r="S937" s="73"/>
      <c r="T937" s="73"/>
      <c r="U937" s="73"/>
      <c r="V937" s="73"/>
      <c r="W937" s="73"/>
      <c r="X937" s="73"/>
      <c r="Y937" s="73"/>
      <c r="Z937" s="73"/>
      <c r="AA937" s="73"/>
      <c r="AB937" s="73"/>
      <c r="AC937" s="73"/>
      <c r="AD937" s="73"/>
      <c r="AE937" s="73"/>
      <c r="AF937" s="73"/>
    </row>
    <row r="938" spans="1:32" ht="15.75" customHeight="1" x14ac:dyDescent="0.2">
      <c r="A938" s="73"/>
      <c r="B938" s="73"/>
      <c r="C938" s="74"/>
      <c r="D938" s="74"/>
      <c r="E938" s="74"/>
      <c r="F938" s="73"/>
      <c r="G938" s="74"/>
      <c r="H938" s="73"/>
      <c r="I938" s="73"/>
      <c r="J938" s="73"/>
      <c r="K938" s="73"/>
      <c r="L938" s="73"/>
      <c r="M938" s="73"/>
      <c r="N938" s="73"/>
      <c r="O938" s="73"/>
      <c r="P938" s="73"/>
      <c r="Q938" s="73"/>
      <c r="R938" s="73"/>
      <c r="S938" s="73"/>
      <c r="T938" s="73"/>
      <c r="U938" s="73"/>
      <c r="V938" s="73"/>
      <c r="W938" s="73"/>
      <c r="X938" s="73"/>
      <c r="Y938" s="73"/>
      <c r="Z938" s="73"/>
      <c r="AA938" s="73"/>
      <c r="AB938" s="73"/>
      <c r="AC938" s="73"/>
      <c r="AD938" s="73"/>
      <c r="AE938" s="73"/>
      <c r="AF938" s="73"/>
    </row>
    <row r="939" spans="1:32" ht="15.75" customHeight="1" x14ac:dyDescent="0.2">
      <c r="A939" s="73"/>
      <c r="B939" s="73"/>
      <c r="C939" s="74"/>
      <c r="D939" s="74"/>
      <c r="E939" s="74"/>
      <c r="F939" s="73"/>
      <c r="G939" s="74"/>
      <c r="H939" s="73"/>
      <c r="I939" s="73"/>
      <c r="J939" s="73"/>
      <c r="K939" s="73"/>
      <c r="L939" s="73"/>
      <c r="M939" s="73"/>
      <c r="N939" s="73"/>
      <c r="O939" s="73"/>
      <c r="P939" s="73"/>
      <c r="Q939" s="73"/>
      <c r="R939" s="73"/>
      <c r="S939" s="73"/>
      <c r="T939" s="73"/>
      <c r="U939" s="73"/>
      <c r="V939" s="73"/>
      <c r="W939" s="73"/>
      <c r="X939" s="73"/>
      <c r="Y939" s="73"/>
      <c r="Z939" s="73"/>
      <c r="AA939" s="73"/>
      <c r="AB939" s="73"/>
      <c r="AC939" s="73"/>
      <c r="AD939" s="73"/>
      <c r="AE939" s="73"/>
      <c r="AF939" s="73"/>
    </row>
    <row r="940" spans="1:32" ht="15.75" customHeight="1" x14ac:dyDescent="0.2">
      <c r="A940" s="73"/>
      <c r="B940" s="73"/>
      <c r="C940" s="74"/>
      <c r="D940" s="74"/>
      <c r="E940" s="74"/>
      <c r="F940" s="73"/>
      <c r="G940" s="74"/>
      <c r="H940" s="73"/>
      <c r="I940" s="73"/>
      <c r="J940" s="73"/>
      <c r="K940" s="73"/>
      <c r="L940" s="73"/>
      <c r="M940" s="73"/>
      <c r="N940" s="73"/>
      <c r="O940" s="73"/>
      <c r="P940" s="73"/>
      <c r="Q940" s="73"/>
      <c r="R940" s="73"/>
      <c r="S940" s="73"/>
      <c r="T940" s="73"/>
      <c r="U940" s="73"/>
      <c r="V940" s="73"/>
      <c r="W940" s="73"/>
      <c r="X940" s="73"/>
      <c r="Y940" s="73"/>
      <c r="Z940" s="73"/>
      <c r="AA940" s="73"/>
      <c r="AB940" s="73"/>
      <c r="AC940" s="73"/>
      <c r="AD940" s="73"/>
      <c r="AE940" s="73"/>
      <c r="AF940" s="73"/>
    </row>
    <row r="941" spans="1:32" ht="15.75" customHeight="1" x14ac:dyDescent="0.2">
      <c r="A941" s="73"/>
      <c r="B941" s="73"/>
      <c r="C941" s="74"/>
      <c r="D941" s="74"/>
      <c r="E941" s="74"/>
      <c r="F941" s="73"/>
      <c r="G941" s="74"/>
      <c r="H941" s="73"/>
      <c r="I941" s="73"/>
      <c r="J941" s="73"/>
      <c r="K941" s="73"/>
      <c r="L941" s="73"/>
      <c r="M941" s="73"/>
      <c r="N941" s="73"/>
      <c r="O941" s="73"/>
      <c r="P941" s="73"/>
      <c r="Q941" s="73"/>
      <c r="R941" s="73"/>
      <c r="S941" s="73"/>
      <c r="T941" s="73"/>
      <c r="U941" s="73"/>
      <c r="V941" s="73"/>
      <c r="W941" s="73"/>
      <c r="X941" s="73"/>
      <c r="Y941" s="73"/>
      <c r="Z941" s="73"/>
      <c r="AA941" s="73"/>
      <c r="AB941" s="73"/>
      <c r="AC941" s="73"/>
      <c r="AD941" s="73"/>
      <c r="AE941" s="73"/>
      <c r="AF941" s="73"/>
    </row>
    <row r="942" spans="1:32" ht="15.75" customHeight="1" x14ac:dyDescent="0.2">
      <c r="A942" s="73"/>
      <c r="B942" s="73"/>
      <c r="C942" s="74"/>
      <c r="D942" s="74"/>
      <c r="E942" s="74"/>
      <c r="F942" s="73"/>
      <c r="G942" s="74"/>
      <c r="H942" s="73"/>
      <c r="I942" s="73"/>
      <c r="J942" s="73"/>
      <c r="K942" s="73"/>
      <c r="L942" s="73"/>
      <c r="M942" s="73"/>
      <c r="N942" s="73"/>
      <c r="O942" s="73"/>
      <c r="P942" s="73"/>
      <c r="Q942" s="73"/>
      <c r="R942" s="73"/>
      <c r="S942" s="73"/>
      <c r="T942" s="73"/>
      <c r="U942" s="73"/>
      <c r="V942" s="73"/>
      <c r="W942" s="73"/>
      <c r="X942" s="73"/>
      <c r="Y942" s="73"/>
      <c r="Z942" s="73"/>
      <c r="AA942" s="73"/>
      <c r="AB942" s="73"/>
      <c r="AC942" s="73"/>
      <c r="AD942" s="73"/>
      <c r="AE942" s="73"/>
      <c r="AF942" s="73"/>
    </row>
    <row r="943" spans="1:32" ht="15.75" customHeight="1" x14ac:dyDescent="0.2">
      <c r="A943" s="73"/>
      <c r="B943" s="73"/>
      <c r="C943" s="74"/>
      <c r="D943" s="74"/>
      <c r="E943" s="74"/>
      <c r="F943" s="73"/>
      <c r="G943" s="74"/>
      <c r="H943" s="73"/>
      <c r="I943" s="73"/>
      <c r="J943" s="73"/>
      <c r="K943" s="73"/>
      <c r="L943" s="73"/>
      <c r="M943" s="73"/>
      <c r="N943" s="73"/>
      <c r="O943" s="73"/>
      <c r="P943" s="73"/>
      <c r="Q943" s="73"/>
      <c r="R943" s="73"/>
      <c r="S943" s="73"/>
      <c r="T943" s="73"/>
      <c r="U943" s="73"/>
      <c r="V943" s="73"/>
      <c r="W943" s="73"/>
      <c r="X943" s="73"/>
      <c r="Y943" s="73"/>
      <c r="Z943" s="73"/>
      <c r="AA943" s="73"/>
      <c r="AB943" s="73"/>
      <c r="AC943" s="73"/>
      <c r="AD943" s="73"/>
      <c r="AE943" s="73"/>
      <c r="AF943" s="73"/>
    </row>
    <row r="944" spans="1:32" ht="15.75" customHeight="1" x14ac:dyDescent="0.2">
      <c r="A944" s="73"/>
      <c r="B944" s="73"/>
      <c r="C944" s="74"/>
      <c r="D944" s="74"/>
      <c r="E944" s="74"/>
      <c r="F944" s="73"/>
      <c r="G944" s="74"/>
      <c r="H944" s="73"/>
      <c r="I944" s="73"/>
      <c r="J944" s="73"/>
      <c r="K944" s="73"/>
      <c r="L944" s="73"/>
      <c r="M944" s="73"/>
      <c r="N944" s="73"/>
      <c r="O944" s="73"/>
      <c r="P944" s="73"/>
      <c r="Q944" s="73"/>
      <c r="R944" s="73"/>
      <c r="S944" s="73"/>
      <c r="T944" s="73"/>
      <c r="U944" s="73"/>
      <c r="V944" s="73"/>
      <c r="W944" s="73"/>
      <c r="X944" s="73"/>
      <c r="Y944" s="73"/>
      <c r="Z944" s="73"/>
      <c r="AA944" s="73"/>
      <c r="AB944" s="73"/>
      <c r="AC944" s="73"/>
      <c r="AD944" s="73"/>
      <c r="AE944" s="73"/>
      <c r="AF944" s="73"/>
    </row>
    <row r="945" spans="1:32" ht="15.75" customHeight="1" x14ac:dyDescent="0.2">
      <c r="A945" s="73"/>
      <c r="B945" s="73"/>
      <c r="C945" s="74"/>
      <c r="D945" s="74"/>
      <c r="E945" s="74"/>
      <c r="F945" s="73"/>
      <c r="G945" s="74"/>
      <c r="H945" s="73"/>
      <c r="I945" s="73"/>
      <c r="J945" s="73"/>
      <c r="K945" s="73"/>
      <c r="L945" s="73"/>
      <c r="M945" s="73"/>
      <c r="N945" s="73"/>
      <c r="O945" s="73"/>
      <c r="P945" s="73"/>
      <c r="Q945" s="73"/>
      <c r="R945" s="73"/>
      <c r="S945" s="73"/>
      <c r="T945" s="73"/>
      <c r="U945" s="73"/>
      <c r="V945" s="73"/>
      <c r="W945" s="73"/>
      <c r="X945" s="73"/>
      <c r="Y945" s="73"/>
      <c r="Z945" s="73"/>
      <c r="AA945" s="73"/>
      <c r="AB945" s="73"/>
      <c r="AC945" s="73"/>
      <c r="AD945" s="73"/>
      <c r="AE945" s="73"/>
      <c r="AF945" s="73"/>
    </row>
    <row r="946" spans="1:32" ht="15.75" customHeight="1" x14ac:dyDescent="0.2">
      <c r="A946" s="73"/>
      <c r="B946" s="73"/>
      <c r="C946" s="74"/>
      <c r="D946" s="74"/>
      <c r="E946" s="74"/>
      <c r="F946" s="73"/>
      <c r="G946" s="74"/>
      <c r="H946" s="73"/>
      <c r="I946" s="73"/>
      <c r="J946" s="73"/>
      <c r="K946" s="73"/>
      <c r="L946" s="73"/>
      <c r="M946" s="73"/>
      <c r="N946" s="73"/>
      <c r="O946" s="73"/>
      <c r="P946" s="73"/>
      <c r="Q946" s="73"/>
      <c r="R946" s="73"/>
      <c r="S946" s="73"/>
      <c r="T946" s="73"/>
      <c r="U946" s="73"/>
      <c r="V946" s="73"/>
      <c r="W946" s="73"/>
      <c r="X946" s="73"/>
      <c r="Y946" s="73"/>
      <c r="Z946" s="73"/>
      <c r="AA946" s="73"/>
      <c r="AB946" s="73"/>
      <c r="AC946" s="73"/>
      <c r="AD946" s="73"/>
      <c r="AE946" s="73"/>
      <c r="AF946" s="73"/>
    </row>
    <row r="947" spans="1:32" ht="15.75" customHeight="1" x14ac:dyDescent="0.2">
      <c r="A947" s="73"/>
      <c r="B947" s="73"/>
      <c r="C947" s="74"/>
      <c r="D947" s="74"/>
      <c r="E947" s="74"/>
      <c r="F947" s="73"/>
      <c r="G947" s="74"/>
      <c r="H947" s="73"/>
      <c r="I947" s="73"/>
      <c r="J947" s="73"/>
      <c r="K947" s="73"/>
      <c r="L947" s="73"/>
      <c r="M947" s="73"/>
      <c r="N947" s="73"/>
      <c r="O947" s="73"/>
      <c r="P947" s="73"/>
      <c r="Q947" s="73"/>
      <c r="R947" s="73"/>
      <c r="S947" s="73"/>
      <c r="T947" s="73"/>
      <c r="U947" s="73"/>
      <c r="V947" s="73"/>
      <c r="W947" s="73"/>
      <c r="X947" s="73"/>
      <c r="Y947" s="73"/>
      <c r="Z947" s="73"/>
      <c r="AA947" s="73"/>
      <c r="AB947" s="73"/>
      <c r="AC947" s="73"/>
      <c r="AD947" s="73"/>
      <c r="AE947" s="73"/>
      <c r="AF947" s="73"/>
    </row>
    <row r="948" spans="1:32" ht="15.75" customHeight="1" x14ac:dyDescent="0.2">
      <c r="A948" s="73"/>
      <c r="B948" s="73"/>
      <c r="C948" s="74"/>
      <c r="D948" s="74"/>
      <c r="E948" s="74"/>
      <c r="F948" s="73"/>
      <c r="G948" s="74"/>
      <c r="H948" s="73"/>
      <c r="I948" s="73"/>
      <c r="J948" s="73"/>
      <c r="K948" s="73"/>
      <c r="L948" s="73"/>
      <c r="M948" s="73"/>
      <c r="N948" s="73"/>
      <c r="O948" s="73"/>
      <c r="P948" s="73"/>
      <c r="Q948" s="73"/>
      <c r="R948" s="73"/>
      <c r="S948" s="73"/>
      <c r="T948" s="73"/>
      <c r="U948" s="73"/>
      <c r="V948" s="73"/>
      <c r="W948" s="73"/>
      <c r="X948" s="73"/>
      <c r="Y948" s="73"/>
      <c r="Z948" s="73"/>
      <c r="AA948" s="73"/>
      <c r="AB948" s="73"/>
      <c r="AC948" s="73"/>
      <c r="AD948" s="73"/>
      <c r="AE948" s="73"/>
      <c r="AF948" s="73"/>
    </row>
    <row r="949" spans="1:32" ht="15.75" customHeight="1" x14ac:dyDescent="0.2">
      <c r="A949" s="73"/>
      <c r="B949" s="73"/>
      <c r="C949" s="74"/>
      <c r="D949" s="74"/>
      <c r="E949" s="74"/>
      <c r="F949" s="73"/>
      <c r="G949" s="74"/>
      <c r="H949" s="73"/>
      <c r="I949" s="73"/>
      <c r="J949" s="73"/>
      <c r="K949" s="73"/>
      <c r="L949" s="73"/>
      <c r="M949" s="73"/>
      <c r="N949" s="73"/>
      <c r="O949" s="73"/>
      <c r="P949" s="73"/>
      <c r="Q949" s="73"/>
      <c r="R949" s="73"/>
      <c r="S949" s="73"/>
      <c r="T949" s="73"/>
      <c r="U949" s="73"/>
      <c r="V949" s="73"/>
      <c r="W949" s="73"/>
      <c r="X949" s="73"/>
      <c r="Y949" s="73"/>
      <c r="Z949" s="73"/>
      <c r="AA949" s="73"/>
      <c r="AB949" s="73"/>
      <c r="AC949" s="73"/>
      <c r="AD949" s="73"/>
      <c r="AE949" s="73"/>
      <c r="AF949" s="73"/>
    </row>
    <row r="950" spans="1:32" ht="15.75" customHeight="1" x14ac:dyDescent="0.2">
      <c r="A950" s="73"/>
      <c r="B950" s="73"/>
      <c r="C950" s="74"/>
      <c r="D950" s="74"/>
      <c r="E950" s="74"/>
      <c r="F950" s="73"/>
      <c r="G950" s="74"/>
      <c r="H950" s="73"/>
      <c r="I950" s="73"/>
      <c r="J950" s="73"/>
      <c r="K950" s="73"/>
      <c r="L950" s="73"/>
      <c r="M950" s="73"/>
      <c r="N950" s="73"/>
      <c r="O950" s="73"/>
      <c r="P950" s="73"/>
      <c r="Q950" s="73"/>
      <c r="R950" s="73"/>
      <c r="S950" s="73"/>
      <c r="T950" s="73"/>
      <c r="U950" s="73"/>
      <c r="V950" s="73"/>
      <c r="W950" s="73"/>
      <c r="X950" s="73"/>
      <c r="Y950" s="73"/>
      <c r="Z950" s="73"/>
      <c r="AA950" s="73"/>
      <c r="AB950" s="73"/>
      <c r="AC950" s="73"/>
      <c r="AD950" s="73"/>
      <c r="AE950" s="73"/>
      <c r="AF950" s="73"/>
    </row>
    <row r="951" spans="1:32" ht="15.75" customHeight="1" x14ac:dyDescent="0.2">
      <c r="A951" s="73"/>
      <c r="B951" s="73"/>
      <c r="C951" s="74"/>
      <c r="D951" s="74"/>
      <c r="E951" s="74"/>
      <c r="F951" s="73"/>
      <c r="G951" s="74"/>
      <c r="H951" s="73"/>
      <c r="I951" s="73"/>
      <c r="J951" s="73"/>
      <c r="K951" s="73"/>
      <c r="L951" s="73"/>
      <c r="M951" s="73"/>
      <c r="N951" s="73"/>
      <c r="O951" s="73"/>
      <c r="P951" s="73"/>
      <c r="Q951" s="73"/>
      <c r="R951" s="73"/>
      <c r="S951" s="73"/>
      <c r="T951" s="73"/>
      <c r="U951" s="73"/>
      <c r="V951" s="73"/>
      <c r="W951" s="73"/>
      <c r="X951" s="73"/>
      <c r="Y951" s="73"/>
      <c r="Z951" s="73"/>
      <c r="AA951" s="73"/>
      <c r="AB951" s="73"/>
      <c r="AC951" s="73"/>
      <c r="AD951" s="73"/>
      <c r="AE951" s="73"/>
      <c r="AF951" s="73"/>
    </row>
    <row r="952" spans="1:32" ht="15.75" customHeight="1" x14ac:dyDescent="0.2">
      <c r="A952" s="73"/>
      <c r="B952" s="73"/>
      <c r="C952" s="74"/>
      <c r="D952" s="74"/>
      <c r="E952" s="74"/>
      <c r="F952" s="73"/>
      <c r="G952" s="74"/>
      <c r="H952" s="73"/>
      <c r="I952" s="73"/>
      <c r="J952" s="73"/>
      <c r="K952" s="73"/>
      <c r="L952" s="73"/>
      <c r="M952" s="73"/>
      <c r="N952" s="73"/>
      <c r="O952" s="73"/>
      <c r="P952" s="73"/>
      <c r="Q952" s="73"/>
      <c r="R952" s="73"/>
      <c r="S952" s="73"/>
      <c r="T952" s="73"/>
      <c r="U952" s="73"/>
      <c r="V952" s="73"/>
      <c r="W952" s="73"/>
      <c r="X952" s="73"/>
      <c r="Y952" s="73"/>
      <c r="Z952" s="73"/>
      <c r="AA952" s="73"/>
      <c r="AB952" s="73"/>
      <c r="AC952" s="73"/>
      <c r="AD952" s="73"/>
      <c r="AE952" s="73"/>
      <c r="AF952" s="73"/>
    </row>
    <row r="953" spans="1:32" ht="15.75" customHeight="1" x14ac:dyDescent="0.2">
      <c r="A953" s="73"/>
      <c r="B953" s="73"/>
      <c r="C953" s="74"/>
      <c r="D953" s="74"/>
      <c r="E953" s="74"/>
      <c r="F953" s="73"/>
      <c r="G953" s="74"/>
      <c r="H953" s="73"/>
      <c r="I953" s="73"/>
      <c r="J953" s="73"/>
      <c r="K953" s="73"/>
      <c r="L953" s="73"/>
      <c r="M953" s="73"/>
      <c r="N953" s="73"/>
      <c r="O953" s="73"/>
      <c r="P953" s="73"/>
      <c r="Q953" s="73"/>
      <c r="R953" s="73"/>
      <c r="S953" s="73"/>
      <c r="T953" s="73"/>
      <c r="U953" s="73"/>
      <c r="V953" s="73"/>
      <c r="W953" s="73"/>
      <c r="X953" s="73"/>
      <c r="Y953" s="73"/>
      <c r="Z953" s="73"/>
      <c r="AA953" s="73"/>
      <c r="AB953" s="73"/>
      <c r="AC953" s="73"/>
      <c r="AD953" s="73"/>
      <c r="AE953" s="73"/>
      <c r="AF953" s="73"/>
    </row>
    <row r="954" spans="1:32" ht="15.75" customHeight="1" x14ac:dyDescent="0.2">
      <c r="A954" s="73"/>
      <c r="B954" s="73"/>
      <c r="C954" s="74"/>
      <c r="D954" s="74"/>
      <c r="E954" s="74"/>
      <c r="F954" s="73"/>
      <c r="G954" s="74"/>
      <c r="H954" s="73"/>
      <c r="I954" s="73"/>
      <c r="J954" s="73"/>
      <c r="K954" s="73"/>
      <c r="L954" s="73"/>
      <c r="M954" s="73"/>
      <c r="N954" s="73"/>
      <c r="O954" s="73"/>
      <c r="P954" s="73"/>
      <c r="Q954" s="73"/>
      <c r="R954" s="73"/>
      <c r="S954" s="73"/>
      <c r="T954" s="73"/>
      <c r="U954" s="73"/>
      <c r="V954" s="73"/>
      <c r="W954" s="73"/>
      <c r="X954" s="73"/>
      <c r="Y954" s="73"/>
      <c r="Z954" s="73"/>
      <c r="AA954" s="73"/>
      <c r="AB954" s="73"/>
      <c r="AC954" s="73"/>
      <c r="AD954" s="73"/>
      <c r="AE954" s="73"/>
      <c r="AF954" s="73"/>
    </row>
    <row r="955" spans="1:32" ht="15.75" customHeight="1" x14ac:dyDescent="0.2">
      <c r="A955" s="73"/>
      <c r="B955" s="73"/>
      <c r="C955" s="74"/>
      <c r="D955" s="74"/>
      <c r="E955" s="74"/>
      <c r="F955" s="73"/>
      <c r="G955" s="74"/>
      <c r="H955" s="73"/>
      <c r="I955" s="73"/>
      <c r="J955" s="73"/>
      <c r="K955" s="73"/>
      <c r="L955" s="73"/>
      <c r="M955" s="73"/>
      <c r="N955" s="73"/>
      <c r="O955" s="73"/>
      <c r="P955" s="73"/>
      <c r="Q955" s="73"/>
      <c r="R955" s="73"/>
      <c r="S955" s="73"/>
      <c r="T955" s="73"/>
      <c r="U955" s="73"/>
      <c r="V955" s="73"/>
      <c r="W955" s="73"/>
      <c r="X955" s="73"/>
      <c r="Y955" s="73"/>
      <c r="Z955" s="73"/>
      <c r="AA955" s="73"/>
      <c r="AB955" s="73"/>
      <c r="AC955" s="73"/>
      <c r="AD955" s="73"/>
      <c r="AE955" s="73"/>
      <c r="AF955" s="73"/>
    </row>
    <row r="956" spans="1:32" ht="15.75" customHeight="1" x14ac:dyDescent="0.2">
      <c r="A956" s="73"/>
      <c r="B956" s="73"/>
      <c r="C956" s="74"/>
      <c r="D956" s="74"/>
      <c r="E956" s="74"/>
      <c r="F956" s="73"/>
      <c r="G956" s="74"/>
      <c r="H956" s="73"/>
      <c r="I956" s="73"/>
      <c r="J956" s="73"/>
      <c r="K956" s="73"/>
      <c r="L956" s="73"/>
      <c r="M956" s="73"/>
      <c r="N956" s="73"/>
      <c r="O956" s="73"/>
      <c r="P956" s="73"/>
      <c r="Q956" s="73"/>
      <c r="R956" s="73"/>
      <c r="S956" s="73"/>
      <c r="T956" s="73"/>
      <c r="U956" s="73"/>
      <c r="V956" s="73"/>
      <c r="W956" s="73"/>
      <c r="X956" s="73"/>
      <c r="Y956" s="73"/>
      <c r="Z956" s="73"/>
      <c r="AA956" s="73"/>
      <c r="AB956" s="73"/>
      <c r="AC956" s="73"/>
      <c r="AD956" s="73"/>
      <c r="AE956" s="73"/>
      <c r="AF956" s="73"/>
    </row>
    <row r="957" spans="1:32" ht="15.75" customHeight="1" x14ac:dyDescent="0.2">
      <c r="A957" s="73"/>
      <c r="B957" s="73"/>
      <c r="C957" s="74"/>
      <c r="D957" s="74"/>
      <c r="E957" s="74"/>
      <c r="F957" s="73"/>
      <c r="G957" s="74"/>
      <c r="H957" s="73"/>
      <c r="I957" s="73"/>
      <c r="J957" s="73"/>
      <c r="K957" s="73"/>
      <c r="L957" s="73"/>
      <c r="M957" s="73"/>
      <c r="N957" s="73"/>
      <c r="O957" s="73"/>
      <c r="P957" s="73"/>
      <c r="Q957" s="73"/>
      <c r="R957" s="73"/>
      <c r="S957" s="73"/>
      <c r="T957" s="73"/>
      <c r="U957" s="73"/>
      <c r="V957" s="73"/>
      <c r="W957" s="73"/>
      <c r="X957" s="73"/>
      <c r="Y957" s="73"/>
      <c r="Z957" s="73"/>
      <c r="AA957" s="73"/>
      <c r="AB957" s="73"/>
      <c r="AC957" s="73"/>
      <c r="AD957" s="73"/>
      <c r="AE957" s="73"/>
      <c r="AF957" s="73"/>
    </row>
    <row r="958" spans="1:32" ht="15.75" customHeight="1" x14ac:dyDescent="0.2">
      <c r="A958" s="73"/>
      <c r="B958" s="73"/>
      <c r="C958" s="74"/>
      <c r="D958" s="74"/>
      <c r="E958" s="74"/>
      <c r="F958" s="73"/>
      <c r="G958" s="74"/>
      <c r="H958" s="73"/>
      <c r="I958" s="73"/>
      <c r="J958" s="73"/>
      <c r="K958" s="73"/>
      <c r="L958" s="73"/>
      <c r="M958" s="73"/>
      <c r="N958" s="73"/>
      <c r="O958" s="73"/>
      <c r="P958" s="73"/>
      <c r="Q958" s="73"/>
      <c r="R958" s="73"/>
      <c r="S958" s="73"/>
      <c r="T958" s="73"/>
      <c r="U958" s="73"/>
      <c r="V958" s="73"/>
      <c r="W958" s="73"/>
      <c r="X958" s="73"/>
      <c r="Y958" s="73"/>
      <c r="Z958" s="73"/>
      <c r="AA958" s="73"/>
      <c r="AB958" s="73"/>
      <c r="AC958" s="73"/>
      <c r="AD958" s="73"/>
      <c r="AE958" s="73"/>
      <c r="AF958" s="73"/>
    </row>
    <row r="959" spans="1:32" ht="15.75" customHeight="1" x14ac:dyDescent="0.2">
      <c r="A959" s="73"/>
      <c r="B959" s="73"/>
      <c r="C959" s="74"/>
      <c r="D959" s="74"/>
      <c r="E959" s="74"/>
      <c r="F959" s="73"/>
      <c r="G959" s="74"/>
      <c r="H959" s="73"/>
      <c r="I959" s="73"/>
      <c r="J959" s="73"/>
      <c r="K959" s="73"/>
      <c r="L959" s="73"/>
      <c r="M959" s="73"/>
      <c r="N959" s="73"/>
      <c r="O959" s="73"/>
      <c r="P959" s="73"/>
      <c r="Q959" s="73"/>
      <c r="R959" s="73"/>
      <c r="S959" s="73"/>
      <c r="T959" s="73"/>
      <c r="U959" s="73"/>
      <c r="V959" s="73"/>
      <c r="W959" s="73"/>
      <c r="X959" s="73"/>
      <c r="Y959" s="73"/>
      <c r="Z959" s="73"/>
      <c r="AA959" s="73"/>
      <c r="AB959" s="73"/>
      <c r="AC959" s="73"/>
      <c r="AD959" s="73"/>
      <c r="AE959" s="73"/>
      <c r="AF959" s="73"/>
    </row>
    <row r="960" spans="1:32" ht="15.75" customHeight="1" x14ac:dyDescent="0.2">
      <c r="A960" s="73"/>
      <c r="B960" s="73"/>
      <c r="C960" s="74"/>
      <c r="D960" s="74"/>
      <c r="E960" s="74"/>
      <c r="F960" s="73"/>
      <c r="G960" s="74"/>
      <c r="H960" s="73"/>
      <c r="I960" s="73"/>
      <c r="J960" s="73"/>
      <c r="K960" s="73"/>
      <c r="L960" s="73"/>
      <c r="M960" s="73"/>
      <c r="N960" s="73"/>
      <c r="O960" s="73"/>
      <c r="P960" s="73"/>
      <c r="Q960" s="73"/>
      <c r="R960" s="73"/>
      <c r="S960" s="73"/>
      <c r="T960" s="73"/>
      <c r="U960" s="73"/>
      <c r="V960" s="73"/>
      <c r="W960" s="73"/>
      <c r="X960" s="73"/>
      <c r="Y960" s="73"/>
      <c r="Z960" s="73"/>
      <c r="AA960" s="73"/>
      <c r="AB960" s="73"/>
      <c r="AC960" s="73"/>
      <c r="AD960" s="73"/>
      <c r="AE960" s="73"/>
      <c r="AF960" s="73"/>
    </row>
    <row r="961" spans="1:32" ht="15.75" customHeight="1" x14ac:dyDescent="0.2">
      <c r="A961" s="73"/>
      <c r="B961" s="73"/>
      <c r="C961" s="74"/>
      <c r="D961" s="74"/>
      <c r="E961" s="74"/>
      <c r="F961" s="73"/>
      <c r="G961" s="74"/>
      <c r="H961" s="73"/>
      <c r="I961" s="73"/>
      <c r="J961" s="73"/>
      <c r="K961" s="73"/>
      <c r="L961" s="73"/>
      <c r="M961" s="73"/>
      <c r="N961" s="73"/>
      <c r="O961" s="73"/>
      <c r="P961" s="73"/>
      <c r="Q961" s="73"/>
      <c r="R961" s="73"/>
      <c r="S961" s="73"/>
      <c r="T961" s="73"/>
      <c r="U961" s="73"/>
      <c r="V961" s="73"/>
      <c r="W961" s="73"/>
      <c r="X961" s="73"/>
      <c r="Y961" s="73"/>
      <c r="Z961" s="73"/>
      <c r="AA961" s="73"/>
      <c r="AB961" s="73"/>
      <c r="AC961" s="73"/>
      <c r="AD961" s="73"/>
      <c r="AE961" s="73"/>
      <c r="AF961" s="73"/>
    </row>
    <row r="962" spans="1:32" ht="15.75" customHeight="1" x14ac:dyDescent="0.2">
      <c r="A962" s="73"/>
      <c r="B962" s="73"/>
      <c r="C962" s="74"/>
      <c r="D962" s="74"/>
      <c r="E962" s="74"/>
      <c r="F962" s="73"/>
      <c r="G962" s="74"/>
      <c r="H962" s="73"/>
      <c r="I962" s="73"/>
      <c r="J962" s="73"/>
      <c r="K962" s="73"/>
      <c r="L962" s="73"/>
      <c r="M962" s="73"/>
      <c r="N962" s="73"/>
      <c r="O962" s="73"/>
      <c r="P962" s="73"/>
      <c r="Q962" s="73"/>
      <c r="R962" s="73"/>
      <c r="S962" s="73"/>
      <c r="T962" s="73"/>
      <c r="U962" s="73"/>
      <c r="V962" s="73"/>
      <c r="W962" s="73"/>
      <c r="X962" s="73"/>
      <c r="Y962" s="73"/>
      <c r="Z962" s="73"/>
      <c r="AA962" s="73"/>
      <c r="AB962" s="73"/>
      <c r="AC962" s="73"/>
      <c r="AD962" s="73"/>
      <c r="AE962" s="73"/>
      <c r="AF962" s="73"/>
    </row>
    <row r="963" spans="1:32" ht="15.75" customHeight="1" x14ac:dyDescent="0.2">
      <c r="A963" s="73"/>
      <c r="B963" s="73"/>
      <c r="C963" s="74"/>
      <c r="D963" s="74"/>
      <c r="E963" s="74"/>
      <c r="F963" s="73"/>
      <c r="G963" s="74"/>
      <c r="H963" s="73"/>
      <c r="I963" s="73"/>
      <c r="J963" s="73"/>
      <c r="K963" s="73"/>
      <c r="L963" s="73"/>
      <c r="M963" s="73"/>
      <c r="N963" s="73"/>
      <c r="O963" s="73"/>
      <c r="P963" s="73"/>
      <c r="Q963" s="73"/>
      <c r="R963" s="73"/>
      <c r="S963" s="73"/>
      <c r="T963" s="73"/>
      <c r="U963" s="73"/>
      <c r="V963" s="73"/>
      <c r="W963" s="73"/>
      <c r="X963" s="73"/>
      <c r="Y963" s="73"/>
      <c r="Z963" s="73"/>
      <c r="AA963" s="73"/>
      <c r="AB963" s="73"/>
      <c r="AC963" s="73"/>
      <c r="AD963" s="73"/>
      <c r="AE963" s="73"/>
      <c r="AF963" s="73"/>
    </row>
    <row r="964" spans="1:32" ht="15.75" customHeight="1" x14ac:dyDescent="0.2">
      <c r="A964" s="73"/>
      <c r="B964" s="73"/>
      <c r="C964" s="74"/>
      <c r="D964" s="74"/>
      <c r="E964" s="74"/>
      <c r="F964" s="73"/>
      <c r="G964" s="74"/>
      <c r="H964" s="73"/>
      <c r="I964" s="73"/>
      <c r="J964" s="73"/>
      <c r="K964" s="73"/>
      <c r="L964" s="73"/>
      <c r="M964" s="73"/>
      <c r="N964" s="73"/>
      <c r="O964" s="73"/>
      <c r="P964" s="73"/>
      <c r="Q964" s="73"/>
      <c r="R964" s="73"/>
      <c r="S964" s="73"/>
      <c r="T964" s="73"/>
      <c r="U964" s="73"/>
      <c r="V964" s="73"/>
      <c r="W964" s="73"/>
      <c r="X964" s="73"/>
      <c r="Y964" s="73"/>
      <c r="Z964" s="73"/>
      <c r="AA964" s="73"/>
      <c r="AB964" s="73"/>
      <c r="AC964" s="73"/>
      <c r="AD964" s="73"/>
      <c r="AE964" s="73"/>
      <c r="AF964" s="73"/>
    </row>
    <row r="965" spans="1:32" ht="15.75" customHeight="1" x14ac:dyDescent="0.2">
      <c r="A965" s="73"/>
      <c r="B965" s="73"/>
      <c r="C965" s="74"/>
      <c r="D965" s="74"/>
      <c r="E965" s="74"/>
      <c r="F965" s="73"/>
      <c r="G965" s="74"/>
      <c r="H965" s="73"/>
      <c r="I965" s="73"/>
      <c r="J965" s="73"/>
      <c r="K965" s="73"/>
      <c r="L965" s="73"/>
      <c r="M965" s="73"/>
      <c r="N965" s="73"/>
      <c r="O965" s="73"/>
      <c r="P965" s="73"/>
      <c r="Q965" s="73"/>
      <c r="R965" s="73"/>
      <c r="S965" s="73"/>
      <c r="T965" s="73"/>
      <c r="U965" s="73"/>
      <c r="V965" s="73"/>
      <c r="W965" s="73"/>
      <c r="X965" s="73"/>
      <c r="Y965" s="73"/>
      <c r="Z965" s="73"/>
      <c r="AA965" s="73"/>
      <c r="AB965" s="73"/>
      <c r="AC965" s="73"/>
      <c r="AD965" s="73"/>
      <c r="AE965" s="73"/>
      <c r="AF965" s="73"/>
    </row>
    <row r="966" spans="1:32" ht="15.75" customHeight="1" x14ac:dyDescent="0.2">
      <c r="A966" s="73"/>
      <c r="B966" s="73"/>
      <c r="C966" s="74"/>
      <c r="D966" s="74"/>
      <c r="E966" s="74"/>
      <c r="F966" s="73"/>
      <c r="G966" s="74"/>
      <c r="H966" s="73"/>
      <c r="I966" s="73"/>
      <c r="J966" s="73"/>
      <c r="K966" s="73"/>
      <c r="L966" s="73"/>
      <c r="M966" s="73"/>
      <c r="N966" s="73"/>
      <c r="O966" s="73"/>
      <c r="P966" s="73"/>
      <c r="Q966" s="73"/>
      <c r="R966" s="73"/>
      <c r="S966" s="73"/>
      <c r="T966" s="73"/>
      <c r="U966" s="73"/>
      <c r="V966" s="73"/>
      <c r="W966" s="73"/>
      <c r="X966" s="73"/>
      <c r="Y966" s="73"/>
      <c r="Z966" s="73"/>
      <c r="AA966" s="73"/>
      <c r="AB966" s="73"/>
      <c r="AC966" s="73"/>
      <c r="AD966" s="73"/>
      <c r="AE966" s="73"/>
      <c r="AF966" s="73"/>
    </row>
    <row r="967" spans="1:32" ht="15.75" customHeight="1" x14ac:dyDescent="0.2">
      <c r="A967" s="73"/>
      <c r="B967" s="73"/>
      <c r="C967" s="74"/>
      <c r="D967" s="74"/>
      <c r="E967" s="74"/>
      <c r="F967" s="73"/>
      <c r="G967" s="74"/>
      <c r="H967" s="73"/>
      <c r="I967" s="73"/>
      <c r="J967" s="73"/>
      <c r="K967" s="73"/>
      <c r="L967" s="73"/>
      <c r="M967" s="73"/>
      <c r="N967" s="73"/>
      <c r="O967" s="73"/>
      <c r="P967" s="73"/>
      <c r="Q967" s="73"/>
      <c r="R967" s="73"/>
      <c r="S967" s="73"/>
      <c r="T967" s="73"/>
      <c r="U967" s="73"/>
      <c r="V967" s="73"/>
      <c r="W967" s="73"/>
      <c r="X967" s="73"/>
      <c r="Y967" s="73"/>
      <c r="Z967" s="73"/>
      <c r="AA967" s="73"/>
      <c r="AB967" s="73"/>
      <c r="AC967" s="73"/>
      <c r="AD967" s="73"/>
      <c r="AE967" s="73"/>
      <c r="AF967" s="73"/>
    </row>
    <row r="968" spans="1:32" ht="15.75" customHeight="1" x14ac:dyDescent="0.2">
      <c r="A968" s="73"/>
      <c r="B968" s="73"/>
      <c r="C968" s="74"/>
      <c r="D968" s="74"/>
      <c r="E968" s="74"/>
      <c r="F968" s="73"/>
      <c r="G968" s="74"/>
      <c r="H968" s="73"/>
      <c r="I968" s="73"/>
      <c r="J968" s="73"/>
      <c r="K968" s="73"/>
      <c r="L968" s="73"/>
      <c r="M968" s="73"/>
      <c r="N968" s="73"/>
      <c r="O968" s="73"/>
      <c r="P968" s="73"/>
      <c r="Q968" s="73"/>
      <c r="R968" s="73"/>
      <c r="S968" s="73"/>
      <c r="T968" s="73"/>
      <c r="U968" s="73"/>
      <c r="V968" s="73"/>
      <c r="W968" s="73"/>
      <c r="X968" s="73"/>
      <c r="Y968" s="73"/>
      <c r="Z968" s="73"/>
      <c r="AA968" s="73"/>
      <c r="AB968" s="73"/>
      <c r="AC968" s="73"/>
      <c r="AD968" s="73"/>
      <c r="AE968" s="73"/>
      <c r="AF968" s="73"/>
    </row>
    <row r="969" spans="1:32" ht="15.75" customHeight="1" x14ac:dyDescent="0.2">
      <c r="A969" s="73"/>
      <c r="B969" s="73"/>
      <c r="C969" s="74"/>
      <c r="D969" s="74"/>
      <c r="E969" s="74"/>
      <c r="F969" s="73"/>
      <c r="G969" s="74"/>
      <c r="H969" s="73"/>
      <c r="I969" s="73"/>
      <c r="J969" s="73"/>
      <c r="K969" s="73"/>
      <c r="L969" s="73"/>
      <c r="M969" s="73"/>
      <c r="N969" s="73"/>
      <c r="O969" s="73"/>
      <c r="P969" s="73"/>
      <c r="Q969" s="73"/>
      <c r="R969" s="73"/>
      <c r="S969" s="73"/>
      <c r="T969" s="73"/>
      <c r="U969" s="73"/>
      <c r="V969" s="73"/>
      <c r="W969" s="73"/>
      <c r="X969" s="73"/>
      <c r="Y969" s="73"/>
      <c r="Z969" s="73"/>
      <c r="AA969" s="73"/>
      <c r="AB969" s="73"/>
      <c r="AC969" s="73"/>
      <c r="AD969" s="73"/>
      <c r="AE969" s="73"/>
      <c r="AF969" s="73"/>
    </row>
    <row r="970" spans="1:32" ht="15.75" customHeight="1" x14ac:dyDescent="0.2">
      <c r="A970" s="73"/>
      <c r="B970" s="73"/>
      <c r="C970" s="74"/>
      <c r="D970" s="74"/>
      <c r="E970" s="74"/>
      <c r="F970" s="73"/>
      <c r="G970" s="74"/>
      <c r="H970" s="73"/>
      <c r="I970" s="73"/>
      <c r="J970" s="73"/>
      <c r="K970" s="73"/>
      <c r="L970" s="73"/>
      <c r="M970" s="73"/>
      <c r="N970" s="73"/>
      <c r="O970" s="73"/>
      <c r="P970" s="73"/>
      <c r="Q970" s="73"/>
      <c r="R970" s="73"/>
      <c r="S970" s="73"/>
      <c r="T970" s="73"/>
      <c r="U970" s="73"/>
      <c r="V970" s="73"/>
      <c r="W970" s="73"/>
      <c r="X970" s="73"/>
      <c r="Y970" s="73"/>
      <c r="Z970" s="73"/>
      <c r="AA970" s="73"/>
      <c r="AB970" s="73"/>
      <c r="AC970" s="73"/>
      <c r="AD970" s="73"/>
      <c r="AE970" s="73"/>
      <c r="AF970" s="73"/>
    </row>
    <row r="971" spans="1:32" ht="15.75" customHeight="1" x14ac:dyDescent="0.2">
      <c r="A971" s="73"/>
      <c r="B971" s="73"/>
      <c r="C971" s="74"/>
      <c r="D971" s="74"/>
      <c r="E971" s="74"/>
      <c r="F971" s="73"/>
      <c r="G971" s="74"/>
      <c r="H971" s="73"/>
      <c r="I971" s="73"/>
      <c r="J971" s="73"/>
      <c r="K971" s="73"/>
      <c r="L971" s="73"/>
      <c r="M971" s="73"/>
      <c r="N971" s="73"/>
      <c r="O971" s="73"/>
      <c r="P971" s="73"/>
      <c r="Q971" s="73"/>
      <c r="R971" s="73"/>
      <c r="S971" s="73"/>
      <c r="T971" s="73"/>
      <c r="U971" s="73"/>
      <c r="V971" s="73"/>
      <c r="W971" s="73"/>
      <c r="X971" s="73"/>
      <c r="Y971" s="73"/>
      <c r="Z971" s="73"/>
      <c r="AA971" s="73"/>
      <c r="AB971" s="73"/>
      <c r="AC971" s="73"/>
      <c r="AD971" s="73"/>
      <c r="AE971" s="73"/>
      <c r="AF971" s="73"/>
    </row>
    <row r="972" spans="1:32" ht="15.75" customHeight="1" x14ac:dyDescent="0.2">
      <c r="A972" s="73"/>
      <c r="B972" s="73"/>
      <c r="C972" s="74"/>
      <c r="D972" s="74"/>
      <c r="E972" s="74"/>
      <c r="F972" s="73"/>
      <c r="G972" s="74"/>
      <c r="H972" s="73"/>
      <c r="I972" s="73"/>
      <c r="J972" s="73"/>
      <c r="K972" s="73"/>
      <c r="L972" s="73"/>
      <c r="M972" s="73"/>
      <c r="N972" s="73"/>
      <c r="O972" s="73"/>
      <c r="P972" s="73"/>
      <c r="Q972" s="73"/>
      <c r="R972" s="73"/>
      <c r="S972" s="73"/>
      <c r="T972" s="73"/>
      <c r="U972" s="73"/>
      <c r="V972" s="73"/>
      <c r="W972" s="73"/>
      <c r="X972" s="73"/>
      <c r="Y972" s="73"/>
      <c r="Z972" s="73"/>
      <c r="AA972" s="73"/>
      <c r="AB972" s="73"/>
      <c r="AC972" s="73"/>
      <c r="AD972" s="73"/>
      <c r="AE972" s="73"/>
      <c r="AF972" s="73"/>
    </row>
    <row r="973" spans="1:32" ht="15.75" customHeight="1" x14ac:dyDescent="0.2">
      <c r="A973" s="73"/>
      <c r="B973" s="73"/>
      <c r="C973" s="74"/>
      <c r="D973" s="74"/>
      <c r="E973" s="74"/>
      <c r="F973" s="73"/>
      <c r="G973" s="74"/>
      <c r="H973" s="73"/>
      <c r="I973" s="73"/>
      <c r="J973" s="73"/>
      <c r="K973" s="73"/>
      <c r="L973" s="73"/>
      <c r="M973" s="73"/>
      <c r="N973" s="73"/>
      <c r="O973" s="73"/>
      <c r="P973" s="73"/>
      <c r="Q973" s="73"/>
      <c r="R973" s="73"/>
      <c r="S973" s="73"/>
      <c r="T973" s="73"/>
      <c r="U973" s="73"/>
      <c r="V973" s="73"/>
      <c r="W973" s="73"/>
      <c r="X973" s="73"/>
      <c r="Y973" s="73"/>
      <c r="Z973" s="73"/>
      <c r="AA973" s="73"/>
      <c r="AB973" s="73"/>
      <c r="AC973" s="73"/>
      <c r="AD973" s="73"/>
      <c r="AE973" s="73"/>
      <c r="AF973" s="73"/>
    </row>
    <row r="974" spans="1:32" ht="15.75" customHeight="1" x14ac:dyDescent="0.2">
      <c r="A974" s="73"/>
      <c r="B974" s="73"/>
      <c r="C974" s="74"/>
      <c r="D974" s="74"/>
      <c r="E974" s="74"/>
      <c r="F974" s="73"/>
      <c r="G974" s="74"/>
      <c r="H974" s="73"/>
      <c r="I974" s="73"/>
      <c r="J974" s="73"/>
      <c r="K974" s="73"/>
      <c r="L974" s="73"/>
      <c r="M974" s="73"/>
      <c r="N974" s="73"/>
      <c r="O974" s="73"/>
      <c r="P974" s="73"/>
      <c r="Q974" s="73"/>
      <c r="R974" s="73"/>
      <c r="S974" s="73"/>
      <c r="T974" s="73"/>
      <c r="U974" s="73"/>
      <c r="V974" s="73"/>
      <c r="W974" s="73"/>
      <c r="X974" s="73"/>
      <c r="Y974" s="73"/>
      <c r="Z974" s="73"/>
      <c r="AA974" s="73"/>
      <c r="AB974" s="73"/>
      <c r="AC974" s="73"/>
      <c r="AD974" s="73"/>
      <c r="AE974" s="73"/>
      <c r="AF974" s="73"/>
    </row>
    <row r="975" spans="1:32" ht="15.75" customHeight="1" x14ac:dyDescent="0.2">
      <c r="A975" s="73"/>
      <c r="B975" s="73"/>
      <c r="C975" s="74"/>
      <c r="D975" s="74"/>
      <c r="E975" s="74"/>
      <c r="F975" s="73"/>
      <c r="G975" s="74"/>
      <c r="H975" s="73"/>
      <c r="I975" s="73"/>
      <c r="J975" s="73"/>
      <c r="K975" s="73"/>
      <c r="L975" s="73"/>
      <c r="M975" s="73"/>
      <c r="N975" s="73"/>
      <c r="O975" s="73"/>
      <c r="P975" s="73"/>
      <c r="Q975" s="73"/>
      <c r="R975" s="73"/>
      <c r="S975" s="73"/>
      <c r="T975" s="73"/>
      <c r="U975" s="73"/>
      <c r="V975" s="73"/>
      <c r="W975" s="73"/>
      <c r="X975" s="73"/>
      <c r="Y975" s="73"/>
      <c r="Z975" s="73"/>
      <c r="AA975" s="73"/>
      <c r="AB975" s="73"/>
      <c r="AC975" s="73"/>
      <c r="AD975" s="73"/>
      <c r="AE975" s="73"/>
      <c r="AF975" s="73"/>
    </row>
    <row r="976" spans="1:32" ht="15.75" customHeight="1" x14ac:dyDescent="0.2">
      <c r="A976" s="73"/>
      <c r="B976" s="73"/>
      <c r="C976" s="74"/>
      <c r="D976" s="74"/>
      <c r="E976" s="74"/>
      <c r="F976" s="73"/>
      <c r="G976" s="74"/>
      <c r="H976" s="73"/>
      <c r="I976" s="73"/>
      <c r="J976" s="73"/>
      <c r="K976" s="73"/>
      <c r="L976" s="73"/>
      <c r="M976" s="73"/>
      <c r="N976" s="73"/>
      <c r="O976" s="73"/>
      <c r="P976" s="73"/>
      <c r="Q976" s="73"/>
      <c r="R976" s="73"/>
      <c r="S976" s="73"/>
      <c r="T976" s="73"/>
      <c r="U976" s="73"/>
      <c r="V976" s="73"/>
      <c r="W976" s="73"/>
      <c r="X976" s="73"/>
      <c r="Y976" s="73"/>
      <c r="Z976" s="73"/>
      <c r="AA976" s="73"/>
      <c r="AB976" s="73"/>
      <c r="AC976" s="73"/>
      <c r="AD976" s="73"/>
      <c r="AE976" s="73"/>
      <c r="AF976" s="73"/>
    </row>
    <row r="977" spans="1:32" ht="15.75" customHeight="1" x14ac:dyDescent="0.2">
      <c r="A977" s="73"/>
      <c r="B977" s="73"/>
      <c r="C977" s="74"/>
      <c r="D977" s="74"/>
      <c r="E977" s="74"/>
      <c r="F977" s="73"/>
      <c r="G977" s="74"/>
      <c r="H977" s="73"/>
      <c r="I977" s="73"/>
      <c r="J977" s="73"/>
      <c r="K977" s="73"/>
      <c r="L977" s="73"/>
      <c r="M977" s="73"/>
      <c r="N977" s="73"/>
      <c r="O977" s="73"/>
      <c r="P977" s="73"/>
      <c r="Q977" s="73"/>
      <c r="R977" s="73"/>
      <c r="S977" s="73"/>
      <c r="T977" s="73"/>
      <c r="U977" s="73"/>
      <c r="V977" s="73"/>
      <c r="W977" s="73"/>
      <c r="X977" s="73"/>
      <c r="Y977" s="73"/>
      <c r="Z977" s="73"/>
      <c r="AA977" s="73"/>
      <c r="AB977" s="73"/>
      <c r="AC977" s="73"/>
      <c r="AD977" s="73"/>
      <c r="AE977" s="73"/>
      <c r="AF977" s="73"/>
    </row>
    <row r="978" spans="1:32" ht="15.75" customHeight="1" x14ac:dyDescent="0.2">
      <c r="A978" s="73"/>
      <c r="B978" s="73"/>
      <c r="C978" s="74"/>
      <c r="D978" s="74"/>
      <c r="E978" s="74"/>
      <c r="F978" s="73"/>
      <c r="G978" s="74"/>
      <c r="H978" s="73"/>
      <c r="I978" s="73"/>
      <c r="J978" s="73"/>
      <c r="K978" s="73"/>
      <c r="L978" s="73"/>
      <c r="M978" s="73"/>
      <c r="N978" s="73"/>
      <c r="O978" s="73"/>
      <c r="P978" s="73"/>
      <c r="Q978" s="73"/>
      <c r="R978" s="73"/>
      <c r="S978" s="73"/>
      <c r="T978" s="73"/>
      <c r="U978" s="73"/>
      <c r="V978" s="73"/>
      <c r="W978" s="73"/>
      <c r="X978" s="73"/>
      <c r="Y978" s="73"/>
      <c r="Z978" s="73"/>
      <c r="AA978" s="73"/>
      <c r="AB978" s="73"/>
      <c r="AC978" s="73"/>
      <c r="AD978" s="73"/>
      <c r="AE978" s="73"/>
      <c r="AF978" s="73"/>
    </row>
    <row r="979" spans="1:32" ht="15.75" customHeight="1" x14ac:dyDescent="0.2">
      <c r="A979" s="73"/>
      <c r="B979" s="73"/>
      <c r="C979" s="74"/>
      <c r="D979" s="74"/>
      <c r="E979" s="74"/>
      <c r="F979" s="73"/>
      <c r="G979" s="74"/>
      <c r="H979" s="73"/>
      <c r="I979" s="73"/>
      <c r="J979" s="73"/>
      <c r="K979" s="73"/>
      <c r="L979" s="73"/>
      <c r="M979" s="73"/>
      <c r="N979" s="73"/>
      <c r="O979" s="73"/>
      <c r="P979" s="73"/>
      <c r="Q979" s="73"/>
      <c r="R979" s="73"/>
      <c r="S979" s="73"/>
      <c r="T979" s="73"/>
      <c r="U979" s="73"/>
      <c r="V979" s="73"/>
      <c r="W979" s="73"/>
      <c r="X979" s="73"/>
      <c r="Y979" s="73"/>
      <c r="Z979" s="73"/>
      <c r="AA979" s="73"/>
      <c r="AB979" s="73"/>
      <c r="AC979" s="73"/>
      <c r="AD979" s="73"/>
      <c r="AE979" s="73"/>
      <c r="AF979" s="73"/>
    </row>
    <row r="980" spans="1:32" ht="15.75" customHeight="1" x14ac:dyDescent="0.2">
      <c r="A980" s="73"/>
      <c r="B980" s="73"/>
      <c r="C980" s="74"/>
      <c r="D980" s="74"/>
      <c r="E980" s="74"/>
      <c r="F980" s="73"/>
      <c r="G980" s="74"/>
      <c r="H980" s="73"/>
      <c r="I980" s="73"/>
      <c r="J980" s="73"/>
      <c r="K980" s="73"/>
      <c r="L980" s="73"/>
      <c r="M980" s="73"/>
      <c r="N980" s="73"/>
      <c r="O980" s="73"/>
      <c r="P980" s="73"/>
      <c r="Q980" s="73"/>
      <c r="R980" s="73"/>
      <c r="S980" s="73"/>
      <c r="T980" s="73"/>
      <c r="U980" s="73"/>
      <c r="V980" s="73"/>
      <c r="W980" s="73"/>
      <c r="X980" s="73"/>
      <c r="Y980" s="73"/>
      <c r="Z980" s="73"/>
      <c r="AA980" s="73"/>
      <c r="AB980" s="73"/>
      <c r="AC980" s="73"/>
      <c r="AD980" s="73"/>
      <c r="AE980" s="73"/>
      <c r="AF980" s="73"/>
    </row>
    <row r="981" spans="1:32" ht="15.75" customHeight="1" x14ac:dyDescent="0.2">
      <c r="A981" s="73"/>
      <c r="B981" s="73"/>
      <c r="C981" s="74"/>
      <c r="D981" s="74"/>
      <c r="E981" s="74"/>
      <c r="F981" s="73"/>
      <c r="G981" s="74"/>
      <c r="H981" s="73"/>
      <c r="I981" s="73"/>
      <c r="J981" s="73"/>
      <c r="K981" s="73"/>
      <c r="L981" s="73"/>
      <c r="M981" s="73"/>
      <c r="N981" s="73"/>
      <c r="O981" s="73"/>
      <c r="P981" s="73"/>
      <c r="Q981" s="73"/>
      <c r="R981" s="73"/>
      <c r="S981" s="73"/>
      <c r="T981" s="73"/>
      <c r="U981" s="73"/>
      <c r="V981" s="73"/>
      <c r="W981" s="73"/>
      <c r="X981" s="73"/>
      <c r="Y981" s="73"/>
      <c r="Z981" s="73"/>
      <c r="AA981" s="73"/>
      <c r="AB981" s="73"/>
      <c r="AC981" s="73"/>
      <c r="AD981" s="73"/>
      <c r="AE981" s="73"/>
      <c r="AF981" s="73"/>
    </row>
    <row r="982" spans="1:32" ht="15.75" customHeight="1" x14ac:dyDescent="0.2">
      <c r="A982" s="73"/>
      <c r="B982" s="73"/>
      <c r="C982" s="74"/>
      <c r="D982" s="74"/>
      <c r="E982" s="74"/>
      <c r="F982" s="73"/>
      <c r="G982" s="74"/>
      <c r="H982" s="73"/>
      <c r="I982" s="73"/>
      <c r="J982" s="73"/>
      <c r="K982" s="73"/>
      <c r="L982" s="73"/>
      <c r="M982" s="73"/>
      <c r="N982" s="73"/>
      <c r="O982" s="73"/>
      <c r="P982" s="73"/>
      <c r="Q982" s="73"/>
      <c r="R982" s="73"/>
      <c r="S982" s="73"/>
      <c r="T982" s="73"/>
      <c r="U982" s="73"/>
      <c r="V982" s="73"/>
      <c r="W982" s="73"/>
      <c r="X982" s="73"/>
      <c r="Y982" s="73"/>
      <c r="Z982" s="73"/>
      <c r="AA982" s="73"/>
      <c r="AB982" s="73"/>
      <c r="AC982" s="73"/>
      <c r="AD982" s="73"/>
      <c r="AE982" s="73"/>
      <c r="AF982" s="73"/>
    </row>
    <row r="983" spans="1:32" ht="15.75" customHeight="1" x14ac:dyDescent="0.2">
      <c r="A983" s="73"/>
      <c r="B983" s="73"/>
      <c r="C983" s="74"/>
      <c r="D983" s="74"/>
      <c r="E983" s="74"/>
      <c r="F983" s="73"/>
      <c r="G983" s="74"/>
      <c r="H983" s="73"/>
      <c r="I983" s="73"/>
      <c r="J983" s="73"/>
      <c r="K983" s="73"/>
      <c r="L983" s="73"/>
      <c r="M983" s="73"/>
      <c r="N983" s="73"/>
      <c r="O983" s="73"/>
      <c r="P983" s="73"/>
      <c r="Q983" s="73"/>
      <c r="R983" s="73"/>
      <c r="S983" s="73"/>
      <c r="T983" s="73"/>
      <c r="U983" s="73"/>
      <c r="V983" s="73"/>
      <c r="W983" s="73"/>
      <c r="X983" s="73"/>
      <c r="Y983" s="73"/>
      <c r="Z983" s="73"/>
      <c r="AA983" s="73"/>
      <c r="AB983" s="73"/>
      <c r="AC983" s="73"/>
      <c r="AD983" s="73"/>
      <c r="AE983" s="73"/>
      <c r="AF983" s="73"/>
    </row>
    <row r="984" spans="1:32" ht="15.75" customHeight="1" x14ac:dyDescent="0.2">
      <c r="A984" s="73"/>
      <c r="B984" s="73"/>
      <c r="C984" s="74"/>
      <c r="D984" s="74"/>
      <c r="E984" s="74"/>
      <c r="F984" s="73"/>
      <c r="G984" s="74"/>
      <c r="H984" s="73"/>
      <c r="I984" s="73"/>
      <c r="J984" s="73"/>
      <c r="K984" s="73"/>
      <c r="L984" s="73"/>
      <c r="M984" s="73"/>
      <c r="N984" s="73"/>
      <c r="O984" s="73"/>
      <c r="P984" s="73"/>
      <c r="Q984" s="73"/>
      <c r="R984" s="73"/>
      <c r="S984" s="73"/>
      <c r="T984" s="73"/>
      <c r="U984" s="73"/>
      <c r="V984" s="73"/>
      <c r="W984" s="73"/>
      <c r="X984" s="73"/>
      <c r="Y984" s="73"/>
      <c r="Z984" s="73"/>
      <c r="AA984" s="73"/>
      <c r="AB984" s="73"/>
      <c r="AC984" s="73"/>
      <c r="AD984" s="73"/>
      <c r="AE984" s="73"/>
      <c r="AF984" s="73"/>
    </row>
    <row r="985" spans="1:32" ht="15.75" customHeight="1" x14ac:dyDescent="0.2">
      <c r="A985" s="73"/>
      <c r="B985" s="73"/>
      <c r="C985" s="74"/>
      <c r="D985" s="74"/>
      <c r="E985" s="74"/>
      <c r="F985" s="73"/>
      <c r="G985" s="74"/>
      <c r="H985" s="73"/>
      <c r="I985" s="73"/>
      <c r="J985" s="73"/>
      <c r="K985" s="73"/>
      <c r="L985" s="73"/>
      <c r="M985" s="73"/>
      <c r="N985" s="73"/>
      <c r="O985" s="73"/>
      <c r="P985" s="73"/>
      <c r="Q985" s="73"/>
      <c r="R985" s="73"/>
      <c r="S985" s="73"/>
      <c r="T985" s="73"/>
      <c r="U985" s="73"/>
      <c r="V985" s="73"/>
      <c r="W985" s="73"/>
      <c r="X985" s="73"/>
      <c r="Y985" s="73"/>
      <c r="Z985" s="73"/>
      <c r="AA985" s="73"/>
      <c r="AB985" s="73"/>
      <c r="AC985" s="73"/>
      <c r="AD985" s="73"/>
      <c r="AE985" s="73"/>
      <c r="AF985" s="73"/>
    </row>
    <row r="986" spans="1:32" ht="15.75" customHeight="1" x14ac:dyDescent="0.2">
      <c r="A986" s="73"/>
      <c r="B986" s="73"/>
      <c r="C986" s="74"/>
      <c r="D986" s="74"/>
      <c r="E986" s="74"/>
      <c r="F986" s="73"/>
      <c r="G986" s="74"/>
      <c r="H986" s="73"/>
      <c r="I986" s="73"/>
      <c r="J986" s="73"/>
      <c r="K986" s="73"/>
      <c r="L986" s="73"/>
      <c r="M986" s="73"/>
      <c r="N986" s="73"/>
      <c r="O986" s="73"/>
      <c r="P986" s="73"/>
      <c r="Q986" s="73"/>
      <c r="R986" s="73"/>
      <c r="S986" s="73"/>
      <c r="T986" s="73"/>
      <c r="U986" s="73"/>
      <c r="V986" s="73"/>
      <c r="W986" s="73"/>
      <c r="X986" s="73"/>
      <c r="Y986" s="73"/>
      <c r="Z986" s="73"/>
      <c r="AA986" s="73"/>
      <c r="AB986" s="73"/>
      <c r="AC986" s="73"/>
      <c r="AD986" s="73"/>
      <c r="AE986" s="73"/>
      <c r="AF986" s="73"/>
    </row>
    <row r="987" spans="1:32" ht="15.75" customHeight="1" x14ac:dyDescent="0.2">
      <c r="A987" s="73"/>
      <c r="B987" s="73"/>
      <c r="C987" s="74"/>
      <c r="D987" s="74"/>
      <c r="E987" s="74"/>
      <c r="F987" s="73"/>
      <c r="G987" s="74"/>
      <c r="H987" s="73"/>
      <c r="I987" s="73"/>
      <c r="J987" s="73"/>
      <c r="K987" s="73"/>
      <c r="L987" s="73"/>
      <c r="M987" s="73"/>
      <c r="N987" s="73"/>
      <c r="O987" s="73"/>
      <c r="P987" s="73"/>
      <c r="Q987" s="73"/>
      <c r="R987" s="73"/>
      <c r="S987" s="73"/>
      <c r="T987" s="73"/>
      <c r="U987" s="73"/>
      <c r="V987" s="73"/>
      <c r="W987" s="73"/>
      <c r="X987" s="73"/>
      <c r="Y987" s="73"/>
      <c r="Z987" s="73"/>
      <c r="AA987" s="73"/>
      <c r="AB987" s="73"/>
      <c r="AC987" s="73"/>
      <c r="AD987" s="73"/>
      <c r="AE987" s="73"/>
      <c r="AF987" s="73"/>
    </row>
    <row r="988" spans="1:32" ht="15.75" customHeight="1" x14ac:dyDescent="0.2">
      <c r="A988" s="73"/>
      <c r="B988" s="73"/>
      <c r="C988" s="74"/>
      <c r="D988" s="74"/>
      <c r="E988" s="74"/>
      <c r="F988" s="73"/>
      <c r="G988" s="74"/>
      <c r="H988" s="73"/>
      <c r="I988" s="73"/>
      <c r="J988" s="73"/>
      <c r="K988" s="73"/>
      <c r="L988" s="73"/>
      <c r="M988" s="73"/>
      <c r="N988" s="73"/>
      <c r="O988" s="73"/>
      <c r="P988" s="73"/>
      <c r="Q988" s="73"/>
      <c r="R988" s="73"/>
      <c r="S988" s="73"/>
      <c r="T988" s="73"/>
      <c r="U988" s="73"/>
      <c r="V988" s="73"/>
      <c r="W988" s="73"/>
      <c r="X988" s="73"/>
      <c r="Y988" s="73"/>
      <c r="Z988" s="73"/>
      <c r="AA988" s="73"/>
      <c r="AB988" s="73"/>
      <c r="AC988" s="73"/>
      <c r="AD988" s="73"/>
      <c r="AE988" s="73"/>
      <c r="AF988" s="73"/>
    </row>
    <row r="989" spans="1:32" ht="15.75" customHeight="1" x14ac:dyDescent="0.2">
      <c r="A989" s="73"/>
      <c r="B989" s="73"/>
      <c r="C989" s="74"/>
      <c r="D989" s="74"/>
      <c r="E989" s="74"/>
      <c r="F989" s="73"/>
      <c r="G989" s="74"/>
      <c r="H989" s="73"/>
      <c r="I989" s="73"/>
      <c r="J989" s="73"/>
      <c r="K989" s="73"/>
      <c r="L989" s="73"/>
      <c r="M989" s="73"/>
      <c r="N989" s="73"/>
      <c r="O989" s="73"/>
      <c r="P989" s="73"/>
      <c r="Q989" s="73"/>
      <c r="R989" s="73"/>
      <c r="S989" s="73"/>
      <c r="T989" s="73"/>
      <c r="U989" s="73"/>
      <c r="V989" s="73"/>
      <c r="W989" s="73"/>
      <c r="X989" s="73"/>
      <c r="Y989" s="73"/>
      <c r="Z989" s="73"/>
      <c r="AA989" s="73"/>
      <c r="AB989" s="73"/>
      <c r="AC989" s="73"/>
      <c r="AD989" s="73"/>
      <c r="AE989" s="73"/>
      <c r="AF989" s="73"/>
    </row>
    <row r="990" spans="1:32" ht="15.75" customHeight="1" x14ac:dyDescent="0.2">
      <c r="A990" s="73"/>
      <c r="B990" s="73"/>
      <c r="C990" s="74"/>
      <c r="D990" s="74"/>
      <c r="E990" s="74"/>
      <c r="F990" s="73"/>
      <c r="G990" s="74"/>
      <c r="H990" s="73"/>
      <c r="I990" s="73"/>
      <c r="J990" s="73"/>
      <c r="K990" s="73"/>
      <c r="L990" s="73"/>
      <c r="M990" s="73"/>
      <c r="N990" s="73"/>
      <c r="O990" s="73"/>
      <c r="P990" s="73"/>
      <c r="Q990" s="73"/>
      <c r="R990" s="73"/>
      <c r="S990" s="73"/>
      <c r="T990" s="73"/>
      <c r="U990" s="73"/>
      <c r="V990" s="73"/>
      <c r="W990" s="73"/>
      <c r="X990" s="73"/>
      <c r="Y990" s="73"/>
      <c r="Z990" s="73"/>
      <c r="AA990" s="73"/>
      <c r="AB990" s="73"/>
      <c r="AC990" s="73"/>
      <c r="AD990" s="73"/>
      <c r="AE990" s="73"/>
      <c r="AF990" s="73"/>
    </row>
    <row r="991" spans="1:32" ht="15.75" customHeight="1" x14ac:dyDescent="0.2">
      <c r="A991" s="73"/>
      <c r="B991" s="73"/>
      <c r="C991" s="74"/>
      <c r="D991" s="74"/>
      <c r="E991" s="74"/>
      <c r="F991" s="73"/>
      <c r="G991" s="74"/>
      <c r="H991" s="73"/>
      <c r="I991" s="73"/>
      <c r="J991" s="73"/>
      <c r="K991" s="73"/>
      <c r="L991" s="73"/>
      <c r="M991" s="73"/>
      <c r="N991" s="73"/>
      <c r="O991" s="73"/>
      <c r="P991" s="73"/>
      <c r="Q991" s="73"/>
      <c r="R991" s="73"/>
      <c r="S991" s="73"/>
      <c r="T991" s="73"/>
      <c r="U991" s="73"/>
      <c r="V991" s="73"/>
      <c r="W991" s="73"/>
      <c r="X991" s="73"/>
      <c r="Y991" s="73"/>
      <c r="Z991" s="73"/>
      <c r="AA991" s="73"/>
      <c r="AB991" s="73"/>
      <c r="AC991" s="73"/>
      <c r="AD991" s="73"/>
      <c r="AE991" s="73"/>
      <c r="AF991" s="73"/>
    </row>
    <row r="992" spans="1:32" ht="15.75" customHeight="1" x14ac:dyDescent="0.2">
      <c r="A992" s="73"/>
      <c r="B992" s="73"/>
      <c r="C992" s="74"/>
      <c r="D992" s="74"/>
      <c r="E992" s="74"/>
      <c r="F992" s="73"/>
      <c r="G992" s="74"/>
      <c r="H992" s="73"/>
      <c r="I992" s="73"/>
      <c r="J992" s="73"/>
      <c r="K992" s="73"/>
      <c r="L992" s="73"/>
      <c r="M992" s="73"/>
      <c r="N992" s="73"/>
      <c r="O992" s="73"/>
      <c r="P992" s="73"/>
      <c r="Q992" s="73"/>
      <c r="R992" s="73"/>
      <c r="S992" s="73"/>
      <c r="T992" s="73"/>
      <c r="U992" s="73"/>
      <c r="V992" s="73"/>
      <c r="W992" s="73"/>
      <c r="X992" s="73"/>
      <c r="Y992" s="73"/>
      <c r="Z992" s="73"/>
      <c r="AA992" s="73"/>
      <c r="AB992" s="73"/>
      <c r="AC992" s="73"/>
      <c r="AD992" s="73"/>
      <c r="AE992" s="73"/>
      <c r="AF992" s="73"/>
    </row>
    <row r="993" spans="1:32" ht="15.75" customHeight="1" x14ac:dyDescent="0.2">
      <c r="A993" s="73"/>
      <c r="B993" s="73"/>
      <c r="C993" s="74"/>
      <c r="D993" s="74"/>
      <c r="E993" s="74"/>
      <c r="F993" s="73"/>
      <c r="G993" s="74"/>
      <c r="H993" s="73"/>
      <c r="I993" s="73"/>
      <c r="J993" s="73"/>
      <c r="K993" s="73"/>
      <c r="L993" s="73"/>
      <c r="M993" s="73"/>
      <c r="N993" s="73"/>
      <c r="O993" s="73"/>
      <c r="P993" s="73"/>
      <c r="Q993" s="73"/>
      <c r="R993" s="73"/>
      <c r="S993" s="73"/>
      <c r="T993" s="73"/>
      <c r="U993" s="73"/>
      <c r="V993" s="73"/>
      <c r="W993" s="73"/>
      <c r="X993" s="73"/>
      <c r="Y993" s="73"/>
      <c r="Z993" s="73"/>
      <c r="AA993" s="73"/>
      <c r="AB993" s="73"/>
      <c r="AC993" s="73"/>
      <c r="AD993" s="73"/>
      <c r="AE993" s="73"/>
      <c r="AF993" s="73"/>
    </row>
    <row r="994" spans="1:32" ht="15.75" customHeight="1" x14ac:dyDescent="0.2">
      <c r="A994" s="73"/>
      <c r="B994" s="73"/>
      <c r="C994" s="74"/>
      <c r="D994" s="74"/>
      <c r="E994" s="74"/>
      <c r="F994" s="73"/>
      <c r="G994" s="74"/>
      <c r="H994" s="73"/>
      <c r="I994" s="73"/>
      <c r="J994" s="73"/>
      <c r="K994" s="73"/>
      <c r="L994" s="73"/>
      <c r="M994" s="73"/>
      <c r="N994" s="73"/>
      <c r="O994" s="73"/>
      <c r="P994" s="73"/>
      <c r="Q994" s="73"/>
      <c r="R994" s="73"/>
      <c r="S994" s="73"/>
      <c r="T994" s="73"/>
      <c r="U994" s="73"/>
      <c r="V994" s="73"/>
      <c r="W994" s="73"/>
      <c r="X994" s="73"/>
      <c r="Y994" s="73"/>
      <c r="Z994" s="73"/>
      <c r="AA994" s="73"/>
      <c r="AB994" s="73"/>
      <c r="AC994" s="73"/>
      <c r="AD994" s="73"/>
      <c r="AE994" s="73"/>
      <c r="AF994" s="73"/>
    </row>
    <row r="995" spans="1:32" ht="15.75" customHeight="1" x14ac:dyDescent="0.2">
      <c r="A995" s="73"/>
      <c r="B995" s="73"/>
      <c r="C995" s="74"/>
      <c r="D995" s="74"/>
      <c r="E995" s="74"/>
      <c r="F995" s="73"/>
      <c r="G995" s="74"/>
      <c r="H995" s="73"/>
      <c r="I995" s="73"/>
      <c r="J995" s="73"/>
      <c r="K995" s="73"/>
      <c r="L995" s="73"/>
      <c r="M995" s="73"/>
      <c r="N995" s="73"/>
      <c r="O995" s="73"/>
      <c r="P995" s="73"/>
      <c r="Q995" s="73"/>
      <c r="R995" s="73"/>
      <c r="S995" s="73"/>
      <c r="T995" s="73"/>
      <c r="U995" s="73"/>
      <c r="V995" s="73"/>
      <c r="W995" s="73"/>
      <c r="X995" s="73"/>
      <c r="Y995" s="73"/>
      <c r="Z995" s="73"/>
      <c r="AA995" s="73"/>
      <c r="AB995" s="73"/>
      <c r="AC995" s="73"/>
      <c r="AD995" s="73"/>
      <c r="AE995" s="73"/>
      <c r="AF995" s="73"/>
    </row>
    <row r="996" spans="1:32" ht="15.75" customHeight="1" x14ac:dyDescent="0.2">
      <c r="A996" s="73"/>
      <c r="B996" s="73"/>
      <c r="C996" s="74"/>
      <c r="D996" s="74"/>
      <c r="E996" s="74"/>
      <c r="F996" s="73"/>
      <c r="G996" s="74"/>
      <c r="H996" s="73"/>
      <c r="I996" s="73"/>
      <c r="J996" s="73"/>
      <c r="K996" s="73"/>
      <c r="L996" s="73"/>
      <c r="M996" s="73"/>
      <c r="N996" s="73"/>
      <c r="O996" s="73"/>
      <c r="P996" s="73"/>
      <c r="Q996" s="73"/>
      <c r="R996" s="73"/>
      <c r="S996" s="73"/>
      <c r="T996" s="73"/>
      <c r="U996" s="73"/>
      <c r="V996" s="73"/>
      <c r="W996" s="73"/>
      <c r="X996" s="73"/>
      <c r="Y996" s="73"/>
      <c r="Z996" s="73"/>
      <c r="AA996" s="73"/>
      <c r="AB996" s="73"/>
      <c r="AC996" s="73"/>
      <c r="AD996" s="73"/>
      <c r="AE996" s="73"/>
      <c r="AF996" s="73"/>
    </row>
    <row r="997" spans="1:32" ht="15.75" customHeight="1" x14ac:dyDescent="0.2">
      <c r="A997" s="73"/>
      <c r="B997" s="73"/>
      <c r="C997" s="74"/>
      <c r="D997" s="74"/>
      <c r="E997" s="74"/>
      <c r="F997" s="73"/>
      <c r="G997" s="74"/>
      <c r="H997" s="73"/>
      <c r="I997" s="73"/>
      <c r="J997" s="73"/>
      <c r="K997" s="73"/>
      <c r="L997" s="73"/>
      <c r="M997" s="73"/>
      <c r="N997" s="73"/>
      <c r="O997" s="73"/>
      <c r="P997" s="73"/>
      <c r="Q997" s="73"/>
      <c r="R997" s="73"/>
      <c r="S997" s="73"/>
      <c r="T997" s="73"/>
      <c r="U997" s="73"/>
      <c r="V997" s="73"/>
      <c r="W997" s="73"/>
      <c r="X997" s="73"/>
      <c r="Y997" s="73"/>
      <c r="Z997" s="73"/>
      <c r="AA997" s="73"/>
      <c r="AB997" s="73"/>
      <c r="AC997" s="73"/>
      <c r="AD997" s="73"/>
      <c r="AE997" s="73"/>
      <c r="AF997" s="73"/>
    </row>
    <row r="998" spans="1:32" ht="15.75" customHeight="1" x14ac:dyDescent="0.2">
      <c r="A998" s="73"/>
      <c r="B998" s="73"/>
      <c r="C998" s="74"/>
      <c r="D998" s="74"/>
      <c r="E998" s="74"/>
      <c r="F998" s="73"/>
      <c r="G998" s="74"/>
      <c r="H998" s="73"/>
      <c r="I998" s="73"/>
      <c r="J998" s="73"/>
      <c r="K998" s="73"/>
      <c r="L998" s="73"/>
      <c r="M998" s="73"/>
      <c r="N998" s="73"/>
      <c r="O998" s="73"/>
      <c r="P998" s="73"/>
      <c r="Q998" s="73"/>
      <c r="R998" s="73"/>
      <c r="S998" s="73"/>
      <c r="T998" s="73"/>
      <c r="U998" s="73"/>
      <c r="V998" s="73"/>
      <c r="W998" s="73"/>
      <c r="X998" s="73"/>
      <c r="Y998" s="73"/>
      <c r="Z998" s="73"/>
      <c r="AA998" s="73"/>
      <c r="AB998" s="73"/>
      <c r="AC998" s="73"/>
      <c r="AD998" s="73"/>
      <c r="AE998" s="73"/>
      <c r="AF998" s="73"/>
    </row>
    <row r="999" spans="1:32" ht="15.75" customHeight="1" x14ac:dyDescent="0.2">
      <c r="A999" s="73"/>
      <c r="B999" s="73"/>
      <c r="C999" s="74"/>
      <c r="D999" s="74"/>
      <c r="E999" s="74"/>
      <c r="F999" s="73"/>
      <c r="G999" s="74"/>
      <c r="H999" s="73"/>
      <c r="I999" s="73"/>
      <c r="J999" s="73"/>
      <c r="K999" s="73"/>
      <c r="L999" s="73"/>
      <c r="M999" s="73"/>
      <c r="N999" s="73"/>
      <c r="O999" s="73"/>
      <c r="P999" s="73"/>
      <c r="Q999" s="73"/>
      <c r="R999" s="73"/>
      <c r="S999" s="73"/>
      <c r="T999" s="73"/>
      <c r="U999" s="73"/>
      <c r="V999" s="73"/>
      <c r="W999" s="73"/>
      <c r="X999" s="73"/>
      <c r="Y999" s="73"/>
      <c r="Z999" s="73"/>
      <c r="AA999" s="73"/>
      <c r="AB999" s="73"/>
      <c r="AC999" s="73"/>
      <c r="AD999" s="73"/>
      <c r="AE999" s="73"/>
      <c r="AF999" s="73"/>
    </row>
    <row r="1000" spans="1:32" ht="15.75" customHeight="1" x14ac:dyDescent="0.2">
      <c r="A1000" s="73"/>
      <c r="B1000" s="73"/>
      <c r="C1000" s="74"/>
      <c r="D1000" s="74"/>
      <c r="E1000" s="74"/>
      <c r="F1000" s="73"/>
      <c r="G1000" s="74"/>
      <c r="H1000" s="73"/>
      <c r="I1000" s="73"/>
      <c r="J1000" s="73"/>
      <c r="K1000" s="73"/>
      <c r="M1000" s="73"/>
      <c r="N1000" s="73"/>
      <c r="O1000" s="73"/>
      <c r="P1000" s="73"/>
      <c r="Q1000" s="73"/>
      <c r="R1000" s="73"/>
      <c r="S1000" s="73"/>
      <c r="T1000" s="73"/>
      <c r="U1000" s="73"/>
      <c r="V1000" s="73"/>
      <c r="W1000" s="73"/>
      <c r="X1000" s="73"/>
      <c r="Y1000" s="73"/>
      <c r="Z1000" s="73"/>
      <c r="AA1000" s="73"/>
      <c r="AB1000" s="73"/>
      <c r="AC1000" s="73"/>
      <c r="AD1000" s="73"/>
      <c r="AE1000" s="73"/>
      <c r="AF1000" s="73"/>
    </row>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I996"/>
  <sheetViews>
    <sheetView workbookViewId="0">
      <pane ySplit="1" topLeftCell="A2" activePane="bottomLeft" state="frozen"/>
      <selection pane="bottomLeft" activeCell="C8" sqref="C8"/>
    </sheetView>
  </sheetViews>
  <sheetFormatPr baseColWidth="10" defaultColWidth="11.1640625" defaultRowHeight="15" customHeight="1" x14ac:dyDescent="0.2"/>
  <cols>
    <col min="1" max="1" width="16.6640625" customWidth="1"/>
    <col min="2" max="2" width="52.6640625" customWidth="1"/>
    <col min="3" max="4" width="27.6640625" customWidth="1"/>
    <col min="5" max="5" width="19.83203125" customWidth="1"/>
    <col min="6" max="6" width="14.83203125" customWidth="1"/>
    <col min="7" max="7" width="26" customWidth="1"/>
    <col min="8" max="8" width="26.83203125" customWidth="1"/>
    <col min="9" max="9" width="22.83203125" customWidth="1"/>
    <col min="10" max="10" width="27" customWidth="1"/>
    <col min="11" max="11" width="32.83203125" customWidth="1"/>
    <col min="12" max="13" width="32" customWidth="1"/>
    <col min="14" max="14" width="23.83203125" customWidth="1"/>
    <col min="15" max="15" width="21.83203125" customWidth="1"/>
    <col min="16" max="16" width="20.6640625" customWidth="1"/>
    <col min="17" max="17" width="19.5" customWidth="1"/>
    <col min="18" max="18" width="18.83203125" customWidth="1"/>
    <col min="19" max="19" width="19.6640625" customWidth="1"/>
    <col min="20" max="20" width="15.1640625" customWidth="1"/>
    <col min="21" max="21" width="13.5" customWidth="1"/>
    <col min="22" max="22" width="14" customWidth="1"/>
    <col min="23" max="23" width="22.5" customWidth="1"/>
    <col min="24" max="24" width="27.5" customWidth="1"/>
    <col min="25" max="35" width="11" customWidth="1"/>
  </cols>
  <sheetData>
    <row r="1" spans="1:35" ht="60" customHeight="1" x14ac:dyDescent="0.2">
      <c r="A1" s="1" t="s">
        <v>0</v>
      </c>
      <c r="B1" s="1" t="s">
        <v>1</v>
      </c>
      <c r="C1" s="2" t="s">
        <v>805</v>
      </c>
      <c r="D1" s="1" t="s">
        <v>798</v>
      </c>
      <c r="E1" s="2" t="s">
        <v>4</v>
      </c>
      <c r="F1" s="2" t="s">
        <v>5</v>
      </c>
      <c r="G1" s="1" t="s">
        <v>6</v>
      </c>
      <c r="H1" s="1" t="s">
        <v>7</v>
      </c>
      <c r="I1" s="1" t="s">
        <v>8</v>
      </c>
      <c r="J1" s="1" t="s">
        <v>9</v>
      </c>
      <c r="K1" s="1" t="s">
        <v>10</v>
      </c>
      <c r="L1" s="1" t="s">
        <v>11</v>
      </c>
      <c r="M1" s="1" t="s">
        <v>12</v>
      </c>
      <c r="N1" s="1" t="s">
        <v>13</v>
      </c>
      <c r="O1" s="1" t="s">
        <v>14</v>
      </c>
      <c r="P1" s="1" t="s">
        <v>15</v>
      </c>
      <c r="Q1" s="1" t="s">
        <v>16</v>
      </c>
      <c r="R1" s="1" t="s">
        <v>17</v>
      </c>
      <c r="S1" s="1"/>
      <c r="T1" s="1"/>
      <c r="U1" s="1"/>
      <c r="V1" s="1"/>
      <c r="W1" s="1"/>
      <c r="X1" s="1"/>
      <c r="Y1" s="1"/>
      <c r="Z1" s="1"/>
      <c r="AA1" s="1"/>
      <c r="AB1" s="1"/>
      <c r="AC1" s="1"/>
      <c r="AD1" s="1"/>
      <c r="AE1" s="1"/>
      <c r="AF1" s="1"/>
      <c r="AG1" s="1"/>
      <c r="AH1" s="1"/>
      <c r="AI1" s="1"/>
    </row>
    <row r="2" spans="1:35" ht="60" customHeight="1" x14ac:dyDescent="0.2">
      <c r="A2" s="3">
        <v>45561</v>
      </c>
      <c r="B2" s="4" t="s">
        <v>806</v>
      </c>
      <c r="C2" s="4" t="s">
        <v>37</v>
      </c>
      <c r="D2" s="4" t="s">
        <v>807</v>
      </c>
      <c r="E2" s="4" t="s">
        <v>49</v>
      </c>
      <c r="F2" s="4" t="s">
        <v>27</v>
      </c>
      <c r="G2" s="4" t="s">
        <v>808</v>
      </c>
      <c r="H2" s="4" t="s">
        <v>28</v>
      </c>
      <c r="I2" s="4" t="s">
        <v>28</v>
      </c>
      <c r="J2" s="4" t="s">
        <v>262</v>
      </c>
      <c r="K2" s="4" t="s">
        <v>809</v>
      </c>
      <c r="L2" s="4" t="s">
        <v>810</v>
      </c>
      <c r="M2" s="4" t="s">
        <v>811</v>
      </c>
      <c r="N2" s="4" t="s">
        <v>812</v>
      </c>
      <c r="O2" s="4"/>
      <c r="P2" s="7"/>
      <c r="Q2" s="7"/>
      <c r="R2" s="4"/>
      <c r="S2" s="7"/>
      <c r="T2" s="4"/>
      <c r="U2" s="4"/>
      <c r="V2" s="4"/>
      <c r="W2" s="4"/>
      <c r="X2" s="4"/>
      <c r="Y2" s="4"/>
      <c r="Z2" s="4"/>
      <c r="AA2" s="4"/>
      <c r="AB2" s="4"/>
      <c r="AC2" s="4"/>
      <c r="AD2" s="4"/>
      <c r="AE2" s="4"/>
      <c r="AF2" s="4"/>
      <c r="AG2" s="4"/>
      <c r="AH2" s="4"/>
      <c r="AI2" s="4"/>
    </row>
    <row r="3" spans="1:35" ht="60" customHeight="1" x14ac:dyDescent="0.2">
      <c r="A3" s="29">
        <v>45636</v>
      </c>
      <c r="B3" s="4" t="s">
        <v>799</v>
      </c>
      <c r="C3" s="4" t="s">
        <v>61</v>
      </c>
      <c r="D3" s="11"/>
      <c r="E3" s="4" t="s">
        <v>49</v>
      </c>
      <c r="F3" s="4" t="s">
        <v>27</v>
      </c>
      <c r="G3" s="4" t="s">
        <v>800</v>
      </c>
      <c r="H3" s="4" t="s">
        <v>28</v>
      </c>
      <c r="I3" s="4" t="s">
        <v>801</v>
      </c>
      <c r="J3" s="4" t="s">
        <v>96</v>
      </c>
      <c r="K3" s="4" t="s">
        <v>569</v>
      </c>
      <c r="L3" s="4" t="s">
        <v>28</v>
      </c>
      <c r="M3" s="27" t="s">
        <v>802</v>
      </c>
      <c r="N3" s="11"/>
      <c r="O3" s="11"/>
      <c r="P3" s="7" t="s">
        <v>789</v>
      </c>
      <c r="Q3" s="20" t="s">
        <v>803</v>
      </c>
      <c r="R3" s="20" t="s">
        <v>183</v>
      </c>
      <c r="S3" s="10"/>
      <c r="T3" s="4"/>
      <c r="U3" s="4"/>
      <c r="V3" s="4"/>
      <c r="W3" s="4"/>
      <c r="X3" s="4"/>
      <c r="Y3" s="4"/>
      <c r="Z3" s="4"/>
      <c r="AA3" s="4"/>
      <c r="AB3" s="4"/>
      <c r="AC3" s="4"/>
      <c r="AD3" s="4"/>
      <c r="AE3" s="4"/>
      <c r="AF3" s="4"/>
      <c r="AG3" s="4"/>
      <c r="AH3" s="4"/>
      <c r="AI3" s="4"/>
    </row>
    <row r="4" spans="1:35" ht="60" customHeight="1" x14ac:dyDescent="0.2">
      <c r="A4" s="3">
        <v>45483</v>
      </c>
      <c r="B4" s="4" t="s">
        <v>813</v>
      </c>
      <c r="C4" s="4" t="s">
        <v>37</v>
      </c>
      <c r="D4" s="4" t="s">
        <v>814</v>
      </c>
      <c r="E4" s="4" t="s">
        <v>208</v>
      </c>
      <c r="F4" s="4" t="s">
        <v>208</v>
      </c>
      <c r="G4" s="4" t="s">
        <v>815</v>
      </c>
      <c r="H4" s="4" t="s">
        <v>28</v>
      </c>
      <c r="I4" s="5" t="s">
        <v>28</v>
      </c>
      <c r="J4" s="4" t="s">
        <v>804</v>
      </c>
      <c r="K4" s="4" t="s">
        <v>816</v>
      </c>
      <c r="L4" s="4" t="s">
        <v>817</v>
      </c>
      <c r="M4" s="4" t="s">
        <v>811</v>
      </c>
      <c r="N4" s="4"/>
      <c r="O4" s="4"/>
      <c r="P4" s="20" t="s">
        <v>818</v>
      </c>
      <c r="Q4" s="7" t="s">
        <v>819</v>
      </c>
      <c r="R4" s="4"/>
      <c r="S4" s="7"/>
      <c r="T4" s="4"/>
      <c r="U4" s="4"/>
      <c r="V4" s="4"/>
      <c r="W4" s="4"/>
      <c r="X4" s="4"/>
      <c r="Y4" s="4"/>
      <c r="Z4" s="4"/>
      <c r="AA4" s="4"/>
      <c r="AB4" s="4"/>
      <c r="AC4" s="4"/>
      <c r="AD4" s="4"/>
      <c r="AE4" s="4"/>
      <c r="AF4" s="4"/>
      <c r="AG4" s="4"/>
      <c r="AH4" s="4"/>
      <c r="AI4" s="4"/>
    </row>
    <row r="5" spans="1:35" ht="60" customHeight="1" x14ac:dyDescent="0.2">
      <c r="A5" s="3">
        <v>45673</v>
      </c>
      <c r="B5" s="4" t="s">
        <v>820</v>
      </c>
      <c r="C5" s="4" t="s">
        <v>37</v>
      </c>
      <c r="D5" s="4"/>
      <c r="E5" s="4"/>
      <c r="F5" s="4"/>
      <c r="G5" s="4"/>
      <c r="H5" s="5" t="s">
        <v>28</v>
      </c>
      <c r="I5" s="5" t="s">
        <v>28</v>
      </c>
      <c r="J5" s="4" t="s">
        <v>96</v>
      </c>
      <c r="K5" s="4" t="s">
        <v>238</v>
      </c>
      <c r="L5" s="4" t="s">
        <v>821</v>
      </c>
      <c r="M5" s="4"/>
      <c r="N5" s="4"/>
      <c r="O5" s="4"/>
      <c r="P5" s="20" t="s">
        <v>822</v>
      </c>
      <c r="Q5" s="20" t="s">
        <v>823</v>
      </c>
      <c r="R5" s="7"/>
      <c r="S5" s="4"/>
      <c r="T5" s="4"/>
      <c r="U5" s="4"/>
      <c r="V5" s="4"/>
      <c r="W5" s="4"/>
      <c r="X5" s="4"/>
      <c r="Y5" s="4"/>
      <c r="Z5" s="4"/>
      <c r="AA5" s="4"/>
      <c r="AB5" s="4"/>
      <c r="AC5" s="4"/>
      <c r="AD5" s="4"/>
      <c r="AE5" s="4"/>
      <c r="AF5" s="4"/>
      <c r="AG5" s="4"/>
      <c r="AH5" s="4"/>
      <c r="AI5" s="4"/>
    </row>
    <row r="6" spans="1:35" ht="60" customHeight="1" x14ac:dyDescent="0.2">
      <c r="A6" s="3">
        <v>45692</v>
      </c>
      <c r="B6" s="4" t="s">
        <v>824</v>
      </c>
      <c r="C6" s="4"/>
      <c r="D6" s="12"/>
      <c r="E6" s="4"/>
      <c r="F6" s="4"/>
      <c r="G6" s="4"/>
      <c r="H6" s="4"/>
      <c r="I6" s="4"/>
      <c r="J6" s="4"/>
      <c r="K6" s="4"/>
      <c r="L6" s="13"/>
      <c r="M6" s="4" t="s">
        <v>825</v>
      </c>
      <c r="N6" s="4"/>
      <c r="O6" s="4"/>
      <c r="P6" s="20" t="s">
        <v>826</v>
      </c>
      <c r="Q6" s="20" t="s">
        <v>604</v>
      </c>
      <c r="R6" s="20" t="s">
        <v>782</v>
      </c>
      <c r="S6" s="4"/>
      <c r="T6" s="4"/>
      <c r="U6" s="4"/>
      <c r="V6" s="4"/>
      <c r="W6" s="4"/>
      <c r="X6" s="4"/>
      <c r="Y6" s="4"/>
      <c r="Z6" s="4"/>
      <c r="AA6" s="4"/>
      <c r="AB6" s="4"/>
      <c r="AC6" s="4"/>
      <c r="AD6" s="4"/>
      <c r="AE6" s="4"/>
      <c r="AF6" s="4"/>
      <c r="AG6" s="4"/>
      <c r="AH6" s="4"/>
      <c r="AI6" s="4"/>
    </row>
    <row r="7" spans="1:35" ht="60" customHeight="1" x14ac:dyDescent="0.2">
      <c r="A7" s="3"/>
      <c r="B7" s="4"/>
      <c r="C7" s="4"/>
      <c r="D7" s="4"/>
      <c r="E7" s="4"/>
      <c r="F7" s="4"/>
      <c r="G7" s="4"/>
      <c r="H7" s="4"/>
      <c r="I7" s="4"/>
      <c r="J7" s="4"/>
      <c r="K7" s="4"/>
      <c r="L7" s="14"/>
      <c r="M7" s="4"/>
      <c r="N7" s="4"/>
      <c r="O7" s="4"/>
      <c r="P7" s="7"/>
      <c r="Q7" s="10"/>
      <c r="R7" s="4"/>
      <c r="S7" s="4"/>
      <c r="T7" s="4"/>
      <c r="U7" s="4"/>
      <c r="V7" s="4"/>
      <c r="W7" s="4"/>
      <c r="X7" s="4"/>
      <c r="Y7" s="4"/>
      <c r="Z7" s="4"/>
      <c r="AA7" s="4"/>
      <c r="AB7" s="4"/>
      <c r="AC7" s="4"/>
      <c r="AD7" s="4"/>
      <c r="AE7" s="4"/>
      <c r="AF7" s="4"/>
      <c r="AG7" s="4"/>
      <c r="AH7" s="4"/>
      <c r="AI7" s="4"/>
    </row>
    <row r="8" spans="1:35" ht="60" customHeight="1" x14ac:dyDescent="0.2">
      <c r="A8" s="3"/>
      <c r="B8" s="4"/>
      <c r="C8" s="4"/>
      <c r="D8" s="4"/>
      <c r="E8" s="4"/>
      <c r="F8" s="4"/>
      <c r="G8" s="4"/>
      <c r="H8" s="4"/>
      <c r="I8" s="4"/>
      <c r="J8" s="4"/>
      <c r="K8" s="4"/>
      <c r="L8" s="4"/>
      <c r="M8" s="4"/>
      <c r="N8" s="15"/>
      <c r="O8" s="4"/>
      <c r="P8" s="7"/>
      <c r="Q8" s="7"/>
      <c r="R8" s="4"/>
      <c r="S8" s="4"/>
      <c r="T8" s="4"/>
      <c r="U8" s="4"/>
      <c r="V8" s="4"/>
      <c r="W8" s="4"/>
      <c r="X8" s="4"/>
      <c r="Y8" s="4"/>
      <c r="Z8" s="4"/>
      <c r="AA8" s="4"/>
      <c r="AB8" s="4"/>
      <c r="AC8" s="4"/>
      <c r="AD8" s="4"/>
      <c r="AE8" s="4"/>
      <c r="AF8" s="4"/>
      <c r="AG8" s="4"/>
      <c r="AH8" s="4"/>
      <c r="AI8" s="4"/>
    </row>
    <row r="9" spans="1:35" ht="60" customHeight="1" x14ac:dyDescent="0.2">
      <c r="A9" s="3"/>
      <c r="B9" s="4"/>
      <c r="C9" s="4"/>
      <c r="D9" s="4"/>
      <c r="E9" s="4"/>
      <c r="F9" s="4"/>
      <c r="G9" s="4"/>
      <c r="H9" s="4"/>
      <c r="I9" s="4"/>
      <c r="J9" s="4"/>
      <c r="K9" s="4"/>
      <c r="L9" s="4"/>
      <c r="M9" s="4"/>
      <c r="N9" s="16"/>
      <c r="O9" s="11"/>
      <c r="P9" s="7"/>
      <c r="Q9" s="7"/>
      <c r="R9" s="7"/>
      <c r="S9" s="10"/>
      <c r="T9" s="10"/>
      <c r="U9" s="4"/>
      <c r="V9" s="4"/>
      <c r="W9" s="4"/>
      <c r="X9" s="4"/>
      <c r="Y9" s="4"/>
      <c r="Z9" s="4"/>
      <c r="AA9" s="4"/>
      <c r="AB9" s="4"/>
      <c r="AC9" s="4"/>
      <c r="AD9" s="4"/>
      <c r="AE9" s="4"/>
      <c r="AF9" s="4"/>
      <c r="AG9" s="4"/>
      <c r="AH9" s="4"/>
      <c r="AI9" s="4"/>
    </row>
    <row r="10" spans="1:35" ht="60" customHeight="1" x14ac:dyDescent="0.2">
      <c r="A10" s="3"/>
      <c r="B10" s="4"/>
      <c r="C10" s="4"/>
      <c r="D10" s="4"/>
      <c r="E10" s="4"/>
      <c r="F10" s="4"/>
      <c r="G10" s="4"/>
      <c r="H10" s="4"/>
      <c r="I10" s="4"/>
      <c r="J10" s="4"/>
      <c r="K10" s="4"/>
      <c r="L10" s="4"/>
      <c r="M10" s="4"/>
      <c r="N10" s="17"/>
      <c r="O10" s="12"/>
      <c r="P10" s="7"/>
      <c r="Q10" s="7"/>
      <c r="R10" s="4"/>
      <c r="S10" s="4"/>
      <c r="T10" s="4"/>
      <c r="U10" s="4"/>
      <c r="V10" s="4"/>
      <c r="W10" s="4"/>
      <c r="X10" s="4"/>
      <c r="Y10" s="4"/>
      <c r="Z10" s="4"/>
      <c r="AA10" s="4"/>
      <c r="AB10" s="4"/>
      <c r="AC10" s="4"/>
      <c r="AD10" s="4"/>
      <c r="AE10" s="4"/>
      <c r="AF10" s="4"/>
      <c r="AG10" s="4"/>
      <c r="AH10" s="4"/>
      <c r="AI10" s="4"/>
    </row>
    <row r="11" spans="1:35" ht="60" customHeight="1" x14ac:dyDescent="0.2">
      <c r="A11" s="3"/>
      <c r="B11" s="4"/>
      <c r="C11" s="4"/>
      <c r="D11" s="11"/>
      <c r="E11" s="4"/>
      <c r="F11" s="4"/>
      <c r="G11" s="4"/>
      <c r="H11" s="4"/>
      <c r="I11" s="4"/>
      <c r="J11" s="4"/>
      <c r="K11" s="4"/>
      <c r="L11" s="4"/>
      <c r="M11" s="4"/>
      <c r="N11" s="4"/>
      <c r="O11" s="4"/>
      <c r="P11" s="7"/>
      <c r="Q11" s="7"/>
      <c r="R11" s="7"/>
      <c r="S11" s="4"/>
      <c r="T11" s="4"/>
      <c r="U11" s="4"/>
      <c r="V11" s="4"/>
      <c r="W11" s="4"/>
      <c r="X11" s="4"/>
      <c r="Y11" s="4"/>
      <c r="Z11" s="4"/>
      <c r="AA11" s="4"/>
      <c r="AB11" s="4"/>
      <c r="AC11" s="4"/>
      <c r="AD11" s="4"/>
      <c r="AE11" s="4"/>
      <c r="AF11" s="4"/>
      <c r="AG11" s="4"/>
      <c r="AH11" s="4"/>
      <c r="AI11" s="4"/>
    </row>
    <row r="12" spans="1:35" ht="60" customHeight="1" x14ac:dyDescent="0.2">
      <c r="A12" s="3"/>
      <c r="B12" s="4"/>
      <c r="C12" s="4"/>
      <c r="D12" s="4"/>
      <c r="E12" s="4"/>
      <c r="F12" s="4"/>
      <c r="G12" s="4"/>
      <c r="H12" s="4"/>
      <c r="I12" s="4"/>
      <c r="J12" s="4"/>
      <c r="K12" s="4"/>
      <c r="L12" s="4"/>
      <c r="M12" s="4"/>
      <c r="N12" s="4"/>
      <c r="O12" s="4"/>
      <c r="P12" s="7"/>
      <c r="Q12" s="7"/>
      <c r="R12" s="4"/>
      <c r="S12" s="10"/>
      <c r="T12" s="4"/>
      <c r="U12" s="4"/>
      <c r="V12" s="4"/>
      <c r="W12" s="4"/>
      <c r="X12" s="4"/>
      <c r="Y12" s="4"/>
      <c r="Z12" s="4"/>
      <c r="AA12" s="4"/>
      <c r="AB12" s="4"/>
      <c r="AC12" s="4"/>
      <c r="AD12" s="4"/>
      <c r="AE12" s="4"/>
      <c r="AF12" s="4"/>
      <c r="AG12" s="4"/>
      <c r="AH12" s="4"/>
      <c r="AI12" s="4"/>
    </row>
    <row r="13" spans="1:35" ht="60" customHeight="1" x14ac:dyDescent="0.2">
      <c r="A13" s="3"/>
      <c r="B13" s="4"/>
      <c r="C13" s="4"/>
      <c r="D13" s="4"/>
      <c r="E13" s="4"/>
      <c r="F13" s="4"/>
      <c r="G13" s="4"/>
      <c r="H13" s="4"/>
      <c r="I13" s="4"/>
      <c r="J13" s="4"/>
      <c r="K13" s="4"/>
      <c r="L13" s="4"/>
      <c r="M13" s="4"/>
      <c r="N13" s="4"/>
      <c r="O13" s="4"/>
      <c r="P13" s="7"/>
      <c r="Q13" s="7"/>
      <c r="R13" s="4"/>
      <c r="S13" s="7"/>
      <c r="T13" s="4"/>
      <c r="U13" s="4"/>
      <c r="V13" s="4"/>
      <c r="W13" s="4"/>
      <c r="X13" s="4"/>
      <c r="Y13" s="4"/>
      <c r="Z13" s="4"/>
      <c r="AA13" s="4"/>
      <c r="AB13" s="4"/>
      <c r="AC13" s="4"/>
      <c r="AD13" s="4"/>
      <c r="AE13" s="4"/>
      <c r="AF13" s="4"/>
      <c r="AG13" s="4"/>
      <c r="AH13" s="4"/>
      <c r="AI13" s="4"/>
    </row>
    <row r="14" spans="1:35" ht="60" customHeight="1" x14ac:dyDescent="0.2">
      <c r="A14" s="29"/>
      <c r="B14" s="4"/>
      <c r="C14" s="4"/>
      <c r="D14" s="4"/>
      <c r="E14" s="4"/>
      <c r="F14" s="4"/>
      <c r="G14" s="4"/>
      <c r="H14" s="4"/>
      <c r="I14" s="4"/>
      <c r="J14" s="4"/>
      <c r="K14" s="4"/>
      <c r="L14" s="4"/>
      <c r="M14" s="4"/>
      <c r="N14" s="4"/>
      <c r="O14" s="4"/>
      <c r="P14" s="42"/>
      <c r="Q14" s="20"/>
      <c r="R14" s="4"/>
      <c r="S14" s="10"/>
      <c r="T14" s="10"/>
      <c r="U14" s="8"/>
      <c r="V14" s="4"/>
      <c r="W14" s="4"/>
      <c r="X14" s="4"/>
      <c r="Y14" s="4"/>
      <c r="Z14" s="4"/>
      <c r="AA14" s="4"/>
      <c r="AB14" s="4"/>
      <c r="AC14" s="4"/>
      <c r="AD14" s="4"/>
      <c r="AE14" s="4"/>
      <c r="AF14" s="4"/>
      <c r="AG14" s="4"/>
      <c r="AH14" s="4"/>
      <c r="AI14" s="4"/>
    </row>
    <row r="15" spans="1:35" ht="60" customHeight="1" x14ac:dyDescent="0.2">
      <c r="A15" s="29"/>
      <c r="B15" s="4"/>
      <c r="C15" s="4"/>
      <c r="D15" s="4"/>
      <c r="E15" s="4"/>
      <c r="F15" s="4"/>
      <c r="G15" s="4"/>
      <c r="H15" s="4"/>
      <c r="I15" s="4"/>
      <c r="J15" s="4"/>
      <c r="K15" s="4"/>
      <c r="L15" s="4"/>
      <c r="M15" s="4"/>
      <c r="N15" s="4"/>
      <c r="O15" s="4"/>
      <c r="P15" s="20"/>
      <c r="Q15" s="20"/>
      <c r="R15" s="4"/>
      <c r="S15" s="7"/>
      <c r="T15" s="7"/>
      <c r="U15" s="4"/>
      <c r="V15" s="4"/>
      <c r="W15" s="4"/>
      <c r="X15" s="4"/>
      <c r="Y15" s="4"/>
      <c r="Z15" s="4"/>
      <c r="AA15" s="4"/>
      <c r="AB15" s="4"/>
      <c r="AC15" s="4"/>
      <c r="AD15" s="4"/>
      <c r="AE15" s="4"/>
      <c r="AF15" s="4"/>
      <c r="AG15" s="4"/>
      <c r="AH15" s="4"/>
      <c r="AI15" s="4"/>
    </row>
    <row r="16" spans="1:35" ht="60" customHeight="1" x14ac:dyDescent="0.2">
      <c r="A16" s="29"/>
      <c r="B16" s="4"/>
      <c r="C16" s="4"/>
      <c r="D16" s="4"/>
      <c r="E16" s="4"/>
      <c r="F16" s="4"/>
      <c r="G16" s="4"/>
      <c r="H16" s="4"/>
      <c r="I16" s="4"/>
      <c r="J16" s="4"/>
      <c r="K16" s="4"/>
      <c r="L16" s="4"/>
      <c r="M16" s="4"/>
      <c r="N16" s="4"/>
      <c r="O16" s="4"/>
      <c r="P16" s="20"/>
      <c r="Q16" s="4"/>
      <c r="R16" s="4"/>
      <c r="S16" s="19"/>
      <c r="T16" s="19"/>
      <c r="U16" s="19"/>
      <c r="V16" s="19"/>
      <c r="W16" s="4"/>
      <c r="X16" s="4"/>
      <c r="Y16" s="4"/>
      <c r="Z16" s="4"/>
      <c r="AA16" s="4"/>
      <c r="AB16" s="4"/>
      <c r="AC16" s="4"/>
      <c r="AD16" s="4"/>
      <c r="AE16" s="4"/>
      <c r="AF16" s="4"/>
      <c r="AG16" s="4"/>
      <c r="AH16" s="4"/>
      <c r="AI16" s="4"/>
    </row>
    <row r="17" spans="1:35" ht="60" customHeight="1" x14ac:dyDescent="0.2">
      <c r="A17" s="3"/>
      <c r="B17" s="4"/>
      <c r="C17" s="4"/>
      <c r="D17" s="4"/>
      <c r="E17" s="4"/>
      <c r="F17" s="4"/>
      <c r="G17" s="4"/>
      <c r="H17" s="4"/>
      <c r="I17" s="4"/>
      <c r="J17" s="4"/>
      <c r="K17" s="4"/>
      <c r="L17" s="4"/>
      <c r="M17" s="4"/>
      <c r="N17" s="4"/>
      <c r="O17" s="4"/>
      <c r="P17" s="20"/>
      <c r="Q17" s="4"/>
      <c r="R17" s="10"/>
      <c r="S17" s="4"/>
      <c r="T17" s="4"/>
      <c r="U17" s="4"/>
      <c r="V17" s="4"/>
      <c r="W17" s="4"/>
      <c r="X17" s="4"/>
      <c r="Y17" s="4"/>
      <c r="Z17" s="4"/>
      <c r="AA17" s="4"/>
      <c r="AB17" s="4"/>
      <c r="AC17" s="4"/>
      <c r="AD17" s="4"/>
      <c r="AE17" s="4"/>
      <c r="AF17" s="4"/>
      <c r="AG17" s="4"/>
      <c r="AH17" s="4"/>
      <c r="AI17" s="4"/>
    </row>
    <row r="18" spans="1:35" ht="60" customHeight="1" x14ac:dyDescent="0.2">
      <c r="A18" s="3"/>
      <c r="B18" s="4"/>
      <c r="C18" s="4"/>
      <c r="D18" s="4"/>
      <c r="E18" s="4"/>
      <c r="F18" s="4"/>
      <c r="G18" s="4"/>
      <c r="H18" s="4"/>
      <c r="I18" s="4"/>
      <c r="J18" s="4"/>
      <c r="K18" s="4"/>
      <c r="L18" s="4"/>
      <c r="M18" s="4"/>
      <c r="N18" s="4"/>
      <c r="O18" s="4"/>
      <c r="P18" s="20"/>
      <c r="Q18" s="4"/>
      <c r="R18" s="10"/>
      <c r="S18" s="4"/>
      <c r="T18" s="4"/>
      <c r="U18" s="4"/>
      <c r="V18" s="4"/>
      <c r="W18" s="4"/>
      <c r="X18" s="4"/>
      <c r="Y18" s="4"/>
      <c r="Z18" s="4"/>
      <c r="AA18" s="4"/>
      <c r="AB18" s="4"/>
      <c r="AC18" s="4"/>
      <c r="AD18" s="4"/>
      <c r="AE18" s="4"/>
      <c r="AF18" s="4"/>
      <c r="AG18" s="4"/>
      <c r="AH18" s="4"/>
      <c r="AI18" s="4"/>
    </row>
    <row r="19" spans="1:35" ht="60" customHeight="1" x14ac:dyDescent="0.2">
      <c r="A19" s="29"/>
      <c r="B19" s="4"/>
      <c r="C19" s="4"/>
      <c r="D19" s="4"/>
      <c r="E19" s="4"/>
      <c r="F19" s="4"/>
      <c r="G19" s="4"/>
      <c r="H19" s="4"/>
      <c r="I19" s="4"/>
      <c r="J19" s="4"/>
      <c r="K19" s="4"/>
      <c r="L19" s="4"/>
      <c r="M19" s="4"/>
      <c r="N19" s="4"/>
      <c r="O19" s="4"/>
      <c r="P19" s="20"/>
      <c r="Q19" s="10"/>
      <c r="R19" s="10"/>
      <c r="S19" s="4"/>
      <c r="T19" s="4"/>
      <c r="U19" s="4"/>
      <c r="V19" s="4"/>
      <c r="W19" s="4"/>
      <c r="X19" s="4"/>
      <c r="Y19" s="4"/>
      <c r="Z19" s="4"/>
      <c r="AA19" s="4"/>
      <c r="AB19" s="4"/>
      <c r="AC19" s="4"/>
      <c r="AD19" s="4"/>
      <c r="AE19" s="4"/>
      <c r="AF19" s="4"/>
      <c r="AG19" s="4"/>
      <c r="AH19" s="4"/>
      <c r="AI19" s="4"/>
    </row>
    <row r="20" spans="1:35" ht="60" customHeight="1" x14ac:dyDescent="0.2">
      <c r="A20" s="29"/>
      <c r="B20" s="4"/>
      <c r="C20" s="4"/>
      <c r="D20" s="4"/>
      <c r="E20" s="4"/>
      <c r="F20" s="4"/>
      <c r="G20" s="4"/>
      <c r="H20" s="4"/>
      <c r="I20" s="4"/>
      <c r="J20" s="4"/>
      <c r="K20" s="4"/>
      <c r="L20" s="4"/>
      <c r="M20" s="4"/>
      <c r="N20" s="4"/>
      <c r="O20" s="4"/>
      <c r="P20" s="7"/>
      <c r="Q20" s="20"/>
      <c r="R20" s="20"/>
      <c r="S20" s="4"/>
      <c r="T20" s="4"/>
      <c r="U20" s="4"/>
      <c r="V20" s="4"/>
      <c r="W20" s="4"/>
      <c r="X20" s="4"/>
      <c r="Y20" s="4"/>
      <c r="Z20" s="4"/>
      <c r="AA20" s="4"/>
      <c r="AB20" s="4"/>
      <c r="AC20" s="4"/>
      <c r="AD20" s="4"/>
      <c r="AE20" s="4"/>
      <c r="AF20" s="4"/>
      <c r="AG20" s="4"/>
      <c r="AH20" s="4"/>
      <c r="AI20" s="4"/>
    </row>
    <row r="21" spans="1:35" ht="60" customHeight="1" x14ac:dyDescent="0.2">
      <c r="A21" s="3"/>
      <c r="B21" s="4"/>
      <c r="C21" s="4"/>
      <c r="D21" s="4"/>
      <c r="E21" s="4"/>
      <c r="F21" s="4"/>
      <c r="G21" s="4"/>
      <c r="H21" s="4"/>
      <c r="I21" s="4"/>
      <c r="J21" s="4"/>
      <c r="K21" s="4"/>
      <c r="L21" s="4"/>
      <c r="M21" s="4"/>
      <c r="N21" s="4"/>
      <c r="O21" s="4"/>
      <c r="P21" s="4"/>
      <c r="Q21" s="4"/>
      <c r="R21" s="10"/>
      <c r="S21" s="4"/>
      <c r="T21" s="4"/>
      <c r="U21" s="4"/>
      <c r="V21" s="4"/>
      <c r="W21" s="4"/>
      <c r="X21" s="4"/>
      <c r="Y21" s="4"/>
      <c r="Z21" s="4"/>
      <c r="AA21" s="4"/>
      <c r="AB21" s="4"/>
      <c r="AC21" s="4"/>
      <c r="AD21" s="4"/>
      <c r="AE21" s="4"/>
      <c r="AF21" s="4"/>
      <c r="AG21" s="4"/>
      <c r="AH21" s="4"/>
      <c r="AI21" s="4"/>
    </row>
    <row r="22" spans="1:35" ht="60" customHeight="1" x14ac:dyDescent="0.2">
      <c r="A22" s="3"/>
      <c r="B22" s="4"/>
      <c r="C22" s="4"/>
      <c r="D22" s="4"/>
      <c r="E22" s="4"/>
      <c r="F22" s="4"/>
      <c r="G22" s="4"/>
      <c r="H22" s="4"/>
      <c r="I22" s="4"/>
      <c r="J22" s="4"/>
      <c r="K22" s="4"/>
      <c r="L22" s="4"/>
      <c r="M22" s="4"/>
      <c r="N22" s="4"/>
      <c r="O22" s="4"/>
      <c r="P22" s="4"/>
      <c r="Q22" s="4"/>
      <c r="R22" s="7"/>
      <c r="S22" s="4"/>
      <c r="T22" s="4"/>
      <c r="U22" s="4"/>
      <c r="V22" s="4"/>
      <c r="W22" s="4"/>
      <c r="X22" s="4"/>
      <c r="Y22" s="4"/>
      <c r="Z22" s="4"/>
      <c r="AA22" s="4"/>
      <c r="AB22" s="4"/>
      <c r="AC22" s="4"/>
      <c r="AD22" s="4"/>
      <c r="AE22" s="4"/>
      <c r="AF22" s="4"/>
      <c r="AG22" s="4"/>
      <c r="AH22" s="4"/>
      <c r="AI22" s="4"/>
    </row>
    <row r="23" spans="1:35" ht="60" customHeight="1" x14ac:dyDescent="0.2">
      <c r="A23" s="3"/>
      <c r="B23" s="4"/>
      <c r="C23" s="4"/>
      <c r="D23" s="4"/>
      <c r="E23" s="4"/>
      <c r="F23" s="4"/>
      <c r="G23" s="4"/>
      <c r="H23" s="4"/>
      <c r="I23" s="4"/>
      <c r="J23" s="4"/>
      <c r="K23" s="4"/>
      <c r="L23" s="4"/>
      <c r="M23" s="4"/>
      <c r="N23" s="4"/>
      <c r="O23" s="4"/>
      <c r="P23" s="38"/>
      <c r="Q23" s="4"/>
      <c r="R23" s="10"/>
      <c r="S23" s="10"/>
      <c r="T23" s="7"/>
      <c r="U23" s="4"/>
      <c r="V23" s="4"/>
      <c r="W23" s="4"/>
      <c r="X23" s="4"/>
      <c r="Y23" s="4"/>
      <c r="Z23" s="4"/>
      <c r="AA23" s="4"/>
      <c r="AB23" s="4"/>
      <c r="AC23" s="4"/>
      <c r="AD23" s="4"/>
      <c r="AE23" s="4"/>
      <c r="AF23" s="4"/>
      <c r="AG23" s="4"/>
      <c r="AH23" s="4"/>
      <c r="AI23" s="4"/>
    </row>
    <row r="24" spans="1:35" ht="60" customHeight="1" x14ac:dyDescent="0.2">
      <c r="A24" s="3"/>
      <c r="B24" s="4"/>
      <c r="C24" s="4"/>
      <c r="D24" s="4"/>
      <c r="E24" s="4"/>
      <c r="F24" s="4"/>
      <c r="G24" s="4"/>
      <c r="H24" s="4"/>
      <c r="I24" s="4"/>
      <c r="J24" s="4"/>
      <c r="K24" s="4"/>
      <c r="L24" s="4"/>
      <c r="M24" s="4"/>
      <c r="N24" s="4"/>
      <c r="O24" s="4"/>
      <c r="P24" s="4"/>
      <c r="Q24" s="4"/>
      <c r="R24" s="7"/>
      <c r="S24" s="4"/>
      <c r="T24" s="4"/>
      <c r="U24" s="4"/>
      <c r="V24" s="4"/>
      <c r="W24" s="4"/>
      <c r="X24" s="4"/>
      <c r="Y24" s="4"/>
      <c r="Z24" s="4"/>
      <c r="AA24" s="4"/>
      <c r="AB24" s="4"/>
      <c r="AC24" s="4"/>
      <c r="AD24" s="4"/>
      <c r="AE24" s="4"/>
      <c r="AF24" s="4"/>
      <c r="AG24" s="4"/>
      <c r="AH24" s="4"/>
      <c r="AI24" s="4"/>
    </row>
    <row r="25" spans="1:35" ht="60" customHeight="1" x14ac:dyDescent="0.2">
      <c r="A25" s="3"/>
      <c r="B25" s="4"/>
      <c r="C25" s="4"/>
      <c r="D25" s="4"/>
      <c r="E25" s="4"/>
      <c r="F25" s="4"/>
      <c r="G25" s="4"/>
      <c r="H25" s="4"/>
      <c r="I25" s="4"/>
      <c r="J25" s="4"/>
      <c r="K25" s="4"/>
      <c r="L25" s="4"/>
      <c r="M25" s="4"/>
      <c r="N25" s="4"/>
      <c r="O25" s="4"/>
      <c r="P25" s="4"/>
      <c r="Q25" s="4"/>
      <c r="R25" s="7"/>
      <c r="S25" s="10"/>
      <c r="T25" s="10"/>
      <c r="U25" s="8"/>
      <c r="V25" s="4"/>
      <c r="W25" s="4"/>
      <c r="X25" s="4"/>
      <c r="Y25" s="4"/>
      <c r="Z25" s="4"/>
      <c r="AA25" s="4"/>
      <c r="AB25" s="4"/>
      <c r="AC25" s="4"/>
      <c r="AD25" s="4"/>
      <c r="AE25" s="4"/>
      <c r="AF25" s="4"/>
      <c r="AG25" s="4"/>
      <c r="AH25" s="4"/>
      <c r="AI25" s="4"/>
    </row>
    <row r="26" spans="1:35" ht="60" customHeight="1" x14ac:dyDescent="0.2">
      <c r="A26" s="3"/>
      <c r="B26" s="4"/>
      <c r="C26" s="4"/>
      <c r="D26" s="4"/>
      <c r="E26" s="4"/>
      <c r="F26" s="4"/>
      <c r="G26" s="4"/>
      <c r="H26" s="4"/>
      <c r="I26" s="4"/>
      <c r="J26" s="4"/>
      <c r="K26" s="4"/>
      <c r="L26" s="4"/>
      <c r="M26" s="4"/>
      <c r="N26" s="4"/>
      <c r="O26" s="4"/>
      <c r="P26" s="4"/>
      <c r="Q26" s="4"/>
      <c r="R26" s="10"/>
      <c r="S26" s="10"/>
      <c r="T26" s="4"/>
      <c r="U26" s="4"/>
      <c r="V26" s="4"/>
      <c r="W26" s="4"/>
      <c r="X26" s="4"/>
      <c r="Y26" s="4"/>
      <c r="Z26" s="4"/>
      <c r="AA26" s="4"/>
      <c r="AB26" s="4"/>
      <c r="AC26" s="4"/>
      <c r="AD26" s="4"/>
      <c r="AE26" s="4"/>
      <c r="AF26" s="4"/>
      <c r="AG26" s="4"/>
      <c r="AH26" s="4"/>
      <c r="AI26" s="4"/>
    </row>
    <row r="27" spans="1:35" ht="60" customHeight="1" x14ac:dyDescent="0.2">
      <c r="A27" s="3"/>
      <c r="B27" s="4"/>
      <c r="C27" s="4"/>
      <c r="D27" s="4"/>
      <c r="E27" s="4"/>
      <c r="F27" s="4"/>
      <c r="G27" s="4"/>
      <c r="H27" s="4"/>
      <c r="I27" s="4"/>
      <c r="J27" s="4"/>
      <c r="K27" s="4"/>
      <c r="L27" s="4"/>
      <c r="M27" s="4"/>
      <c r="N27" s="4"/>
      <c r="O27" s="4"/>
      <c r="P27" s="4"/>
      <c r="Q27" s="4"/>
      <c r="R27" s="10"/>
      <c r="S27" s="10"/>
      <c r="T27" s="10"/>
      <c r="U27" s="4"/>
      <c r="V27" s="4"/>
      <c r="W27" s="4"/>
      <c r="X27" s="4"/>
      <c r="Y27" s="4"/>
      <c r="Z27" s="4"/>
      <c r="AA27" s="4"/>
      <c r="AB27" s="4"/>
      <c r="AC27" s="4"/>
      <c r="AD27" s="4"/>
      <c r="AE27" s="4"/>
      <c r="AF27" s="4"/>
      <c r="AG27" s="4"/>
      <c r="AH27" s="4"/>
      <c r="AI27" s="4"/>
    </row>
    <row r="28" spans="1:35" ht="60" customHeight="1" x14ac:dyDescent="0.2">
      <c r="A28" s="3"/>
      <c r="B28" s="4"/>
      <c r="C28" s="4"/>
      <c r="D28" s="4"/>
      <c r="E28" s="4"/>
      <c r="F28" s="4"/>
      <c r="G28" s="4"/>
      <c r="H28" s="4"/>
      <c r="I28" s="4"/>
      <c r="J28" s="4"/>
      <c r="K28" s="4"/>
      <c r="L28" s="4"/>
      <c r="M28" s="4"/>
      <c r="N28" s="4"/>
      <c r="O28" s="4"/>
      <c r="P28" s="4"/>
      <c r="Q28" s="4"/>
      <c r="R28" s="10"/>
      <c r="S28" s="4"/>
      <c r="T28" s="4"/>
      <c r="U28" s="4"/>
      <c r="V28" s="4"/>
      <c r="W28" s="4"/>
      <c r="X28" s="4"/>
      <c r="Y28" s="4"/>
      <c r="Z28" s="4"/>
      <c r="AA28" s="4"/>
      <c r="AB28" s="4"/>
      <c r="AC28" s="4"/>
      <c r="AD28" s="4"/>
      <c r="AE28" s="4"/>
      <c r="AF28" s="4"/>
      <c r="AG28" s="4"/>
      <c r="AH28" s="4"/>
      <c r="AI28" s="4"/>
    </row>
    <row r="29" spans="1:35" ht="60" customHeight="1" x14ac:dyDescent="0.2">
      <c r="A29" s="3"/>
      <c r="B29" s="4"/>
      <c r="C29" s="4"/>
      <c r="D29" s="4"/>
      <c r="E29" s="4"/>
      <c r="F29" s="4"/>
      <c r="G29" s="4"/>
      <c r="H29" s="4"/>
      <c r="I29" s="4"/>
      <c r="J29" s="4"/>
      <c r="K29" s="4"/>
      <c r="L29" s="4"/>
      <c r="M29" s="4"/>
      <c r="N29" s="4"/>
      <c r="O29" s="4"/>
      <c r="P29" s="4"/>
      <c r="Q29" s="4"/>
      <c r="R29" s="10"/>
      <c r="S29" s="7"/>
      <c r="T29" s="4"/>
      <c r="U29" s="4"/>
      <c r="V29" s="4"/>
      <c r="W29" s="4"/>
      <c r="X29" s="4"/>
      <c r="Y29" s="4"/>
      <c r="Z29" s="4"/>
      <c r="AA29" s="4"/>
      <c r="AB29" s="4"/>
      <c r="AC29" s="4"/>
      <c r="AD29" s="4"/>
      <c r="AE29" s="4"/>
      <c r="AF29" s="4"/>
      <c r="AG29" s="4"/>
      <c r="AH29" s="4"/>
      <c r="AI29" s="4"/>
    </row>
    <row r="30" spans="1:35" ht="60" customHeight="1" x14ac:dyDescent="0.2">
      <c r="A30" s="3"/>
      <c r="B30" s="4"/>
      <c r="C30" s="4"/>
      <c r="D30" s="4"/>
      <c r="E30" s="4"/>
      <c r="F30" s="4"/>
      <c r="G30" s="4"/>
      <c r="H30" s="4"/>
      <c r="I30" s="4"/>
      <c r="J30" s="4"/>
      <c r="K30" s="4"/>
      <c r="L30" s="4"/>
      <c r="M30" s="4"/>
      <c r="N30" s="4"/>
      <c r="O30" s="4"/>
      <c r="P30" s="10"/>
      <c r="Q30" s="10"/>
      <c r="R30" s="10"/>
      <c r="S30" s="4"/>
      <c r="T30" s="4"/>
      <c r="U30" s="4"/>
      <c r="V30" s="4"/>
      <c r="W30" s="4"/>
      <c r="X30" s="4"/>
      <c r="Y30" s="4"/>
      <c r="Z30" s="4"/>
      <c r="AA30" s="4"/>
      <c r="AB30" s="4"/>
      <c r="AC30" s="4"/>
      <c r="AD30" s="4"/>
      <c r="AE30" s="4"/>
      <c r="AF30" s="4"/>
      <c r="AG30" s="4"/>
      <c r="AH30" s="4"/>
      <c r="AI30" s="4"/>
    </row>
    <row r="31" spans="1:35" ht="60" customHeight="1" x14ac:dyDescent="0.2">
      <c r="A31" s="3"/>
      <c r="B31" s="4"/>
      <c r="C31" s="4"/>
      <c r="D31" s="4"/>
      <c r="E31" s="4"/>
      <c r="F31" s="4"/>
      <c r="G31" s="4"/>
      <c r="H31" s="4"/>
      <c r="I31" s="4"/>
      <c r="J31" s="4"/>
      <c r="K31" s="4"/>
      <c r="L31" s="4"/>
      <c r="M31" s="4"/>
      <c r="N31" s="4"/>
      <c r="O31" s="4"/>
      <c r="P31" s="10"/>
      <c r="Q31" s="4"/>
      <c r="R31" s="10"/>
      <c r="S31" s="4"/>
      <c r="T31" s="4"/>
      <c r="U31" s="4"/>
      <c r="V31" s="4"/>
      <c r="W31" s="4"/>
      <c r="X31" s="4"/>
      <c r="Y31" s="4"/>
      <c r="Z31" s="4"/>
      <c r="AA31" s="4"/>
      <c r="AB31" s="4"/>
      <c r="AC31" s="4"/>
      <c r="AD31" s="4"/>
      <c r="AE31" s="4"/>
      <c r="AF31" s="4"/>
      <c r="AG31" s="4"/>
      <c r="AH31" s="4"/>
      <c r="AI31" s="4"/>
    </row>
    <row r="32" spans="1:35" ht="60" customHeight="1" x14ac:dyDescent="0.2">
      <c r="A32" s="3"/>
      <c r="B32" s="4"/>
      <c r="C32" s="4"/>
      <c r="D32" s="4"/>
      <c r="E32" s="4"/>
      <c r="F32" s="4"/>
      <c r="G32" s="4"/>
      <c r="H32" s="4"/>
      <c r="I32" s="4"/>
      <c r="J32" s="4"/>
      <c r="K32" s="4"/>
      <c r="L32" s="4"/>
      <c r="M32" s="4"/>
      <c r="N32" s="4"/>
      <c r="O32" s="4"/>
      <c r="P32" s="10"/>
      <c r="Q32" s="10"/>
      <c r="R32" s="10"/>
      <c r="S32" s="10"/>
      <c r="T32" s="4"/>
      <c r="U32" s="4"/>
      <c r="V32" s="4"/>
      <c r="W32" s="4"/>
      <c r="X32" s="4"/>
      <c r="Y32" s="4"/>
      <c r="Z32" s="4"/>
      <c r="AA32" s="4"/>
      <c r="AB32" s="4"/>
      <c r="AC32" s="4"/>
      <c r="AD32" s="4"/>
      <c r="AE32" s="4"/>
      <c r="AF32" s="4"/>
      <c r="AG32" s="4"/>
      <c r="AH32" s="4"/>
      <c r="AI32" s="4"/>
    </row>
    <row r="33" spans="1:35" ht="60" customHeight="1" x14ac:dyDescent="0.2">
      <c r="A33" s="3"/>
      <c r="B33" s="4"/>
      <c r="C33" s="4"/>
      <c r="D33" s="4"/>
      <c r="E33" s="4"/>
      <c r="F33" s="4"/>
      <c r="G33" s="4"/>
      <c r="H33" s="4"/>
      <c r="I33" s="4"/>
      <c r="J33" s="4"/>
      <c r="K33" s="4"/>
      <c r="L33" s="4"/>
      <c r="M33" s="4"/>
      <c r="N33" s="4"/>
      <c r="O33" s="4"/>
      <c r="P33" s="10"/>
      <c r="Q33" s="10"/>
      <c r="R33" s="10"/>
      <c r="S33" s="8"/>
      <c r="T33" s="4"/>
      <c r="U33" s="4"/>
      <c r="V33" s="4"/>
      <c r="W33" s="4"/>
      <c r="X33" s="4"/>
      <c r="Y33" s="4"/>
      <c r="Z33" s="4"/>
      <c r="AA33" s="4"/>
      <c r="AB33" s="4"/>
      <c r="AC33" s="4"/>
      <c r="AD33" s="4"/>
      <c r="AE33" s="4"/>
      <c r="AF33" s="4"/>
      <c r="AG33" s="4"/>
      <c r="AH33" s="4"/>
      <c r="AI33" s="4"/>
    </row>
    <row r="34" spans="1:35" ht="60" customHeight="1" x14ac:dyDescent="0.2">
      <c r="A34" s="3"/>
      <c r="B34" s="4"/>
      <c r="C34" s="4"/>
      <c r="D34" s="4"/>
      <c r="E34" s="4"/>
      <c r="F34" s="4"/>
      <c r="G34" s="4"/>
      <c r="H34" s="4"/>
      <c r="I34" s="4"/>
      <c r="J34" s="4"/>
      <c r="K34" s="4"/>
      <c r="L34" s="4"/>
      <c r="M34" s="4"/>
      <c r="N34" s="4"/>
      <c r="O34" s="4"/>
      <c r="P34" s="4"/>
      <c r="Q34" s="4"/>
      <c r="R34" s="10"/>
      <c r="S34" s="4"/>
      <c r="T34" s="4"/>
      <c r="U34" s="4"/>
      <c r="V34" s="4"/>
      <c r="W34" s="4"/>
      <c r="X34" s="4"/>
      <c r="Y34" s="4"/>
      <c r="Z34" s="4"/>
      <c r="AA34" s="4"/>
      <c r="AB34" s="4"/>
      <c r="AC34" s="4"/>
      <c r="AD34" s="4"/>
      <c r="AE34" s="4"/>
      <c r="AF34" s="4"/>
      <c r="AG34" s="4"/>
      <c r="AH34" s="4"/>
      <c r="AI34" s="4"/>
    </row>
    <row r="35" spans="1:35" ht="60" customHeight="1" x14ac:dyDescent="0.2">
      <c r="A35" s="3"/>
      <c r="B35" s="4"/>
      <c r="C35" s="4"/>
      <c r="D35" s="4"/>
      <c r="E35" s="4"/>
      <c r="F35" s="4"/>
      <c r="G35" s="4"/>
      <c r="H35" s="4"/>
      <c r="I35" s="4"/>
      <c r="J35" s="4"/>
      <c r="K35" s="4"/>
      <c r="L35" s="4"/>
      <c r="M35" s="4"/>
      <c r="N35" s="4"/>
      <c r="O35" s="4"/>
      <c r="P35" s="4"/>
      <c r="Q35" s="4"/>
      <c r="R35" s="10"/>
      <c r="S35" s="4"/>
      <c r="T35" s="4"/>
      <c r="U35" s="4"/>
      <c r="V35" s="4"/>
      <c r="W35" s="4"/>
      <c r="X35" s="4"/>
      <c r="Y35" s="4"/>
      <c r="Z35" s="4"/>
      <c r="AA35" s="4"/>
      <c r="AB35" s="4"/>
      <c r="AC35" s="4"/>
      <c r="AD35" s="4"/>
      <c r="AE35" s="4"/>
      <c r="AF35" s="4"/>
      <c r="AG35" s="4"/>
      <c r="AH35" s="4"/>
      <c r="AI35" s="4"/>
    </row>
    <row r="36" spans="1:35" ht="60" customHeight="1" x14ac:dyDescent="0.2">
      <c r="A36" s="3"/>
      <c r="B36" s="4"/>
      <c r="C36" s="4"/>
      <c r="D36" s="4"/>
      <c r="E36" s="4"/>
      <c r="F36" s="4"/>
      <c r="G36" s="4"/>
      <c r="H36" s="4"/>
      <c r="I36" s="4"/>
      <c r="J36" s="4"/>
      <c r="K36" s="4"/>
      <c r="L36" s="4"/>
      <c r="M36" s="4"/>
      <c r="N36" s="4"/>
      <c r="O36" s="4"/>
      <c r="P36" s="4"/>
      <c r="Q36" s="4"/>
      <c r="R36" s="10"/>
      <c r="S36" s="10"/>
      <c r="T36" s="19"/>
      <c r="U36" s="4"/>
      <c r="V36" s="4"/>
      <c r="W36" s="4"/>
      <c r="X36" s="4"/>
      <c r="Y36" s="4"/>
      <c r="Z36" s="4"/>
      <c r="AA36" s="4"/>
      <c r="AB36" s="4"/>
      <c r="AC36" s="4"/>
      <c r="AD36" s="4"/>
      <c r="AE36" s="4"/>
      <c r="AF36" s="4"/>
      <c r="AG36" s="4"/>
      <c r="AH36" s="4"/>
      <c r="AI36" s="4"/>
    </row>
    <row r="37" spans="1:35" ht="60" customHeight="1" x14ac:dyDescent="0.2">
      <c r="A37" s="3"/>
      <c r="B37" s="4"/>
      <c r="C37" s="4"/>
      <c r="D37" s="4"/>
      <c r="E37" s="4"/>
      <c r="F37" s="4"/>
      <c r="G37" s="4"/>
      <c r="H37" s="4"/>
      <c r="I37" s="4"/>
      <c r="J37" s="4"/>
      <c r="K37" s="4"/>
      <c r="L37" s="4"/>
      <c r="M37" s="4"/>
      <c r="N37" s="4"/>
      <c r="O37" s="4"/>
      <c r="P37" s="4"/>
      <c r="Q37" s="4"/>
      <c r="R37" s="10"/>
      <c r="S37" s="4"/>
      <c r="T37" s="4"/>
      <c r="U37" s="4"/>
      <c r="V37" s="4"/>
      <c r="W37" s="4"/>
      <c r="X37" s="4"/>
      <c r="Y37" s="4"/>
      <c r="Z37" s="4"/>
      <c r="AA37" s="4"/>
      <c r="AB37" s="4"/>
      <c r="AC37" s="4"/>
      <c r="AD37" s="4"/>
      <c r="AE37" s="4"/>
      <c r="AF37" s="4"/>
      <c r="AG37" s="4"/>
      <c r="AH37" s="4"/>
      <c r="AI37" s="4"/>
    </row>
    <row r="38" spans="1:35" ht="60" customHeight="1" x14ac:dyDescent="0.2">
      <c r="A38" s="3"/>
      <c r="B38" s="4"/>
      <c r="C38" s="4"/>
      <c r="D38" s="4"/>
      <c r="E38" s="4"/>
      <c r="F38" s="4"/>
      <c r="G38" s="4"/>
      <c r="H38" s="4"/>
      <c r="I38" s="4"/>
      <c r="J38" s="4"/>
      <c r="K38" s="4"/>
      <c r="L38" s="4"/>
      <c r="M38" s="4"/>
      <c r="N38" s="4"/>
      <c r="O38" s="4"/>
      <c r="P38" s="4"/>
      <c r="Q38" s="4"/>
      <c r="R38" s="10"/>
      <c r="S38" s="4"/>
      <c r="T38" s="4"/>
      <c r="U38" s="4"/>
      <c r="V38" s="4"/>
      <c r="W38" s="4"/>
      <c r="X38" s="4"/>
      <c r="Y38" s="4"/>
      <c r="Z38" s="4"/>
      <c r="AA38" s="4"/>
      <c r="AB38" s="4"/>
      <c r="AC38" s="4"/>
      <c r="AD38" s="4"/>
      <c r="AE38" s="4"/>
      <c r="AF38" s="4"/>
      <c r="AG38" s="4"/>
      <c r="AH38" s="4"/>
      <c r="AI38" s="4"/>
    </row>
    <row r="39" spans="1:35" ht="60" customHeight="1" x14ac:dyDescent="0.2">
      <c r="A39" s="3"/>
      <c r="B39" s="4"/>
      <c r="C39" s="4"/>
      <c r="D39" s="4"/>
      <c r="E39" s="4"/>
      <c r="F39" s="4"/>
      <c r="G39" s="4"/>
      <c r="H39" s="4"/>
      <c r="I39" s="4"/>
      <c r="J39" s="4"/>
      <c r="K39" s="4"/>
      <c r="L39" s="4"/>
      <c r="M39" s="4"/>
      <c r="N39" s="4"/>
      <c r="O39" s="4"/>
      <c r="P39" s="4"/>
      <c r="Q39" s="4"/>
      <c r="R39" s="10"/>
      <c r="S39" s="10"/>
      <c r="T39" s="10"/>
      <c r="U39" s="4"/>
      <c r="V39" s="4"/>
      <c r="W39" s="4"/>
      <c r="X39" s="4"/>
      <c r="Y39" s="4"/>
      <c r="Z39" s="4"/>
      <c r="AA39" s="4"/>
      <c r="AB39" s="4"/>
      <c r="AC39" s="4"/>
      <c r="AD39" s="4"/>
      <c r="AE39" s="4"/>
      <c r="AF39" s="4"/>
      <c r="AG39" s="4"/>
      <c r="AH39" s="4"/>
      <c r="AI39" s="4"/>
    </row>
    <row r="40" spans="1:35" ht="60" customHeight="1" x14ac:dyDescent="0.2">
      <c r="A40" s="3"/>
      <c r="B40" s="4"/>
      <c r="C40" s="4"/>
      <c r="D40" s="4"/>
      <c r="E40" s="4"/>
      <c r="F40" s="4"/>
      <c r="G40" s="4"/>
      <c r="H40" s="4"/>
      <c r="I40" s="4"/>
      <c r="J40" s="4"/>
      <c r="K40" s="4"/>
      <c r="L40" s="4"/>
      <c r="M40" s="4"/>
      <c r="N40" s="4"/>
      <c r="O40" s="4"/>
      <c r="P40" s="4"/>
      <c r="Q40" s="4"/>
      <c r="R40" s="10"/>
      <c r="S40" s="10"/>
      <c r="T40" s="10"/>
      <c r="U40" s="10"/>
      <c r="V40" s="4"/>
      <c r="W40" s="4"/>
      <c r="X40" s="4"/>
      <c r="Y40" s="4"/>
      <c r="Z40" s="4"/>
      <c r="AA40" s="4"/>
      <c r="AB40" s="4"/>
      <c r="AC40" s="4"/>
      <c r="AD40" s="4"/>
      <c r="AE40" s="4"/>
      <c r="AF40" s="4"/>
      <c r="AG40" s="4"/>
      <c r="AH40" s="4"/>
      <c r="AI40" s="4"/>
    </row>
    <row r="41" spans="1:35" ht="60" customHeight="1" x14ac:dyDescent="0.2">
      <c r="A41" s="3"/>
      <c r="B41" s="4"/>
      <c r="C41" s="4"/>
      <c r="D41" s="4"/>
      <c r="E41" s="4"/>
      <c r="F41" s="4"/>
      <c r="G41" s="4"/>
      <c r="H41" s="4"/>
      <c r="I41" s="4"/>
      <c r="J41" s="4"/>
      <c r="K41" s="4"/>
      <c r="L41" s="4"/>
      <c r="M41" s="4"/>
      <c r="N41" s="4"/>
      <c r="O41" s="4"/>
      <c r="P41" s="4"/>
      <c r="Q41" s="4"/>
      <c r="R41" s="10"/>
      <c r="S41" s="10"/>
      <c r="T41" s="4"/>
      <c r="U41" s="4"/>
      <c r="V41" s="4"/>
      <c r="W41" s="4"/>
      <c r="X41" s="4"/>
      <c r="Y41" s="4"/>
      <c r="Z41" s="4"/>
      <c r="AA41" s="4"/>
      <c r="AB41" s="4"/>
      <c r="AC41" s="4"/>
      <c r="AD41" s="4"/>
      <c r="AE41" s="4"/>
      <c r="AF41" s="4"/>
      <c r="AG41" s="4"/>
      <c r="AH41" s="4"/>
      <c r="AI41" s="4"/>
    </row>
    <row r="42" spans="1:35" ht="60" customHeight="1" x14ac:dyDescent="0.2">
      <c r="A42" s="3"/>
      <c r="B42" s="4"/>
      <c r="C42" s="4"/>
      <c r="D42" s="4"/>
      <c r="E42" s="4"/>
      <c r="F42" s="4"/>
      <c r="G42" s="4"/>
      <c r="H42" s="4"/>
      <c r="I42" s="4"/>
      <c r="J42" s="4"/>
      <c r="K42" s="4"/>
      <c r="L42" s="4"/>
      <c r="M42" s="4"/>
      <c r="N42" s="4"/>
      <c r="O42" s="4"/>
      <c r="P42" s="4"/>
      <c r="Q42" s="4"/>
      <c r="R42" s="7"/>
      <c r="S42" s="4"/>
      <c r="T42" s="4"/>
      <c r="U42" s="4"/>
      <c r="V42" s="4"/>
      <c r="W42" s="4"/>
      <c r="X42" s="4"/>
      <c r="Y42" s="4"/>
      <c r="Z42" s="4"/>
      <c r="AA42" s="4"/>
      <c r="AB42" s="4"/>
      <c r="AC42" s="4"/>
      <c r="AD42" s="4"/>
      <c r="AE42" s="4"/>
      <c r="AF42" s="4"/>
      <c r="AG42" s="4"/>
      <c r="AH42" s="4"/>
      <c r="AI42" s="4"/>
    </row>
    <row r="43" spans="1:35" ht="60" customHeight="1" x14ac:dyDescent="0.2">
      <c r="A43" s="3"/>
      <c r="B43" s="4"/>
      <c r="C43" s="4"/>
      <c r="D43" s="4"/>
      <c r="E43" s="4"/>
      <c r="F43" s="4"/>
      <c r="G43" s="4"/>
      <c r="H43" s="4"/>
      <c r="I43" s="4"/>
      <c r="J43" s="4"/>
      <c r="K43" s="4"/>
      <c r="L43" s="4"/>
      <c r="M43" s="4"/>
      <c r="N43" s="4"/>
      <c r="O43" s="4"/>
      <c r="P43" s="4"/>
      <c r="Q43" s="4"/>
      <c r="R43" s="10"/>
      <c r="S43" s="4"/>
      <c r="T43" s="4"/>
      <c r="U43" s="4"/>
      <c r="V43" s="4"/>
      <c r="W43" s="4"/>
      <c r="X43" s="4"/>
      <c r="Y43" s="4"/>
      <c r="Z43" s="4"/>
      <c r="AA43" s="4"/>
      <c r="AB43" s="4"/>
      <c r="AC43" s="4"/>
      <c r="AD43" s="4"/>
      <c r="AE43" s="4"/>
      <c r="AF43" s="4"/>
      <c r="AG43" s="4"/>
      <c r="AH43" s="4"/>
      <c r="AI43" s="4"/>
    </row>
    <row r="44" spans="1:35" ht="60" customHeight="1" x14ac:dyDescent="0.2">
      <c r="A44" s="3"/>
      <c r="B44" s="4"/>
      <c r="C44" s="4"/>
      <c r="D44" s="4"/>
      <c r="E44" s="4"/>
      <c r="F44" s="4"/>
      <c r="G44" s="4"/>
      <c r="H44" s="4"/>
      <c r="I44" s="4"/>
      <c r="J44" s="4"/>
      <c r="K44" s="4"/>
      <c r="L44" s="4"/>
      <c r="M44" s="4"/>
      <c r="N44" s="4"/>
      <c r="O44" s="4"/>
      <c r="P44" s="4"/>
      <c r="Q44" s="4"/>
      <c r="R44" s="10"/>
      <c r="S44" s="10"/>
      <c r="T44" s="4"/>
      <c r="U44" s="4"/>
      <c r="V44" s="4"/>
      <c r="W44" s="4"/>
      <c r="X44" s="4"/>
      <c r="Y44" s="4"/>
      <c r="Z44" s="4"/>
      <c r="AA44" s="4"/>
      <c r="AB44" s="4"/>
      <c r="AC44" s="4"/>
      <c r="AD44" s="4"/>
      <c r="AE44" s="4"/>
      <c r="AF44" s="4"/>
      <c r="AG44" s="4"/>
      <c r="AH44" s="4"/>
      <c r="AI44" s="4"/>
    </row>
    <row r="45" spans="1:35" ht="60" customHeight="1" x14ac:dyDescent="0.2">
      <c r="A45" s="3"/>
      <c r="B45" s="4"/>
      <c r="C45" s="4"/>
      <c r="D45" s="4"/>
      <c r="E45" s="4"/>
      <c r="F45" s="4"/>
      <c r="G45" s="4"/>
      <c r="H45" s="4"/>
      <c r="I45" s="4"/>
      <c r="J45" s="4"/>
      <c r="K45" s="4"/>
      <c r="L45" s="4"/>
      <c r="M45" s="4"/>
      <c r="N45" s="4"/>
      <c r="O45" s="4"/>
      <c r="P45" s="4"/>
      <c r="Q45" s="4"/>
      <c r="R45" s="10"/>
      <c r="S45" s="10"/>
      <c r="T45" s="4"/>
      <c r="U45" s="4"/>
      <c r="V45" s="4"/>
      <c r="W45" s="4"/>
      <c r="X45" s="4"/>
      <c r="Y45" s="4"/>
      <c r="Z45" s="4"/>
      <c r="AA45" s="4"/>
      <c r="AB45" s="4"/>
      <c r="AC45" s="4"/>
      <c r="AD45" s="4"/>
      <c r="AE45" s="4"/>
      <c r="AF45" s="4"/>
      <c r="AG45" s="4"/>
      <c r="AH45" s="4"/>
      <c r="AI45" s="4"/>
    </row>
    <row r="46" spans="1:35" ht="60" customHeight="1" x14ac:dyDescent="0.2">
      <c r="A46" s="3"/>
      <c r="B46" s="4"/>
      <c r="C46" s="4"/>
      <c r="D46" s="4"/>
      <c r="E46" s="4"/>
      <c r="F46" s="4"/>
      <c r="G46" s="4"/>
      <c r="H46" s="4"/>
      <c r="I46" s="4"/>
      <c r="J46" s="4"/>
      <c r="K46" s="4"/>
      <c r="L46" s="4"/>
      <c r="M46" s="4"/>
      <c r="N46" s="4"/>
      <c r="O46" s="4"/>
      <c r="P46" s="4"/>
      <c r="Q46" s="4"/>
      <c r="R46" s="10"/>
      <c r="S46" s="4"/>
      <c r="T46" s="4"/>
      <c r="U46" s="4"/>
      <c r="V46" s="4"/>
      <c r="W46" s="4"/>
      <c r="X46" s="4"/>
      <c r="Y46" s="4"/>
      <c r="Z46" s="4"/>
      <c r="AA46" s="4"/>
      <c r="AB46" s="4"/>
      <c r="AC46" s="4"/>
      <c r="AD46" s="4"/>
      <c r="AE46" s="4"/>
      <c r="AF46" s="4"/>
      <c r="AG46" s="4"/>
      <c r="AH46" s="4"/>
      <c r="AI46" s="4"/>
    </row>
    <row r="47" spans="1:35" ht="60" customHeight="1" x14ac:dyDescent="0.2">
      <c r="A47" s="3"/>
      <c r="B47" s="4"/>
      <c r="C47" s="4"/>
      <c r="D47" s="4"/>
      <c r="E47" s="4"/>
      <c r="F47" s="4"/>
      <c r="G47" s="4"/>
      <c r="H47" s="4"/>
      <c r="I47" s="4"/>
      <c r="J47" s="4"/>
      <c r="K47" s="4"/>
      <c r="L47" s="4"/>
      <c r="M47" s="4"/>
      <c r="N47" s="4"/>
      <c r="O47" s="4"/>
      <c r="P47" s="4"/>
      <c r="Q47" s="4"/>
      <c r="R47" s="10"/>
      <c r="S47" s="10"/>
      <c r="T47" s="4"/>
      <c r="U47" s="4"/>
      <c r="V47" s="4"/>
      <c r="W47" s="4"/>
      <c r="X47" s="4"/>
      <c r="Y47" s="4"/>
      <c r="Z47" s="4"/>
      <c r="AA47" s="4"/>
      <c r="AB47" s="4"/>
      <c r="AC47" s="4"/>
      <c r="AD47" s="4"/>
      <c r="AE47" s="4"/>
      <c r="AF47" s="4"/>
      <c r="AG47" s="4"/>
      <c r="AH47" s="4"/>
      <c r="AI47" s="4"/>
    </row>
    <row r="48" spans="1:35" ht="60" customHeight="1" x14ac:dyDescent="0.2">
      <c r="A48" s="3"/>
      <c r="B48" s="4"/>
      <c r="C48" s="4"/>
      <c r="D48" s="4"/>
      <c r="E48" s="4"/>
      <c r="F48" s="4"/>
      <c r="G48" s="4"/>
      <c r="H48" s="4"/>
      <c r="I48" s="4"/>
      <c r="J48" s="4"/>
      <c r="K48" s="4"/>
      <c r="L48" s="4"/>
      <c r="M48" s="4"/>
      <c r="N48" s="4"/>
      <c r="O48" s="4"/>
      <c r="P48" s="4"/>
      <c r="Q48" s="4"/>
      <c r="R48" s="7"/>
      <c r="S48" s="7"/>
      <c r="T48" s="4"/>
      <c r="U48" s="4"/>
      <c r="V48" s="4"/>
      <c r="W48" s="4"/>
      <c r="X48" s="4"/>
      <c r="Y48" s="4"/>
      <c r="Z48" s="4"/>
      <c r="AA48" s="4"/>
      <c r="AB48" s="4"/>
      <c r="AC48" s="4"/>
      <c r="AD48" s="4"/>
      <c r="AE48" s="4"/>
      <c r="AF48" s="4"/>
      <c r="AG48" s="4"/>
      <c r="AH48" s="4"/>
      <c r="AI48" s="4"/>
    </row>
    <row r="49" spans="1:35" ht="60" customHeight="1" x14ac:dyDescent="0.2">
      <c r="A49" s="3"/>
      <c r="B49" s="4"/>
      <c r="C49" s="4"/>
      <c r="D49" s="4"/>
      <c r="E49" s="4"/>
      <c r="F49" s="4"/>
      <c r="G49" s="4"/>
      <c r="H49" s="4"/>
      <c r="I49" s="4"/>
      <c r="J49" s="4"/>
      <c r="K49" s="4"/>
      <c r="L49" s="4"/>
      <c r="M49" s="4"/>
      <c r="N49" s="4"/>
      <c r="O49" s="4"/>
      <c r="P49" s="4"/>
      <c r="Q49" s="4"/>
      <c r="R49" s="10"/>
      <c r="S49" s="4"/>
      <c r="T49" s="4"/>
      <c r="U49" s="4"/>
      <c r="V49" s="4"/>
      <c r="W49" s="4"/>
      <c r="X49" s="4"/>
      <c r="Y49" s="4"/>
      <c r="Z49" s="4"/>
      <c r="AA49" s="4"/>
      <c r="AB49" s="4"/>
      <c r="AC49" s="4"/>
      <c r="AD49" s="4"/>
      <c r="AE49" s="4"/>
      <c r="AF49" s="4"/>
      <c r="AG49" s="4"/>
      <c r="AH49" s="4"/>
      <c r="AI49" s="4"/>
    </row>
    <row r="50" spans="1:35" ht="60" customHeight="1" x14ac:dyDescent="0.2">
      <c r="A50" s="3"/>
      <c r="B50" s="4"/>
      <c r="C50" s="4"/>
      <c r="D50" s="4"/>
      <c r="E50" s="4"/>
      <c r="F50" s="4"/>
      <c r="G50" s="4"/>
      <c r="H50" s="4"/>
      <c r="I50" s="4"/>
      <c r="J50" s="4"/>
      <c r="K50" s="4"/>
      <c r="L50" s="4"/>
      <c r="M50" s="4"/>
      <c r="N50" s="4"/>
      <c r="O50" s="4"/>
      <c r="P50" s="4"/>
      <c r="Q50" s="4"/>
      <c r="R50" s="7"/>
      <c r="S50" s="4"/>
      <c r="T50" s="4"/>
      <c r="U50" s="4"/>
      <c r="V50" s="4"/>
      <c r="W50" s="4"/>
      <c r="X50" s="4"/>
      <c r="Y50" s="4"/>
      <c r="Z50" s="4"/>
      <c r="AA50" s="4"/>
      <c r="AB50" s="4"/>
      <c r="AC50" s="4"/>
      <c r="AD50" s="4"/>
      <c r="AE50" s="4"/>
      <c r="AF50" s="4"/>
      <c r="AG50" s="4"/>
      <c r="AH50" s="4"/>
      <c r="AI50" s="4"/>
    </row>
    <row r="51" spans="1:35" ht="60" customHeight="1" x14ac:dyDescent="0.2">
      <c r="A51" s="3"/>
      <c r="B51" s="4"/>
      <c r="C51" s="4"/>
      <c r="D51" s="4"/>
      <c r="E51" s="4"/>
      <c r="F51" s="4"/>
      <c r="G51" s="4"/>
      <c r="H51" s="4"/>
      <c r="I51" s="4"/>
      <c r="J51" s="4"/>
      <c r="K51" s="4"/>
      <c r="L51" s="4"/>
      <c r="M51" s="4"/>
      <c r="N51" s="4"/>
      <c r="O51" s="4"/>
      <c r="P51" s="4"/>
      <c r="Q51" s="4"/>
      <c r="R51" s="7"/>
      <c r="S51" s="4"/>
      <c r="T51" s="4"/>
      <c r="U51" s="4"/>
      <c r="V51" s="4"/>
      <c r="W51" s="4"/>
      <c r="X51" s="4"/>
      <c r="Y51" s="4"/>
      <c r="Z51" s="4"/>
      <c r="AA51" s="4"/>
      <c r="AB51" s="4"/>
      <c r="AC51" s="4"/>
      <c r="AD51" s="4"/>
      <c r="AE51" s="4"/>
      <c r="AF51" s="4"/>
      <c r="AG51" s="4"/>
      <c r="AH51" s="4"/>
      <c r="AI51" s="4"/>
    </row>
    <row r="52" spans="1:35" ht="60" customHeight="1" x14ac:dyDescent="0.2">
      <c r="A52" s="3"/>
      <c r="B52" s="4"/>
      <c r="C52" s="4"/>
      <c r="D52" s="4"/>
      <c r="E52" s="4"/>
      <c r="F52" s="4"/>
      <c r="G52" s="4"/>
      <c r="H52" s="4"/>
      <c r="I52" s="4"/>
      <c r="J52" s="4"/>
      <c r="K52" s="4"/>
      <c r="L52" s="4"/>
      <c r="M52" s="4"/>
      <c r="N52" s="4"/>
      <c r="O52" s="4"/>
      <c r="P52" s="4"/>
      <c r="Q52" s="4"/>
      <c r="R52" s="10"/>
      <c r="S52" s="4"/>
      <c r="T52" s="4"/>
      <c r="U52" s="4"/>
      <c r="V52" s="4"/>
      <c r="W52" s="4"/>
      <c r="X52" s="4"/>
      <c r="Y52" s="4"/>
      <c r="Z52" s="4"/>
      <c r="AA52" s="4"/>
      <c r="AB52" s="4"/>
      <c r="AC52" s="4"/>
      <c r="AD52" s="4"/>
      <c r="AE52" s="4"/>
      <c r="AF52" s="4"/>
      <c r="AG52" s="4"/>
      <c r="AH52" s="4"/>
      <c r="AI52" s="4"/>
    </row>
    <row r="53" spans="1:35" ht="60" customHeight="1" x14ac:dyDescent="0.2">
      <c r="A53" s="3"/>
      <c r="B53" s="4"/>
      <c r="C53" s="4"/>
      <c r="D53" s="4"/>
      <c r="E53" s="4"/>
      <c r="F53" s="4"/>
      <c r="G53" s="4"/>
      <c r="H53" s="4"/>
      <c r="I53" s="4"/>
      <c r="J53" s="4"/>
      <c r="K53" s="4"/>
      <c r="L53" s="4"/>
      <c r="M53" s="4"/>
      <c r="N53" s="4"/>
      <c r="O53" s="4"/>
      <c r="P53" s="38"/>
      <c r="Q53" s="4"/>
      <c r="R53" s="10"/>
      <c r="S53" s="10"/>
      <c r="T53" s="4"/>
      <c r="U53" s="4"/>
      <c r="V53" s="4"/>
      <c r="W53" s="4"/>
      <c r="X53" s="4"/>
      <c r="Y53" s="4"/>
      <c r="Z53" s="4"/>
      <c r="AA53" s="4"/>
      <c r="AB53" s="4"/>
      <c r="AC53" s="4"/>
      <c r="AD53" s="4"/>
      <c r="AE53" s="4"/>
      <c r="AF53" s="4"/>
      <c r="AG53" s="4"/>
      <c r="AH53" s="4"/>
      <c r="AI53" s="4"/>
    </row>
    <row r="54" spans="1:35" ht="60" customHeight="1" x14ac:dyDescent="0.2">
      <c r="A54" s="3"/>
      <c r="B54" s="4"/>
      <c r="C54" s="4"/>
      <c r="D54" s="4"/>
      <c r="E54" s="4"/>
      <c r="F54" s="4"/>
      <c r="G54" s="4"/>
      <c r="H54" s="4"/>
      <c r="I54" s="4"/>
      <c r="J54" s="4"/>
      <c r="K54" s="4"/>
      <c r="L54" s="4"/>
      <c r="M54" s="4"/>
      <c r="N54" s="4"/>
      <c r="O54" s="4"/>
      <c r="P54" s="38"/>
      <c r="Q54" s="4"/>
      <c r="R54" s="7"/>
      <c r="S54" s="7"/>
      <c r="T54" s="4"/>
      <c r="U54" s="4"/>
      <c r="V54" s="4"/>
      <c r="W54" s="4"/>
      <c r="X54" s="4"/>
      <c r="Y54" s="4"/>
      <c r="Z54" s="4"/>
      <c r="AA54" s="4"/>
      <c r="AB54" s="4"/>
      <c r="AC54" s="4"/>
      <c r="AD54" s="4"/>
      <c r="AE54" s="4"/>
      <c r="AF54" s="4"/>
      <c r="AG54" s="4"/>
      <c r="AH54" s="4"/>
      <c r="AI54" s="4"/>
    </row>
    <row r="55" spans="1:35" ht="60" customHeight="1" x14ac:dyDescent="0.2">
      <c r="A55" s="3"/>
      <c r="B55" s="4"/>
      <c r="C55" s="4"/>
      <c r="D55" s="4"/>
      <c r="E55" s="4"/>
      <c r="F55" s="4"/>
      <c r="G55" s="4"/>
      <c r="H55" s="4"/>
      <c r="I55" s="4"/>
      <c r="J55" s="4"/>
      <c r="K55" s="4"/>
      <c r="L55" s="4"/>
      <c r="M55" s="4"/>
      <c r="N55" s="4"/>
      <c r="O55" s="4"/>
      <c r="P55" s="4"/>
      <c r="Q55" s="4"/>
      <c r="R55" s="7"/>
      <c r="S55" s="4"/>
      <c r="T55" s="4"/>
      <c r="U55" s="4"/>
      <c r="V55" s="4"/>
      <c r="W55" s="4"/>
      <c r="X55" s="4"/>
      <c r="Y55" s="4"/>
      <c r="Z55" s="4"/>
      <c r="AA55" s="4"/>
      <c r="AB55" s="4"/>
      <c r="AC55" s="4"/>
      <c r="AD55" s="4"/>
      <c r="AE55" s="4"/>
      <c r="AF55" s="4"/>
      <c r="AG55" s="4"/>
      <c r="AH55" s="4"/>
      <c r="AI55" s="4"/>
    </row>
    <row r="56" spans="1:35" ht="60" customHeight="1" x14ac:dyDescent="0.2">
      <c r="A56" s="3"/>
      <c r="B56" s="4"/>
      <c r="C56" s="4"/>
      <c r="D56" s="4"/>
      <c r="E56" s="4"/>
      <c r="F56" s="4"/>
      <c r="G56" s="4"/>
      <c r="H56" s="4"/>
      <c r="I56" s="4"/>
      <c r="J56" s="4"/>
      <c r="K56" s="4"/>
      <c r="L56" s="4"/>
      <c r="M56" s="4"/>
      <c r="N56" s="4"/>
      <c r="O56" s="4"/>
      <c r="P56" s="4"/>
      <c r="Q56" s="4"/>
      <c r="R56" s="7"/>
      <c r="S56" s="7"/>
      <c r="T56" s="4"/>
      <c r="U56" s="4"/>
      <c r="V56" s="4"/>
      <c r="W56" s="4"/>
      <c r="X56" s="4"/>
      <c r="Y56" s="4"/>
      <c r="Z56" s="4"/>
      <c r="AA56" s="4"/>
      <c r="AB56" s="4"/>
      <c r="AC56" s="4"/>
      <c r="AD56" s="4"/>
      <c r="AE56" s="4"/>
      <c r="AF56" s="4"/>
      <c r="AG56" s="4"/>
      <c r="AH56" s="4"/>
      <c r="AI56" s="4"/>
    </row>
    <row r="57" spans="1:35" ht="60" customHeight="1" x14ac:dyDescent="0.2">
      <c r="A57" s="3"/>
      <c r="B57" s="4"/>
      <c r="C57" s="4"/>
      <c r="D57" s="4"/>
      <c r="E57" s="4"/>
      <c r="F57" s="4"/>
      <c r="G57" s="4"/>
      <c r="H57" s="4"/>
      <c r="I57" s="4"/>
      <c r="J57" s="4"/>
      <c r="K57" s="4"/>
      <c r="L57" s="4"/>
      <c r="M57" s="4"/>
      <c r="N57" s="4"/>
      <c r="O57" s="4"/>
      <c r="P57" s="4"/>
      <c r="Q57" s="4"/>
      <c r="R57" s="7"/>
      <c r="S57" s="7"/>
      <c r="T57" s="4"/>
      <c r="U57" s="4"/>
      <c r="V57" s="4"/>
      <c r="W57" s="4"/>
      <c r="X57" s="4"/>
      <c r="Y57" s="4"/>
      <c r="Z57" s="4"/>
      <c r="AA57" s="4"/>
      <c r="AB57" s="4"/>
      <c r="AC57" s="4"/>
      <c r="AD57" s="4"/>
      <c r="AE57" s="4"/>
      <c r="AF57" s="4"/>
      <c r="AG57" s="4"/>
      <c r="AH57" s="4"/>
      <c r="AI57" s="4"/>
    </row>
    <row r="58" spans="1:35" ht="60" customHeight="1" x14ac:dyDescent="0.2">
      <c r="A58" s="3"/>
      <c r="B58" s="4"/>
      <c r="C58" s="4"/>
      <c r="D58" s="4"/>
      <c r="E58" s="4"/>
      <c r="F58" s="4"/>
      <c r="G58" s="4"/>
      <c r="H58" s="4"/>
      <c r="I58" s="4"/>
      <c r="J58" s="4"/>
      <c r="K58" s="4"/>
      <c r="L58" s="4"/>
      <c r="M58" s="4"/>
      <c r="N58" s="4"/>
      <c r="O58" s="4"/>
      <c r="P58" s="4"/>
      <c r="Q58" s="4"/>
      <c r="R58" s="10"/>
      <c r="S58" s="4"/>
      <c r="T58" s="4"/>
      <c r="U58" s="4"/>
      <c r="V58" s="4"/>
      <c r="W58" s="4"/>
      <c r="X58" s="4"/>
      <c r="Y58" s="4"/>
      <c r="Z58" s="4"/>
      <c r="AA58" s="4"/>
      <c r="AB58" s="4"/>
      <c r="AC58" s="4"/>
      <c r="AD58" s="4"/>
      <c r="AE58" s="4"/>
      <c r="AF58" s="4"/>
      <c r="AG58" s="4"/>
      <c r="AH58" s="4"/>
      <c r="AI58" s="4"/>
    </row>
    <row r="59" spans="1:35" ht="60" customHeight="1" x14ac:dyDescent="0.2">
      <c r="A59" s="3"/>
      <c r="B59" s="4"/>
      <c r="C59" s="4"/>
      <c r="D59" s="4"/>
      <c r="E59" s="4"/>
      <c r="F59" s="4"/>
      <c r="G59" s="4"/>
      <c r="H59" s="4"/>
      <c r="I59" s="4"/>
      <c r="J59" s="4"/>
      <c r="K59" s="4"/>
      <c r="L59" s="4"/>
      <c r="M59" s="4"/>
      <c r="N59" s="4"/>
      <c r="O59" s="4"/>
      <c r="P59" s="4"/>
      <c r="Q59" s="4"/>
      <c r="R59" s="10"/>
      <c r="S59" s="4"/>
      <c r="T59" s="4"/>
      <c r="U59" s="4"/>
      <c r="V59" s="4"/>
      <c r="W59" s="4"/>
      <c r="X59" s="4"/>
      <c r="Y59" s="4"/>
      <c r="Z59" s="4"/>
      <c r="AA59" s="4"/>
      <c r="AB59" s="4"/>
      <c r="AC59" s="4"/>
      <c r="AD59" s="4"/>
      <c r="AE59" s="4"/>
      <c r="AF59" s="4"/>
      <c r="AG59" s="4"/>
      <c r="AH59" s="4"/>
      <c r="AI59" s="4"/>
    </row>
    <row r="60" spans="1:35" ht="60" customHeight="1" x14ac:dyDescent="0.2">
      <c r="A60" s="3"/>
      <c r="B60" s="4"/>
      <c r="C60" s="4"/>
      <c r="D60" s="4"/>
      <c r="E60" s="4"/>
      <c r="F60" s="4"/>
      <c r="G60" s="4"/>
      <c r="H60" s="4"/>
      <c r="I60" s="4"/>
      <c r="J60" s="4"/>
      <c r="K60" s="4"/>
      <c r="L60" s="4"/>
      <c r="M60" s="4"/>
      <c r="N60" s="4"/>
      <c r="O60" s="4"/>
      <c r="P60" s="4"/>
      <c r="Q60" s="4"/>
      <c r="R60" s="7"/>
      <c r="S60" s="4"/>
      <c r="T60" s="4"/>
      <c r="U60" s="4"/>
      <c r="V60" s="4"/>
      <c r="W60" s="4"/>
      <c r="X60" s="4"/>
      <c r="Y60" s="4"/>
      <c r="Z60" s="4"/>
      <c r="AA60" s="4"/>
      <c r="AB60" s="4"/>
      <c r="AC60" s="4"/>
      <c r="AD60" s="4"/>
      <c r="AE60" s="4"/>
      <c r="AF60" s="4"/>
      <c r="AG60" s="4"/>
      <c r="AH60" s="4"/>
      <c r="AI60" s="4"/>
    </row>
    <row r="61" spans="1:35" ht="60" customHeight="1" x14ac:dyDescent="0.2">
      <c r="A61" s="3"/>
      <c r="B61" s="4"/>
      <c r="C61" s="4"/>
      <c r="D61" s="4"/>
      <c r="E61" s="4"/>
      <c r="F61" s="4"/>
      <c r="G61" s="4"/>
      <c r="H61" s="4"/>
      <c r="I61" s="4"/>
      <c r="J61" s="4"/>
      <c r="K61" s="4"/>
      <c r="L61" s="4"/>
      <c r="M61" s="4"/>
      <c r="N61" s="4"/>
      <c r="O61" s="4"/>
      <c r="P61" s="38"/>
      <c r="Q61" s="4"/>
      <c r="R61" s="7"/>
      <c r="S61" s="10"/>
      <c r="T61" s="4"/>
      <c r="U61" s="4"/>
      <c r="V61" s="4"/>
      <c r="W61" s="4"/>
      <c r="X61" s="4"/>
      <c r="Y61" s="4"/>
      <c r="Z61" s="4"/>
      <c r="AA61" s="4"/>
      <c r="AB61" s="4"/>
      <c r="AC61" s="4"/>
      <c r="AD61" s="4"/>
      <c r="AE61" s="4"/>
      <c r="AF61" s="4"/>
      <c r="AG61" s="4"/>
      <c r="AH61" s="4"/>
      <c r="AI61" s="4"/>
    </row>
    <row r="62" spans="1:35" ht="60" customHeight="1" x14ac:dyDescent="0.2">
      <c r="A62" s="3"/>
      <c r="B62" s="4"/>
      <c r="C62" s="4"/>
      <c r="D62" s="4"/>
      <c r="E62" s="4"/>
      <c r="F62" s="4"/>
      <c r="G62" s="4"/>
      <c r="H62" s="4"/>
      <c r="I62" s="4"/>
      <c r="J62" s="4"/>
      <c r="K62" s="4"/>
      <c r="L62" s="4"/>
      <c r="M62" s="4"/>
      <c r="N62" s="4"/>
      <c r="O62" s="4"/>
      <c r="P62" s="4"/>
      <c r="Q62" s="4"/>
      <c r="R62" s="7"/>
      <c r="S62" s="4"/>
      <c r="T62" s="4"/>
      <c r="U62" s="4"/>
      <c r="V62" s="4"/>
      <c r="W62" s="4"/>
      <c r="X62" s="4"/>
      <c r="Y62" s="4"/>
      <c r="Z62" s="4"/>
      <c r="AA62" s="4"/>
      <c r="AB62" s="4"/>
      <c r="AC62" s="4"/>
      <c r="AD62" s="4"/>
      <c r="AE62" s="4"/>
      <c r="AF62" s="4"/>
      <c r="AG62" s="4"/>
      <c r="AH62" s="4"/>
      <c r="AI62" s="4"/>
    </row>
    <row r="63" spans="1:35" ht="66" customHeight="1" x14ac:dyDescent="0.2">
      <c r="A63" s="3"/>
      <c r="B63" s="4"/>
      <c r="C63" s="4"/>
      <c r="D63" s="4"/>
      <c r="E63" s="4"/>
      <c r="F63" s="4"/>
      <c r="G63" s="4"/>
      <c r="H63" s="4"/>
      <c r="I63" s="4"/>
      <c r="J63" s="4"/>
      <c r="K63" s="4"/>
      <c r="L63" s="4"/>
      <c r="M63" s="4"/>
      <c r="N63" s="4"/>
      <c r="O63" s="4"/>
      <c r="P63" s="4"/>
      <c r="Q63" s="4"/>
      <c r="R63" s="7"/>
      <c r="S63" s="7"/>
      <c r="T63" s="4"/>
      <c r="U63" s="4"/>
      <c r="V63" s="4"/>
      <c r="W63" s="4"/>
      <c r="X63" s="4"/>
      <c r="Y63" s="4"/>
      <c r="Z63" s="4"/>
      <c r="AA63" s="4"/>
      <c r="AB63" s="4"/>
      <c r="AC63" s="4"/>
      <c r="AD63" s="4"/>
      <c r="AE63" s="4"/>
      <c r="AF63" s="4"/>
      <c r="AG63" s="4"/>
      <c r="AH63" s="4"/>
      <c r="AI63" s="4"/>
    </row>
    <row r="64" spans="1:35" ht="60" customHeight="1" x14ac:dyDescent="0.2">
      <c r="A64" s="3"/>
      <c r="B64" s="4"/>
      <c r="C64" s="4"/>
      <c r="D64" s="4"/>
      <c r="E64" s="4"/>
      <c r="F64" s="4"/>
      <c r="G64" s="4"/>
      <c r="H64" s="4"/>
      <c r="I64" s="4"/>
      <c r="J64" s="4"/>
      <c r="K64" s="4"/>
      <c r="L64" s="4"/>
      <c r="M64" s="4"/>
      <c r="N64" s="4"/>
      <c r="O64" s="4"/>
      <c r="P64" s="38"/>
      <c r="Q64" s="4"/>
      <c r="R64" s="7"/>
      <c r="S64" s="4"/>
      <c r="T64" s="4"/>
      <c r="U64" s="4"/>
      <c r="V64" s="4"/>
      <c r="W64" s="4"/>
      <c r="X64" s="4"/>
      <c r="Y64" s="4"/>
      <c r="Z64" s="4"/>
      <c r="AA64" s="4"/>
      <c r="AB64" s="4"/>
      <c r="AC64" s="4"/>
      <c r="AD64" s="4"/>
      <c r="AE64" s="4"/>
      <c r="AF64" s="4"/>
      <c r="AG64" s="4"/>
      <c r="AH64" s="4"/>
      <c r="AI64" s="4"/>
    </row>
    <row r="65" spans="1:35" ht="60" customHeight="1" x14ac:dyDescent="0.2">
      <c r="A65" s="3"/>
      <c r="B65" s="4"/>
      <c r="C65" s="4"/>
      <c r="D65" s="4"/>
      <c r="E65" s="4"/>
      <c r="F65" s="4"/>
      <c r="G65" s="4"/>
      <c r="H65" s="4"/>
      <c r="I65" s="4"/>
      <c r="J65" s="4"/>
      <c r="K65" s="4"/>
      <c r="L65" s="4"/>
      <c r="M65" s="4"/>
      <c r="N65" s="4"/>
      <c r="O65" s="4"/>
      <c r="P65" s="4"/>
      <c r="Q65" s="4"/>
      <c r="R65" s="7"/>
      <c r="S65" s="7"/>
      <c r="T65" s="7"/>
      <c r="U65" s="4"/>
      <c r="V65" s="4"/>
      <c r="W65" s="4"/>
      <c r="X65" s="4"/>
      <c r="Y65" s="4"/>
      <c r="Z65" s="4"/>
      <c r="AA65" s="4"/>
      <c r="AB65" s="4"/>
      <c r="AC65" s="4"/>
      <c r="AD65" s="4"/>
      <c r="AE65" s="4"/>
      <c r="AF65" s="4"/>
      <c r="AG65" s="4"/>
      <c r="AH65" s="4"/>
      <c r="AI65" s="4"/>
    </row>
    <row r="66" spans="1:35" ht="60" customHeight="1" x14ac:dyDescent="0.2">
      <c r="A66" s="3"/>
      <c r="B66" s="4"/>
      <c r="C66" s="4"/>
      <c r="D66" s="4"/>
      <c r="E66" s="4"/>
      <c r="F66" s="4"/>
      <c r="G66" s="4"/>
      <c r="H66" s="4"/>
      <c r="I66" s="4"/>
      <c r="J66" s="4"/>
      <c r="K66" s="4"/>
      <c r="L66" s="4"/>
      <c r="M66" s="4"/>
      <c r="N66" s="4"/>
      <c r="O66" s="4"/>
      <c r="P66" s="4"/>
      <c r="Q66" s="4"/>
      <c r="R66" s="7"/>
      <c r="S66" s="4"/>
      <c r="T66" s="4"/>
      <c r="U66" s="4"/>
      <c r="V66" s="4"/>
      <c r="W66" s="4"/>
      <c r="X66" s="4"/>
      <c r="Y66" s="4"/>
      <c r="Z66" s="4"/>
      <c r="AA66" s="4"/>
      <c r="AB66" s="4"/>
      <c r="AC66" s="4"/>
      <c r="AD66" s="4"/>
      <c r="AE66" s="4"/>
      <c r="AF66" s="4"/>
      <c r="AG66" s="4"/>
      <c r="AH66" s="4"/>
      <c r="AI66" s="4"/>
    </row>
    <row r="67" spans="1:35" ht="60" customHeight="1" x14ac:dyDescent="0.2">
      <c r="A67" s="3"/>
      <c r="B67" s="4"/>
      <c r="C67" s="4"/>
      <c r="D67" s="4"/>
      <c r="E67" s="4"/>
      <c r="F67" s="4"/>
      <c r="G67" s="4"/>
      <c r="H67" s="4"/>
      <c r="I67" s="4"/>
      <c r="J67" s="4"/>
      <c r="K67" s="4"/>
      <c r="L67" s="4"/>
      <c r="M67" s="4"/>
      <c r="N67" s="4"/>
      <c r="O67" s="4"/>
      <c r="P67" s="4"/>
      <c r="Q67" s="4"/>
      <c r="R67" s="7"/>
      <c r="S67" s="4"/>
      <c r="T67" s="4"/>
      <c r="U67" s="4"/>
      <c r="V67" s="4"/>
      <c r="W67" s="4"/>
      <c r="X67" s="4"/>
      <c r="Y67" s="4"/>
      <c r="Z67" s="4"/>
      <c r="AA67" s="4"/>
      <c r="AB67" s="4"/>
      <c r="AC67" s="4"/>
      <c r="AD67" s="4"/>
      <c r="AE67" s="4"/>
      <c r="AF67" s="4"/>
      <c r="AG67" s="4"/>
      <c r="AH67" s="4"/>
      <c r="AI67" s="4"/>
    </row>
    <row r="68" spans="1:35" ht="60" customHeight="1" x14ac:dyDescent="0.2">
      <c r="A68" s="3"/>
      <c r="B68" s="4"/>
      <c r="C68" s="4"/>
      <c r="D68" s="4"/>
      <c r="E68" s="4"/>
      <c r="F68" s="4"/>
      <c r="G68" s="4"/>
      <c r="H68" s="4"/>
      <c r="I68" s="4"/>
      <c r="J68" s="4"/>
      <c r="K68" s="4"/>
      <c r="L68" s="4"/>
      <c r="M68" s="4"/>
      <c r="N68" s="4"/>
      <c r="O68" s="4"/>
      <c r="P68" s="4"/>
      <c r="Q68" s="4"/>
      <c r="R68" s="7"/>
      <c r="S68" s="4"/>
      <c r="T68" s="4"/>
      <c r="U68" s="4"/>
      <c r="V68" s="4"/>
      <c r="W68" s="4"/>
      <c r="X68" s="4"/>
      <c r="Y68" s="4"/>
      <c r="Z68" s="4"/>
      <c r="AA68" s="4"/>
      <c r="AB68" s="4"/>
      <c r="AC68" s="4"/>
      <c r="AD68" s="4"/>
      <c r="AE68" s="4"/>
      <c r="AF68" s="4"/>
      <c r="AG68" s="4"/>
      <c r="AH68" s="4"/>
      <c r="AI68" s="4"/>
    </row>
    <row r="69" spans="1:35" ht="60" customHeight="1" x14ac:dyDescent="0.2">
      <c r="A69" s="3"/>
      <c r="B69" s="4"/>
      <c r="C69" s="4"/>
      <c r="D69" s="4"/>
      <c r="E69" s="4"/>
      <c r="F69" s="4"/>
      <c r="G69" s="4"/>
      <c r="H69" s="4"/>
      <c r="I69" s="4"/>
      <c r="J69" s="4"/>
      <c r="K69" s="4"/>
      <c r="L69" s="4"/>
      <c r="M69" s="4"/>
      <c r="N69" s="4"/>
      <c r="O69" s="4"/>
      <c r="P69" s="4"/>
      <c r="Q69" s="4"/>
      <c r="R69" s="10"/>
      <c r="S69" s="4"/>
      <c r="T69" s="4"/>
      <c r="U69" s="4"/>
      <c r="V69" s="4"/>
      <c r="W69" s="4"/>
      <c r="X69" s="4"/>
      <c r="Y69" s="4"/>
      <c r="Z69" s="4"/>
      <c r="AA69" s="4"/>
      <c r="AB69" s="4"/>
      <c r="AC69" s="4"/>
      <c r="AD69" s="4"/>
      <c r="AE69" s="4"/>
      <c r="AF69" s="4"/>
      <c r="AG69" s="4"/>
      <c r="AH69" s="4"/>
      <c r="AI69" s="4"/>
    </row>
    <row r="70" spans="1:35" ht="60" customHeight="1" x14ac:dyDescent="0.2">
      <c r="A70" s="3"/>
      <c r="B70" s="4"/>
      <c r="C70" s="4"/>
      <c r="D70" s="4"/>
      <c r="E70" s="4"/>
      <c r="F70" s="4"/>
      <c r="G70" s="4"/>
      <c r="H70" s="4"/>
      <c r="I70" s="4"/>
      <c r="J70" s="4"/>
      <c r="K70" s="4"/>
      <c r="L70" s="4"/>
      <c r="M70" s="4"/>
      <c r="N70" s="4"/>
      <c r="O70" s="4"/>
      <c r="P70" s="4"/>
      <c r="Q70" s="4"/>
      <c r="R70" s="10"/>
      <c r="S70" s="4"/>
      <c r="T70" s="4"/>
      <c r="U70" s="4"/>
      <c r="V70" s="4"/>
      <c r="W70" s="4"/>
      <c r="X70" s="4"/>
      <c r="Y70" s="4"/>
      <c r="Z70" s="4"/>
      <c r="AA70" s="4"/>
      <c r="AB70" s="4"/>
      <c r="AC70" s="4"/>
      <c r="AD70" s="4"/>
      <c r="AE70" s="4"/>
      <c r="AF70" s="4"/>
      <c r="AG70" s="4"/>
      <c r="AH70" s="4"/>
      <c r="AI70" s="4"/>
    </row>
    <row r="71" spans="1:35" ht="60" customHeight="1" x14ac:dyDescent="0.2">
      <c r="A71" s="3"/>
      <c r="B71" s="4"/>
      <c r="C71" s="4"/>
      <c r="D71" s="4"/>
      <c r="E71" s="4"/>
      <c r="F71" s="4"/>
      <c r="G71" s="4"/>
      <c r="H71" s="4"/>
      <c r="I71" s="4"/>
      <c r="J71" s="4"/>
      <c r="K71" s="4"/>
      <c r="L71" s="4"/>
      <c r="M71" s="4"/>
      <c r="N71" s="4"/>
      <c r="O71" s="4"/>
      <c r="P71" s="38"/>
      <c r="Q71" s="4"/>
      <c r="R71" s="10"/>
      <c r="S71" s="10"/>
      <c r="T71" s="10"/>
      <c r="U71" s="10"/>
      <c r="V71" s="4"/>
      <c r="W71" s="4"/>
      <c r="X71" s="4"/>
      <c r="Y71" s="4"/>
      <c r="Z71" s="4"/>
      <c r="AA71" s="4"/>
      <c r="AB71" s="4"/>
      <c r="AC71" s="4"/>
      <c r="AD71" s="4"/>
      <c r="AE71" s="4"/>
      <c r="AF71" s="4"/>
      <c r="AG71" s="4"/>
      <c r="AH71" s="4"/>
      <c r="AI71" s="4"/>
    </row>
    <row r="72" spans="1:35" ht="60" customHeight="1" x14ac:dyDescent="0.2">
      <c r="A72" s="3"/>
      <c r="B72" s="9"/>
      <c r="C72" s="4"/>
      <c r="D72" s="4"/>
      <c r="E72" s="4"/>
      <c r="F72" s="4"/>
      <c r="G72" s="4"/>
      <c r="H72" s="4"/>
      <c r="I72" s="4"/>
      <c r="J72" s="4"/>
      <c r="K72" s="4"/>
      <c r="L72" s="4"/>
      <c r="M72" s="4"/>
      <c r="N72" s="4"/>
      <c r="O72" s="4"/>
      <c r="P72" s="4"/>
      <c r="Q72" s="4"/>
      <c r="R72" s="10"/>
      <c r="S72" s="10"/>
      <c r="T72" s="10"/>
      <c r="U72" s="10"/>
      <c r="V72" s="4"/>
      <c r="W72" s="4"/>
      <c r="X72" s="4"/>
      <c r="Y72" s="4"/>
      <c r="Z72" s="4"/>
      <c r="AA72" s="4"/>
      <c r="AB72" s="4"/>
      <c r="AC72" s="4"/>
      <c r="AD72" s="4"/>
      <c r="AE72" s="4"/>
      <c r="AF72" s="4"/>
      <c r="AG72" s="4"/>
      <c r="AH72" s="4"/>
      <c r="AI72" s="4"/>
    </row>
    <row r="73" spans="1:35" ht="60" customHeight="1" x14ac:dyDescent="0.2">
      <c r="A73" s="3"/>
      <c r="B73" s="9"/>
      <c r="C73" s="4"/>
      <c r="D73" s="4"/>
      <c r="E73" s="4"/>
      <c r="F73" s="4"/>
      <c r="G73" s="4"/>
      <c r="H73" s="4"/>
      <c r="I73" s="4"/>
      <c r="J73" s="4"/>
      <c r="K73" s="4"/>
      <c r="L73" s="4"/>
      <c r="M73" s="4"/>
      <c r="N73" s="4"/>
      <c r="O73" s="4"/>
      <c r="P73" s="4"/>
      <c r="Q73" s="4"/>
      <c r="R73" s="10"/>
      <c r="S73" s="4"/>
      <c r="T73" s="4"/>
      <c r="U73" s="4"/>
      <c r="V73" s="4"/>
      <c r="W73" s="4"/>
      <c r="X73" s="4"/>
      <c r="Y73" s="4"/>
      <c r="Z73" s="4"/>
      <c r="AA73" s="4"/>
      <c r="AB73" s="4"/>
      <c r="AC73" s="4"/>
      <c r="AD73" s="4"/>
      <c r="AE73" s="4"/>
      <c r="AF73" s="4"/>
      <c r="AG73" s="4"/>
      <c r="AH73" s="4"/>
      <c r="AI73" s="4"/>
    </row>
    <row r="74" spans="1:35" ht="60" customHeight="1" x14ac:dyDescent="0.2">
      <c r="A74" s="3"/>
      <c r="B74" s="4"/>
      <c r="C74" s="4"/>
      <c r="D74" s="4"/>
      <c r="E74" s="4"/>
      <c r="F74" s="4"/>
      <c r="G74" s="4"/>
      <c r="H74" s="4"/>
      <c r="I74" s="4"/>
      <c r="J74" s="4"/>
      <c r="K74" s="4"/>
      <c r="L74" s="4"/>
      <c r="M74" s="4"/>
      <c r="N74" s="4"/>
      <c r="O74" s="4"/>
      <c r="P74" s="4"/>
      <c r="Q74" s="4"/>
      <c r="R74" s="10"/>
      <c r="S74" s="4"/>
      <c r="T74" s="4"/>
      <c r="U74" s="4"/>
      <c r="V74" s="4"/>
      <c r="W74" s="4"/>
      <c r="X74" s="4"/>
      <c r="Y74" s="4"/>
      <c r="Z74" s="4"/>
      <c r="AA74" s="4"/>
      <c r="AB74" s="4"/>
      <c r="AC74" s="4"/>
      <c r="AD74" s="4"/>
      <c r="AE74" s="4"/>
      <c r="AF74" s="4"/>
      <c r="AG74" s="4"/>
      <c r="AH74" s="4"/>
      <c r="AI74" s="4"/>
    </row>
    <row r="75" spans="1:35" ht="60" customHeight="1" x14ac:dyDescent="0.2">
      <c r="A75" s="3"/>
      <c r="B75" s="4"/>
      <c r="C75" s="4"/>
      <c r="D75" s="4"/>
      <c r="E75" s="4"/>
      <c r="F75" s="4"/>
      <c r="G75" s="4"/>
      <c r="H75" s="4"/>
      <c r="I75" s="4"/>
      <c r="J75" s="4"/>
      <c r="K75" s="4"/>
      <c r="L75" s="4"/>
      <c r="M75" s="4"/>
      <c r="N75" s="4"/>
      <c r="O75" s="4"/>
      <c r="P75" s="4"/>
      <c r="Q75" s="4"/>
      <c r="R75" s="7"/>
      <c r="S75" s="8"/>
      <c r="T75" s="7"/>
      <c r="U75" s="4"/>
      <c r="V75" s="4"/>
      <c r="W75" s="4"/>
      <c r="X75" s="4"/>
      <c r="Y75" s="4"/>
      <c r="Z75" s="4"/>
      <c r="AA75" s="4"/>
      <c r="AB75" s="4"/>
      <c r="AC75" s="4"/>
      <c r="AD75" s="4"/>
      <c r="AE75" s="4"/>
      <c r="AF75" s="4"/>
      <c r="AG75" s="4"/>
      <c r="AH75" s="4"/>
      <c r="AI75" s="4"/>
    </row>
    <row r="76" spans="1:35" ht="60" customHeight="1" x14ac:dyDescent="0.2">
      <c r="A76" s="3"/>
      <c r="B76" s="4"/>
      <c r="C76" s="4"/>
      <c r="D76" s="4"/>
      <c r="E76" s="4"/>
      <c r="F76" s="4"/>
      <c r="G76" s="4"/>
      <c r="H76" s="4"/>
      <c r="I76" s="4"/>
      <c r="J76" s="4"/>
      <c r="K76" s="4"/>
      <c r="L76" s="4"/>
      <c r="M76" s="4"/>
      <c r="N76" s="4"/>
      <c r="O76" s="4"/>
      <c r="P76" s="4"/>
      <c r="Q76" s="4"/>
      <c r="R76" s="10"/>
      <c r="S76" s="10"/>
      <c r="T76" s="4"/>
      <c r="U76" s="4"/>
      <c r="V76" s="4"/>
      <c r="W76" s="4"/>
      <c r="X76" s="4"/>
      <c r="Y76" s="4"/>
      <c r="Z76" s="4"/>
      <c r="AA76" s="4"/>
      <c r="AB76" s="4"/>
      <c r="AC76" s="4"/>
      <c r="AD76" s="4"/>
      <c r="AE76" s="4"/>
      <c r="AF76" s="4"/>
      <c r="AG76" s="4"/>
      <c r="AH76" s="4"/>
      <c r="AI76" s="4"/>
    </row>
    <row r="77" spans="1:35" ht="60" customHeight="1" x14ac:dyDescent="0.2">
      <c r="A77" s="3"/>
      <c r="B77" s="4"/>
      <c r="C77" s="4"/>
      <c r="D77" s="4"/>
      <c r="E77" s="4"/>
      <c r="F77" s="4"/>
      <c r="G77" s="4"/>
      <c r="H77" s="4"/>
      <c r="I77" s="4"/>
      <c r="J77" s="4"/>
      <c r="K77" s="4"/>
      <c r="L77" s="4"/>
      <c r="M77" s="4"/>
      <c r="N77" s="4"/>
      <c r="O77" s="4"/>
      <c r="P77" s="38"/>
      <c r="Q77" s="4"/>
      <c r="R77" s="10"/>
      <c r="S77" s="4"/>
      <c r="T77" s="4"/>
      <c r="U77" s="4"/>
      <c r="V77" s="4"/>
      <c r="W77" s="4"/>
      <c r="X77" s="4"/>
      <c r="Y77" s="4"/>
      <c r="Z77" s="4"/>
      <c r="AA77" s="4"/>
      <c r="AB77" s="4"/>
      <c r="AC77" s="4"/>
      <c r="AD77" s="4"/>
      <c r="AE77" s="4"/>
      <c r="AF77" s="4"/>
      <c r="AG77" s="4"/>
      <c r="AH77" s="4"/>
      <c r="AI77" s="4"/>
    </row>
    <row r="78" spans="1:35" ht="60" customHeight="1" x14ac:dyDescent="0.2">
      <c r="A78" s="3"/>
      <c r="B78" s="4"/>
      <c r="C78" s="4"/>
      <c r="D78" s="4"/>
      <c r="E78" s="4"/>
      <c r="F78" s="4"/>
      <c r="G78" s="4"/>
      <c r="H78" s="4"/>
      <c r="I78" s="4"/>
      <c r="J78" s="4"/>
      <c r="K78" s="4"/>
      <c r="L78" s="4"/>
      <c r="M78" s="4"/>
      <c r="N78" s="4"/>
      <c r="O78" s="4"/>
      <c r="P78" s="4"/>
      <c r="Q78" s="4"/>
      <c r="R78" s="7"/>
      <c r="S78" s="7"/>
      <c r="T78" s="4"/>
      <c r="U78" s="4"/>
      <c r="V78" s="4"/>
      <c r="W78" s="4"/>
      <c r="X78" s="4"/>
      <c r="Y78" s="4"/>
      <c r="Z78" s="4"/>
      <c r="AA78" s="4"/>
      <c r="AB78" s="4"/>
      <c r="AC78" s="4"/>
      <c r="AD78" s="4"/>
      <c r="AE78" s="4"/>
      <c r="AF78" s="4"/>
      <c r="AG78" s="4"/>
      <c r="AH78" s="4"/>
      <c r="AI78" s="4"/>
    </row>
    <row r="79" spans="1:35" ht="60" customHeight="1" x14ac:dyDescent="0.2">
      <c r="A79" s="3"/>
      <c r="B79" s="4"/>
      <c r="C79" s="4"/>
      <c r="D79" s="4"/>
      <c r="E79" s="4"/>
      <c r="F79" s="4"/>
      <c r="G79" s="4"/>
      <c r="H79" s="4"/>
      <c r="I79" s="4"/>
      <c r="J79" s="4"/>
      <c r="K79" s="4"/>
      <c r="L79" s="4"/>
      <c r="M79" s="4"/>
      <c r="N79" s="4"/>
      <c r="O79" s="4"/>
      <c r="P79" s="4"/>
      <c r="Q79" s="4"/>
      <c r="R79" s="7"/>
      <c r="S79" s="4"/>
      <c r="T79" s="4"/>
      <c r="U79" s="4"/>
      <c r="V79" s="4"/>
      <c r="W79" s="4"/>
      <c r="X79" s="4"/>
      <c r="Y79" s="4"/>
      <c r="Z79" s="4"/>
      <c r="AA79" s="4"/>
      <c r="AB79" s="4"/>
      <c r="AC79" s="4"/>
      <c r="AD79" s="4"/>
      <c r="AE79" s="4"/>
      <c r="AF79" s="4"/>
      <c r="AG79" s="4"/>
      <c r="AH79" s="4"/>
      <c r="AI79" s="4"/>
    </row>
    <row r="80" spans="1:35" ht="60" customHeight="1" x14ac:dyDescent="0.2">
      <c r="A80" s="3"/>
      <c r="B80" s="4"/>
      <c r="C80" s="4"/>
      <c r="D80" s="4"/>
      <c r="E80" s="4"/>
      <c r="F80" s="4"/>
      <c r="G80" s="4"/>
      <c r="H80" s="4"/>
      <c r="I80" s="4"/>
      <c r="J80" s="4"/>
      <c r="K80" s="4"/>
      <c r="L80" s="4"/>
      <c r="M80" s="4"/>
      <c r="N80" s="4"/>
      <c r="O80" s="4"/>
      <c r="P80" s="4"/>
      <c r="Q80" s="4"/>
      <c r="R80" s="10"/>
      <c r="S80" s="4"/>
      <c r="T80" s="4"/>
      <c r="U80" s="4"/>
      <c r="V80" s="4"/>
      <c r="W80" s="4"/>
      <c r="X80" s="4"/>
      <c r="Y80" s="4"/>
      <c r="Z80" s="4"/>
      <c r="AA80" s="4"/>
      <c r="AB80" s="4"/>
      <c r="AC80" s="4"/>
      <c r="AD80" s="4"/>
      <c r="AE80" s="4"/>
      <c r="AF80" s="4"/>
      <c r="AG80" s="4"/>
      <c r="AH80" s="4"/>
      <c r="AI80" s="4"/>
    </row>
    <row r="81" spans="1:35" ht="60" customHeight="1" x14ac:dyDescent="0.2">
      <c r="A81" s="3"/>
      <c r="B81" s="4"/>
      <c r="C81" s="4"/>
      <c r="D81" s="4"/>
      <c r="E81" s="4"/>
      <c r="F81" s="4"/>
      <c r="G81" s="4"/>
      <c r="H81" s="4"/>
      <c r="I81" s="4"/>
      <c r="J81" s="4"/>
      <c r="K81" s="4"/>
      <c r="L81" s="4"/>
      <c r="M81" s="4"/>
      <c r="N81" s="4"/>
      <c r="O81" s="4"/>
      <c r="P81" s="4"/>
      <c r="Q81" s="4"/>
      <c r="R81" s="7"/>
      <c r="S81" s="7"/>
      <c r="T81" s="7"/>
      <c r="U81" s="4"/>
      <c r="V81" s="4"/>
      <c r="W81" s="4"/>
      <c r="X81" s="4"/>
      <c r="Y81" s="4"/>
      <c r="Z81" s="4"/>
      <c r="AA81" s="4"/>
      <c r="AB81" s="4"/>
      <c r="AC81" s="4"/>
      <c r="AD81" s="4"/>
      <c r="AE81" s="4"/>
      <c r="AF81" s="4"/>
      <c r="AG81" s="4"/>
      <c r="AH81" s="4"/>
      <c r="AI81" s="4"/>
    </row>
    <row r="82" spans="1:35" ht="60" customHeight="1" x14ac:dyDescent="0.2">
      <c r="A82" s="3"/>
      <c r="B82" s="4"/>
      <c r="C82" s="4"/>
      <c r="D82" s="4"/>
      <c r="E82" s="4"/>
      <c r="F82" s="4"/>
      <c r="G82" s="4"/>
      <c r="H82" s="4"/>
      <c r="I82" s="4"/>
      <c r="J82" s="4"/>
      <c r="K82" s="4"/>
      <c r="L82" s="4"/>
      <c r="M82" s="4"/>
      <c r="N82" s="4"/>
      <c r="O82" s="4"/>
      <c r="P82" s="4"/>
      <c r="Q82" s="4"/>
      <c r="R82" s="10"/>
      <c r="S82" s="10"/>
      <c r="T82" s="4"/>
      <c r="U82" s="4"/>
      <c r="V82" s="4"/>
      <c r="W82" s="4"/>
      <c r="X82" s="4"/>
      <c r="Y82" s="4"/>
      <c r="Z82" s="4"/>
      <c r="AA82" s="4"/>
      <c r="AB82" s="4"/>
      <c r="AC82" s="4"/>
      <c r="AD82" s="4"/>
      <c r="AE82" s="4"/>
      <c r="AF82" s="4"/>
      <c r="AG82" s="4"/>
      <c r="AH82" s="4"/>
      <c r="AI82" s="4"/>
    </row>
    <row r="83" spans="1:35" ht="60" customHeight="1" x14ac:dyDescent="0.2">
      <c r="A83" s="3"/>
      <c r="B83" s="4"/>
      <c r="C83" s="4"/>
      <c r="D83" s="4"/>
      <c r="E83" s="4"/>
      <c r="F83" s="4"/>
      <c r="G83" s="4"/>
      <c r="H83" s="4"/>
      <c r="I83" s="4"/>
      <c r="J83" s="4"/>
      <c r="K83" s="4"/>
      <c r="L83" s="4"/>
      <c r="M83" s="4"/>
      <c r="N83" s="4"/>
      <c r="O83" s="4"/>
      <c r="P83" s="4"/>
      <c r="Q83" s="4"/>
      <c r="R83" s="10"/>
      <c r="S83" s="10"/>
      <c r="T83" s="4"/>
      <c r="U83" s="4"/>
      <c r="V83" s="4"/>
      <c r="W83" s="4"/>
      <c r="X83" s="4"/>
      <c r="Y83" s="4"/>
      <c r="Z83" s="4"/>
      <c r="AA83" s="4"/>
      <c r="AB83" s="4"/>
      <c r="AC83" s="4"/>
      <c r="AD83" s="4"/>
      <c r="AE83" s="4"/>
      <c r="AF83" s="4"/>
      <c r="AG83" s="4"/>
      <c r="AH83" s="4"/>
      <c r="AI83" s="4"/>
    </row>
    <row r="84" spans="1:35" ht="60" customHeight="1" x14ac:dyDescent="0.2">
      <c r="A84" s="3"/>
      <c r="B84" s="4"/>
      <c r="C84" s="4"/>
      <c r="D84" s="4"/>
      <c r="E84" s="4"/>
      <c r="F84" s="4"/>
      <c r="G84" s="4"/>
      <c r="H84" s="4"/>
      <c r="I84" s="4"/>
      <c r="J84" s="4"/>
      <c r="K84" s="4"/>
      <c r="L84" s="4"/>
      <c r="M84" s="4"/>
      <c r="N84" s="4"/>
      <c r="O84" s="4"/>
      <c r="P84" s="4"/>
      <c r="Q84" s="4"/>
      <c r="R84" s="10"/>
      <c r="S84" s="4"/>
      <c r="T84" s="4"/>
      <c r="U84" s="4"/>
      <c r="V84" s="4"/>
      <c r="W84" s="4"/>
      <c r="X84" s="4"/>
      <c r="Y84" s="4"/>
      <c r="Z84" s="4"/>
      <c r="AA84" s="4"/>
      <c r="AB84" s="4"/>
      <c r="AC84" s="4"/>
      <c r="AD84" s="4"/>
      <c r="AE84" s="4"/>
      <c r="AF84" s="4"/>
      <c r="AG84" s="4"/>
      <c r="AH84" s="4"/>
      <c r="AI84" s="4"/>
    </row>
    <row r="85" spans="1:35" ht="60" customHeight="1" x14ac:dyDescent="0.2">
      <c r="A85" s="3"/>
      <c r="B85" s="4"/>
      <c r="C85" s="4"/>
      <c r="D85" s="4"/>
      <c r="E85" s="4"/>
      <c r="F85" s="4"/>
      <c r="G85" s="4"/>
      <c r="H85" s="4"/>
      <c r="I85" s="4"/>
      <c r="J85" s="4"/>
      <c r="K85" s="4"/>
      <c r="L85" s="4"/>
      <c r="M85" s="4"/>
      <c r="N85" s="4"/>
      <c r="O85" s="4"/>
      <c r="P85" s="4"/>
      <c r="Q85" s="4"/>
      <c r="R85" s="10"/>
      <c r="S85" s="10"/>
      <c r="T85" s="7"/>
      <c r="U85" s="4"/>
      <c r="V85" s="4"/>
      <c r="W85" s="4"/>
      <c r="X85" s="4"/>
      <c r="Y85" s="4"/>
      <c r="Z85" s="4"/>
      <c r="AA85" s="4"/>
      <c r="AB85" s="4"/>
      <c r="AC85" s="4"/>
      <c r="AD85" s="4"/>
      <c r="AE85" s="4"/>
      <c r="AF85" s="4"/>
      <c r="AG85" s="4"/>
      <c r="AH85" s="4"/>
      <c r="AI85" s="4"/>
    </row>
    <row r="86" spans="1:35" ht="60" customHeight="1" x14ac:dyDescent="0.2">
      <c r="A86" s="3"/>
      <c r="B86" s="4"/>
      <c r="C86" s="4"/>
      <c r="D86" s="4"/>
      <c r="E86" s="4"/>
      <c r="F86" s="4"/>
      <c r="G86" s="4"/>
      <c r="H86" s="4"/>
      <c r="I86" s="4"/>
      <c r="J86" s="4"/>
      <c r="K86" s="4"/>
      <c r="L86" s="4"/>
      <c r="M86" s="4"/>
      <c r="N86" s="4"/>
      <c r="O86" s="4"/>
      <c r="P86" s="4"/>
      <c r="Q86" s="4"/>
      <c r="R86" s="10"/>
      <c r="S86" s="4"/>
      <c r="T86" s="4"/>
      <c r="U86" s="4"/>
      <c r="V86" s="4"/>
      <c r="W86" s="4"/>
      <c r="X86" s="4"/>
      <c r="Y86" s="4"/>
      <c r="Z86" s="4"/>
      <c r="AA86" s="4"/>
      <c r="AB86" s="4"/>
      <c r="AC86" s="4"/>
      <c r="AD86" s="4"/>
      <c r="AE86" s="4"/>
      <c r="AF86" s="4"/>
      <c r="AG86" s="4"/>
      <c r="AH86" s="4"/>
      <c r="AI86" s="4"/>
    </row>
    <row r="87" spans="1:35" ht="60" customHeight="1" x14ac:dyDescent="0.2">
      <c r="A87" s="3"/>
      <c r="B87" s="4"/>
      <c r="C87" s="4"/>
      <c r="D87" s="4"/>
      <c r="E87" s="4"/>
      <c r="F87" s="4"/>
      <c r="G87" s="4"/>
      <c r="H87" s="4"/>
      <c r="I87" s="4"/>
      <c r="J87" s="4"/>
      <c r="K87" s="4"/>
      <c r="L87" s="4"/>
      <c r="M87" s="4"/>
      <c r="N87" s="4"/>
      <c r="O87" s="4"/>
      <c r="P87" s="4"/>
      <c r="Q87" s="4"/>
      <c r="R87" s="10"/>
      <c r="S87" s="10"/>
      <c r="T87" s="4"/>
      <c r="U87" s="4"/>
      <c r="V87" s="4"/>
      <c r="W87" s="4"/>
      <c r="X87" s="4"/>
      <c r="Y87" s="4"/>
      <c r="Z87" s="4"/>
      <c r="AA87" s="4"/>
      <c r="AB87" s="4"/>
      <c r="AC87" s="4"/>
      <c r="AD87" s="4"/>
      <c r="AE87" s="4"/>
      <c r="AF87" s="4"/>
      <c r="AG87" s="4"/>
      <c r="AH87" s="4"/>
      <c r="AI87" s="4"/>
    </row>
    <row r="88" spans="1:35" ht="60" customHeight="1" x14ac:dyDescent="0.2">
      <c r="A88" s="3"/>
      <c r="B88" s="4"/>
      <c r="C88" s="4"/>
      <c r="D88" s="4"/>
      <c r="E88" s="4"/>
      <c r="F88" s="4"/>
      <c r="G88" s="4"/>
      <c r="H88" s="4"/>
      <c r="I88" s="4"/>
      <c r="J88" s="4"/>
      <c r="K88" s="4"/>
      <c r="L88" s="4"/>
      <c r="M88" s="4"/>
      <c r="N88" s="4"/>
      <c r="O88" s="4"/>
      <c r="P88" s="4"/>
      <c r="Q88" s="4"/>
      <c r="R88" s="10"/>
      <c r="S88" s="4"/>
      <c r="T88" s="4"/>
      <c r="U88" s="4"/>
      <c r="V88" s="4"/>
      <c r="W88" s="4"/>
      <c r="X88" s="4"/>
      <c r="Y88" s="4"/>
      <c r="Z88" s="4"/>
      <c r="AA88" s="4"/>
      <c r="AB88" s="4"/>
      <c r="AC88" s="4"/>
      <c r="AD88" s="4"/>
      <c r="AE88" s="4"/>
      <c r="AF88" s="4"/>
      <c r="AG88" s="4"/>
      <c r="AH88" s="4"/>
      <c r="AI88" s="4"/>
    </row>
    <row r="89" spans="1:35" ht="60" customHeight="1" x14ac:dyDescent="0.2">
      <c r="A89" s="3"/>
      <c r="B89" s="4"/>
      <c r="C89" s="4"/>
      <c r="D89" s="4"/>
      <c r="E89" s="4"/>
      <c r="F89" s="4"/>
      <c r="G89" s="4"/>
      <c r="H89" s="4"/>
      <c r="I89" s="4"/>
      <c r="J89" s="4"/>
      <c r="K89" s="4"/>
      <c r="L89" s="4"/>
      <c r="M89" s="4"/>
      <c r="N89" s="4"/>
      <c r="O89" s="4"/>
      <c r="P89" s="4"/>
      <c r="Q89" s="4"/>
      <c r="R89" s="10"/>
      <c r="S89" s="4"/>
      <c r="T89" s="4"/>
      <c r="U89" s="4"/>
      <c r="V89" s="4"/>
      <c r="W89" s="4"/>
      <c r="X89" s="4"/>
      <c r="Y89" s="4"/>
      <c r="Z89" s="4"/>
      <c r="AA89" s="4"/>
      <c r="AB89" s="4"/>
      <c r="AC89" s="4"/>
      <c r="AD89" s="4"/>
      <c r="AE89" s="4"/>
      <c r="AF89" s="4"/>
      <c r="AG89" s="4"/>
      <c r="AH89" s="4"/>
      <c r="AI89" s="4"/>
    </row>
    <row r="90" spans="1:35" ht="60" customHeight="1" x14ac:dyDescent="0.2">
      <c r="A90" s="3"/>
      <c r="B90" s="4"/>
      <c r="C90" s="4"/>
      <c r="D90" s="4"/>
      <c r="E90" s="4"/>
      <c r="F90" s="4"/>
      <c r="G90" s="4"/>
      <c r="H90" s="4"/>
      <c r="I90" s="4"/>
      <c r="J90" s="4"/>
      <c r="K90" s="4"/>
      <c r="L90" s="4"/>
      <c r="M90" s="4"/>
      <c r="N90" s="4"/>
      <c r="O90" s="4"/>
      <c r="P90" s="4"/>
      <c r="Q90" s="4"/>
      <c r="R90" s="10"/>
      <c r="S90" s="4"/>
      <c r="T90" s="4"/>
      <c r="U90" s="4"/>
      <c r="V90" s="4"/>
      <c r="W90" s="4"/>
      <c r="X90" s="4"/>
      <c r="Y90" s="4"/>
      <c r="Z90" s="4"/>
      <c r="AA90" s="4"/>
      <c r="AB90" s="4"/>
      <c r="AC90" s="4"/>
      <c r="AD90" s="4"/>
      <c r="AE90" s="4"/>
      <c r="AF90" s="4"/>
      <c r="AG90" s="4"/>
      <c r="AH90" s="4"/>
      <c r="AI90" s="4"/>
    </row>
    <row r="91" spans="1:35" ht="60" customHeight="1" x14ac:dyDescent="0.2">
      <c r="A91" s="3"/>
      <c r="B91" s="4"/>
      <c r="C91" s="4"/>
      <c r="D91" s="4"/>
      <c r="E91" s="4"/>
      <c r="F91" s="4"/>
      <c r="G91" s="4"/>
      <c r="H91" s="4"/>
      <c r="I91" s="4"/>
      <c r="J91" s="4"/>
      <c r="K91" s="4"/>
      <c r="L91" s="4"/>
      <c r="M91" s="4"/>
      <c r="N91" s="4"/>
      <c r="O91" s="4"/>
      <c r="P91" s="4"/>
      <c r="Q91" s="4"/>
      <c r="R91" s="7"/>
      <c r="S91" s="7"/>
      <c r="T91" s="4"/>
      <c r="U91" s="4"/>
      <c r="V91" s="4"/>
      <c r="W91" s="4"/>
      <c r="X91" s="4"/>
      <c r="Y91" s="4"/>
      <c r="Z91" s="4"/>
      <c r="AA91" s="4"/>
      <c r="AB91" s="4"/>
      <c r="AC91" s="4"/>
      <c r="AD91" s="4"/>
      <c r="AE91" s="4"/>
      <c r="AF91" s="4"/>
      <c r="AG91" s="4"/>
      <c r="AH91" s="4"/>
      <c r="AI91" s="4"/>
    </row>
    <row r="92" spans="1:35" ht="60" customHeight="1" x14ac:dyDescent="0.2">
      <c r="A92" s="3"/>
      <c r="B92" s="4"/>
      <c r="C92" s="4"/>
      <c r="D92" s="4"/>
      <c r="E92" s="4"/>
      <c r="F92" s="4"/>
      <c r="G92" s="4"/>
      <c r="H92" s="4"/>
      <c r="I92" s="4"/>
      <c r="J92" s="4"/>
      <c r="K92" s="4"/>
      <c r="L92" s="4"/>
      <c r="M92" s="4"/>
      <c r="N92" s="4"/>
      <c r="O92" s="4"/>
      <c r="P92" s="4"/>
      <c r="Q92" s="4"/>
      <c r="R92" s="10"/>
      <c r="S92" s="4"/>
      <c r="T92" s="4"/>
      <c r="U92" s="4"/>
      <c r="V92" s="4"/>
      <c r="W92" s="4"/>
      <c r="X92" s="4"/>
      <c r="Y92" s="4"/>
      <c r="Z92" s="4"/>
      <c r="AA92" s="4"/>
      <c r="AB92" s="4"/>
      <c r="AC92" s="4"/>
      <c r="AD92" s="4"/>
      <c r="AE92" s="4"/>
      <c r="AF92" s="4"/>
      <c r="AG92" s="4"/>
      <c r="AH92" s="4"/>
      <c r="AI92" s="4"/>
    </row>
    <row r="93" spans="1:35" ht="60" customHeight="1" x14ac:dyDescent="0.2">
      <c r="A93" s="3"/>
      <c r="B93" s="4"/>
      <c r="C93" s="4"/>
      <c r="D93" s="4"/>
      <c r="E93" s="4"/>
      <c r="F93" s="4"/>
      <c r="G93" s="4"/>
      <c r="H93" s="4"/>
      <c r="I93" s="4"/>
      <c r="J93" s="4"/>
      <c r="K93" s="4"/>
      <c r="L93" s="4"/>
      <c r="M93" s="4"/>
      <c r="N93" s="4"/>
      <c r="O93" s="4"/>
      <c r="P93" s="4"/>
      <c r="Q93" s="4"/>
      <c r="R93" s="10"/>
      <c r="S93" s="8"/>
      <c r="T93" s="8"/>
      <c r="U93" s="8"/>
      <c r="V93" s="8"/>
      <c r="W93" s="4"/>
      <c r="X93" s="4"/>
      <c r="Y93" s="4"/>
      <c r="Z93" s="4"/>
      <c r="AA93" s="4"/>
      <c r="AB93" s="4"/>
      <c r="AC93" s="4"/>
      <c r="AD93" s="4"/>
      <c r="AE93" s="4"/>
      <c r="AF93" s="4"/>
      <c r="AG93" s="4"/>
      <c r="AH93" s="4"/>
      <c r="AI93" s="4"/>
    </row>
    <row r="94" spans="1:35" ht="60" customHeight="1" x14ac:dyDescent="0.2">
      <c r="A94" s="3"/>
      <c r="B94" s="4"/>
      <c r="C94" s="4"/>
      <c r="D94" s="4"/>
      <c r="E94" s="4"/>
      <c r="F94" s="4"/>
      <c r="G94" s="4"/>
      <c r="H94" s="4"/>
      <c r="I94" s="4"/>
      <c r="J94" s="4"/>
      <c r="K94" s="4"/>
      <c r="L94" s="4"/>
      <c r="M94" s="4"/>
      <c r="N94" s="4"/>
      <c r="O94" s="4"/>
      <c r="P94" s="4"/>
      <c r="Q94" s="4"/>
      <c r="R94" s="10"/>
      <c r="S94" s="4"/>
      <c r="T94" s="4"/>
      <c r="U94" s="4"/>
      <c r="V94" s="4"/>
      <c r="W94" s="4"/>
      <c r="X94" s="4"/>
      <c r="Y94" s="4"/>
      <c r="Z94" s="4"/>
      <c r="AA94" s="4"/>
      <c r="AB94" s="4"/>
      <c r="AC94" s="4"/>
      <c r="AD94" s="4"/>
      <c r="AE94" s="4"/>
      <c r="AF94" s="4"/>
      <c r="AG94" s="4"/>
      <c r="AH94" s="4"/>
      <c r="AI94" s="4"/>
    </row>
    <row r="95" spans="1:35" ht="60" customHeight="1" x14ac:dyDescent="0.2">
      <c r="A95" s="3"/>
      <c r="B95" s="4"/>
      <c r="C95" s="4"/>
      <c r="D95" s="4"/>
      <c r="E95" s="4"/>
      <c r="F95" s="4"/>
      <c r="G95" s="4"/>
      <c r="H95" s="4"/>
      <c r="I95" s="4"/>
      <c r="J95" s="4"/>
      <c r="K95" s="4"/>
      <c r="L95" s="4"/>
      <c r="M95" s="4"/>
      <c r="N95" s="4"/>
      <c r="O95" s="4"/>
      <c r="P95" s="4"/>
      <c r="Q95" s="4"/>
      <c r="R95" s="10"/>
      <c r="S95" s="10"/>
      <c r="T95" s="19"/>
      <c r="U95" s="4"/>
      <c r="V95" s="4"/>
      <c r="W95" s="4"/>
      <c r="X95" s="4"/>
      <c r="Y95" s="4"/>
      <c r="Z95" s="4"/>
      <c r="AA95" s="4"/>
      <c r="AB95" s="4"/>
      <c r="AC95" s="4"/>
      <c r="AD95" s="4"/>
      <c r="AE95" s="4"/>
      <c r="AF95" s="4"/>
      <c r="AG95" s="4"/>
      <c r="AH95" s="4"/>
      <c r="AI95" s="4"/>
    </row>
    <row r="96" spans="1:35" ht="60" customHeight="1" x14ac:dyDescent="0.2">
      <c r="A96" s="3"/>
      <c r="B96" s="4"/>
      <c r="C96" s="4"/>
      <c r="D96" s="4"/>
      <c r="E96" s="4"/>
      <c r="F96" s="4"/>
      <c r="G96" s="4"/>
      <c r="H96" s="4"/>
      <c r="I96" s="4"/>
      <c r="J96" s="4"/>
      <c r="K96" s="4"/>
      <c r="L96" s="4"/>
      <c r="M96" s="4"/>
      <c r="N96" s="4"/>
      <c r="O96" s="4"/>
      <c r="P96" s="4"/>
      <c r="Q96" s="4"/>
      <c r="R96" s="10"/>
      <c r="S96" s="10"/>
      <c r="T96" s="19"/>
      <c r="U96" s="4"/>
      <c r="V96" s="4"/>
      <c r="W96" s="4"/>
      <c r="X96" s="4"/>
      <c r="Y96" s="4"/>
      <c r="Z96" s="4"/>
      <c r="AA96" s="4"/>
      <c r="AB96" s="4"/>
      <c r="AC96" s="4"/>
      <c r="AD96" s="4"/>
      <c r="AE96" s="4"/>
      <c r="AF96" s="4"/>
      <c r="AG96" s="4"/>
      <c r="AH96" s="4"/>
      <c r="AI96" s="4"/>
    </row>
    <row r="97" spans="1:35" ht="60" customHeight="1" x14ac:dyDescent="0.2">
      <c r="A97" s="3"/>
      <c r="B97" s="4"/>
      <c r="C97" s="4"/>
      <c r="D97" s="4"/>
      <c r="E97" s="4"/>
      <c r="F97" s="4"/>
      <c r="G97" s="4"/>
      <c r="H97" s="4"/>
      <c r="I97" s="4"/>
      <c r="J97" s="4"/>
      <c r="K97" s="4"/>
      <c r="L97" s="4"/>
      <c r="M97" s="4"/>
      <c r="N97" s="4"/>
      <c r="O97" s="4"/>
      <c r="P97" s="4"/>
      <c r="Q97" s="4"/>
      <c r="R97" s="10"/>
      <c r="S97" s="4"/>
      <c r="T97" s="4"/>
      <c r="U97" s="4"/>
      <c r="V97" s="4"/>
      <c r="W97" s="4"/>
      <c r="X97" s="4"/>
      <c r="Y97" s="4"/>
      <c r="Z97" s="4"/>
      <c r="AA97" s="4"/>
      <c r="AB97" s="4"/>
      <c r="AC97" s="4"/>
      <c r="AD97" s="4"/>
      <c r="AE97" s="4"/>
      <c r="AF97" s="4"/>
      <c r="AG97" s="4"/>
      <c r="AH97" s="4"/>
      <c r="AI97" s="4"/>
    </row>
    <row r="98" spans="1:35" ht="60" customHeight="1" x14ac:dyDescent="0.2">
      <c r="A98" s="3"/>
      <c r="B98" s="4"/>
      <c r="C98" s="4"/>
      <c r="D98" s="4"/>
      <c r="E98" s="4"/>
      <c r="F98" s="4"/>
      <c r="G98" s="4"/>
      <c r="H98" s="4"/>
      <c r="I98" s="4"/>
      <c r="J98" s="4"/>
      <c r="K98" s="4"/>
      <c r="L98" s="4"/>
      <c r="M98" s="4"/>
      <c r="N98" s="4"/>
      <c r="O98" s="4"/>
      <c r="P98" s="4"/>
      <c r="Q98" s="4"/>
      <c r="R98" s="10"/>
      <c r="S98" s="19"/>
      <c r="T98" s="10"/>
      <c r="U98" s="10"/>
      <c r="V98" s="4"/>
      <c r="W98" s="4"/>
      <c r="X98" s="4"/>
      <c r="Y98" s="4"/>
      <c r="Z98" s="4"/>
      <c r="AA98" s="4"/>
      <c r="AB98" s="4"/>
      <c r="AC98" s="4"/>
      <c r="AD98" s="4"/>
      <c r="AE98" s="4"/>
      <c r="AF98" s="4"/>
      <c r="AG98" s="4"/>
      <c r="AH98" s="4"/>
      <c r="AI98" s="4"/>
    </row>
    <row r="99" spans="1:35" ht="60" customHeight="1" x14ac:dyDescent="0.2">
      <c r="A99" s="3"/>
      <c r="B99" s="4"/>
      <c r="C99" s="4"/>
      <c r="D99" s="4"/>
      <c r="E99" s="4"/>
      <c r="F99" s="4"/>
      <c r="G99" s="4"/>
      <c r="H99" s="4"/>
      <c r="I99" s="4"/>
      <c r="J99" s="4"/>
      <c r="K99" s="4"/>
      <c r="L99" s="4"/>
      <c r="M99" s="4"/>
      <c r="N99" s="4"/>
      <c r="O99" s="4"/>
      <c r="P99" s="4"/>
      <c r="Q99" s="4"/>
      <c r="R99" s="10"/>
      <c r="S99" s="10"/>
      <c r="T99" s="4"/>
      <c r="U99" s="4"/>
      <c r="V99" s="4"/>
      <c r="W99" s="4"/>
      <c r="X99" s="4"/>
      <c r="Y99" s="4"/>
      <c r="Z99" s="4"/>
      <c r="AA99" s="4"/>
      <c r="AB99" s="4"/>
      <c r="AC99" s="4"/>
      <c r="AD99" s="4"/>
      <c r="AE99" s="4"/>
      <c r="AF99" s="4"/>
      <c r="AG99" s="4"/>
      <c r="AH99" s="4"/>
      <c r="AI99" s="4"/>
    </row>
    <row r="100" spans="1:35" ht="60" customHeight="1" x14ac:dyDescent="0.2">
      <c r="A100" s="3"/>
      <c r="B100" s="4"/>
      <c r="C100" s="4"/>
      <c r="D100" s="4"/>
      <c r="E100" s="4"/>
      <c r="F100" s="4"/>
      <c r="G100" s="4"/>
      <c r="H100" s="4"/>
      <c r="I100" s="4"/>
      <c r="J100" s="4"/>
      <c r="K100" s="4"/>
      <c r="L100" s="4"/>
      <c r="M100" s="4"/>
      <c r="N100" s="4"/>
      <c r="O100" s="4"/>
      <c r="P100" s="4"/>
      <c r="Q100" s="4"/>
      <c r="R100" s="10"/>
      <c r="S100" s="10"/>
      <c r="T100" s="4"/>
      <c r="U100" s="4"/>
      <c r="V100" s="4"/>
      <c r="W100" s="4"/>
      <c r="X100" s="4"/>
      <c r="Y100" s="4"/>
      <c r="Z100" s="4"/>
      <c r="AA100" s="4"/>
      <c r="AB100" s="4"/>
      <c r="AC100" s="4"/>
      <c r="AD100" s="4"/>
      <c r="AE100" s="4"/>
      <c r="AF100" s="4"/>
      <c r="AG100" s="4"/>
      <c r="AH100" s="4"/>
      <c r="AI100" s="4"/>
    </row>
    <row r="101" spans="1:35" ht="60" customHeight="1" x14ac:dyDescent="0.2">
      <c r="A101" s="3"/>
      <c r="B101" s="4"/>
      <c r="C101" s="4"/>
      <c r="D101" s="4"/>
      <c r="E101" s="4"/>
      <c r="F101" s="4"/>
      <c r="G101" s="4"/>
      <c r="H101" s="4"/>
      <c r="I101" s="4"/>
      <c r="J101" s="4"/>
      <c r="K101" s="4"/>
      <c r="L101" s="4"/>
      <c r="M101" s="4"/>
      <c r="N101" s="4"/>
      <c r="O101" s="4"/>
      <c r="P101" s="4"/>
      <c r="Q101" s="4"/>
      <c r="R101" s="10"/>
      <c r="S101" s="4"/>
      <c r="T101" s="4"/>
      <c r="U101" s="4"/>
      <c r="V101" s="4"/>
      <c r="W101" s="4"/>
      <c r="X101" s="4"/>
      <c r="Y101" s="4"/>
      <c r="Z101" s="4"/>
      <c r="AA101" s="4"/>
      <c r="AB101" s="4"/>
      <c r="AC101" s="4"/>
      <c r="AD101" s="4"/>
      <c r="AE101" s="4"/>
      <c r="AF101" s="4"/>
      <c r="AG101" s="4"/>
      <c r="AH101" s="4"/>
      <c r="AI101" s="4"/>
    </row>
    <row r="102" spans="1:35" ht="60" customHeight="1" x14ac:dyDescent="0.2">
      <c r="A102" s="3"/>
      <c r="B102" s="4"/>
      <c r="C102" s="4"/>
      <c r="D102" s="4"/>
      <c r="E102" s="4"/>
      <c r="F102" s="4"/>
      <c r="G102" s="4"/>
      <c r="H102" s="4"/>
      <c r="I102" s="4"/>
      <c r="J102" s="4"/>
      <c r="K102" s="4"/>
      <c r="L102" s="4"/>
      <c r="M102" s="4"/>
      <c r="N102" s="4"/>
      <c r="O102" s="4"/>
      <c r="P102" s="38"/>
      <c r="Q102" s="4"/>
      <c r="R102" s="10"/>
      <c r="S102" s="10"/>
      <c r="T102" s="8"/>
      <c r="U102" s="4"/>
      <c r="V102" s="4"/>
      <c r="W102" s="4"/>
      <c r="X102" s="4"/>
      <c r="Y102" s="4"/>
      <c r="Z102" s="4"/>
      <c r="AA102" s="4"/>
      <c r="AB102" s="4"/>
      <c r="AC102" s="4"/>
      <c r="AD102" s="4"/>
      <c r="AE102" s="4"/>
      <c r="AF102" s="4"/>
      <c r="AG102" s="4"/>
      <c r="AH102" s="4"/>
      <c r="AI102" s="4"/>
    </row>
    <row r="103" spans="1:35" ht="60" customHeight="1" x14ac:dyDescent="0.2">
      <c r="A103" s="3"/>
      <c r="B103" s="4"/>
      <c r="C103" s="4"/>
      <c r="D103" s="4"/>
      <c r="E103" s="4"/>
      <c r="F103" s="4"/>
      <c r="G103" s="4"/>
      <c r="H103" s="4"/>
      <c r="I103" s="4"/>
      <c r="J103" s="4"/>
      <c r="K103" s="4"/>
      <c r="L103" s="4"/>
      <c r="M103" s="4"/>
      <c r="N103" s="4"/>
      <c r="O103" s="4"/>
      <c r="P103" s="4"/>
      <c r="Q103" s="4"/>
      <c r="R103" s="7"/>
      <c r="S103" s="4"/>
      <c r="T103" s="4"/>
      <c r="U103" s="4"/>
      <c r="V103" s="4"/>
      <c r="W103" s="4"/>
      <c r="X103" s="4"/>
      <c r="Y103" s="4"/>
      <c r="Z103" s="4"/>
      <c r="AA103" s="4"/>
      <c r="AB103" s="4"/>
      <c r="AC103" s="4"/>
      <c r="AD103" s="4"/>
      <c r="AE103" s="4"/>
      <c r="AF103" s="4"/>
      <c r="AG103" s="4"/>
      <c r="AH103" s="4"/>
      <c r="AI103" s="4"/>
    </row>
    <row r="104" spans="1:35" ht="60" customHeight="1" x14ac:dyDescent="0.2">
      <c r="A104" s="3"/>
      <c r="B104" s="4"/>
      <c r="C104" s="4"/>
      <c r="D104" s="4"/>
      <c r="E104" s="4"/>
      <c r="F104" s="4"/>
      <c r="G104" s="4"/>
      <c r="H104" s="4"/>
      <c r="I104" s="4"/>
      <c r="J104" s="4"/>
      <c r="K104" s="4"/>
      <c r="L104" s="4"/>
      <c r="M104" s="4"/>
      <c r="N104" s="4"/>
      <c r="O104" s="4"/>
      <c r="P104" s="4"/>
      <c r="Q104" s="4"/>
      <c r="R104" s="10"/>
      <c r="S104" s="7"/>
      <c r="T104" s="4"/>
      <c r="U104" s="4"/>
      <c r="V104" s="4"/>
      <c r="W104" s="4"/>
      <c r="X104" s="4"/>
      <c r="Y104" s="4"/>
      <c r="Z104" s="4"/>
      <c r="AA104" s="4"/>
      <c r="AB104" s="4"/>
      <c r="AC104" s="4"/>
      <c r="AD104" s="4"/>
      <c r="AE104" s="4"/>
      <c r="AF104" s="4"/>
      <c r="AG104" s="4"/>
      <c r="AH104" s="4"/>
      <c r="AI104" s="4"/>
    </row>
    <row r="105" spans="1:35" ht="60" customHeight="1" x14ac:dyDescent="0.2">
      <c r="A105" s="3"/>
      <c r="B105" s="4"/>
      <c r="C105" s="4"/>
      <c r="D105" s="4"/>
      <c r="E105" s="4"/>
      <c r="F105" s="4"/>
      <c r="G105" s="4"/>
      <c r="H105" s="4"/>
      <c r="I105" s="4"/>
      <c r="J105" s="4"/>
      <c r="K105" s="4"/>
      <c r="L105" s="4"/>
      <c r="M105" s="4"/>
      <c r="N105" s="4"/>
      <c r="O105" s="4"/>
      <c r="P105" s="4"/>
      <c r="Q105" s="4"/>
      <c r="R105" s="10"/>
      <c r="S105" s="10"/>
      <c r="T105" s="4"/>
      <c r="U105" s="4"/>
      <c r="V105" s="4"/>
      <c r="W105" s="4"/>
      <c r="X105" s="4"/>
      <c r="Y105" s="4"/>
      <c r="Z105" s="4"/>
      <c r="AA105" s="4"/>
      <c r="AB105" s="4"/>
      <c r="AC105" s="4"/>
      <c r="AD105" s="4"/>
      <c r="AE105" s="4"/>
      <c r="AF105" s="4"/>
      <c r="AG105" s="4"/>
      <c r="AH105" s="4"/>
      <c r="AI105" s="4"/>
    </row>
    <row r="106" spans="1:35" ht="60" customHeight="1" x14ac:dyDescent="0.2">
      <c r="A106" s="3"/>
      <c r="B106" s="4"/>
      <c r="C106" s="4"/>
      <c r="D106" s="4"/>
      <c r="E106" s="4"/>
      <c r="F106" s="4"/>
      <c r="G106" s="4"/>
      <c r="H106" s="4"/>
      <c r="I106" s="4"/>
      <c r="J106" s="4"/>
      <c r="K106" s="4"/>
      <c r="L106" s="4"/>
      <c r="M106" s="4"/>
      <c r="N106" s="4"/>
      <c r="O106" s="4"/>
      <c r="P106" s="4"/>
      <c r="Q106" s="4"/>
      <c r="R106" s="7"/>
      <c r="S106" s="7"/>
      <c r="T106" s="7"/>
      <c r="U106" s="7"/>
      <c r="V106" s="4"/>
      <c r="W106" s="4"/>
      <c r="X106" s="4"/>
      <c r="Y106" s="4"/>
      <c r="Z106" s="4"/>
      <c r="AA106" s="4"/>
      <c r="AB106" s="4"/>
      <c r="AC106" s="4"/>
      <c r="AD106" s="4"/>
      <c r="AE106" s="4"/>
      <c r="AF106" s="4"/>
      <c r="AG106" s="4"/>
      <c r="AH106" s="4"/>
      <c r="AI106" s="4"/>
    </row>
    <row r="107" spans="1:35" ht="60" customHeight="1" x14ac:dyDescent="0.2">
      <c r="A107" s="3"/>
      <c r="B107" s="4"/>
      <c r="C107" s="4"/>
      <c r="D107" s="4"/>
      <c r="E107" s="4"/>
      <c r="F107" s="4"/>
      <c r="G107" s="4"/>
      <c r="H107" s="4"/>
      <c r="I107" s="4"/>
      <c r="J107" s="4"/>
      <c r="K107" s="4"/>
      <c r="L107" s="4"/>
      <c r="M107" s="4"/>
      <c r="N107" s="4"/>
      <c r="O107" s="4"/>
      <c r="P107" s="4"/>
      <c r="Q107" s="4"/>
      <c r="R107" s="7"/>
      <c r="S107" s="7"/>
      <c r="T107" s="4"/>
      <c r="U107" s="4"/>
      <c r="V107" s="4"/>
      <c r="W107" s="4"/>
      <c r="X107" s="4"/>
      <c r="Y107" s="4"/>
      <c r="Z107" s="4"/>
      <c r="AA107" s="4"/>
      <c r="AB107" s="4"/>
      <c r="AC107" s="4"/>
      <c r="AD107" s="4"/>
      <c r="AE107" s="4"/>
      <c r="AF107" s="4"/>
      <c r="AG107" s="4"/>
      <c r="AH107" s="4"/>
      <c r="AI107" s="4"/>
    </row>
    <row r="108" spans="1:35" ht="60" customHeight="1" x14ac:dyDescent="0.2">
      <c r="A108" s="3"/>
      <c r="B108" s="4"/>
      <c r="C108" s="4"/>
      <c r="D108" s="4"/>
      <c r="E108" s="4"/>
      <c r="F108" s="4"/>
      <c r="G108" s="4"/>
      <c r="H108" s="4"/>
      <c r="I108" s="4"/>
      <c r="J108" s="4"/>
      <c r="K108" s="4"/>
      <c r="L108" s="4"/>
      <c r="M108" s="4"/>
      <c r="N108" s="4"/>
      <c r="O108" s="4"/>
      <c r="P108" s="4"/>
      <c r="Q108" s="4"/>
      <c r="R108" s="7"/>
      <c r="S108" s="7"/>
      <c r="T108" s="4"/>
      <c r="U108" s="4"/>
      <c r="V108" s="4"/>
      <c r="W108" s="4"/>
      <c r="X108" s="4"/>
      <c r="Y108" s="4"/>
      <c r="Z108" s="4"/>
      <c r="AA108" s="4"/>
      <c r="AB108" s="4"/>
      <c r="AC108" s="4"/>
      <c r="AD108" s="4"/>
      <c r="AE108" s="4"/>
      <c r="AF108" s="4"/>
      <c r="AG108" s="4"/>
      <c r="AH108" s="4"/>
      <c r="AI108" s="4"/>
    </row>
    <row r="109" spans="1:35" ht="60" customHeight="1" x14ac:dyDescent="0.2">
      <c r="A109" s="3"/>
      <c r="B109" s="4"/>
      <c r="C109" s="4"/>
      <c r="D109" s="4"/>
      <c r="E109" s="4"/>
      <c r="F109" s="4"/>
      <c r="G109" s="4"/>
      <c r="H109" s="4"/>
      <c r="I109" s="4"/>
      <c r="J109" s="4"/>
      <c r="K109" s="4"/>
      <c r="L109" s="4"/>
      <c r="M109" s="4"/>
      <c r="N109" s="4"/>
      <c r="O109" s="4"/>
      <c r="P109" s="4"/>
      <c r="Q109" s="4"/>
      <c r="R109" s="7"/>
      <c r="S109" s="4"/>
      <c r="T109" s="4"/>
      <c r="U109" s="4"/>
      <c r="V109" s="4"/>
      <c r="W109" s="4"/>
      <c r="X109" s="4"/>
      <c r="Y109" s="4"/>
      <c r="Z109" s="4"/>
      <c r="AA109" s="4"/>
      <c r="AB109" s="4"/>
      <c r="AC109" s="4"/>
      <c r="AD109" s="4"/>
      <c r="AE109" s="4"/>
      <c r="AF109" s="4"/>
      <c r="AG109" s="4"/>
      <c r="AH109" s="4"/>
      <c r="AI109" s="4"/>
    </row>
    <row r="110" spans="1:35" ht="60" customHeight="1" x14ac:dyDescent="0.2">
      <c r="A110" s="3"/>
      <c r="B110" s="4"/>
      <c r="C110" s="4"/>
      <c r="D110" s="4"/>
      <c r="E110" s="4"/>
      <c r="F110" s="4"/>
      <c r="G110" s="4"/>
      <c r="H110" s="4"/>
      <c r="I110" s="4"/>
      <c r="J110" s="4"/>
      <c r="K110" s="4"/>
      <c r="L110" s="4"/>
      <c r="M110" s="4"/>
      <c r="N110" s="4"/>
      <c r="O110" s="4"/>
      <c r="P110" s="4"/>
      <c r="Q110" s="4"/>
      <c r="R110" s="7"/>
      <c r="S110" s="4"/>
      <c r="T110" s="4"/>
      <c r="U110" s="4"/>
      <c r="V110" s="4"/>
      <c r="W110" s="4"/>
      <c r="X110" s="4"/>
      <c r="Y110" s="4"/>
      <c r="Z110" s="4"/>
      <c r="AA110" s="4"/>
      <c r="AB110" s="4"/>
      <c r="AC110" s="4"/>
      <c r="AD110" s="4"/>
      <c r="AE110" s="4"/>
      <c r="AF110" s="4"/>
      <c r="AG110" s="4"/>
      <c r="AH110" s="4"/>
      <c r="AI110" s="4"/>
    </row>
    <row r="111" spans="1:35" ht="60" customHeight="1" x14ac:dyDescent="0.2">
      <c r="A111" s="3"/>
      <c r="B111" s="4"/>
      <c r="C111" s="4"/>
      <c r="D111" s="4"/>
      <c r="E111" s="4"/>
      <c r="F111" s="4"/>
      <c r="G111" s="4"/>
      <c r="H111" s="4"/>
      <c r="I111" s="4"/>
      <c r="J111" s="4"/>
      <c r="K111" s="4"/>
      <c r="L111" s="4"/>
      <c r="M111" s="4"/>
      <c r="N111" s="4"/>
      <c r="O111" s="4"/>
      <c r="P111" s="38"/>
      <c r="Q111" s="4"/>
      <c r="R111" s="7"/>
      <c r="S111" s="4"/>
      <c r="T111" s="8"/>
      <c r="U111" s="8"/>
      <c r="V111" s="4"/>
      <c r="W111" s="4"/>
      <c r="X111" s="4"/>
      <c r="Y111" s="4"/>
      <c r="Z111" s="4"/>
      <c r="AA111" s="4"/>
      <c r="AB111" s="4"/>
      <c r="AC111" s="4"/>
      <c r="AD111" s="4"/>
      <c r="AE111" s="4"/>
      <c r="AF111" s="4"/>
      <c r="AG111" s="4"/>
      <c r="AH111" s="4"/>
      <c r="AI111" s="4"/>
    </row>
    <row r="112" spans="1:35" ht="60" customHeight="1" x14ac:dyDescent="0.2">
      <c r="A112" s="3"/>
      <c r="B112" s="4"/>
      <c r="C112" s="4"/>
      <c r="D112" s="4"/>
      <c r="E112" s="4"/>
      <c r="F112" s="4"/>
      <c r="G112" s="4"/>
      <c r="H112" s="4"/>
      <c r="I112" s="4"/>
      <c r="J112" s="4"/>
      <c r="K112" s="4"/>
      <c r="L112" s="4"/>
      <c r="M112" s="4"/>
      <c r="N112" s="4"/>
      <c r="O112" s="4"/>
      <c r="P112" s="4"/>
      <c r="Q112" s="4"/>
      <c r="R112" s="7"/>
      <c r="S112" s="8"/>
      <c r="T112" s="8"/>
      <c r="U112" s="8"/>
      <c r="V112" s="4"/>
      <c r="W112" s="4"/>
      <c r="X112" s="4"/>
      <c r="Y112" s="4"/>
      <c r="Z112" s="4"/>
      <c r="AA112" s="4"/>
      <c r="AB112" s="4"/>
      <c r="AC112" s="4"/>
      <c r="AD112" s="4"/>
      <c r="AE112" s="4"/>
      <c r="AF112" s="4"/>
      <c r="AG112" s="4"/>
      <c r="AH112" s="4"/>
      <c r="AI112" s="4"/>
    </row>
    <row r="113" spans="1:35" ht="60" customHeight="1" x14ac:dyDescent="0.2">
      <c r="A113" s="3"/>
      <c r="B113" s="4"/>
      <c r="C113" s="9"/>
      <c r="D113" s="9"/>
      <c r="E113" s="4"/>
      <c r="F113" s="4"/>
      <c r="G113" s="4"/>
      <c r="H113" s="4"/>
      <c r="I113" s="4"/>
      <c r="J113" s="4"/>
      <c r="K113" s="4"/>
      <c r="L113" s="4"/>
      <c r="M113" s="4"/>
      <c r="N113" s="4"/>
      <c r="O113" s="4"/>
      <c r="P113" s="4"/>
      <c r="Q113" s="4"/>
      <c r="R113" s="7"/>
      <c r="S113" s="7"/>
      <c r="T113" s="7"/>
      <c r="U113" s="4"/>
      <c r="V113" s="4"/>
      <c r="W113" s="4"/>
      <c r="X113" s="4"/>
      <c r="Y113" s="4"/>
      <c r="Z113" s="4"/>
      <c r="AA113" s="4"/>
      <c r="AB113" s="4"/>
      <c r="AC113" s="4"/>
      <c r="AD113" s="4"/>
      <c r="AE113" s="4"/>
      <c r="AF113" s="4"/>
      <c r="AG113" s="4"/>
      <c r="AH113" s="4"/>
      <c r="AI113" s="4"/>
    </row>
    <row r="114" spans="1:35" ht="60" customHeight="1" x14ac:dyDescent="0.2">
      <c r="A114" s="3"/>
      <c r="B114" s="4"/>
      <c r="C114" s="4"/>
      <c r="D114" s="4"/>
      <c r="E114" s="4"/>
      <c r="F114" s="4"/>
      <c r="G114" s="4"/>
      <c r="H114" s="4"/>
      <c r="I114" s="4"/>
      <c r="J114" s="4"/>
      <c r="K114" s="4"/>
      <c r="L114" s="4"/>
      <c r="M114" s="4"/>
      <c r="N114" s="4"/>
      <c r="O114" s="4"/>
      <c r="P114" s="4"/>
      <c r="Q114" s="4"/>
      <c r="R114" s="10"/>
      <c r="S114" s="10"/>
      <c r="T114" s="4"/>
      <c r="U114" s="4"/>
      <c r="V114" s="4"/>
      <c r="W114" s="4"/>
      <c r="X114" s="4"/>
      <c r="Y114" s="4"/>
      <c r="Z114" s="4"/>
      <c r="AA114" s="4"/>
      <c r="AB114" s="4"/>
      <c r="AC114" s="4"/>
      <c r="AD114" s="4"/>
      <c r="AE114" s="4"/>
      <c r="AF114" s="4"/>
      <c r="AG114" s="4"/>
      <c r="AH114" s="4"/>
      <c r="AI114" s="4"/>
    </row>
    <row r="115" spans="1:35" ht="60" customHeight="1" x14ac:dyDescent="0.2">
      <c r="A115" s="3"/>
      <c r="B115" s="4"/>
      <c r="C115" s="4"/>
      <c r="D115" s="4"/>
      <c r="E115" s="4"/>
      <c r="F115" s="4"/>
      <c r="G115" s="4"/>
      <c r="H115" s="4"/>
      <c r="I115" s="4"/>
      <c r="J115" s="4"/>
      <c r="K115" s="4"/>
      <c r="L115" s="4"/>
      <c r="M115" s="4"/>
      <c r="N115" s="4"/>
      <c r="O115" s="4"/>
      <c r="P115" s="4"/>
      <c r="Q115" s="4"/>
      <c r="R115" s="10"/>
      <c r="S115" s="4"/>
      <c r="T115" s="4"/>
      <c r="U115" s="4"/>
      <c r="V115" s="4"/>
      <c r="W115" s="4"/>
      <c r="X115" s="4"/>
      <c r="Y115" s="4"/>
      <c r="Z115" s="4"/>
      <c r="AA115" s="4"/>
      <c r="AB115" s="4"/>
      <c r="AC115" s="4"/>
      <c r="AD115" s="4"/>
      <c r="AE115" s="4"/>
      <c r="AF115" s="4"/>
      <c r="AG115" s="4"/>
      <c r="AH115" s="4"/>
      <c r="AI115" s="4"/>
    </row>
    <row r="116" spans="1:35" ht="60" customHeight="1" x14ac:dyDescent="0.2">
      <c r="A116" s="3"/>
      <c r="B116" s="4"/>
      <c r="C116" s="4"/>
      <c r="D116" s="4"/>
      <c r="E116" s="4"/>
      <c r="F116" s="4"/>
      <c r="G116" s="4"/>
      <c r="H116" s="4"/>
      <c r="I116" s="4"/>
      <c r="J116" s="4"/>
      <c r="K116" s="4"/>
      <c r="L116" s="4"/>
      <c r="M116" s="4"/>
      <c r="N116" s="4"/>
      <c r="O116" s="4"/>
      <c r="P116" s="4"/>
      <c r="Q116" s="4"/>
      <c r="R116" s="7"/>
      <c r="S116" s="4"/>
      <c r="T116" s="4"/>
      <c r="U116" s="4"/>
      <c r="V116" s="4"/>
      <c r="W116" s="4"/>
      <c r="X116" s="4"/>
      <c r="Y116" s="4"/>
      <c r="Z116" s="4"/>
      <c r="AA116" s="4"/>
      <c r="AB116" s="4"/>
      <c r="AC116" s="4"/>
      <c r="AD116" s="4"/>
      <c r="AE116" s="4"/>
      <c r="AF116" s="4"/>
      <c r="AG116" s="4"/>
      <c r="AH116" s="4"/>
      <c r="AI116" s="4"/>
    </row>
    <row r="117" spans="1:35" ht="60" customHeight="1" x14ac:dyDescent="0.2">
      <c r="A117" s="3"/>
      <c r="B117" s="4"/>
      <c r="C117" s="4"/>
      <c r="D117" s="4"/>
      <c r="E117" s="4"/>
      <c r="F117" s="4"/>
      <c r="G117" s="4"/>
      <c r="H117" s="4"/>
      <c r="I117" s="4"/>
      <c r="J117" s="4"/>
      <c r="K117" s="4"/>
      <c r="L117" s="4"/>
      <c r="M117" s="4"/>
      <c r="N117" s="4"/>
      <c r="O117" s="4"/>
      <c r="P117" s="4"/>
      <c r="Q117" s="4"/>
      <c r="R117" s="7"/>
      <c r="S117" s="7"/>
      <c r="T117" s="4"/>
      <c r="U117" s="4"/>
      <c r="V117" s="4"/>
      <c r="W117" s="4"/>
      <c r="X117" s="4"/>
      <c r="Y117" s="4"/>
      <c r="Z117" s="4"/>
      <c r="AA117" s="4"/>
      <c r="AB117" s="4"/>
      <c r="AC117" s="4"/>
      <c r="AD117" s="4"/>
      <c r="AE117" s="4"/>
      <c r="AF117" s="4"/>
      <c r="AG117" s="4"/>
      <c r="AH117" s="4"/>
      <c r="AI117" s="4"/>
    </row>
    <row r="118" spans="1:35" ht="60" customHeight="1" x14ac:dyDescent="0.2">
      <c r="A118" s="3"/>
      <c r="B118" s="4"/>
      <c r="C118" s="4"/>
      <c r="D118" s="4"/>
      <c r="E118" s="4"/>
      <c r="F118" s="4"/>
      <c r="G118" s="4"/>
      <c r="H118" s="4"/>
      <c r="I118" s="4"/>
      <c r="J118" s="4"/>
      <c r="K118" s="4"/>
      <c r="L118" s="4"/>
      <c r="M118" s="4"/>
      <c r="N118" s="4"/>
      <c r="O118" s="4"/>
      <c r="P118" s="4"/>
      <c r="Q118" s="4"/>
      <c r="R118" s="7"/>
      <c r="S118" s="7"/>
      <c r="T118" s="4"/>
      <c r="U118" s="4"/>
      <c r="V118" s="4"/>
      <c r="W118" s="4"/>
      <c r="X118" s="4"/>
      <c r="Y118" s="4"/>
      <c r="Z118" s="4"/>
      <c r="AA118" s="4"/>
      <c r="AB118" s="4"/>
      <c r="AC118" s="4"/>
      <c r="AD118" s="4"/>
      <c r="AE118" s="4"/>
      <c r="AF118" s="4"/>
      <c r="AG118" s="4"/>
      <c r="AH118" s="4"/>
      <c r="AI118" s="4"/>
    </row>
    <row r="119" spans="1:35" ht="60" customHeight="1" x14ac:dyDescent="0.2">
      <c r="A119" s="3"/>
      <c r="B119" s="4"/>
      <c r="C119" s="4"/>
      <c r="D119" s="4"/>
      <c r="E119" s="4"/>
      <c r="F119" s="4"/>
      <c r="G119" s="4"/>
      <c r="H119" s="4"/>
      <c r="I119" s="4"/>
      <c r="J119" s="4"/>
      <c r="K119" s="4"/>
      <c r="L119" s="4"/>
      <c r="M119" s="4"/>
      <c r="N119" s="4"/>
      <c r="O119" s="4"/>
      <c r="P119" s="4"/>
      <c r="Q119" s="4"/>
      <c r="R119" s="7"/>
      <c r="S119" s="10"/>
      <c r="T119" s="10"/>
      <c r="U119" s="4"/>
      <c r="V119" s="4"/>
      <c r="W119" s="4"/>
      <c r="X119" s="4"/>
      <c r="Y119" s="4"/>
      <c r="Z119" s="4"/>
      <c r="AA119" s="4"/>
      <c r="AB119" s="4"/>
      <c r="AC119" s="4"/>
      <c r="AD119" s="4"/>
      <c r="AE119" s="4"/>
      <c r="AF119" s="4"/>
      <c r="AG119" s="4"/>
      <c r="AH119" s="4"/>
      <c r="AI119" s="4"/>
    </row>
    <row r="120" spans="1:35" ht="60" customHeight="1" x14ac:dyDescent="0.2">
      <c r="A120" s="3"/>
      <c r="B120" s="4"/>
      <c r="C120" s="4"/>
      <c r="D120" s="4"/>
      <c r="E120" s="4"/>
      <c r="F120" s="4"/>
      <c r="G120" s="4"/>
      <c r="H120" s="4"/>
      <c r="I120" s="4"/>
      <c r="J120" s="4"/>
      <c r="K120" s="4"/>
      <c r="L120" s="4"/>
      <c r="M120" s="4"/>
      <c r="N120" s="4"/>
      <c r="O120" s="4"/>
      <c r="P120" s="4"/>
      <c r="Q120" s="4"/>
      <c r="R120" s="7"/>
      <c r="S120" s="4"/>
      <c r="T120" s="4"/>
      <c r="U120" s="4"/>
      <c r="V120" s="4"/>
      <c r="W120" s="4"/>
      <c r="X120" s="7"/>
      <c r="Y120" s="4"/>
      <c r="Z120" s="4"/>
      <c r="AA120" s="4"/>
      <c r="AB120" s="4"/>
      <c r="AC120" s="4"/>
      <c r="AD120" s="4"/>
      <c r="AE120" s="4"/>
      <c r="AF120" s="4"/>
      <c r="AG120" s="4"/>
      <c r="AH120" s="4"/>
      <c r="AI120" s="4"/>
    </row>
    <row r="121" spans="1:35" ht="60" customHeight="1" x14ac:dyDescent="0.2">
      <c r="A121" s="3"/>
      <c r="B121" s="4"/>
      <c r="C121" s="4"/>
      <c r="D121" s="4"/>
      <c r="E121" s="4"/>
      <c r="F121" s="4"/>
      <c r="G121" s="4"/>
      <c r="H121" s="4"/>
      <c r="I121" s="4"/>
      <c r="J121" s="4"/>
      <c r="K121" s="4"/>
      <c r="L121" s="4"/>
      <c r="M121" s="4"/>
      <c r="N121" s="4"/>
      <c r="O121" s="4"/>
      <c r="P121" s="4"/>
      <c r="Q121" s="4"/>
      <c r="R121" s="10"/>
      <c r="S121" s="10"/>
      <c r="T121" s="4"/>
      <c r="U121" s="4"/>
      <c r="V121" s="4"/>
      <c r="W121" s="4"/>
      <c r="X121" s="4"/>
      <c r="Y121" s="4"/>
      <c r="Z121" s="4"/>
      <c r="AA121" s="4"/>
      <c r="AB121" s="4"/>
      <c r="AC121" s="4"/>
      <c r="AD121" s="4"/>
      <c r="AE121" s="4"/>
      <c r="AF121" s="4"/>
      <c r="AG121" s="4"/>
      <c r="AH121" s="4"/>
      <c r="AI121" s="4"/>
    </row>
    <row r="122" spans="1:35" ht="60" customHeight="1" x14ac:dyDescent="0.2">
      <c r="A122" s="3"/>
      <c r="B122" s="4"/>
      <c r="C122" s="4"/>
      <c r="D122" s="4"/>
      <c r="E122" s="4"/>
      <c r="F122" s="4"/>
      <c r="G122" s="4"/>
      <c r="H122" s="4"/>
      <c r="I122" s="4"/>
      <c r="J122" s="4"/>
      <c r="K122" s="4"/>
      <c r="L122" s="4"/>
      <c r="M122" s="4"/>
      <c r="N122" s="4"/>
      <c r="O122" s="4"/>
      <c r="P122" s="4"/>
      <c r="Q122" s="4"/>
      <c r="R122" s="7"/>
      <c r="S122" s="10"/>
      <c r="T122" s="4"/>
      <c r="U122" s="4"/>
      <c r="V122" s="4"/>
      <c r="W122" s="4"/>
      <c r="X122" s="4"/>
      <c r="Y122" s="4"/>
      <c r="Z122" s="4"/>
      <c r="AA122" s="4"/>
      <c r="AB122" s="4"/>
      <c r="AC122" s="4"/>
      <c r="AD122" s="4"/>
      <c r="AE122" s="4"/>
      <c r="AF122" s="4"/>
      <c r="AG122" s="4"/>
      <c r="AH122" s="4"/>
      <c r="AI122" s="4"/>
    </row>
    <row r="123" spans="1:35" ht="60" customHeight="1" x14ac:dyDescent="0.2">
      <c r="A123" s="3"/>
      <c r="B123" s="4"/>
      <c r="C123" s="4"/>
      <c r="D123" s="4"/>
      <c r="E123" s="4"/>
      <c r="F123" s="4"/>
      <c r="G123" s="4"/>
      <c r="H123" s="4"/>
      <c r="I123" s="4"/>
      <c r="J123" s="4"/>
      <c r="K123" s="4"/>
      <c r="L123" s="4"/>
      <c r="M123" s="4"/>
      <c r="N123" s="4"/>
      <c r="O123" s="4"/>
      <c r="P123" s="4"/>
      <c r="Q123" s="4"/>
      <c r="R123" s="7"/>
      <c r="S123" s="4"/>
      <c r="T123" s="4"/>
      <c r="U123" s="4"/>
      <c r="V123" s="4"/>
      <c r="W123" s="4"/>
      <c r="X123" s="4"/>
      <c r="Y123" s="4"/>
      <c r="Z123" s="4"/>
      <c r="AA123" s="4"/>
      <c r="AB123" s="4"/>
      <c r="AC123" s="4"/>
      <c r="AD123" s="4"/>
      <c r="AE123" s="4"/>
      <c r="AF123" s="4"/>
      <c r="AG123" s="4"/>
      <c r="AH123" s="4"/>
      <c r="AI123" s="4"/>
    </row>
    <row r="124" spans="1:35" ht="60" customHeight="1" x14ac:dyDescent="0.2">
      <c r="A124" s="3"/>
      <c r="B124" s="4"/>
      <c r="C124" s="4"/>
      <c r="D124" s="4"/>
      <c r="E124" s="4"/>
      <c r="F124" s="4"/>
      <c r="G124" s="4"/>
      <c r="H124" s="4"/>
      <c r="I124" s="4"/>
      <c r="J124" s="4"/>
      <c r="K124" s="4"/>
      <c r="L124" s="4"/>
      <c r="M124" s="4"/>
      <c r="N124" s="4"/>
      <c r="O124" s="4"/>
      <c r="P124" s="4"/>
      <c r="Q124" s="4"/>
      <c r="R124" s="7"/>
      <c r="S124" s="7"/>
      <c r="T124" s="4"/>
      <c r="U124" s="4"/>
      <c r="V124" s="4"/>
      <c r="W124" s="4"/>
      <c r="X124" s="4"/>
      <c r="Y124" s="4"/>
      <c r="Z124" s="4"/>
      <c r="AA124" s="4"/>
      <c r="AB124" s="4"/>
      <c r="AC124" s="4"/>
      <c r="AD124" s="4"/>
      <c r="AE124" s="4"/>
      <c r="AF124" s="4"/>
      <c r="AG124" s="4"/>
      <c r="AH124" s="4"/>
      <c r="AI124" s="4"/>
    </row>
    <row r="125" spans="1:35" ht="60" customHeight="1" x14ac:dyDescent="0.2">
      <c r="A125" s="3"/>
      <c r="B125" s="4"/>
      <c r="C125" s="4"/>
      <c r="D125" s="4"/>
      <c r="E125" s="4"/>
      <c r="F125" s="4"/>
      <c r="G125" s="4"/>
      <c r="H125" s="4"/>
      <c r="I125" s="4"/>
      <c r="J125" s="4"/>
      <c r="K125" s="4"/>
      <c r="L125" s="4"/>
      <c r="M125" s="4"/>
      <c r="N125" s="4"/>
      <c r="O125" s="4"/>
      <c r="P125" s="4"/>
      <c r="Q125" s="4"/>
      <c r="R125" s="19"/>
      <c r="S125" s="7"/>
      <c r="T125" s="4"/>
      <c r="U125" s="4"/>
      <c r="V125" s="4"/>
      <c r="W125" s="4"/>
      <c r="X125" s="4"/>
      <c r="Y125" s="4"/>
      <c r="Z125" s="4"/>
      <c r="AA125" s="4"/>
      <c r="AB125" s="4"/>
      <c r="AC125" s="4"/>
      <c r="AD125" s="4"/>
      <c r="AE125" s="4"/>
      <c r="AF125" s="4"/>
      <c r="AG125" s="4"/>
      <c r="AH125" s="4"/>
      <c r="AI125" s="4"/>
    </row>
    <row r="126" spans="1:35" ht="60" customHeight="1" x14ac:dyDescent="0.2">
      <c r="A126" s="3"/>
      <c r="B126" s="4"/>
      <c r="C126" s="4"/>
      <c r="D126" s="4"/>
      <c r="E126" s="4"/>
      <c r="F126" s="4"/>
      <c r="G126" s="4"/>
      <c r="H126" s="4"/>
      <c r="I126" s="4"/>
      <c r="J126" s="4"/>
      <c r="K126" s="4"/>
      <c r="L126" s="4"/>
      <c r="M126" s="4"/>
      <c r="N126" s="4"/>
      <c r="O126" s="4"/>
      <c r="P126" s="4"/>
      <c r="Q126" s="4"/>
      <c r="R126" s="7"/>
      <c r="S126" s="7"/>
      <c r="T126" s="4"/>
      <c r="U126" s="4"/>
      <c r="V126" s="4"/>
      <c r="W126" s="4"/>
      <c r="X126" s="4"/>
      <c r="Y126" s="4"/>
      <c r="Z126" s="4"/>
      <c r="AA126" s="4"/>
      <c r="AB126" s="4"/>
      <c r="AC126" s="4"/>
      <c r="AD126" s="4"/>
      <c r="AE126" s="4"/>
      <c r="AF126" s="4"/>
      <c r="AG126" s="4"/>
      <c r="AH126" s="4"/>
      <c r="AI126" s="4"/>
    </row>
    <row r="127" spans="1:35" ht="60" customHeight="1" x14ac:dyDescent="0.2">
      <c r="A127" s="3"/>
      <c r="B127" s="4"/>
      <c r="C127" s="4"/>
      <c r="D127" s="4"/>
      <c r="E127" s="9"/>
      <c r="F127" s="9"/>
      <c r="G127" s="9"/>
      <c r="H127" s="4"/>
      <c r="I127" s="4"/>
      <c r="J127" s="4"/>
      <c r="K127" s="4"/>
      <c r="L127" s="4"/>
      <c r="M127" s="4"/>
      <c r="N127" s="4"/>
      <c r="O127" s="4"/>
      <c r="P127" s="4"/>
      <c r="Q127" s="4"/>
      <c r="R127" s="10"/>
      <c r="S127" s="10"/>
      <c r="T127" s="18"/>
      <c r="U127" s="4"/>
      <c r="V127" s="4"/>
      <c r="W127" s="4"/>
      <c r="X127" s="4"/>
      <c r="Y127" s="4"/>
      <c r="Z127" s="4"/>
      <c r="AA127" s="4"/>
      <c r="AB127" s="4"/>
      <c r="AC127" s="4"/>
      <c r="AD127" s="4"/>
      <c r="AE127" s="4"/>
      <c r="AF127" s="4"/>
      <c r="AG127" s="4"/>
      <c r="AH127" s="4"/>
      <c r="AI127" s="4"/>
    </row>
    <row r="128" spans="1:35" ht="60" customHeight="1" x14ac:dyDescent="0.2">
      <c r="A128" s="3"/>
      <c r="B128" s="4"/>
      <c r="C128" s="4"/>
      <c r="D128" s="4"/>
      <c r="E128" s="4"/>
      <c r="F128" s="4"/>
      <c r="G128" s="4"/>
      <c r="H128" s="4"/>
      <c r="I128" s="4"/>
      <c r="J128" s="4"/>
      <c r="K128" s="4"/>
      <c r="L128" s="4"/>
      <c r="M128" s="4"/>
      <c r="N128" s="4"/>
      <c r="O128" s="4"/>
      <c r="P128" s="4"/>
      <c r="Q128" s="4"/>
      <c r="R128" s="10"/>
      <c r="S128" s="4"/>
      <c r="T128" s="4"/>
      <c r="U128" s="4"/>
      <c r="V128" s="4"/>
      <c r="W128" s="4"/>
      <c r="X128" s="4"/>
      <c r="Y128" s="4"/>
      <c r="Z128" s="4"/>
      <c r="AA128" s="4"/>
      <c r="AB128" s="4"/>
      <c r="AC128" s="4"/>
      <c r="AD128" s="4"/>
      <c r="AE128" s="4"/>
      <c r="AF128" s="4"/>
      <c r="AG128" s="4"/>
      <c r="AH128" s="4"/>
      <c r="AI128" s="4"/>
    </row>
    <row r="129" spans="1:35" ht="60" customHeight="1" x14ac:dyDescent="0.2">
      <c r="A129" s="3"/>
      <c r="B129" s="4"/>
      <c r="C129" s="4"/>
      <c r="D129" s="4"/>
      <c r="E129" s="4"/>
      <c r="F129" s="4"/>
      <c r="G129" s="4"/>
      <c r="H129" s="4"/>
      <c r="I129" s="4"/>
      <c r="J129" s="4"/>
      <c r="K129" s="4"/>
      <c r="L129" s="4"/>
      <c r="M129" s="4"/>
      <c r="N129" s="4"/>
      <c r="O129" s="4"/>
      <c r="P129" s="39"/>
      <c r="Q129" s="4"/>
      <c r="R129" s="10"/>
      <c r="S129" s="4"/>
      <c r="T129" s="4"/>
      <c r="U129" s="4"/>
      <c r="V129" s="4"/>
      <c r="W129" s="4"/>
      <c r="X129" s="4"/>
      <c r="Y129" s="4"/>
      <c r="Z129" s="4"/>
      <c r="AA129" s="4"/>
      <c r="AB129" s="4"/>
      <c r="AC129" s="4"/>
      <c r="AD129" s="4"/>
      <c r="AE129" s="4"/>
      <c r="AF129" s="4"/>
      <c r="AG129" s="4"/>
      <c r="AH129" s="4"/>
      <c r="AI129" s="4"/>
    </row>
    <row r="130" spans="1:35" ht="60" customHeight="1" x14ac:dyDescent="0.2">
      <c r="A130" s="3"/>
      <c r="B130" s="4"/>
      <c r="C130" s="4"/>
      <c r="D130" s="4"/>
      <c r="E130" s="4"/>
      <c r="F130" s="4"/>
      <c r="G130" s="4"/>
      <c r="H130" s="4"/>
      <c r="I130" s="4"/>
      <c r="J130" s="4"/>
      <c r="K130" s="4"/>
      <c r="L130" s="4"/>
      <c r="M130" s="4"/>
      <c r="N130" s="4"/>
      <c r="O130" s="4"/>
      <c r="P130" s="4"/>
      <c r="Q130" s="4"/>
      <c r="R130" s="7"/>
      <c r="S130" s="7"/>
      <c r="T130" s="7"/>
      <c r="U130" s="7"/>
      <c r="V130" s="4"/>
      <c r="W130" s="4"/>
      <c r="X130" s="4"/>
      <c r="Y130" s="4"/>
      <c r="Z130" s="4"/>
      <c r="AA130" s="4"/>
      <c r="AB130" s="4"/>
      <c r="AC130" s="4"/>
      <c r="AD130" s="4"/>
      <c r="AE130" s="4"/>
      <c r="AF130" s="4"/>
      <c r="AG130" s="4"/>
      <c r="AH130" s="4"/>
      <c r="AI130" s="4"/>
    </row>
    <row r="131" spans="1:35" ht="60" customHeight="1" x14ac:dyDescent="0.2">
      <c r="A131" s="3"/>
      <c r="B131" s="4"/>
      <c r="C131" s="4"/>
      <c r="D131" s="4"/>
      <c r="E131" s="4"/>
      <c r="F131" s="4"/>
      <c r="G131" s="4"/>
      <c r="H131" s="4"/>
      <c r="I131" s="4"/>
      <c r="J131" s="4"/>
      <c r="K131" s="4"/>
      <c r="L131" s="4"/>
      <c r="M131" s="4"/>
      <c r="N131" s="4"/>
      <c r="O131" s="4"/>
      <c r="P131" s="4"/>
      <c r="Q131" s="4"/>
      <c r="R131" s="7"/>
      <c r="S131" s="4"/>
      <c r="T131" s="4"/>
      <c r="U131" s="4"/>
      <c r="V131" s="4"/>
      <c r="W131" s="4"/>
      <c r="X131" s="4"/>
      <c r="Y131" s="4"/>
      <c r="Z131" s="4"/>
      <c r="AA131" s="4"/>
      <c r="AB131" s="4"/>
      <c r="AC131" s="4"/>
      <c r="AD131" s="4"/>
      <c r="AE131" s="4"/>
      <c r="AF131" s="4"/>
      <c r="AG131" s="4"/>
      <c r="AH131" s="4"/>
      <c r="AI131" s="4"/>
    </row>
    <row r="132" spans="1:35" ht="60" customHeight="1" x14ac:dyDescent="0.2">
      <c r="A132" s="3"/>
      <c r="B132" s="4"/>
      <c r="C132" s="4"/>
      <c r="D132" s="4"/>
      <c r="E132" s="4"/>
      <c r="F132" s="4"/>
      <c r="G132" s="4"/>
      <c r="H132" s="4"/>
      <c r="I132" s="4"/>
      <c r="J132" s="4"/>
      <c r="K132" s="4"/>
      <c r="L132" s="4"/>
      <c r="M132" s="4"/>
      <c r="N132" s="4"/>
      <c r="O132" s="4"/>
      <c r="P132" s="4"/>
      <c r="Q132" s="4"/>
      <c r="R132" s="7"/>
      <c r="S132" s="4"/>
      <c r="T132" s="4"/>
      <c r="U132" s="4"/>
      <c r="V132" s="4"/>
      <c r="W132" s="4"/>
      <c r="X132" s="4"/>
      <c r="Y132" s="4"/>
      <c r="Z132" s="4"/>
      <c r="AA132" s="4"/>
      <c r="AB132" s="4"/>
      <c r="AC132" s="4"/>
      <c r="AD132" s="4"/>
      <c r="AE132" s="4"/>
      <c r="AF132" s="4"/>
      <c r="AG132" s="4"/>
      <c r="AH132" s="4"/>
      <c r="AI132" s="4"/>
    </row>
    <row r="133" spans="1:35" ht="60" customHeight="1" x14ac:dyDescent="0.2">
      <c r="A133" s="3"/>
      <c r="B133" s="4"/>
      <c r="C133" s="4"/>
      <c r="D133" s="4"/>
      <c r="E133" s="4"/>
      <c r="F133" s="4"/>
      <c r="G133" s="4"/>
      <c r="H133" s="4"/>
      <c r="I133" s="4"/>
      <c r="J133" s="4"/>
      <c r="K133" s="4"/>
      <c r="L133" s="4"/>
      <c r="M133" s="4"/>
      <c r="N133" s="4"/>
      <c r="O133" s="4"/>
      <c r="P133" s="4"/>
      <c r="Q133" s="4"/>
      <c r="R133" s="7"/>
      <c r="S133" s="4"/>
      <c r="T133" s="4"/>
      <c r="U133" s="4"/>
      <c r="V133" s="4"/>
      <c r="W133" s="4"/>
      <c r="X133" s="4"/>
      <c r="Y133" s="4"/>
      <c r="Z133" s="4"/>
      <c r="AA133" s="4"/>
      <c r="AB133" s="4"/>
      <c r="AC133" s="4"/>
      <c r="AD133" s="4"/>
      <c r="AE133" s="4"/>
      <c r="AF133" s="4"/>
      <c r="AG133" s="4"/>
      <c r="AH133" s="4"/>
      <c r="AI133" s="4"/>
    </row>
    <row r="134" spans="1:35" ht="60" customHeight="1" x14ac:dyDescent="0.2">
      <c r="A134" s="3"/>
      <c r="B134" s="4"/>
      <c r="C134" s="4"/>
      <c r="D134" s="4"/>
      <c r="E134" s="4"/>
      <c r="F134" s="4"/>
      <c r="G134" s="4"/>
      <c r="H134" s="4"/>
      <c r="I134" s="4"/>
      <c r="J134" s="4"/>
      <c r="K134" s="4"/>
      <c r="L134" s="4"/>
      <c r="M134" s="4"/>
      <c r="N134" s="4"/>
      <c r="O134" s="4"/>
      <c r="P134" s="4"/>
      <c r="Q134" s="4"/>
      <c r="R134" s="7"/>
      <c r="S134" s="7"/>
      <c r="T134" s="4"/>
      <c r="U134" s="4"/>
      <c r="V134" s="4"/>
      <c r="W134" s="4"/>
      <c r="X134" s="4"/>
      <c r="Y134" s="4"/>
      <c r="Z134" s="4"/>
      <c r="AA134" s="4"/>
      <c r="AB134" s="4"/>
      <c r="AC134" s="4"/>
      <c r="AD134" s="4"/>
      <c r="AE134" s="4"/>
      <c r="AF134" s="4"/>
      <c r="AG134" s="4"/>
      <c r="AH134" s="4"/>
      <c r="AI134" s="4"/>
    </row>
    <row r="135" spans="1:35" ht="60" customHeight="1" x14ac:dyDescent="0.2">
      <c r="A135" s="3"/>
      <c r="B135" s="4"/>
      <c r="C135" s="4"/>
      <c r="D135" s="4"/>
      <c r="E135" s="4"/>
      <c r="F135" s="4"/>
      <c r="G135" s="4"/>
      <c r="H135" s="4"/>
      <c r="I135" s="4"/>
      <c r="J135" s="4"/>
      <c r="K135" s="4"/>
      <c r="L135" s="4"/>
      <c r="M135" s="4"/>
      <c r="N135" s="4"/>
      <c r="O135" s="4"/>
      <c r="P135" s="4"/>
      <c r="Q135" s="4"/>
      <c r="R135" s="7"/>
      <c r="S135" s="7"/>
      <c r="T135" s="7"/>
      <c r="U135" s="7"/>
      <c r="V135" s="4"/>
      <c r="W135" s="4"/>
      <c r="X135" s="4"/>
      <c r="Y135" s="4"/>
      <c r="Z135" s="4"/>
      <c r="AA135" s="4"/>
      <c r="AB135" s="4"/>
      <c r="AC135" s="4"/>
      <c r="AD135" s="4"/>
      <c r="AE135" s="4"/>
      <c r="AF135" s="4"/>
      <c r="AG135" s="4"/>
      <c r="AH135" s="4"/>
      <c r="AI135" s="4"/>
    </row>
    <row r="136" spans="1:35" ht="60" customHeight="1" x14ac:dyDescent="0.2">
      <c r="A136" s="3"/>
      <c r="B136" s="4"/>
      <c r="C136" s="4"/>
      <c r="D136" s="4"/>
      <c r="E136" s="4"/>
      <c r="F136" s="4"/>
      <c r="G136" s="4"/>
      <c r="H136" s="4"/>
      <c r="I136" s="4"/>
      <c r="J136" s="4"/>
      <c r="K136" s="4"/>
      <c r="L136" s="4"/>
      <c r="M136" s="4"/>
      <c r="N136" s="4"/>
      <c r="O136" s="4"/>
      <c r="P136" s="4"/>
      <c r="Q136" s="4"/>
      <c r="R136" s="7"/>
      <c r="S136" s="7"/>
      <c r="T136" s="4"/>
      <c r="U136" s="4"/>
      <c r="V136" s="4"/>
      <c r="W136" s="4"/>
      <c r="X136" s="4"/>
      <c r="Y136" s="4"/>
      <c r="Z136" s="4"/>
      <c r="AA136" s="4"/>
      <c r="AB136" s="4"/>
      <c r="AC136" s="4"/>
      <c r="AD136" s="4"/>
      <c r="AE136" s="4"/>
      <c r="AF136" s="4"/>
      <c r="AG136" s="4"/>
      <c r="AH136" s="4"/>
      <c r="AI136" s="4"/>
    </row>
    <row r="137" spans="1:35" ht="60" customHeight="1" x14ac:dyDescent="0.2">
      <c r="A137" s="3"/>
      <c r="B137" s="4"/>
      <c r="C137" s="4"/>
      <c r="D137" s="4"/>
      <c r="E137" s="4"/>
      <c r="F137" s="4"/>
      <c r="G137" s="4"/>
      <c r="H137" s="4"/>
      <c r="I137" s="4"/>
      <c r="J137" s="4"/>
      <c r="K137" s="4"/>
      <c r="L137" s="4"/>
      <c r="M137" s="4"/>
      <c r="N137" s="4"/>
      <c r="O137" s="4"/>
      <c r="P137" s="4"/>
      <c r="Q137" s="4"/>
      <c r="R137" s="7"/>
      <c r="S137" s="7"/>
      <c r="T137" s="7"/>
      <c r="U137" s="7"/>
      <c r="V137" s="4"/>
      <c r="W137" s="4"/>
      <c r="X137" s="4"/>
      <c r="Y137" s="4"/>
      <c r="Z137" s="4"/>
      <c r="AA137" s="4"/>
      <c r="AB137" s="4"/>
      <c r="AC137" s="4"/>
      <c r="AD137" s="4"/>
      <c r="AE137" s="4"/>
      <c r="AF137" s="4"/>
      <c r="AG137" s="4"/>
      <c r="AH137" s="4"/>
      <c r="AI137" s="4"/>
    </row>
    <row r="138" spans="1:35" ht="60" customHeight="1" x14ac:dyDescent="0.2">
      <c r="A138" s="3"/>
      <c r="B138" s="4"/>
      <c r="C138" s="4"/>
      <c r="D138" s="4"/>
      <c r="E138" s="4"/>
      <c r="F138" s="4"/>
      <c r="G138" s="4"/>
      <c r="H138" s="4"/>
      <c r="I138" s="4"/>
      <c r="J138" s="4"/>
      <c r="K138" s="4"/>
      <c r="L138" s="4"/>
      <c r="M138" s="4"/>
      <c r="N138" s="4"/>
      <c r="O138" s="4"/>
      <c r="P138" s="7"/>
      <c r="Q138" s="7"/>
      <c r="R138" s="7"/>
      <c r="S138" s="7"/>
      <c r="T138" s="7"/>
      <c r="U138" s="7"/>
      <c r="V138" s="7"/>
      <c r="W138" s="4"/>
      <c r="X138" s="4"/>
      <c r="Y138" s="4"/>
      <c r="Z138" s="4"/>
      <c r="AA138" s="4"/>
      <c r="AB138" s="4"/>
      <c r="AC138" s="4"/>
      <c r="AD138" s="4"/>
      <c r="AE138" s="4"/>
      <c r="AF138" s="4"/>
      <c r="AG138" s="4"/>
      <c r="AH138" s="4"/>
      <c r="AI138" s="4"/>
    </row>
    <row r="139" spans="1:35" ht="60" customHeight="1" x14ac:dyDescent="0.2">
      <c r="A139" s="3"/>
      <c r="B139" s="4"/>
      <c r="C139" s="4"/>
      <c r="D139" s="4"/>
      <c r="E139" s="9"/>
      <c r="F139" s="9"/>
      <c r="G139" s="9"/>
      <c r="H139" s="4"/>
      <c r="I139" s="4"/>
      <c r="J139" s="4"/>
      <c r="K139" s="4"/>
      <c r="L139" s="4"/>
      <c r="M139" s="4"/>
      <c r="N139" s="4"/>
      <c r="O139" s="4"/>
      <c r="P139" s="4"/>
      <c r="Q139" s="4"/>
      <c r="R139" s="7"/>
      <c r="S139" s="7"/>
      <c r="T139" s="7"/>
      <c r="U139" s="7"/>
      <c r="V139" s="10"/>
      <c r="W139" s="4"/>
      <c r="X139" s="8"/>
      <c r="Y139" s="4"/>
      <c r="Z139" s="4"/>
      <c r="AA139" s="4"/>
      <c r="AB139" s="4"/>
      <c r="AC139" s="4"/>
      <c r="AD139" s="4"/>
      <c r="AE139" s="4"/>
      <c r="AF139" s="4"/>
      <c r="AG139" s="4"/>
      <c r="AH139" s="4"/>
      <c r="AI139" s="4"/>
    </row>
    <row r="140" spans="1:35" ht="60" customHeight="1" x14ac:dyDescent="0.2">
      <c r="A140" s="3"/>
      <c r="B140" s="4"/>
      <c r="C140" s="4"/>
      <c r="D140" s="4"/>
      <c r="E140" s="9"/>
      <c r="F140" s="9"/>
      <c r="G140" s="9"/>
      <c r="H140" s="4"/>
      <c r="I140" s="4"/>
      <c r="J140" s="4"/>
      <c r="K140" s="4"/>
      <c r="L140" s="4"/>
      <c r="M140" s="4"/>
      <c r="N140" s="4"/>
      <c r="O140" s="4"/>
      <c r="P140" s="4"/>
      <c r="Q140" s="8"/>
      <c r="R140" s="7"/>
      <c r="S140" s="7"/>
      <c r="T140" s="7"/>
      <c r="U140" s="7"/>
      <c r="V140" s="7"/>
      <c r="W140" s="4"/>
      <c r="X140" s="4"/>
      <c r="Y140" s="4"/>
      <c r="Z140" s="4"/>
      <c r="AA140" s="4"/>
      <c r="AB140" s="4"/>
      <c r="AC140" s="4"/>
      <c r="AD140" s="4"/>
      <c r="AE140" s="4"/>
      <c r="AF140" s="4"/>
      <c r="AG140" s="4"/>
      <c r="AH140" s="4"/>
      <c r="AI140" s="4"/>
    </row>
    <row r="141" spans="1:35" ht="60" customHeight="1" x14ac:dyDescent="0.2">
      <c r="A141" s="3"/>
      <c r="B141" s="4"/>
      <c r="C141" s="4"/>
      <c r="D141" s="4"/>
      <c r="E141" s="9"/>
      <c r="F141" s="9"/>
      <c r="G141" s="9"/>
      <c r="H141" s="4"/>
      <c r="I141" s="4"/>
      <c r="J141" s="4"/>
      <c r="K141" s="4"/>
      <c r="L141" s="4"/>
      <c r="M141" s="4"/>
      <c r="N141" s="4"/>
      <c r="O141" s="4"/>
      <c r="P141" s="4"/>
      <c r="Q141" s="4"/>
      <c r="R141" s="7"/>
      <c r="S141" s="7"/>
      <c r="T141" s="7"/>
      <c r="U141" s="7"/>
      <c r="V141" s="7"/>
      <c r="W141" s="4"/>
      <c r="X141" s="4"/>
      <c r="Y141" s="4"/>
      <c r="Z141" s="4"/>
      <c r="AA141" s="4"/>
      <c r="AB141" s="4"/>
      <c r="AC141" s="4"/>
      <c r="AD141" s="4"/>
      <c r="AE141" s="4"/>
      <c r="AF141" s="4"/>
      <c r="AG141" s="4"/>
      <c r="AH141" s="4"/>
      <c r="AI141" s="4"/>
    </row>
    <row r="142" spans="1:35" ht="60" customHeight="1" x14ac:dyDescent="0.2">
      <c r="A142" s="3"/>
      <c r="B142" s="4"/>
      <c r="C142" s="4"/>
      <c r="D142" s="4"/>
      <c r="E142" s="4"/>
      <c r="F142" s="4"/>
      <c r="G142" s="4"/>
      <c r="H142" s="4"/>
      <c r="I142" s="4"/>
      <c r="J142" s="4"/>
      <c r="K142" s="4"/>
      <c r="L142" s="4"/>
      <c r="M142" s="4"/>
      <c r="N142" s="4"/>
      <c r="O142" s="4"/>
      <c r="P142" s="4"/>
      <c r="Q142" s="4"/>
      <c r="R142" s="7"/>
      <c r="S142" s="7"/>
      <c r="T142" s="7"/>
      <c r="U142" s="7"/>
      <c r="V142" s="4"/>
      <c r="W142" s="4"/>
      <c r="X142" s="4"/>
      <c r="Y142" s="4"/>
      <c r="Z142" s="4"/>
      <c r="AA142" s="4"/>
      <c r="AB142" s="4"/>
      <c r="AC142" s="4"/>
      <c r="AD142" s="4"/>
      <c r="AE142" s="4"/>
      <c r="AF142" s="4"/>
      <c r="AG142" s="4"/>
      <c r="AH142" s="4"/>
      <c r="AI142" s="4"/>
    </row>
    <row r="143" spans="1:35" ht="60" customHeight="1" x14ac:dyDescent="0.2">
      <c r="A143" s="3"/>
      <c r="B143" s="4"/>
      <c r="C143" s="4"/>
      <c r="D143" s="4"/>
      <c r="E143" s="4"/>
      <c r="F143" s="4"/>
      <c r="G143" s="4"/>
      <c r="H143" s="4"/>
      <c r="I143" s="4"/>
      <c r="J143" s="4"/>
      <c r="K143" s="4"/>
      <c r="L143" s="4"/>
      <c r="M143" s="4"/>
      <c r="N143" s="4"/>
      <c r="O143" s="4"/>
      <c r="P143" s="4"/>
      <c r="Q143" s="4"/>
      <c r="R143" s="7"/>
      <c r="S143" s="7"/>
      <c r="T143" s="7"/>
      <c r="U143" s="4"/>
      <c r="V143" s="4"/>
      <c r="W143" s="4"/>
      <c r="X143" s="4"/>
      <c r="Y143" s="4"/>
      <c r="Z143" s="4"/>
      <c r="AA143" s="4"/>
      <c r="AB143" s="4"/>
      <c r="AC143" s="4"/>
      <c r="AD143" s="4"/>
      <c r="AE143" s="4"/>
      <c r="AF143" s="4"/>
      <c r="AG143" s="4"/>
      <c r="AH143" s="4"/>
      <c r="AI143" s="4"/>
    </row>
    <row r="144" spans="1:35" ht="60" customHeight="1" x14ac:dyDescent="0.2">
      <c r="A144" s="3"/>
      <c r="B144" s="4"/>
      <c r="C144" s="4"/>
      <c r="D144" s="4"/>
      <c r="E144" s="4"/>
      <c r="F144" s="4"/>
      <c r="G144" s="4"/>
      <c r="H144" s="4"/>
      <c r="I144" s="4"/>
      <c r="J144" s="4"/>
      <c r="K144" s="4"/>
      <c r="L144" s="4"/>
      <c r="M144" s="4"/>
      <c r="N144" s="4"/>
      <c r="O144" s="4"/>
      <c r="P144" s="4"/>
      <c r="Q144" s="4"/>
      <c r="R144" s="10"/>
      <c r="S144" s="7"/>
      <c r="T144" s="4"/>
      <c r="U144" s="4"/>
      <c r="V144" s="4"/>
      <c r="W144" s="4"/>
      <c r="X144" s="4"/>
      <c r="Y144" s="4"/>
      <c r="Z144" s="4"/>
      <c r="AA144" s="4"/>
      <c r="AB144" s="4"/>
      <c r="AC144" s="4"/>
      <c r="AD144" s="4"/>
      <c r="AE144" s="4"/>
      <c r="AF144" s="4"/>
      <c r="AG144" s="4"/>
      <c r="AH144" s="4"/>
      <c r="AI144" s="4"/>
    </row>
    <row r="145" spans="1:35" ht="60" customHeight="1" x14ac:dyDescent="0.2">
      <c r="A145" s="3"/>
      <c r="B145" s="4"/>
      <c r="C145" s="4"/>
      <c r="D145" s="4"/>
      <c r="E145" s="4"/>
      <c r="F145" s="4"/>
      <c r="G145" s="4"/>
      <c r="H145" s="4"/>
      <c r="I145" s="4"/>
      <c r="J145" s="4"/>
      <c r="K145" s="4"/>
      <c r="L145" s="4"/>
      <c r="M145" s="4"/>
      <c r="N145" s="4"/>
      <c r="O145" s="4"/>
      <c r="P145" s="4"/>
      <c r="Q145" s="4"/>
      <c r="R145" s="10"/>
      <c r="S145" s="10"/>
      <c r="T145" s="10"/>
      <c r="U145" s="10"/>
      <c r="V145" s="10"/>
      <c r="W145" s="4"/>
      <c r="X145" s="4"/>
      <c r="Y145" s="4"/>
      <c r="Z145" s="4"/>
      <c r="AA145" s="4"/>
      <c r="AB145" s="4"/>
      <c r="AC145" s="4"/>
      <c r="AD145" s="4"/>
      <c r="AE145" s="4"/>
      <c r="AF145" s="4"/>
      <c r="AG145" s="4"/>
      <c r="AH145" s="4"/>
      <c r="AI145" s="4"/>
    </row>
    <row r="146" spans="1:35" ht="60" customHeight="1" x14ac:dyDescent="0.2">
      <c r="A146" s="3"/>
      <c r="B146" s="4"/>
      <c r="C146" s="4"/>
      <c r="D146" s="4"/>
      <c r="E146" s="4"/>
      <c r="F146" s="4"/>
      <c r="G146" s="4"/>
      <c r="H146" s="4"/>
      <c r="I146" s="4"/>
      <c r="J146" s="4"/>
      <c r="K146" s="4"/>
      <c r="L146" s="4"/>
      <c r="M146" s="4"/>
      <c r="N146" s="4"/>
      <c r="O146" s="4"/>
      <c r="P146" s="4"/>
      <c r="Q146" s="4"/>
      <c r="R146" s="10"/>
      <c r="S146" s="8"/>
      <c r="T146" s="4"/>
      <c r="U146" s="4"/>
      <c r="V146" s="4"/>
      <c r="W146" s="4"/>
      <c r="X146" s="4"/>
      <c r="Y146" s="4"/>
      <c r="Z146" s="4"/>
      <c r="AA146" s="4"/>
      <c r="AB146" s="4"/>
      <c r="AC146" s="4"/>
      <c r="AD146" s="4"/>
      <c r="AE146" s="4"/>
      <c r="AF146" s="4"/>
      <c r="AG146" s="4"/>
      <c r="AH146" s="4"/>
      <c r="AI146" s="4"/>
    </row>
    <row r="147" spans="1:35" ht="60" customHeight="1" x14ac:dyDescent="0.2">
      <c r="A147" s="3"/>
      <c r="B147" s="4"/>
      <c r="C147" s="4"/>
      <c r="D147" s="4"/>
      <c r="E147" s="4"/>
      <c r="F147" s="4"/>
      <c r="G147" s="4"/>
      <c r="H147" s="4"/>
      <c r="I147" s="4"/>
      <c r="J147" s="4"/>
      <c r="K147" s="4"/>
      <c r="L147" s="4"/>
      <c r="M147" s="4"/>
      <c r="N147" s="4"/>
      <c r="O147" s="4"/>
      <c r="P147" s="4"/>
      <c r="Q147" s="4"/>
      <c r="R147" s="10"/>
      <c r="S147" s="10"/>
      <c r="T147" s="4"/>
      <c r="U147" s="8"/>
      <c r="V147" s="4"/>
      <c r="W147" s="4"/>
      <c r="X147" s="4"/>
      <c r="Y147" s="4"/>
      <c r="Z147" s="4"/>
      <c r="AA147" s="4"/>
      <c r="AB147" s="4"/>
      <c r="AC147" s="4"/>
      <c r="AD147" s="4"/>
      <c r="AE147" s="4"/>
      <c r="AF147" s="4"/>
      <c r="AG147" s="4"/>
      <c r="AH147" s="4"/>
      <c r="AI147" s="4"/>
    </row>
    <row r="148" spans="1:35" ht="60" customHeight="1" x14ac:dyDescent="0.2">
      <c r="A148" s="3"/>
      <c r="B148" s="4"/>
      <c r="C148" s="4"/>
      <c r="D148" s="4"/>
      <c r="E148" s="4"/>
      <c r="F148" s="4"/>
      <c r="G148" s="4"/>
      <c r="H148" s="4"/>
      <c r="I148" s="4"/>
      <c r="J148" s="4"/>
      <c r="K148" s="4"/>
      <c r="L148" s="4"/>
      <c r="M148" s="4"/>
      <c r="N148" s="4"/>
      <c r="O148" s="4"/>
      <c r="P148" s="4"/>
      <c r="Q148" s="4"/>
      <c r="R148" s="10"/>
      <c r="S148" s="10"/>
      <c r="T148" s="4"/>
      <c r="U148" s="4"/>
      <c r="V148" s="4"/>
      <c r="W148" s="4"/>
      <c r="X148" s="4"/>
      <c r="Y148" s="4"/>
      <c r="Z148" s="4"/>
      <c r="AA148" s="4"/>
      <c r="AB148" s="4"/>
      <c r="AC148" s="4"/>
      <c r="AD148" s="4"/>
      <c r="AE148" s="4"/>
      <c r="AF148" s="4"/>
      <c r="AG148" s="4"/>
      <c r="AH148" s="4"/>
      <c r="AI148" s="4"/>
    </row>
    <row r="149" spans="1:35" ht="60" customHeight="1" x14ac:dyDescent="0.2">
      <c r="A149" s="3"/>
      <c r="B149" s="4"/>
      <c r="C149" s="4"/>
      <c r="D149" s="4"/>
      <c r="E149" s="4"/>
      <c r="F149" s="4"/>
      <c r="G149" s="4"/>
      <c r="H149" s="4"/>
      <c r="I149" s="4"/>
      <c r="J149" s="4"/>
      <c r="K149" s="4"/>
      <c r="L149" s="4"/>
      <c r="M149" s="4"/>
      <c r="N149" s="4"/>
      <c r="O149" s="4"/>
      <c r="P149" s="4"/>
      <c r="Q149" s="4"/>
      <c r="R149" s="10"/>
      <c r="S149" s="10"/>
      <c r="T149" s="10"/>
      <c r="U149" s="4"/>
      <c r="V149" s="4"/>
      <c r="W149" s="4"/>
      <c r="X149" s="4"/>
      <c r="Y149" s="4"/>
      <c r="Z149" s="4"/>
      <c r="AA149" s="4"/>
      <c r="AB149" s="4"/>
      <c r="AC149" s="4"/>
      <c r="AD149" s="4"/>
      <c r="AE149" s="4"/>
      <c r="AF149" s="4"/>
      <c r="AG149" s="4"/>
      <c r="AH149" s="4"/>
      <c r="AI149" s="4"/>
    </row>
    <row r="150" spans="1:35" ht="60" customHeight="1" x14ac:dyDescent="0.2">
      <c r="A150" s="3"/>
      <c r="B150" s="4"/>
      <c r="C150" s="4"/>
      <c r="D150" s="4"/>
      <c r="E150" s="4"/>
      <c r="F150" s="4"/>
      <c r="G150" s="4"/>
      <c r="H150" s="4"/>
      <c r="I150" s="4"/>
      <c r="J150" s="4"/>
      <c r="K150" s="4"/>
      <c r="L150" s="4"/>
      <c r="M150" s="4"/>
      <c r="N150" s="4"/>
      <c r="O150" s="4"/>
      <c r="P150" s="40"/>
      <c r="Q150" s="4"/>
      <c r="R150" s="10"/>
      <c r="S150" s="10"/>
      <c r="T150" s="10"/>
      <c r="U150" s="4"/>
      <c r="V150" s="4"/>
      <c r="W150" s="4"/>
      <c r="X150" s="4"/>
      <c r="Y150" s="4"/>
      <c r="Z150" s="4"/>
      <c r="AA150" s="4"/>
      <c r="AB150" s="4"/>
      <c r="AC150" s="4"/>
      <c r="AD150" s="4"/>
      <c r="AE150" s="4"/>
      <c r="AF150" s="4"/>
      <c r="AG150" s="4"/>
      <c r="AH150" s="4"/>
      <c r="AI150" s="4"/>
    </row>
    <row r="151" spans="1:35" ht="60" customHeight="1" x14ac:dyDescent="0.2">
      <c r="A151" s="3"/>
      <c r="B151" s="4"/>
      <c r="C151" s="4"/>
      <c r="D151" s="4"/>
      <c r="E151" s="4"/>
      <c r="F151" s="4"/>
      <c r="G151" s="4"/>
      <c r="H151" s="4"/>
      <c r="I151" s="4"/>
      <c r="J151" s="4"/>
      <c r="K151" s="4"/>
      <c r="L151" s="4"/>
      <c r="M151" s="4"/>
      <c r="N151" s="4"/>
      <c r="O151" s="4"/>
      <c r="P151" s="4"/>
      <c r="Q151" s="4"/>
      <c r="R151" s="7"/>
      <c r="S151" s="4"/>
      <c r="T151" s="4"/>
      <c r="U151" s="4"/>
      <c r="V151" s="4"/>
      <c r="W151" s="4"/>
      <c r="X151" s="4"/>
      <c r="Y151" s="4"/>
      <c r="Z151" s="4"/>
      <c r="AA151" s="4"/>
      <c r="AB151" s="4"/>
      <c r="AC151" s="4"/>
      <c r="AD151" s="4"/>
      <c r="AE151" s="4"/>
      <c r="AF151" s="4"/>
      <c r="AG151" s="4"/>
      <c r="AH151" s="4"/>
      <c r="AI151" s="4"/>
    </row>
    <row r="152" spans="1:35" ht="60" customHeight="1" x14ac:dyDescent="0.2">
      <c r="A152" s="3"/>
      <c r="B152" s="4"/>
      <c r="C152" s="4"/>
      <c r="D152" s="4"/>
      <c r="E152" s="4"/>
      <c r="F152" s="4"/>
      <c r="G152" s="4"/>
      <c r="H152" s="4"/>
      <c r="I152" s="4"/>
      <c r="J152" s="4"/>
      <c r="K152" s="4"/>
      <c r="L152" s="4"/>
      <c r="M152" s="4"/>
      <c r="N152" s="4"/>
      <c r="O152" s="4"/>
      <c r="P152" s="4"/>
      <c r="Q152" s="4"/>
      <c r="R152" s="10"/>
      <c r="S152" s="10"/>
      <c r="T152" s="4"/>
      <c r="U152" s="4"/>
      <c r="V152" s="4"/>
      <c r="W152" s="4"/>
      <c r="X152" s="4"/>
      <c r="Y152" s="4"/>
      <c r="Z152" s="4"/>
      <c r="AA152" s="4"/>
      <c r="AB152" s="4"/>
      <c r="AC152" s="4"/>
      <c r="AD152" s="4"/>
      <c r="AE152" s="4"/>
      <c r="AF152" s="4"/>
      <c r="AG152" s="4"/>
      <c r="AH152" s="4"/>
      <c r="AI152" s="4"/>
    </row>
    <row r="153" spans="1:35" ht="60" customHeight="1" x14ac:dyDescent="0.2">
      <c r="A153" s="3"/>
      <c r="B153" s="4"/>
      <c r="C153" s="4"/>
      <c r="D153" s="4"/>
      <c r="E153" s="4"/>
      <c r="F153" s="4"/>
      <c r="G153" s="4"/>
      <c r="H153" s="4"/>
      <c r="I153" s="4"/>
      <c r="J153" s="9"/>
      <c r="K153" s="4"/>
      <c r="L153" s="4"/>
      <c r="M153" s="4"/>
      <c r="N153" s="4"/>
      <c r="O153" s="4"/>
      <c r="P153" s="4"/>
      <c r="Q153" s="4"/>
      <c r="R153" s="10"/>
      <c r="S153" s="10"/>
      <c r="T153" s="4"/>
      <c r="U153" s="4"/>
      <c r="V153" s="4"/>
      <c r="W153" s="4"/>
      <c r="X153" s="4"/>
      <c r="Y153" s="4"/>
      <c r="Z153" s="4"/>
      <c r="AA153" s="4"/>
      <c r="AB153" s="4"/>
      <c r="AC153" s="4"/>
      <c r="AD153" s="4"/>
      <c r="AE153" s="4"/>
      <c r="AF153" s="4"/>
      <c r="AG153" s="4"/>
      <c r="AH153" s="4"/>
      <c r="AI153" s="4"/>
    </row>
    <row r="154" spans="1:35" ht="60" customHeight="1" x14ac:dyDescent="0.2">
      <c r="A154" s="3"/>
      <c r="B154" s="4"/>
      <c r="C154" s="4"/>
      <c r="D154" s="4"/>
      <c r="E154" s="4"/>
      <c r="F154" s="4"/>
      <c r="G154" s="4"/>
      <c r="H154" s="4"/>
      <c r="I154" s="4"/>
      <c r="J154" s="9"/>
      <c r="K154" s="4"/>
      <c r="L154" s="4"/>
      <c r="M154" s="4"/>
      <c r="N154" s="4"/>
      <c r="O154" s="4"/>
      <c r="P154" s="4"/>
      <c r="Q154" s="4"/>
      <c r="R154" s="7"/>
      <c r="S154" s="10"/>
      <c r="T154" s="4"/>
      <c r="U154" s="4"/>
      <c r="V154" s="4"/>
      <c r="W154" s="4"/>
      <c r="X154" s="4"/>
      <c r="Y154" s="4"/>
      <c r="Z154" s="4"/>
      <c r="AA154" s="4"/>
      <c r="AB154" s="4"/>
      <c r="AC154" s="4"/>
      <c r="AD154" s="4"/>
      <c r="AE154" s="4"/>
      <c r="AF154" s="4"/>
      <c r="AG154" s="4"/>
      <c r="AH154" s="4"/>
      <c r="AI154" s="4"/>
    </row>
    <row r="155" spans="1:35" ht="60" customHeight="1" x14ac:dyDescent="0.2">
      <c r="A155" s="3"/>
      <c r="B155" s="4"/>
      <c r="C155" s="4"/>
      <c r="D155" s="4"/>
      <c r="E155" s="4"/>
      <c r="F155" s="4"/>
      <c r="G155" s="4"/>
      <c r="H155" s="4"/>
      <c r="I155" s="4"/>
      <c r="J155" s="4"/>
      <c r="K155" s="4"/>
      <c r="L155" s="4"/>
      <c r="M155" s="4"/>
      <c r="N155" s="4"/>
      <c r="O155" s="4"/>
      <c r="P155" s="4"/>
      <c r="Q155" s="4"/>
      <c r="R155" s="7"/>
      <c r="S155" s="7"/>
      <c r="T155" s="4"/>
      <c r="U155" s="4"/>
      <c r="V155" s="4"/>
      <c r="W155" s="4"/>
      <c r="X155" s="4"/>
      <c r="Y155" s="4"/>
      <c r="Z155" s="4"/>
      <c r="AA155" s="4"/>
      <c r="AB155" s="4"/>
      <c r="AC155" s="4"/>
      <c r="AD155" s="4"/>
      <c r="AE155" s="4"/>
      <c r="AF155" s="4"/>
      <c r="AG155" s="4"/>
      <c r="AH155" s="4"/>
      <c r="AI155" s="4"/>
    </row>
    <row r="156" spans="1:35" ht="60" customHeight="1" x14ac:dyDescent="0.2">
      <c r="A156" s="3"/>
      <c r="B156" s="4"/>
      <c r="C156" s="4"/>
      <c r="D156" s="4"/>
      <c r="E156" s="4"/>
      <c r="F156" s="4"/>
      <c r="G156" s="4"/>
      <c r="H156" s="4"/>
      <c r="I156" s="4"/>
      <c r="J156" s="4"/>
      <c r="K156" s="4"/>
      <c r="L156" s="4"/>
      <c r="M156" s="4"/>
      <c r="N156" s="4"/>
      <c r="O156" s="4"/>
      <c r="P156" s="38"/>
      <c r="Q156" s="4"/>
      <c r="R156" s="10"/>
      <c r="S156" s="10"/>
      <c r="T156" s="10"/>
      <c r="U156" s="10"/>
      <c r="V156" s="4"/>
      <c r="W156" s="4"/>
      <c r="X156" s="4"/>
      <c r="Y156" s="4"/>
      <c r="Z156" s="4"/>
      <c r="AA156" s="4"/>
      <c r="AB156" s="4"/>
      <c r="AC156" s="4"/>
      <c r="AD156" s="4"/>
      <c r="AE156" s="4"/>
      <c r="AF156" s="4"/>
      <c r="AG156" s="4"/>
      <c r="AH156" s="4"/>
      <c r="AI156" s="4"/>
    </row>
    <row r="157" spans="1:35" ht="60" customHeight="1" x14ac:dyDescent="0.2">
      <c r="A157" s="3"/>
      <c r="B157" s="4"/>
      <c r="C157" s="4"/>
      <c r="D157" s="4"/>
      <c r="E157" s="4"/>
      <c r="F157" s="4"/>
      <c r="G157" s="4"/>
      <c r="H157" s="4"/>
      <c r="I157" s="4"/>
      <c r="J157" s="4"/>
      <c r="K157" s="4"/>
      <c r="L157" s="4"/>
      <c r="M157" s="4"/>
      <c r="N157" s="4"/>
      <c r="O157" s="4"/>
      <c r="P157" s="4"/>
      <c r="Q157" s="4"/>
      <c r="R157" s="10"/>
      <c r="S157" s="4"/>
      <c r="T157" s="4"/>
      <c r="U157" s="4"/>
      <c r="V157" s="4"/>
      <c r="W157" s="4"/>
      <c r="X157" s="4"/>
      <c r="Y157" s="4"/>
      <c r="Z157" s="4"/>
      <c r="AA157" s="4"/>
      <c r="AB157" s="4"/>
      <c r="AC157" s="4"/>
      <c r="AD157" s="4"/>
      <c r="AE157" s="4"/>
      <c r="AF157" s="4"/>
      <c r="AG157" s="4"/>
      <c r="AH157" s="4"/>
      <c r="AI157" s="4"/>
    </row>
    <row r="158" spans="1:35" ht="60" customHeight="1" x14ac:dyDescent="0.2">
      <c r="A158" s="3"/>
      <c r="B158" s="4"/>
      <c r="C158" s="4"/>
      <c r="D158" s="4"/>
      <c r="E158" s="4"/>
      <c r="F158" s="4"/>
      <c r="G158" s="4"/>
      <c r="H158" s="4"/>
      <c r="I158" s="4"/>
      <c r="J158" s="4"/>
      <c r="K158" s="4"/>
      <c r="L158" s="4"/>
      <c r="M158" s="4"/>
      <c r="N158" s="4"/>
      <c r="O158" s="4"/>
      <c r="P158" s="4"/>
      <c r="Q158" s="4"/>
      <c r="R158" s="10"/>
      <c r="S158" s="4"/>
      <c r="T158" s="4"/>
      <c r="U158" s="4"/>
      <c r="V158" s="4"/>
      <c r="W158" s="4"/>
      <c r="X158" s="4"/>
      <c r="Y158" s="4"/>
      <c r="Z158" s="4"/>
      <c r="AA158" s="4"/>
      <c r="AB158" s="4"/>
      <c r="AC158" s="4"/>
      <c r="AD158" s="4"/>
      <c r="AE158" s="4"/>
      <c r="AF158" s="4"/>
      <c r="AG158" s="4"/>
      <c r="AH158" s="4"/>
      <c r="AI158" s="4"/>
    </row>
    <row r="159" spans="1:35" ht="60" customHeight="1" x14ac:dyDescent="0.2">
      <c r="A159" s="3"/>
      <c r="B159" s="4"/>
      <c r="C159" s="4"/>
      <c r="D159" s="4"/>
      <c r="E159" s="4"/>
      <c r="F159" s="4"/>
      <c r="G159" s="4"/>
      <c r="H159" s="4"/>
      <c r="I159" s="4"/>
      <c r="J159" s="4"/>
      <c r="K159" s="4"/>
      <c r="L159" s="4"/>
      <c r="M159" s="4"/>
      <c r="N159" s="4"/>
      <c r="O159" s="4"/>
      <c r="P159" s="4"/>
      <c r="Q159" s="4"/>
      <c r="R159" s="10"/>
      <c r="S159" s="10"/>
      <c r="T159" s="4"/>
      <c r="U159" s="4"/>
      <c r="V159" s="4"/>
      <c r="W159" s="4"/>
      <c r="X159" s="4"/>
      <c r="Y159" s="4"/>
      <c r="Z159" s="4"/>
      <c r="AA159" s="4"/>
      <c r="AB159" s="4"/>
      <c r="AC159" s="4"/>
      <c r="AD159" s="4"/>
      <c r="AE159" s="4"/>
      <c r="AF159" s="4"/>
      <c r="AG159" s="4"/>
      <c r="AH159" s="4"/>
      <c r="AI159" s="4"/>
    </row>
    <row r="160" spans="1:35" ht="60" customHeight="1" x14ac:dyDescent="0.2">
      <c r="A160" s="3"/>
      <c r="B160" s="4"/>
      <c r="C160" s="4"/>
      <c r="D160" s="4"/>
      <c r="E160" s="4"/>
      <c r="F160" s="4"/>
      <c r="G160" s="4"/>
      <c r="H160" s="4"/>
      <c r="I160" s="4"/>
      <c r="J160" s="4"/>
      <c r="K160" s="4"/>
      <c r="L160" s="4"/>
      <c r="M160" s="4"/>
      <c r="N160" s="4"/>
      <c r="O160" s="4"/>
      <c r="P160" s="4"/>
      <c r="Q160" s="4"/>
      <c r="R160" s="10"/>
      <c r="S160" s="10"/>
      <c r="T160" s="4"/>
      <c r="U160" s="4"/>
      <c r="V160" s="4"/>
      <c r="W160" s="4"/>
      <c r="X160" s="4"/>
      <c r="Y160" s="4"/>
      <c r="Z160" s="4"/>
      <c r="AA160" s="4"/>
      <c r="AB160" s="4"/>
      <c r="AC160" s="4"/>
      <c r="AD160" s="4"/>
      <c r="AE160" s="4"/>
      <c r="AF160" s="4"/>
      <c r="AG160" s="4"/>
      <c r="AH160" s="4"/>
      <c r="AI160" s="4"/>
    </row>
    <row r="161" spans="1:35" ht="60" customHeight="1" x14ac:dyDescent="0.2">
      <c r="A161" s="3"/>
      <c r="B161" s="4"/>
      <c r="C161" s="4"/>
      <c r="D161" s="4"/>
      <c r="E161" s="4"/>
      <c r="F161" s="4"/>
      <c r="G161" s="4"/>
      <c r="H161" s="4"/>
      <c r="I161" s="4"/>
      <c r="J161" s="4"/>
      <c r="K161" s="4"/>
      <c r="L161" s="4"/>
      <c r="M161" s="4"/>
      <c r="N161" s="4"/>
      <c r="O161" s="4"/>
      <c r="P161" s="4"/>
      <c r="Q161" s="4"/>
      <c r="R161" s="10"/>
      <c r="S161" s="4"/>
      <c r="T161" s="4"/>
      <c r="U161" s="4"/>
      <c r="V161" s="4"/>
      <c r="W161" s="4"/>
      <c r="X161" s="4"/>
      <c r="Y161" s="4"/>
      <c r="Z161" s="4"/>
      <c r="AA161" s="4"/>
      <c r="AB161" s="4"/>
      <c r="AC161" s="4"/>
      <c r="AD161" s="4"/>
      <c r="AE161" s="4"/>
      <c r="AF161" s="4"/>
      <c r="AG161" s="4"/>
      <c r="AH161" s="4"/>
      <c r="AI161" s="4"/>
    </row>
    <row r="162" spans="1:35" ht="60" customHeight="1" x14ac:dyDescent="0.2">
      <c r="A162" s="3"/>
      <c r="B162" s="4"/>
      <c r="C162" s="4"/>
      <c r="D162" s="4"/>
      <c r="E162" s="4"/>
      <c r="F162" s="4"/>
      <c r="G162" s="4"/>
      <c r="H162" s="4"/>
      <c r="I162" s="4"/>
      <c r="J162" s="4"/>
      <c r="K162" s="4"/>
      <c r="L162" s="4"/>
      <c r="M162" s="4"/>
      <c r="N162" s="4"/>
      <c r="O162" s="4"/>
      <c r="P162" s="4"/>
      <c r="Q162" s="4"/>
      <c r="R162" s="10"/>
      <c r="S162" s="10"/>
      <c r="T162" s="4"/>
      <c r="U162" s="4"/>
      <c r="V162" s="4"/>
      <c r="W162" s="4"/>
      <c r="X162" s="4"/>
      <c r="Y162" s="4"/>
      <c r="Z162" s="4"/>
      <c r="AA162" s="4"/>
      <c r="AB162" s="4"/>
      <c r="AC162" s="4"/>
      <c r="AD162" s="4"/>
      <c r="AE162" s="4"/>
      <c r="AF162" s="4"/>
      <c r="AG162" s="4"/>
      <c r="AH162" s="4"/>
      <c r="AI162" s="4"/>
    </row>
    <row r="163" spans="1:35" ht="60" customHeight="1" x14ac:dyDescent="0.2">
      <c r="A163" s="3"/>
      <c r="B163" s="4"/>
      <c r="C163" s="4"/>
      <c r="D163" s="4"/>
      <c r="E163" s="4"/>
      <c r="F163" s="4"/>
      <c r="G163" s="4"/>
      <c r="H163" s="4"/>
      <c r="I163" s="4"/>
      <c r="J163" s="4"/>
      <c r="K163" s="4"/>
      <c r="L163" s="4"/>
      <c r="M163" s="4"/>
      <c r="N163" s="4"/>
      <c r="O163" s="4"/>
      <c r="P163" s="4"/>
      <c r="Q163" s="4"/>
      <c r="R163" s="10"/>
      <c r="S163" s="4"/>
      <c r="T163" s="4"/>
      <c r="U163" s="4"/>
      <c r="V163" s="4"/>
      <c r="W163" s="4"/>
      <c r="X163" s="4"/>
      <c r="Y163" s="4"/>
      <c r="Z163" s="4"/>
      <c r="AA163" s="4"/>
      <c r="AB163" s="4"/>
      <c r="AC163" s="4"/>
      <c r="AD163" s="4"/>
      <c r="AE163" s="4"/>
      <c r="AF163" s="4"/>
      <c r="AG163" s="4"/>
      <c r="AH163" s="4"/>
      <c r="AI163" s="4"/>
    </row>
    <row r="164" spans="1:35" ht="60" customHeight="1" x14ac:dyDescent="0.2">
      <c r="A164" s="3"/>
      <c r="B164" s="4"/>
      <c r="C164" s="4"/>
      <c r="D164" s="4"/>
      <c r="E164" s="4"/>
      <c r="F164" s="4"/>
      <c r="G164" s="4"/>
      <c r="H164" s="4"/>
      <c r="I164" s="4"/>
      <c r="J164" s="4"/>
      <c r="K164" s="4"/>
      <c r="L164" s="4"/>
      <c r="M164" s="4"/>
      <c r="N164" s="4"/>
      <c r="O164" s="4"/>
      <c r="P164" s="38"/>
      <c r="Q164" s="4"/>
      <c r="R164" s="10"/>
      <c r="S164" s="4"/>
      <c r="T164" s="4"/>
      <c r="U164" s="4"/>
      <c r="V164" s="4"/>
      <c r="W164" s="4"/>
      <c r="X164" s="4"/>
      <c r="Y164" s="4"/>
      <c r="Z164" s="4"/>
      <c r="AA164" s="4"/>
      <c r="AB164" s="4"/>
      <c r="AC164" s="4"/>
      <c r="AD164" s="4"/>
      <c r="AE164" s="4"/>
      <c r="AF164" s="4"/>
      <c r="AG164" s="4"/>
      <c r="AH164" s="4"/>
      <c r="AI164" s="4"/>
    </row>
    <row r="165" spans="1:35" ht="60" customHeight="1" x14ac:dyDescent="0.2">
      <c r="A165" s="3"/>
      <c r="B165" s="4"/>
      <c r="C165" s="4"/>
      <c r="D165" s="4"/>
      <c r="E165" s="4"/>
      <c r="F165" s="4"/>
      <c r="G165" s="4"/>
      <c r="H165" s="4"/>
      <c r="I165" s="4"/>
      <c r="J165" s="4"/>
      <c r="K165" s="4"/>
      <c r="L165" s="4"/>
      <c r="M165" s="4"/>
      <c r="N165" s="4"/>
      <c r="O165" s="4"/>
      <c r="P165" s="4"/>
      <c r="Q165" s="4"/>
      <c r="R165" s="10"/>
      <c r="S165" s="10"/>
      <c r="T165" s="4"/>
      <c r="U165" s="4"/>
      <c r="V165" s="4"/>
      <c r="W165" s="4"/>
      <c r="X165" s="4"/>
      <c r="Y165" s="4"/>
      <c r="Z165" s="4"/>
      <c r="AA165" s="4"/>
      <c r="AB165" s="4"/>
      <c r="AC165" s="4"/>
      <c r="AD165" s="4"/>
      <c r="AE165" s="4"/>
      <c r="AF165" s="4"/>
      <c r="AG165" s="4"/>
      <c r="AH165" s="4"/>
      <c r="AI165" s="4"/>
    </row>
    <row r="166" spans="1:35" ht="60" customHeight="1" x14ac:dyDescent="0.2">
      <c r="A166" s="3"/>
      <c r="B166" s="4"/>
      <c r="C166" s="4"/>
      <c r="D166" s="4"/>
      <c r="E166" s="4"/>
      <c r="F166" s="4"/>
      <c r="G166" s="4"/>
      <c r="H166" s="4"/>
      <c r="I166" s="4"/>
      <c r="J166" s="4"/>
      <c r="K166" s="4"/>
      <c r="L166" s="4"/>
      <c r="M166" s="4"/>
      <c r="N166" s="4"/>
      <c r="O166" s="4"/>
      <c r="P166" s="4"/>
      <c r="Q166" s="4"/>
      <c r="R166" s="10"/>
      <c r="S166" s="4"/>
      <c r="T166" s="4"/>
      <c r="U166" s="4"/>
      <c r="V166" s="4"/>
      <c r="W166" s="4"/>
      <c r="X166" s="4"/>
      <c r="Y166" s="4"/>
      <c r="Z166" s="4"/>
      <c r="AA166" s="4"/>
      <c r="AB166" s="4"/>
      <c r="AC166" s="4"/>
      <c r="AD166" s="4"/>
      <c r="AE166" s="4"/>
      <c r="AF166" s="4"/>
      <c r="AG166" s="4"/>
      <c r="AH166" s="4"/>
      <c r="AI166" s="4"/>
    </row>
    <row r="167" spans="1:35" ht="60" customHeight="1" x14ac:dyDescent="0.2">
      <c r="A167" s="3"/>
      <c r="B167" s="4"/>
      <c r="C167" s="4"/>
      <c r="D167" s="4"/>
      <c r="E167" s="4"/>
      <c r="F167" s="4"/>
      <c r="G167" s="4"/>
      <c r="H167" s="4"/>
      <c r="I167" s="4"/>
      <c r="J167" s="4"/>
      <c r="K167" s="4"/>
      <c r="L167" s="4"/>
      <c r="M167" s="4"/>
      <c r="N167" s="4"/>
      <c r="O167" s="4"/>
      <c r="P167" s="4"/>
      <c r="Q167" s="4"/>
      <c r="R167" s="10"/>
      <c r="S167" s="10"/>
      <c r="T167" s="4"/>
      <c r="U167" s="4"/>
      <c r="V167" s="4"/>
      <c r="W167" s="4"/>
      <c r="X167" s="4"/>
      <c r="Y167" s="4"/>
      <c r="Z167" s="4"/>
      <c r="AA167" s="4"/>
      <c r="AB167" s="4"/>
      <c r="AC167" s="4"/>
      <c r="AD167" s="4"/>
      <c r="AE167" s="4"/>
      <c r="AF167" s="4"/>
      <c r="AG167" s="4"/>
      <c r="AH167" s="4"/>
      <c r="AI167" s="4"/>
    </row>
    <row r="168" spans="1:35" ht="60" customHeight="1" x14ac:dyDescent="0.2">
      <c r="A168" s="3"/>
      <c r="B168" s="4"/>
      <c r="C168" s="4"/>
      <c r="D168" s="4"/>
      <c r="E168" s="4"/>
      <c r="F168" s="4"/>
      <c r="G168" s="4"/>
      <c r="H168" s="4"/>
      <c r="I168" s="4"/>
      <c r="J168" s="4"/>
      <c r="K168" s="4"/>
      <c r="L168" s="4"/>
      <c r="M168" s="4"/>
      <c r="N168" s="4"/>
      <c r="O168" s="4"/>
      <c r="P168" s="4"/>
      <c r="Q168" s="4"/>
      <c r="R168" s="10"/>
      <c r="S168" s="10"/>
      <c r="T168" s="4"/>
      <c r="U168" s="4"/>
      <c r="V168" s="4"/>
      <c r="W168" s="4"/>
      <c r="X168" s="4"/>
      <c r="Y168" s="4"/>
      <c r="Z168" s="4"/>
      <c r="AA168" s="4"/>
      <c r="AB168" s="4"/>
      <c r="AC168" s="4"/>
      <c r="AD168" s="4"/>
      <c r="AE168" s="4"/>
      <c r="AF168" s="4"/>
      <c r="AG168" s="4"/>
      <c r="AH168" s="4"/>
      <c r="AI168" s="4"/>
    </row>
    <row r="169" spans="1:35" ht="60" customHeight="1" x14ac:dyDescent="0.2">
      <c r="A169" s="3"/>
      <c r="B169" s="4"/>
      <c r="C169" s="4"/>
      <c r="D169" s="4"/>
      <c r="E169" s="4"/>
      <c r="F169" s="4"/>
      <c r="G169" s="4"/>
      <c r="H169" s="4"/>
      <c r="I169" s="4"/>
      <c r="J169" s="4"/>
      <c r="K169" s="4"/>
      <c r="L169" s="4"/>
      <c r="M169" s="4"/>
      <c r="N169" s="4"/>
      <c r="O169" s="4"/>
      <c r="P169" s="4"/>
      <c r="Q169" s="4"/>
      <c r="R169" s="10"/>
      <c r="S169" s="4"/>
      <c r="T169" s="4"/>
      <c r="U169" s="4"/>
      <c r="V169" s="4"/>
      <c r="W169" s="4"/>
      <c r="X169" s="4"/>
      <c r="Y169" s="4"/>
      <c r="Z169" s="4"/>
      <c r="AA169" s="4"/>
      <c r="AB169" s="4"/>
      <c r="AC169" s="4"/>
      <c r="AD169" s="4"/>
      <c r="AE169" s="4"/>
      <c r="AF169" s="4"/>
      <c r="AG169" s="4"/>
      <c r="AH169" s="4"/>
      <c r="AI169" s="4"/>
    </row>
    <row r="170" spans="1:35" ht="60" customHeight="1" x14ac:dyDescent="0.2">
      <c r="A170" s="3"/>
      <c r="B170" s="4"/>
      <c r="C170" s="4"/>
      <c r="D170" s="4"/>
      <c r="E170" s="4"/>
      <c r="F170" s="4"/>
      <c r="G170" s="4"/>
      <c r="H170" s="4"/>
      <c r="I170" s="4"/>
      <c r="J170" s="4"/>
      <c r="K170" s="4"/>
      <c r="L170" s="4"/>
      <c r="M170" s="4"/>
      <c r="N170" s="4"/>
      <c r="O170" s="4"/>
      <c r="P170" s="4"/>
      <c r="Q170" s="4"/>
      <c r="R170" s="10"/>
      <c r="S170" s="4"/>
      <c r="T170" s="4"/>
      <c r="U170" s="4"/>
      <c r="V170" s="4"/>
      <c r="W170" s="4"/>
      <c r="X170" s="4"/>
      <c r="Y170" s="4"/>
      <c r="Z170" s="4"/>
      <c r="AA170" s="4"/>
      <c r="AB170" s="4"/>
      <c r="AC170" s="4"/>
      <c r="AD170" s="4"/>
      <c r="AE170" s="4"/>
      <c r="AF170" s="4"/>
      <c r="AG170" s="4"/>
      <c r="AH170" s="4"/>
      <c r="AI170" s="4"/>
    </row>
    <row r="171" spans="1:35" ht="60" customHeight="1" x14ac:dyDescent="0.2">
      <c r="A171" s="3"/>
      <c r="B171" s="4"/>
      <c r="C171" s="4"/>
      <c r="D171" s="4"/>
      <c r="E171" s="4"/>
      <c r="F171" s="4"/>
      <c r="G171" s="4"/>
      <c r="H171" s="4"/>
      <c r="I171" s="4"/>
      <c r="J171" s="4"/>
      <c r="K171" s="4"/>
      <c r="L171" s="4"/>
      <c r="M171" s="4"/>
      <c r="N171" s="4"/>
      <c r="O171" s="4"/>
      <c r="P171" s="4"/>
      <c r="Q171" s="4"/>
      <c r="R171" s="10"/>
      <c r="S171" s="10"/>
      <c r="T171" s="4"/>
      <c r="U171" s="4"/>
      <c r="V171" s="4"/>
      <c r="W171" s="4"/>
      <c r="X171" s="4"/>
      <c r="Y171" s="4"/>
      <c r="Z171" s="4"/>
      <c r="AA171" s="4"/>
      <c r="AB171" s="4"/>
      <c r="AC171" s="4"/>
      <c r="AD171" s="4"/>
      <c r="AE171" s="4"/>
      <c r="AF171" s="4"/>
      <c r="AG171" s="4"/>
      <c r="AH171" s="4"/>
      <c r="AI171" s="4"/>
    </row>
    <row r="172" spans="1:35" ht="60" customHeight="1" x14ac:dyDescent="0.2">
      <c r="A172" s="3"/>
      <c r="B172" s="4"/>
      <c r="C172" s="4"/>
      <c r="D172" s="4"/>
      <c r="E172" s="4"/>
      <c r="F172" s="4"/>
      <c r="G172" s="4"/>
      <c r="H172" s="4"/>
      <c r="I172" s="4"/>
      <c r="J172" s="4"/>
      <c r="K172" s="4"/>
      <c r="L172" s="4"/>
      <c r="M172" s="4"/>
      <c r="N172" s="4"/>
      <c r="O172" s="4"/>
      <c r="P172" s="38"/>
      <c r="Q172" s="4"/>
      <c r="R172" s="10"/>
      <c r="S172" s="8"/>
      <c r="T172" s="8"/>
      <c r="U172" s="4"/>
      <c r="V172" s="4"/>
      <c r="W172" s="4"/>
      <c r="X172" s="4"/>
      <c r="Y172" s="4"/>
      <c r="Z172" s="4"/>
      <c r="AA172" s="4"/>
      <c r="AB172" s="4"/>
      <c r="AC172" s="4"/>
      <c r="AD172" s="4"/>
      <c r="AE172" s="4"/>
      <c r="AF172" s="4"/>
      <c r="AG172" s="4"/>
      <c r="AH172" s="4"/>
      <c r="AI172" s="4"/>
    </row>
    <row r="173" spans="1:35" ht="60" customHeight="1" x14ac:dyDescent="0.2">
      <c r="A173" s="3"/>
      <c r="B173" s="4"/>
      <c r="C173" s="4"/>
      <c r="D173" s="4"/>
      <c r="E173" s="4"/>
      <c r="F173" s="4"/>
      <c r="G173" s="4"/>
      <c r="H173" s="4"/>
      <c r="I173" s="4"/>
      <c r="J173" s="4"/>
      <c r="K173" s="4"/>
      <c r="L173" s="4"/>
      <c r="M173" s="4"/>
      <c r="N173" s="4"/>
      <c r="O173" s="4"/>
      <c r="P173" s="4"/>
      <c r="Q173" s="4"/>
      <c r="R173" s="10"/>
      <c r="S173" s="4"/>
      <c r="T173" s="4"/>
      <c r="U173" s="4"/>
      <c r="V173" s="4"/>
      <c r="W173" s="4"/>
      <c r="X173" s="4"/>
      <c r="Y173" s="4"/>
      <c r="Z173" s="4"/>
      <c r="AA173" s="4"/>
      <c r="AB173" s="4"/>
      <c r="AC173" s="4"/>
      <c r="AD173" s="4"/>
      <c r="AE173" s="4"/>
      <c r="AF173" s="4"/>
      <c r="AG173" s="4"/>
      <c r="AH173" s="4"/>
      <c r="AI173" s="4"/>
    </row>
    <row r="174" spans="1:35" ht="60" customHeight="1" x14ac:dyDescent="0.2">
      <c r="A174" s="3"/>
      <c r="B174" s="4"/>
      <c r="C174" s="4"/>
      <c r="D174" s="4"/>
      <c r="E174" s="4"/>
      <c r="F174" s="4"/>
      <c r="G174" s="4"/>
      <c r="H174" s="4"/>
      <c r="I174" s="4"/>
      <c r="J174" s="4"/>
      <c r="K174" s="4"/>
      <c r="L174" s="4"/>
      <c r="M174" s="4"/>
      <c r="N174" s="4"/>
      <c r="O174" s="4"/>
      <c r="P174" s="38"/>
      <c r="Q174" s="4"/>
      <c r="R174" s="10"/>
      <c r="S174" s="7"/>
      <c r="T174" s="4"/>
      <c r="U174" s="4"/>
      <c r="V174" s="4"/>
      <c r="W174" s="4"/>
      <c r="X174" s="4"/>
      <c r="Y174" s="4"/>
      <c r="Z174" s="4"/>
      <c r="AA174" s="4"/>
      <c r="AB174" s="4"/>
      <c r="AC174" s="4"/>
      <c r="AD174" s="4"/>
      <c r="AE174" s="4"/>
      <c r="AF174" s="4"/>
      <c r="AG174" s="4"/>
      <c r="AH174" s="4"/>
      <c r="AI174" s="4"/>
    </row>
    <row r="175" spans="1:35" ht="60" customHeight="1" x14ac:dyDescent="0.2">
      <c r="A175" s="3"/>
      <c r="B175" s="4"/>
      <c r="C175" s="4"/>
      <c r="D175" s="4"/>
      <c r="E175" s="4"/>
      <c r="F175" s="4"/>
      <c r="G175" s="4"/>
      <c r="H175" s="4"/>
      <c r="I175" s="4"/>
      <c r="J175" s="4"/>
      <c r="K175" s="4"/>
      <c r="L175" s="4"/>
      <c r="M175" s="4"/>
      <c r="N175" s="4"/>
      <c r="O175" s="4"/>
      <c r="P175" s="4"/>
      <c r="Q175" s="4"/>
      <c r="R175" s="10"/>
      <c r="S175" s="19"/>
      <c r="T175" s="4"/>
      <c r="U175" s="4"/>
      <c r="V175" s="4"/>
      <c r="W175" s="4"/>
      <c r="X175" s="4"/>
      <c r="Y175" s="4"/>
      <c r="Z175" s="4"/>
      <c r="AA175" s="4"/>
      <c r="AB175" s="4"/>
      <c r="AC175" s="4"/>
      <c r="AD175" s="4"/>
      <c r="AE175" s="4"/>
      <c r="AF175" s="4"/>
      <c r="AG175" s="4"/>
      <c r="AH175" s="4"/>
      <c r="AI175" s="4"/>
    </row>
    <row r="176" spans="1:35" ht="60" customHeight="1" x14ac:dyDescent="0.2">
      <c r="A176" s="3"/>
      <c r="B176" s="4"/>
      <c r="C176" s="4"/>
      <c r="D176" s="4"/>
      <c r="E176" s="4"/>
      <c r="F176" s="4"/>
      <c r="G176" s="4"/>
      <c r="H176" s="4"/>
      <c r="I176" s="4"/>
      <c r="J176" s="4"/>
      <c r="K176" s="4"/>
      <c r="L176" s="4"/>
      <c r="M176" s="4"/>
      <c r="N176" s="4"/>
      <c r="O176" s="4"/>
      <c r="P176" s="4"/>
      <c r="Q176" s="4"/>
      <c r="R176" s="10"/>
      <c r="S176" s="10"/>
      <c r="T176" s="4"/>
      <c r="U176" s="4"/>
      <c r="V176" s="4"/>
      <c r="W176" s="4"/>
      <c r="X176" s="4"/>
      <c r="Y176" s="4"/>
      <c r="Z176" s="4"/>
      <c r="AA176" s="4"/>
      <c r="AB176" s="4"/>
      <c r="AC176" s="4"/>
      <c r="AD176" s="4"/>
      <c r="AE176" s="4"/>
      <c r="AF176" s="4"/>
      <c r="AG176" s="4"/>
      <c r="AH176" s="4"/>
      <c r="AI176" s="4"/>
    </row>
    <row r="177" spans="1:35" ht="60" customHeight="1" x14ac:dyDescent="0.2">
      <c r="A177" s="3"/>
      <c r="B177" s="4"/>
      <c r="C177" s="4"/>
      <c r="D177" s="4"/>
      <c r="E177" s="4"/>
      <c r="F177" s="4"/>
      <c r="G177" s="4"/>
      <c r="H177" s="4"/>
      <c r="I177" s="4"/>
      <c r="J177" s="4"/>
      <c r="K177" s="4"/>
      <c r="L177" s="4"/>
      <c r="M177" s="4"/>
      <c r="N177" s="4"/>
      <c r="O177" s="4"/>
      <c r="P177" s="4"/>
      <c r="Q177" s="4"/>
      <c r="R177" s="10"/>
      <c r="S177" s="10"/>
      <c r="T177" s="4"/>
      <c r="U177" s="4"/>
      <c r="V177" s="4"/>
      <c r="W177" s="4"/>
      <c r="X177" s="4"/>
      <c r="Y177" s="4"/>
      <c r="Z177" s="4"/>
      <c r="AA177" s="4"/>
      <c r="AB177" s="4"/>
      <c r="AC177" s="4"/>
      <c r="AD177" s="4"/>
      <c r="AE177" s="4"/>
      <c r="AF177" s="4"/>
      <c r="AG177" s="4"/>
      <c r="AH177" s="4"/>
      <c r="AI177" s="4"/>
    </row>
    <row r="178" spans="1:35" ht="60" customHeight="1" x14ac:dyDescent="0.2">
      <c r="A178" s="3"/>
      <c r="B178" s="4"/>
      <c r="C178" s="4"/>
      <c r="D178" s="4"/>
      <c r="E178" s="4"/>
      <c r="F178" s="4"/>
      <c r="G178" s="4"/>
      <c r="H178" s="4"/>
      <c r="I178" s="4"/>
      <c r="J178" s="4"/>
      <c r="K178" s="4"/>
      <c r="L178" s="4"/>
      <c r="M178" s="4"/>
      <c r="N178" s="4"/>
      <c r="O178" s="4"/>
      <c r="P178" s="4"/>
      <c r="Q178" s="4"/>
      <c r="R178" s="10"/>
      <c r="S178" s="10"/>
      <c r="T178" s="4"/>
      <c r="U178" s="4"/>
      <c r="V178" s="4"/>
      <c r="W178" s="4"/>
      <c r="X178" s="4"/>
      <c r="Y178" s="4"/>
      <c r="Z178" s="4"/>
      <c r="AA178" s="4"/>
      <c r="AB178" s="4"/>
      <c r="AC178" s="4"/>
      <c r="AD178" s="4"/>
      <c r="AE178" s="4"/>
      <c r="AF178" s="4"/>
      <c r="AG178" s="4"/>
      <c r="AH178" s="4"/>
      <c r="AI178" s="4"/>
    </row>
    <row r="179" spans="1:35" ht="60" customHeight="1" x14ac:dyDescent="0.2">
      <c r="A179" s="3"/>
      <c r="B179" s="4"/>
      <c r="C179" s="4"/>
      <c r="D179" s="4"/>
      <c r="E179" s="4"/>
      <c r="F179" s="4"/>
      <c r="G179" s="4"/>
      <c r="H179" s="4"/>
      <c r="I179" s="4"/>
      <c r="J179" s="4"/>
      <c r="K179" s="4"/>
      <c r="L179" s="4"/>
      <c r="M179" s="4"/>
      <c r="N179" s="4"/>
      <c r="O179" s="4"/>
      <c r="P179" s="35"/>
      <c r="Q179" s="4"/>
      <c r="R179" s="10"/>
      <c r="S179" s="4"/>
      <c r="T179" s="4"/>
      <c r="U179" s="4"/>
      <c r="V179" s="4"/>
      <c r="W179" s="4"/>
      <c r="X179" s="4"/>
      <c r="Y179" s="4"/>
      <c r="Z179" s="4"/>
      <c r="AA179" s="4"/>
      <c r="AB179" s="4"/>
      <c r="AC179" s="4"/>
      <c r="AD179" s="4"/>
      <c r="AE179" s="4"/>
      <c r="AF179" s="4"/>
      <c r="AG179" s="4"/>
      <c r="AH179" s="4"/>
      <c r="AI179" s="4"/>
    </row>
    <row r="180" spans="1:35" ht="60" customHeight="1" x14ac:dyDescent="0.2">
      <c r="A180" s="3"/>
      <c r="B180" s="4"/>
      <c r="C180" s="4"/>
      <c r="D180" s="4"/>
      <c r="E180" s="4"/>
      <c r="F180" s="4"/>
      <c r="G180" s="4"/>
      <c r="H180" s="4"/>
      <c r="I180" s="4"/>
      <c r="J180" s="4"/>
      <c r="K180" s="4"/>
      <c r="L180" s="4"/>
      <c r="M180" s="4"/>
      <c r="N180" s="4"/>
      <c r="O180" s="4"/>
      <c r="P180" s="4"/>
      <c r="Q180" s="4"/>
      <c r="R180" s="10"/>
      <c r="S180" s="10"/>
      <c r="T180" s="4"/>
      <c r="U180" s="4"/>
      <c r="V180" s="4"/>
      <c r="W180" s="4"/>
      <c r="X180" s="4"/>
      <c r="Y180" s="4"/>
      <c r="Z180" s="4"/>
      <c r="AA180" s="4"/>
      <c r="AB180" s="4"/>
      <c r="AC180" s="4"/>
      <c r="AD180" s="4"/>
      <c r="AE180" s="4"/>
      <c r="AF180" s="4"/>
      <c r="AG180" s="4"/>
      <c r="AH180" s="4"/>
      <c r="AI180" s="4"/>
    </row>
    <row r="181" spans="1:35" ht="60" customHeight="1" x14ac:dyDescent="0.2">
      <c r="A181" s="3"/>
      <c r="B181" s="4"/>
      <c r="C181" s="4"/>
      <c r="D181" s="4"/>
      <c r="E181" s="4"/>
      <c r="F181" s="4"/>
      <c r="G181" s="4"/>
      <c r="H181" s="4"/>
      <c r="I181" s="4"/>
      <c r="J181" s="4"/>
      <c r="K181" s="4"/>
      <c r="L181" s="4"/>
      <c r="M181" s="4"/>
      <c r="N181" s="4"/>
      <c r="O181" s="4"/>
      <c r="P181" s="4"/>
      <c r="Q181" s="4"/>
      <c r="R181" s="10"/>
      <c r="S181" s="10"/>
      <c r="T181" s="10"/>
      <c r="U181" s="4"/>
      <c r="V181" s="4"/>
      <c r="W181" s="4"/>
      <c r="X181" s="4"/>
      <c r="Y181" s="4"/>
      <c r="Z181" s="4"/>
      <c r="AA181" s="4"/>
      <c r="AB181" s="4"/>
      <c r="AC181" s="4"/>
      <c r="AD181" s="4"/>
      <c r="AE181" s="4"/>
      <c r="AF181" s="4"/>
      <c r="AG181" s="4"/>
      <c r="AH181" s="4"/>
      <c r="AI181" s="4"/>
    </row>
    <row r="182" spans="1:35" ht="60" customHeight="1" x14ac:dyDescent="0.2">
      <c r="A182" s="3"/>
      <c r="B182" s="4"/>
      <c r="C182" s="4"/>
      <c r="D182" s="4"/>
      <c r="E182" s="4"/>
      <c r="F182" s="4"/>
      <c r="G182" s="4"/>
      <c r="H182" s="4"/>
      <c r="I182" s="4"/>
      <c r="J182" s="4"/>
      <c r="K182" s="4"/>
      <c r="L182" s="4"/>
      <c r="M182" s="4"/>
      <c r="N182" s="4"/>
      <c r="O182" s="4"/>
      <c r="P182" s="4"/>
      <c r="Q182" s="4"/>
      <c r="R182" s="10"/>
      <c r="S182" s="10"/>
      <c r="T182" s="4"/>
      <c r="U182" s="4"/>
      <c r="V182" s="4"/>
      <c r="W182" s="4"/>
      <c r="X182" s="4"/>
      <c r="Y182" s="4"/>
      <c r="Z182" s="4"/>
      <c r="AA182" s="4"/>
      <c r="AB182" s="4"/>
      <c r="AC182" s="4"/>
      <c r="AD182" s="4"/>
      <c r="AE182" s="4"/>
      <c r="AF182" s="4"/>
      <c r="AG182" s="4"/>
      <c r="AH182" s="4"/>
      <c r="AI182" s="4"/>
    </row>
    <row r="183" spans="1:35" ht="60" customHeight="1" x14ac:dyDescent="0.2">
      <c r="A183" s="3"/>
      <c r="B183" s="4"/>
      <c r="C183" s="4"/>
      <c r="D183" s="4"/>
      <c r="E183" s="4"/>
      <c r="F183" s="4"/>
      <c r="G183" s="4"/>
      <c r="H183" s="4"/>
      <c r="I183" s="4"/>
      <c r="J183" s="4"/>
      <c r="K183" s="4"/>
      <c r="L183" s="4"/>
      <c r="M183" s="4"/>
      <c r="N183" s="4"/>
      <c r="O183" s="4"/>
      <c r="P183" s="4"/>
      <c r="Q183" s="4"/>
      <c r="R183" s="10"/>
      <c r="S183" s="4"/>
      <c r="T183" s="4"/>
      <c r="U183" s="4"/>
      <c r="V183" s="4"/>
      <c r="W183" s="4"/>
      <c r="X183" s="4"/>
      <c r="Y183" s="4"/>
      <c r="Z183" s="4"/>
      <c r="AA183" s="4"/>
      <c r="AB183" s="4"/>
      <c r="AC183" s="4"/>
      <c r="AD183" s="4"/>
      <c r="AE183" s="4"/>
      <c r="AF183" s="4"/>
      <c r="AG183" s="4"/>
      <c r="AH183" s="4"/>
      <c r="AI183" s="4"/>
    </row>
    <row r="184" spans="1:35" ht="60" customHeight="1" x14ac:dyDescent="0.2">
      <c r="A184" s="3"/>
      <c r="B184" s="4"/>
      <c r="C184" s="4"/>
      <c r="D184" s="4"/>
      <c r="E184" s="4"/>
      <c r="F184" s="4"/>
      <c r="G184" s="4"/>
      <c r="H184" s="4"/>
      <c r="I184" s="4"/>
      <c r="J184" s="4"/>
      <c r="K184" s="4"/>
      <c r="L184" s="4"/>
      <c r="M184" s="4"/>
      <c r="N184" s="4"/>
      <c r="O184" s="4"/>
      <c r="P184" s="4"/>
      <c r="Q184" s="4"/>
      <c r="R184" s="10"/>
      <c r="S184" s="4"/>
      <c r="T184" s="4"/>
      <c r="U184" s="4"/>
      <c r="V184" s="4"/>
      <c r="W184" s="4"/>
      <c r="X184" s="4"/>
      <c r="Y184" s="4"/>
      <c r="Z184" s="4"/>
      <c r="AA184" s="4"/>
      <c r="AB184" s="4"/>
      <c r="AC184" s="4"/>
      <c r="AD184" s="4"/>
      <c r="AE184" s="4"/>
      <c r="AF184" s="4"/>
      <c r="AG184" s="4"/>
      <c r="AH184" s="4"/>
      <c r="AI184" s="4"/>
    </row>
    <row r="185" spans="1:35" ht="60" customHeight="1" x14ac:dyDescent="0.2">
      <c r="A185" s="3"/>
      <c r="B185" s="4"/>
      <c r="C185" s="4"/>
      <c r="D185" s="4"/>
      <c r="E185" s="4"/>
      <c r="F185" s="4"/>
      <c r="G185" s="4"/>
      <c r="H185" s="4"/>
      <c r="I185" s="4"/>
      <c r="J185" s="4"/>
      <c r="K185" s="4"/>
      <c r="L185" s="4"/>
      <c r="M185" s="4"/>
      <c r="N185" s="4"/>
      <c r="O185" s="4"/>
      <c r="P185" s="4"/>
      <c r="Q185" s="4"/>
      <c r="R185" s="10"/>
      <c r="S185" s="4"/>
      <c r="T185" s="4"/>
      <c r="U185" s="4"/>
      <c r="V185" s="4"/>
      <c r="W185" s="4"/>
      <c r="X185" s="4"/>
      <c r="Y185" s="4"/>
      <c r="Z185" s="4"/>
      <c r="AA185" s="4"/>
      <c r="AB185" s="4"/>
      <c r="AC185" s="4"/>
      <c r="AD185" s="4"/>
      <c r="AE185" s="4"/>
      <c r="AF185" s="4"/>
      <c r="AG185" s="4"/>
      <c r="AH185" s="4"/>
      <c r="AI185" s="4"/>
    </row>
    <row r="186" spans="1:35" ht="60" customHeight="1" x14ac:dyDescent="0.2">
      <c r="A186" s="3"/>
      <c r="B186" s="4"/>
      <c r="C186" s="4"/>
      <c r="D186" s="4"/>
      <c r="E186" s="4"/>
      <c r="F186" s="4"/>
      <c r="G186" s="4"/>
      <c r="H186" s="4"/>
      <c r="I186" s="4"/>
      <c r="J186" s="4"/>
      <c r="K186" s="4"/>
      <c r="L186" s="4"/>
      <c r="M186" s="4"/>
      <c r="N186" s="4"/>
      <c r="O186" s="4"/>
      <c r="P186" s="4"/>
      <c r="Q186" s="4"/>
      <c r="R186" s="10"/>
      <c r="S186" s="4"/>
      <c r="T186" s="4"/>
      <c r="U186" s="4"/>
      <c r="V186" s="4"/>
      <c r="W186" s="4"/>
      <c r="X186" s="4"/>
      <c r="Y186" s="4"/>
      <c r="Z186" s="4"/>
      <c r="AA186" s="4"/>
      <c r="AB186" s="4"/>
      <c r="AC186" s="4"/>
      <c r="AD186" s="4"/>
      <c r="AE186" s="4"/>
      <c r="AF186" s="4"/>
      <c r="AG186" s="4"/>
      <c r="AH186" s="4"/>
      <c r="AI186" s="4"/>
    </row>
    <row r="187" spans="1:35" ht="60" customHeight="1" x14ac:dyDescent="0.2">
      <c r="A187" s="3"/>
      <c r="B187" s="4"/>
      <c r="C187" s="4"/>
      <c r="D187" s="4"/>
      <c r="E187" s="4"/>
      <c r="F187" s="4"/>
      <c r="G187" s="4"/>
      <c r="H187" s="4"/>
      <c r="I187" s="4"/>
      <c r="J187" s="4"/>
      <c r="K187" s="4"/>
      <c r="L187" s="4"/>
      <c r="M187" s="4"/>
      <c r="N187" s="4"/>
      <c r="O187" s="4"/>
      <c r="P187" s="4"/>
      <c r="Q187" s="4"/>
      <c r="R187" s="10"/>
      <c r="S187" s="10"/>
      <c r="T187" s="4"/>
      <c r="U187" s="4"/>
      <c r="V187" s="4"/>
      <c r="W187" s="4"/>
      <c r="X187" s="4"/>
      <c r="Y187" s="4"/>
      <c r="Z187" s="4"/>
      <c r="AA187" s="4"/>
      <c r="AB187" s="4"/>
      <c r="AC187" s="4"/>
      <c r="AD187" s="4"/>
      <c r="AE187" s="4"/>
      <c r="AF187" s="4"/>
      <c r="AG187" s="4"/>
      <c r="AH187" s="4"/>
      <c r="AI187" s="4"/>
    </row>
    <row r="188" spans="1:35" ht="60" customHeight="1" x14ac:dyDescent="0.2">
      <c r="A188" s="3"/>
      <c r="B188" s="4"/>
      <c r="C188" s="4"/>
      <c r="D188" s="4"/>
      <c r="E188" s="4"/>
      <c r="F188" s="4"/>
      <c r="G188" s="4"/>
      <c r="H188" s="4"/>
      <c r="I188" s="4"/>
      <c r="J188" s="4"/>
      <c r="K188" s="4"/>
      <c r="L188" s="4"/>
      <c r="M188" s="4"/>
      <c r="N188" s="4"/>
      <c r="O188" s="4"/>
      <c r="P188" s="4"/>
      <c r="Q188" s="4"/>
      <c r="R188" s="10"/>
      <c r="S188" s="10"/>
      <c r="T188" s="4"/>
      <c r="U188" s="4"/>
      <c r="V188" s="4"/>
      <c r="W188" s="4"/>
      <c r="X188" s="4"/>
      <c r="Y188" s="4"/>
      <c r="Z188" s="4"/>
      <c r="AA188" s="4"/>
      <c r="AB188" s="4"/>
      <c r="AC188" s="4"/>
      <c r="AD188" s="4"/>
      <c r="AE188" s="4"/>
      <c r="AF188" s="4"/>
      <c r="AG188" s="4"/>
      <c r="AH188" s="4"/>
      <c r="AI188" s="4"/>
    </row>
    <row r="189" spans="1:35" ht="60" customHeight="1" x14ac:dyDescent="0.2">
      <c r="A189" s="3"/>
      <c r="B189" s="4"/>
      <c r="C189" s="4"/>
      <c r="D189" s="4"/>
      <c r="E189" s="4"/>
      <c r="F189" s="4"/>
      <c r="G189" s="4"/>
      <c r="H189" s="4"/>
      <c r="I189" s="4"/>
      <c r="J189" s="4"/>
      <c r="K189" s="4"/>
      <c r="L189" s="4"/>
      <c r="M189" s="4"/>
      <c r="N189" s="4"/>
      <c r="O189" s="4"/>
      <c r="P189" s="4"/>
      <c r="Q189" s="4"/>
      <c r="R189" s="10"/>
      <c r="S189" s="10"/>
      <c r="T189" s="4"/>
      <c r="U189" s="4"/>
      <c r="V189" s="4"/>
      <c r="W189" s="4"/>
      <c r="X189" s="4"/>
      <c r="Y189" s="4"/>
      <c r="Z189" s="4"/>
      <c r="AA189" s="4"/>
      <c r="AB189" s="4"/>
      <c r="AC189" s="4"/>
      <c r="AD189" s="4"/>
      <c r="AE189" s="4"/>
      <c r="AF189" s="4"/>
      <c r="AG189" s="4"/>
      <c r="AH189" s="4"/>
      <c r="AI189" s="4"/>
    </row>
    <row r="190" spans="1:35" ht="60" customHeight="1" x14ac:dyDescent="0.2">
      <c r="A190" s="3"/>
      <c r="B190" s="4"/>
      <c r="C190" s="4"/>
      <c r="D190" s="4"/>
      <c r="E190" s="4"/>
      <c r="F190" s="4"/>
      <c r="G190" s="4"/>
      <c r="H190" s="4"/>
      <c r="I190" s="4"/>
      <c r="J190" s="4"/>
      <c r="K190" s="4"/>
      <c r="L190" s="4"/>
      <c r="M190" s="4"/>
      <c r="N190" s="4"/>
      <c r="O190" s="4"/>
      <c r="P190" s="4"/>
      <c r="Q190" s="4"/>
      <c r="R190" s="10"/>
      <c r="S190" s="4"/>
      <c r="T190" s="4"/>
      <c r="U190" s="4"/>
      <c r="V190" s="4"/>
      <c r="W190" s="4"/>
      <c r="X190" s="4"/>
      <c r="Y190" s="4"/>
      <c r="Z190" s="4"/>
      <c r="AA190" s="4"/>
      <c r="AB190" s="4"/>
      <c r="AC190" s="4"/>
      <c r="AD190" s="4"/>
      <c r="AE190" s="4"/>
      <c r="AF190" s="4"/>
      <c r="AG190" s="4"/>
      <c r="AH190" s="4"/>
      <c r="AI190" s="4"/>
    </row>
    <row r="191" spans="1:35" ht="60" customHeight="1" x14ac:dyDescent="0.2">
      <c r="A191" s="3"/>
      <c r="B191" s="4"/>
      <c r="C191" s="4"/>
      <c r="D191" s="4"/>
      <c r="E191" s="4"/>
      <c r="F191" s="4"/>
      <c r="G191" s="4"/>
      <c r="H191" s="4"/>
      <c r="I191" s="4"/>
      <c r="J191" s="4"/>
      <c r="K191" s="4"/>
      <c r="L191" s="4"/>
      <c r="M191" s="4"/>
      <c r="N191" s="4"/>
      <c r="O191" s="4"/>
      <c r="P191" s="4"/>
      <c r="Q191" s="4"/>
      <c r="R191" s="7"/>
      <c r="S191" s="7"/>
      <c r="T191" s="4"/>
      <c r="U191" s="4"/>
      <c r="V191" s="4"/>
      <c r="W191" s="4"/>
      <c r="X191" s="4"/>
      <c r="Y191" s="4"/>
      <c r="Z191" s="4"/>
      <c r="AA191" s="4"/>
      <c r="AB191" s="4"/>
      <c r="AC191" s="4"/>
      <c r="AD191" s="4"/>
      <c r="AE191" s="4"/>
      <c r="AF191" s="4"/>
      <c r="AG191" s="4"/>
      <c r="AH191" s="4"/>
      <c r="AI191" s="4"/>
    </row>
    <row r="192" spans="1:35" ht="60" customHeight="1" x14ac:dyDescent="0.2">
      <c r="A192" s="3"/>
      <c r="B192" s="4"/>
      <c r="C192" s="4"/>
      <c r="D192" s="4"/>
      <c r="E192" s="4"/>
      <c r="F192" s="4"/>
      <c r="G192" s="4"/>
      <c r="H192" s="4"/>
      <c r="I192" s="4"/>
      <c r="J192" s="4"/>
      <c r="K192" s="4"/>
      <c r="L192" s="4"/>
      <c r="M192" s="4"/>
      <c r="N192" s="4"/>
      <c r="O192" s="4"/>
      <c r="P192" s="9"/>
      <c r="Q192" s="4"/>
      <c r="R192" s="10"/>
      <c r="S192" s="10"/>
      <c r="T192" s="4"/>
      <c r="U192" s="4"/>
      <c r="V192" s="4"/>
      <c r="W192" s="4"/>
      <c r="X192" s="4"/>
      <c r="Y192" s="4"/>
      <c r="Z192" s="4"/>
      <c r="AA192" s="4"/>
      <c r="AB192" s="4"/>
      <c r="AC192" s="4"/>
      <c r="AD192" s="4"/>
      <c r="AE192" s="4"/>
      <c r="AF192" s="4"/>
      <c r="AG192" s="4"/>
      <c r="AH192" s="4"/>
      <c r="AI192" s="4"/>
    </row>
    <row r="193" spans="1:35" ht="60" customHeight="1" x14ac:dyDescent="0.2">
      <c r="A193" s="3"/>
      <c r="B193" s="4"/>
      <c r="C193" s="4"/>
      <c r="D193" s="4"/>
      <c r="E193" s="4"/>
      <c r="F193" s="4"/>
      <c r="G193" s="4"/>
      <c r="H193" s="4"/>
      <c r="I193" s="4"/>
      <c r="J193" s="4"/>
      <c r="K193" s="4"/>
      <c r="L193" s="4"/>
      <c r="M193" s="4"/>
      <c r="N193" s="4"/>
      <c r="O193" s="4"/>
      <c r="P193" s="9"/>
      <c r="Q193" s="4"/>
      <c r="R193" s="10"/>
      <c r="S193" s="7"/>
      <c r="T193" s="4"/>
      <c r="U193" s="4"/>
      <c r="V193" s="4"/>
      <c r="W193" s="4"/>
      <c r="X193" s="4"/>
      <c r="Y193" s="4"/>
      <c r="Z193" s="4"/>
      <c r="AA193" s="4"/>
      <c r="AB193" s="4"/>
      <c r="AC193" s="4"/>
      <c r="AD193" s="4"/>
      <c r="AE193" s="4"/>
      <c r="AF193" s="4"/>
      <c r="AG193" s="4"/>
      <c r="AH193" s="4"/>
      <c r="AI193" s="4"/>
    </row>
    <row r="194" spans="1:35" ht="60" customHeight="1" x14ac:dyDescent="0.2">
      <c r="A194" s="3"/>
      <c r="B194" s="4"/>
      <c r="C194" s="4"/>
      <c r="D194" s="4"/>
      <c r="E194" s="4"/>
      <c r="F194" s="4"/>
      <c r="G194" s="4"/>
      <c r="H194" s="4"/>
      <c r="I194" s="4"/>
      <c r="J194" s="4"/>
      <c r="K194" s="4"/>
      <c r="L194" s="4"/>
      <c r="M194" s="4"/>
      <c r="N194" s="4"/>
      <c r="O194" s="4"/>
      <c r="P194" s="4"/>
      <c r="Q194" s="4"/>
      <c r="R194" s="10"/>
      <c r="S194" s="10"/>
      <c r="T194" s="4"/>
      <c r="U194" s="4"/>
      <c r="V194" s="4"/>
      <c r="W194" s="4"/>
      <c r="X194" s="4"/>
      <c r="Y194" s="4"/>
      <c r="Z194" s="4"/>
      <c r="AA194" s="4"/>
      <c r="AB194" s="4"/>
      <c r="AC194" s="4"/>
      <c r="AD194" s="4"/>
      <c r="AE194" s="4"/>
      <c r="AF194" s="4"/>
      <c r="AG194" s="4"/>
      <c r="AH194" s="4"/>
      <c r="AI194" s="4"/>
    </row>
    <row r="195" spans="1:35" ht="60" customHeight="1" x14ac:dyDescent="0.2">
      <c r="A195" s="3"/>
      <c r="B195" s="4"/>
      <c r="C195" s="4"/>
      <c r="D195" s="4"/>
      <c r="E195" s="4"/>
      <c r="F195" s="4"/>
      <c r="G195" s="4"/>
      <c r="H195" s="4"/>
      <c r="I195" s="4"/>
      <c r="J195" s="4"/>
      <c r="K195" s="4"/>
      <c r="L195" s="4"/>
      <c r="M195" s="4"/>
      <c r="N195" s="4"/>
      <c r="O195" s="4"/>
      <c r="P195" s="4"/>
      <c r="Q195" s="4"/>
      <c r="R195" s="10"/>
      <c r="S195" s="4"/>
      <c r="T195" s="4"/>
      <c r="U195" s="4"/>
      <c r="V195" s="4"/>
      <c r="W195" s="4"/>
      <c r="X195" s="4"/>
      <c r="Y195" s="4"/>
      <c r="Z195" s="4"/>
      <c r="AA195" s="4"/>
      <c r="AB195" s="4"/>
      <c r="AC195" s="4"/>
      <c r="AD195" s="4"/>
      <c r="AE195" s="4"/>
      <c r="AF195" s="4"/>
      <c r="AG195" s="4"/>
      <c r="AH195" s="4"/>
      <c r="AI195" s="4"/>
    </row>
    <row r="196" spans="1:35" ht="60" customHeight="1" x14ac:dyDescent="0.2">
      <c r="A196" s="3"/>
      <c r="B196" s="4"/>
      <c r="C196" s="4"/>
      <c r="D196" s="4"/>
      <c r="E196" s="4"/>
      <c r="F196" s="4"/>
      <c r="G196" s="4"/>
      <c r="H196" s="4"/>
      <c r="I196" s="4"/>
      <c r="J196" s="4"/>
      <c r="K196" s="4"/>
      <c r="L196" s="4"/>
      <c r="M196" s="4"/>
      <c r="N196" s="4"/>
      <c r="O196" s="4"/>
      <c r="P196" s="4"/>
      <c r="Q196" s="4"/>
      <c r="R196" s="10"/>
      <c r="S196" s="4"/>
      <c r="T196" s="4"/>
      <c r="U196" s="4"/>
      <c r="V196" s="4"/>
      <c r="W196" s="4"/>
      <c r="X196" s="4"/>
      <c r="Y196" s="4"/>
      <c r="Z196" s="4"/>
      <c r="AA196" s="4"/>
      <c r="AB196" s="4"/>
      <c r="AC196" s="4"/>
      <c r="AD196" s="4"/>
      <c r="AE196" s="4"/>
      <c r="AF196" s="4"/>
      <c r="AG196" s="4"/>
      <c r="AH196" s="4"/>
      <c r="AI196" s="4"/>
    </row>
    <row r="197" spans="1:35" ht="60" customHeight="1" x14ac:dyDescent="0.2">
      <c r="A197" s="3"/>
      <c r="B197" s="4"/>
      <c r="C197" s="4"/>
      <c r="D197" s="4"/>
      <c r="E197" s="4"/>
      <c r="F197" s="4"/>
      <c r="G197" s="4"/>
      <c r="H197" s="4"/>
      <c r="I197" s="4"/>
      <c r="J197" s="4"/>
      <c r="K197" s="4"/>
      <c r="L197" s="4"/>
      <c r="M197" s="4"/>
      <c r="N197" s="4"/>
      <c r="O197" s="4"/>
      <c r="P197" s="4"/>
      <c r="Q197" s="4"/>
      <c r="R197" s="10"/>
      <c r="S197" s="10"/>
      <c r="T197" s="4"/>
      <c r="U197" s="4"/>
      <c r="V197" s="4"/>
      <c r="W197" s="4"/>
      <c r="X197" s="4"/>
      <c r="Y197" s="4"/>
      <c r="Z197" s="4"/>
      <c r="AA197" s="4"/>
      <c r="AB197" s="4"/>
      <c r="AC197" s="4"/>
      <c r="AD197" s="4"/>
      <c r="AE197" s="4"/>
      <c r="AF197" s="4"/>
      <c r="AG197" s="4"/>
      <c r="AH197" s="4"/>
      <c r="AI197" s="4"/>
    </row>
    <row r="198" spans="1:35" ht="60" customHeight="1" x14ac:dyDescent="0.2">
      <c r="A198" s="3"/>
      <c r="B198" s="4"/>
      <c r="C198" s="4"/>
      <c r="D198" s="4"/>
      <c r="E198" s="4"/>
      <c r="F198" s="4"/>
      <c r="G198" s="4"/>
      <c r="H198" s="4"/>
      <c r="I198" s="4"/>
      <c r="J198" s="4"/>
      <c r="K198" s="4"/>
      <c r="L198" s="4"/>
      <c r="M198" s="4"/>
      <c r="N198" s="4"/>
      <c r="O198" s="4"/>
      <c r="P198" s="4"/>
      <c r="Q198" s="4"/>
      <c r="R198" s="10"/>
      <c r="S198" s="4"/>
      <c r="T198" s="4"/>
      <c r="U198" s="4"/>
      <c r="V198" s="4"/>
      <c r="W198" s="4"/>
      <c r="X198" s="4"/>
      <c r="Y198" s="4"/>
      <c r="Z198" s="4"/>
      <c r="AA198" s="4"/>
      <c r="AB198" s="4"/>
      <c r="AC198" s="4"/>
      <c r="AD198" s="4"/>
      <c r="AE198" s="4"/>
      <c r="AF198" s="4"/>
      <c r="AG198" s="4"/>
      <c r="AH198" s="4"/>
      <c r="AI198" s="4"/>
    </row>
    <row r="199" spans="1:35" ht="60" customHeight="1" x14ac:dyDescent="0.2">
      <c r="A199" s="3"/>
      <c r="B199" s="4"/>
      <c r="C199" s="4"/>
      <c r="D199" s="4"/>
      <c r="E199" s="4"/>
      <c r="F199" s="4"/>
      <c r="G199" s="4"/>
      <c r="H199" s="4"/>
      <c r="I199" s="4"/>
      <c r="J199" s="4"/>
      <c r="K199" s="4"/>
      <c r="L199" s="4"/>
      <c r="M199" s="4"/>
      <c r="N199" s="4"/>
      <c r="O199" s="4"/>
      <c r="P199" s="4"/>
      <c r="Q199" s="4"/>
      <c r="R199" s="19"/>
      <c r="S199" s="10"/>
      <c r="T199" s="10"/>
      <c r="U199" s="4"/>
      <c r="V199" s="4"/>
      <c r="W199" s="4"/>
      <c r="X199" s="4"/>
      <c r="Y199" s="4"/>
      <c r="Z199" s="4"/>
      <c r="AA199" s="4"/>
      <c r="AB199" s="4"/>
      <c r="AC199" s="4"/>
      <c r="AD199" s="4"/>
      <c r="AE199" s="4"/>
      <c r="AF199" s="4"/>
      <c r="AG199" s="4"/>
      <c r="AH199" s="4"/>
      <c r="AI199" s="4"/>
    </row>
    <row r="200" spans="1:35" ht="60" customHeight="1" x14ac:dyDescent="0.2">
      <c r="A200" s="3"/>
      <c r="B200" s="4"/>
      <c r="C200" s="4"/>
      <c r="D200" s="4"/>
      <c r="E200" s="4"/>
      <c r="F200" s="4"/>
      <c r="G200" s="4"/>
      <c r="H200" s="4"/>
      <c r="I200" s="4"/>
      <c r="J200" s="4"/>
      <c r="K200" s="4"/>
      <c r="L200" s="4"/>
      <c r="M200" s="4"/>
      <c r="N200" s="4"/>
      <c r="O200" s="4"/>
      <c r="P200" s="4"/>
      <c r="Q200" s="4"/>
      <c r="R200" s="7"/>
      <c r="S200" s="4"/>
      <c r="T200" s="4"/>
      <c r="U200" s="4"/>
      <c r="V200" s="4"/>
      <c r="W200" s="4"/>
      <c r="X200" s="4"/>
      <c r="Y200" s="4"/>
      <c r="Z200" s="4"/>
      <c r="AA200" s="4"/>
      <c r="AB200" s="4"/>
      <c r="AC200" s="4"/>
      <c r="AD200" s="4"/>
      <c r="AE200" s="4"/>
      <c r="AF200" s="4"/>
      <c r="AG200" s="4"/>
      <c r="AH200" s="4"/>
      <c r="AI200" s="4"/>
    </row>
    <row r="201" spans="1:35" ht="60" customHeight="1" x14ac:dyDescent="0.2">
      <c r="A201" s="3"/>
      <c r="B201" s="4"/>
      <c r="C201" s="4"/>
      <c r="D201" s="4"/>
      <c r="E201" s="4"/>
      <c r="F201" s="4"/>
      <c r="G201" s="4"/>
      <c r="H201" s="4"/>
      <c r="I201" s="4"/>
      <c r="J201" s="4"/>
      <c r="K201" s="4"/>
      <c r="L201" s="4"/>
      <c r="M201" s="4"/>
      <c r="N201" s="4"/>
      <c r="O201" s="4"/>
      <c r="P201" s="4"/>
      <c r="Q201" s="4"/>
      <c r="R201" s="7"/>
      <c r="S201" s="4"/>
      <c r="T201" s="4"/>
      <c r="U201" s="4"/>
      <c r="V201" s="4"/>
      <c r="W201" s="4"/>
      <c r="X201" s="4"/>
      <c r="Y201" s="4"/>
      <c r="Z201" s="4"/>
      <c r="AA201" s="4"/>
      <c r="AB201" s="4"/>
      <c r="AC201" s="4"/>
      <c r="AD201" s="4"/>
      <c r="AE201" s="4"/>
      <c r="AF201" s="4"/>
      <c r="AG201" s="4"/>
      <c r="AH201" s="4"/>
      <c r="AI201" s="4"/>
    </row>
    <row r="202" spans="1:35" ht="60" customHeight="1" x14ac:dyDescent="0.2">
      <c r="A202" s="3"/>
      <c r="B202" s="4"/>
      <c r="C202" s="4"/>
      <c r="D202" s="4"/>
      <c r="E202" s="4"/>
      <c r="F202" s="4"/>
      <c r="G202" s="4"/>
      <c r="H202" s="4"/>
      <c r="I202" s="4"/>
      <c r="J202" s="4"/>
      <c r="K202" s="4"/>
      <c r="L202" s="4"/>
      <c r="M202" s="4"/>
      <c r="N202" s="4"/>
      <c r="O202" s="4"/>
      <c r="P202" s="4"/>
      <c r="Q202" s="4"/>
      <c r="R202" s="10"/>
      <c r="S202" s="10"/>
      <c r="T202" s="10"/>
      <c r="U202" s="10"/>
      <c r="V202" s="4"/>
      <c r="W202" s="4"/>
      <c r="X202" s="4"/>
      <c r="Y202" s="4"/>
      <c r="Z202" s="4"/>
      <c r="AA202" s="4"/>
      <c r="AB202" s="4"/>
      <c r="AC202" s="4"/>
      <c r="AD202" s="4"/>
      <c r="AE202" s="4"/>
      <c r="AF202" s="4"/>
      <c r="AG202" s="4"/>
      <c r="AH202" s="4"/>
      <c r="AI202" s="4"/>
    </row>
    <row r="203" spans="1:35" ht="60" customHeight="1" x14ac:dyDescent="0.2">
      <c r="A203" s="3"/>
      <c r="B203" s="4"/>
      <c r="C203" s="4"/>
      <c r="D203" s="4"/>
      <c r="E203" s="4"/>
      <c r="F203" s="4"/>
      <c r="G203" s="4"/>
      <c r="H203" s="4"/>
      <c r="I203" s="4"/>
      <c r="J203" s="4"/>
      <c r="K203" s="4"/>
      <c r="L203" s="4"/>
      <c r="M203" s="4"/>
      <c r="N203" s="4"/>
      <c r="O203" s="4"/>
      <c r="P203" s="4"/>
      <c r="Q203" s="4"/>
      <c r="R203" s="10"/>
      <c r="S203" s="4"/>
      <c r="T203" s="4"/>
      <c r="U203" s="4"/>
      <c r="V203" s="4"/>
      <c r="W203" s="4"/>
      <c r="X203" s="4"/>
      <c r="Y203" s="4"/>
      <c r="Z203" s="4"/>
      <c r="AA203" s="4"/>
      <c r="AB203" s="4"/>
      <c r="AC203" s="4"/>
      <c r="AD203" s="4"/>
      <c r="AE203" s="4"/>
      <c r="AF203" s="4"/>
      <c r="AG203" s="4"/>
      <c r="AH203" s="4"/>
      <c r="AI203" s="4"/>
    </row>
    <row r="204" spans="1:35" ht="60" customHeight="1" x14ac:dyDescent="0.2">
      <c r="A204" s="3"/>
      <c r="B204" s="4"/>
      <c r="C204" s="4"/>
      <c r="D204" s="4"/>
      <c r="E204" s="4"/>
      <c r="F204" s="4"/>
      <c r="G204" s="4"/>
      <c r="H204" s="4"/>
      <c r="I204" s="4"/>
      <c r="J204" s="4"/>
      <c r="K204" s="4"/>
      <c r="L204" s="4"/>
      <c r="M204" s="4"/>
      <c r="N204" s="4"/>
      <c r="O204" s="4"/>
      <c r="P204" s="4"/>
      <c r="Q204" s="4"/>
      <c r="R204" s="10"/>
      <c r="S204" s="4"/>
      <c r="T204" s="4"/>
      <c r="U204" s="4"/>
      <c r="V204" s="4"/>
      <c r="W204" s="4"/>
      <c r="X204" s="4"/>
      <c r="Y204" s="4"/>
      <c r="Z204" s="4"/>
      <c r="AA204" s="4"/>
      <c r="AB204" s="4"/>
      <c r="AC204" s="4"/>
      <c r="AD204" s="4"/>
      <c r="AE204" s="4"/>
      <c r="AF204" s="4"/>
      <c r="AG204" s="4"/>
      <c r="AH204" s="4"/>
      <c r="AI204" s="4"/>
    </row>
    <row r="205" spans="1:35" ht="60" customHeight="1" x14ac:dyDescent="0.2">
      <c r="A205" s="3"/>
      <c r="B205" s="4"/>
      <c r="C205" s="4"/>
      <c r="D205" s="4"/>
      <c r="E205" s="4"/>
      <c r="F205" s="4"/>
      <c r="G205" s="4"/>
      <c r="H205" s="4"/>
      <c r="I205" s="4"/>
      <c r="J205" s="4"/>
      <c r="K205" s="4"/>
      <c r="L205" s="4"/>
      <c r="M205" s="4"/>
      <c r="N205" s="4"/>
      <c r="O205" s="4"/>
      <c r="P205" s="4"/>
      <c r="Q205" s="4"/>
      <c r="R205" s="7"/>
      <c r="S205" s="4"/>
      <c r="T205" s="4"/>
      <c r="U205" s="4"/>
      <c r="V205" s="4"/>
      <c r="W205" s="4"/>
      <c r="X205" s="4"/>
      <c r="Y205" s="4"/>
      <c r="Z205" s="4"/>
      <c r="AA205" s="4"/>
      <c r="AB205" s="4"/>
      <c r="AC205" s="4"/>
      <c r="AD205" s="4"/>
      <c r="AE205" s="4"/>
      <c r="AF205" s="4"/>
      <c r="AG205" s="4"/>
      <c r="AH205" s="4"/>
      <c r="AI205" s="4"/>
    </row>
    <row r="206" spans="1:35" ht="60" customHeight="1" x14ac:dyDescent="0.2">
      <c r="A206" s="3"/>
      <c r="B206" s="4"/>
      <c r="C206" s="4"/>
      <c r="D206" s="4"/>
      <c r="E206" s="4"/>
      <c r="F206" s="4"/>
      <c r="G206" s="4"/>
      <c r="H206" s="4"/>
      <c r="I206" s="4"/>
      <c r="J206" s="4"/>
      <c r="K206" s="4"/>
      <c r="L206" s="4"/>
      <c r="M206" s="4"/>
      <c r="N206" s="4"/>
      <c r="O206" s="4"/>
      <c r="P206" s="4"/>
      <c r="Q206" s="4"/>
      <c r="R206" s="7"/>
      <c r="S206" s="7"/>
      <c r="T206" s="7"/>
      <c r="U206" s="4"/>
      <c r="V206" s="4"/>
      <c r="W206" s="4"/>
      <c r="X206" s="4"/>
      <c r="Y206" s="4"/>
      <c r="Z206" s="4"/>
      <c r="AA206" s="4"/>
      <c r="AB206" s="4"/>
      <c r="AC206" s="4"/>
      <c r="AD206" s="4"/>
      <c r="AE206" s="4"/>
      <c r="AF206" s="4"/>
      <c r="AG206" s="4"/>
      <c r="AH206" s="4"/>
      <c r="AI206" s="4"/>
    </row>
    <row r="207" spans="1:35" ht="60" customHeight="1" x14ac:dyDescent="0.2">
      <c r="A207" s="3"/>
      <c r="B207" s="4"/>
      <c r="C207" s="4"/>
      <c r="D207" s="4"/>
      <c r="E207" s="4"/>
      <c r="F207" s="4"/>
      <c r="G207" s="4"/>
      <c r="H207" s="4"/>
      <c r="I207" s="4"/>
      <c r="J207" s="4"/>
      <c r="K207" s="4"/>
      <c r="L207" s="4"/>
      <c r="M207" s="4"/>
      <c r="N207" s="4"/>
      <c r="O207" s="4"/>
      <c r="P207" s="4"/>
      <c r="Q207" s="4"/>
      <c r="R207" s="7"/>
      <c r="S207" s="7"/>
      <c r="T207" s="4"/>
      <c r="U207" s="4"/>
      <c r="V207" s="4"/>
      <c r="W207" s="4"/>
      <c r="X207" s="4"/>
      <c r="Y207" s="4"/>
      <c r="Z207" s="4"/>
      <c r="AA207" s="4"/>
      <c r="AB207" s="4"/>
      <c r="AC207" s="4"/>
      <c r="AD207" s="4"/>
      <c r="AE207" s="4"/>
      <c r="AF207" s="4"/>
      <c r="AG207" s="4"/>
      <c r="AH207" s="4"/>
      <c r="AI207" s="4"/>
    </row>
    <row r="208" spans="1:35" ht="60" customHeight="1" x14ac:dyDescent="0.2">
      <c r="A208" s="3"/>
      <c r="B208" s="4"/>
      <c r="C208" s="4"/>
      <c r="D208" s="4"/>
      <c r="E208" s="4"/>
      <c r="F208" s="4"/>
      <c r="G208" s="4"/>
      <c r="H208" s="4"/>
      <c r="I208" s="4"/>
      <c r="J208" s="4"/>
      <c r="K208" s="4"/>
      <c r="L208" s="4"/>
      <c r="M208" s="4"/>
      <c r="N208" s="4"/>
      <c r="O208" s="4"/>
      <c r="P208" s="4"/>
      <c r="Q208" s="4"/>
      <c r="R208" s="10"/>
      <c r="S208" s="10"/>
      <c r="T208" s="4"/>
      <c r="U208" s="4"/>
      <c r="V208" s="4"/>
      <c r="W208" s="4"/>
      <c r="X208" s="4"/>
      <c r="Y208" s="4"/>
      <c r="Z208" s="4"/>
      <c r="AA208" s="4"/>
      <c r="AB208" s="4"/>
      <c r="AC208" s="4"/>
      <c r="AD208" s="4"/>
      <c r="AE208" s="4"/>
      <c r="AF208" s="4"/>
      <c r="AG208" s="4"/>
      <c r="AH208" s="4"/>
      <c r="AI208" s="4"/>
    </row>
    <row r="209" spans="1:35" ht="60" customHeight="1" x14ac:dyDescent="0.2">
      <c r="A209" s="3"/>
      <c r="B209" s="4"/>
      <c r="C209" s="4"/>
      <c r="D209" s="4"/>
      <c r="E209" s="4"/>
      <c r="F209" s="4"/>
      <c r="G209" s="4"/>
      <c r="H209" s="4"/>
      <c r="I209" s="4"/>
      <c r="J209" s="4"/>
      <c r="K209" s="4"/>
      <c r="L209" s="4"/>
      <c r="M209" s="4"/>
      <c r="N209" s="4"/>
      <c r="O209" s="4"/>
      <c r="P209" s="4"/>
      <c r="Q209" s="4"/>
      <c r="R209" s="10"/>
      <c r="S209" s="4"/>
      <c r="T209" s="4"/>
      <c r="U209" s="4"/>
      <c r="V209" s="4"/>
      <c r="W209" s="4"/>
      <c r="X209" s="4"/>
      <c r="Y209" s="4"/>
      <c r="Z209" s="4"/>
      <c r="AA209" s="4"/>
      <c r="AB209" s="4"/>
      <c r="AC209" s="4"/>
      <c r="AD209" s="4"/>
      <c r="AE209" s="4"/>
      <c r="AF209" s="4"/>
      <c r="AG209" s="4"/>
      <c r="AH209" s="4"/>
      <c r="AI209" s="4"/>
    </row>
    <row r="210" spans="1:35" ht="60" customHeight="1" x14ac:dyDescent="0.2">
      <c r="A210" s="3"/>
      <c r="B210" s="4"/>
      <c r="C210" s="4"/>
      <c r="D210" s="4"/>
      <c r="E210" s="4"/>
      <c r="F210" s="4"/>
      <c r="G210" s="4"/>
      <c r="H210" s="4"/>
      <c r="I210" s="4"/>
      <c r="J210" s="4"/>
      <c r="K210" s="4"/>
      <c r="L210" s="4"/>
      <c r="M210" s="4"/>
      <c r="N210" s="4"/>
      <c r="O210" s="4"/>
      <c r="P210" s="38"/>
      <c r="Q210" s="4"/>
      <c r="R210" s="7"/>
      <c r="S210" s="4"/>
      <c r="T210" s="10"/>
      <c r="U210" s="4"/>
      <c r="V210" s="4"/>
      <c r="W210" s="4"/>
      <c r="X210" s="4"/>
      <c r="Y210" s="4"/>
      <c r="Z210" s="4"/>
      <c r="AA210" s="4"/>
      <c r="AB210" s="4"/>
      <c r="AC210" s="4"/>
      <c r="AD210" s="4"/>
      <c r="AE210" s="4"/>
      <c r="AF210" s="4"/>
      <c r="AG210" s="4"/>
      <c r="AH210" s="4"/>
      <c r="AI210" s="4"/>
    </row>
    <row r="211" spans="1:35" ht="60" customHeight="1" x14ac:dyDescent="0.2">
      <c r="A211" s="3"/>
      <c r="B211" s="4"/>
      <c r="C211" s="4"/>
      <c r="D211" s="4"/>
      <c r="E211" s="4"/>
      <c r="F211" s="4"/>
      <c r="G211" s="4"/>
      <c r="H211" s="4"/>
      <c r="I211" s="4"/>
      <c r="J211" s="4"/>
      <c r="K211" s="4"/>
      <c r="L211" s="4"/>
      <c r="M211" s="4"/>
      <c r="N211" s="4"/>
      <c r="O211" s="4"/>
      <c r="P211" s="4"/>
      <c r="Q211" s="4"/>
      <c r="R211" s="7"/>
      <c r="S211" s="10"/>
      <c r="T211" s="4"/>
      <c r="U211" s="4"/>
      <c r="V211" s="4"/>
      <c r="W211" s="4"/>
      <c r="X211" s="4"/>
      <c r="Y211" s="4"/>
      <c r="Z211" s="4"/>
      <c r="AA211" s="4"/>
      <c r="AB211" s="4"/>
      <c r="AC211" s="4"/>
      <c r="AD211" s="4"/>
      <c r="AE211" s="4"/>
      <c r="AF211" s="4"/>
      <c r="AG211" s="4"/>
      <c r="AH211" s="4"/>
      <c r="AI211" s="4"/>
    </row>
    <row r="212" spans="1:35" ht="60" customHeight="1" x14ac:dyDescent="0.2">
      <c r="A212" s="3"/>
      <c r="B212" s="4"/>
      <c r="C212" s="4"/>
      <c r="D212" s="4"/>
      <c r="E212" s="4"/>
      <c r="F212" s="4"/>
      <c r="G212" s="4"/>
      <c r="H212" s="4"/>
      <c r="I212" s="4"/>
      <c r="J212" s="4"/>
      <c r="K212" s="4"/>
      <c r="L212" s="4"/>
      <c r="M212" s="4"/>
      <c r="N212" s="4"/>
      <c r="O212" s="4"/>
      <c r="P212" s="4"/>
      <c r="Q212" s="4"/>
      <c r="R212" s="7"/>
      <c r="S212" s="10"/>
      <c r="T212" s="4"/>
      <c r="U212" s="4"/>
      <c r="V212" s="4"/>
      <c r="W212" s="4"/>
      <c r="X212" s="4"/>
      <c r="Y212" s="4"/>
      <c r="Z212" s="4"/>
      <c r="AA212" s="4"/>
      <c r="AB212" s="4"/>
      <c r="AC212" s="4"/>
      <c r="AD212" s="4"/>
      <c r="AE212" s="4"/>
      <c r="AF212" s="4"/>
      <c r="AG212" s="4"/>
      <c r="AH212" s="4"/>
      <c r="AI212" s="4"/>
    </row>
    <row r="213" spans="1:35" ht="60" customHeight="1" x14ac:dyDescent="0.2">
      <c r="A213" s="3"/>
      <c r="B213" s="4"/>
      <c r="C213" s="4"/>
      <c r="D213" s="4"/>
      <c r="E213" s="4"/>
      <c r="F213" s="4"/>
      <c r="G213" s="4"/>
      <c r="H213" s="4"/>
      <c r="I213" s="4"/>
      <c r="J213" s="4"/>
      <c r="K213" s="4"/>
      <c r="L213" s="4"/>
      <c r="M213" s="4"/>
      <c r="N213" s="4"/>
      <c r="O213" s="4"/>
      <c r="P213" s="4"/>
      <c r="Q213" s="4"/>
      <c r="R213" s="10"/>
      <c r="S213" s="10"/>
      <c r="T213" s="4"/>
      <c r="U213" s="4"/>
      <c r="V213" s="4"/>
      <c r="W213" s="4"/>
      <c r="X213" s="4"/>
      <c r="Y213" s="4"/>
      <c r="Z213" s="4"/>
      <c r="AA213" s="4"/>
      <c r="AB213" s="4"/>
      <c r="AC213" s="4"/>
      <c r="AD213" s="4"/>
      <c r="AE213" s="4"/>
      <c r="AF213" s="4"/>
      <c r="AG213" s="4"/>
      <c r="AH213" s="4"/>
      <c r="AI213" s="4"/>
    </row>
    <row r="214" spans="1:35" ht="60" customHeight="1" x14ac:dyDescent="0.2">
      <c r="A214" s="3"/>
      <c r="B214" s="4"/>
      <c r="C214" s="4"/>
      <c r="D214" s="4"/>
      <c r="E214" s="4"/>
      <c r="F214" s="4"/>
      <c r="G214" s="4"/>
      <c r="H214" s="4"/>
      <c r="I214" s="4"/>
      <c r="J214" s="4"/>
      <c r="K214" s="4"/>
      <c r="L214" s="4"/>
      <c r="M214" s="4"/>
      <c r="N214" s="4"/>
      <c r="O214" s="4"/>
      <c r="P214" s="4"/>
      <c r="Q214" s="4"/>
      <c r="R214" s="10"/>
      <c r="S214" s="4"/>
      <c r="T214" s="4"/>
      <c r="U214" s="4"/>
      <c r="V214" s="4"/>
      <c r="W214" s="4"/>
      <c r="X214" s="4"/>
      <c r="Y214" s="4"/>
      <c r="Z214" s="4"/>
      <c r="AA214" s="4"/>
      <c r="AB214" s="4"/>
      <c r="AC214" s="4"/>
      <c r="AD214" s="4"/>
      <c r="AE214" s="4"/>
      <c r="AF214" s="4"/>
      <c r="AG214" s="4"/>
      <c r="AH214" s="4"/>
      <c r="AI214" s="4"/>
    </row>
    <row r="215" spans="1:35" ht="60" customHeight="1" x14ac:dyDescent="0.2">
      <c r="A215" s="3"/>
      <c r="B215" s="4"/>
      <c r="C215" s="4"/>
      <c r="D215" s="4"/>
      <c r="E215" s="4"/>
      <c r="F215" s="4"/>
      <c r="G215" s="4"/>
      <c r="H215" s="4"/>
      <c r="I215" s="4"/>
      <c r="J215" s="4"/>
      <c r="K215" s="4"/>
      <c r="L215" s="4"/>
      <c r="M215" s="4"/>
      <c r="N215" s="4"/>
      <c r="O215" s="4"/>
      <c r="P215" s="4"/>
      <c r="Q215" s="4"/>
      <c r="R215" s="10"/>
      <c r="S215" s="4"/>
      <c r="T215" s="4"/>
      <c r="U215" s="4"/>
      <c r="V215" s="4"/>
      <c r="W215" s="4"/>
      <c r="X215" s="4"/>
      <c r="Y215" s="4"/>
      <c r="Z215" s="4"/>
      <c r="AA215" s="4"/>
      <c r="AB215" s="4"/>
      <c r="AC215" s="4"/>
      <c r="AD215" s="4"/>
      <c r="AE215" s="4"/>
      <c r="AF215" s="4"/>
      <c r="AG215" s="4"/>
      <c r="AH215" s="4"/>
      <c r="AI215" s="4"/>
    </row>
    <row r="216" spans="1:35" ht="60" customHeight="1" x14ac:dyDescent="0.2">
      <c r="A216" s="3"/>
      <c r="B216" s="4"/>
      <c r="C216" s="4"/>
      <c r="D216" s="4"/>
      <c r="E216" s="4"/>
      <c r="F216" s="4"/>
      <c r="G216" s="4"/>
      <c r="H216" s="4"/>
      <c r="I216" s="4"/>
      <c r="J216" s="4"/>
      <c r="K216" s="4"/>
      <c r="L216" s="4"/>
      <c r="M216" s="4"/>
      <c r="N216" s="4"/>
      <c r="O216" s="4"/>
      <c r="P216" s="4"/>
      <c r="Q216" s="4"/>
      <c r="R216" s="10"/>
      <c r="S216" s="4"/>
      <c r="T216" s="4"/>
      <c r="U216" s="4"/>
      <c r="V216" s="4"/>
      <c r="W216" s="4"/>
      <c r="X216" s="4"/>
      <c r="Y216" s="4"/>
      <c r="Z216" s="4"/>
      <c r="AA216" s="4"/>
      <c r="AB216" s="4"/>
      <c r="AC216" s="4"/>
      <c r="AD216" s="4"/>
      <c r="AE216" s="4"/>
      <c r="AF216" s="4"/>
      <c r="AG216" s="4"/>
      <c r="AH216" s="4"/>
      <c r="AI216" s="4"/>
    </row>
    <row r="217" spans="1:35" ht="15.75" customHeight="1" x14ac:dyDescent="0.2">
      <c r="C217" s="41"/>
      <c r="E217" s="41"/>
      <c r="F217" s="41"/>
      <c r="J217" s="41"/>
      <c r="K217" s="41"/>
    </row>
    <row r="218" spans="1:35" ht="15.75" customHeight="1" x14ac:dyDescent="0.2">
      <c r="C218" s="41"/>
      <c r="E218" s="41"/>
      <c r="F218" s="41"/>
      <c r="J218" s="41"/>
      <c r="K218" s="41"/>
    </row>
    <row r="219" spans="1:35" ht="15.75" customHeight="1" x14ac:dyDescent="0.2">
      <c r="C219" s="41"/>
      <c r="E219" s="41"/>
      <c r="F219" s="41"/>
      <c r="J219" s="41"/>
      <c r="K219" s="41"/>
    </row>
    <row r="220" spans="1:35" ht="15.75" customHeight="1" x14ac:dyDescent="0.2">
      <c r="C220" s="41"/>
      <c r="E220" s="41"/>
      <c r="F220" s="41"/>
      <c r="J220" s="41"/>
      <c r="K220" s="41"/>
    </row>
    <row r="221" spans="1:35" ht="15.75" customHeight="1" x14ac:dyDescent="0.2">
      <c r="C221" s="41"/>
      <c r="E221" s="41"/>
      <c r="F221" s="41"/>
      <c r="J221" s="41"/>
      <c r="K221" s="41"/>
    </row>
    <row r="222" spans="1:35" ht="15.75" customHeight="1" x14ac:dyDescent="0.2">
      <c r="C222" s="41"/>
      <c r="E222" s="41"/>
      <c r="F222" s="41"/>
      <c r="J222" s="41"/>
      <c r="K222" s="41"/>
    </row>
    <row r="223" spans="1:35" ht="15.75" customHeight="1" x14ac:dyDescent="0.2">
      <c r="C223" s="41"/>
      <c r="E223" s="41"/>
      <c r="F223" s="41"/>
      <c r="J223" s="41"/>
      <c r="K223" s="41"/>
    </row>
    <row r="224" spans="1:35" ht="15.75" customHeight="1" x14ac:dyDescent="0.2">
      <c r="C224" s="41"/>
      <c r="E224" s="41"/>
      <c r="F224" s="41"/>
      <c r="J224" s="41"/>
      <c r="K224" s="41"/>
    </row>
    <row r="225" spans="3:11" ht="15.75" customHeight="1" x14ac:dyDescent="0.2">
      <c r="C225" s="41"/>
      <c r="E225" s="41"/>
      <c r="F225" s="41"/>
      <c r="J225" s="41"/>
      <c r="K225" s="41"/>
    </row>
    <row r="226" spans="3:11" ht="15.75" customHeight="1" x14ac:dyDescent="0.2">
      <c r="C226" s="41"/>
      <c r="E226" s="41"/>
      <c r="F226" s="41"/>
      <c r="J226" s="41"/>
      <c r="K226" s="41"/>
    </row>
    <row r="227" spans="3:11" ht="15.75" customHeight="1" x14ac:dyDescent="0.2">
      <c r="C227" s="41"/>
      <c r="E227" s="41"/>
      <c r="F227" s="41"/>
      <c r="J227" s="41"/>
      <c r="K227" s="41"/>
    </row>
    <row r="228" spans="3:11" ht="15.75" customHeight="1" x14ac:dyDescent="0.2">
      <c r="C228" s="41"/>
      <c r="E228" s="41"/>
      <c r="F228" s="41"/>
      <c r="J228" s="41"/>
      <c r="K228" s="41"/>
    </row>
    <row r="229" spans="3:11" ht="15.75" customHeight="1" x14ac:dyDescent="0.2">
      <c r="C229" s="41"/>
      <c r="E229" s="41"/>
      <c r="F229" s="41"/>
      <c r="J229" s="41"/>
      <c r="K229" s="41"/>
    </row>
    <row r="230" spans="3:11" ht="15.75" customHeight="1" x14ac:dyDescent="0.2">
      <c r="C230" s="41"/>
      <c r="E230" s="41"/>
      <c r="F230" s="41"/>
      <c r="J230" s="41"/>
      <c r="K230" s="41"/>
    </row>
    <row r="231" spans="3:11" ht="15.75" customHeight="1" x14ac:dyDescent="0.2">
      <c r="C231" s="41"/>
      <c r="E231" s="41"/>
      <c r="F231" s="41"/>
      <c r="J231" s="41"/>
      <c r="K231" s="41"/>
    </row>
    <row r="232" spans="3:11" ht="15.75" customHeight="1" x14ac:dyDescent="0.2">
      <c r="C232" s="41"/>
      <c r="E232" s="41"/>
      <c r="F232" s="41"/>
      <c r="J232" s="41"/>
      <c r="K232" s="41"/>
    </row>
    <row r="233" spans="3:11" ht="15.75" customHeight="1" x14ac:dyDescent="0.2">
      <c r="C233" s="41"/>
      <c r="E233" s="41"/>
      <c r="F233" s="41"/>
      <c r="J233" s="41"/>
      <c r="K233" s="41"/>
    </row>
    <row r="234" spans="3:11" ht="15.75" customHeight="1" x14ac:dyDescent="0.2">
      <c r="C234" s="41"/>
      <c r="E234" s="41"/>
      <c r="F234" s="41"/>
      <c r="J234" s="41"/>
      <c r="K234" s="41"/>
    </row>
    <row r="235" spans="3:11" ht="15.75" customHeight="1" x14ac:dyDescent="0.2">
      <c r="C235" s="41"/>
      <c r="E235" s="41"/>
      <c r="F235" s="41"/>
      <c r="J235" s="41"/>
      <c r="K235" s="41"/>
    </row>
    <row r="236" spans="3:11" ht="15.75" customHeight="1" x14ac:dyDescent="0.2">
      <c r="C236" s="41"/>
      <c r="E236" s="41"/>
      <c r="F236" s="41"/>
      <c r="J236" s="41"/>
      <c r="K236" s="41"/>
    </row>
    <row r="237" spans="3:11" ht="15.75" customHeight="1" x14ac:dyDescent="0.2">
      <c r="C237" s="41"/>
      <c r="E237" s="41"/>
      <c r="F237" s="41"/>
      <c r="J237" s="41"/>
      <c r="K237" s="41"/>
    </row>
    <row r="238" spans="3:11" ht="15.75" customHeight="1" x14ac:dyDescent="0.2">
      <c r="C238" s="41"/>
      <c r="E238" s="41"/>
      <c r="F238" s="41"/>
      <c r="J238" s="41"/>
      <c r="K238" s="41"/>
    </row>
    <row r="239" spans="3:11" ht="15.75" customHeight="1" x14ac:dyDescent="0.2">
      <c r="C239" s="41"/>
      <c r="E239" s="41"/>
      <c r="F239" s="41"/>
      <c r="J239" s="41"/>
      <c r="K239" s="41"/>
    </row>
    <row r="240" spans="3:11" ht="15.75" customHeight="1" x14ac:dyDescent="0.2">
      <c r="C240" s="41"/>
      <c r="E240" s="41"/>
      <c r="F240" s="41"/>
      <c r="J240" s="41"/>
      <c r="K240" s="41"/>
    </row>
    <row r="241" spans="3:11" ht="15.75" customHeight="1" x14ac:dyDescent="0.2">
      <c r="C241" s="41"/>
      <c r="E241" s="41"/>
      <c r="F241" s="41"/>
      <c r="J241" s="41"/>
      <c r="K241" s="41"/>
    </row>
    <row r="242" spans="3:11" ht="15.75" customHeight="1" x14ac:dyDescent="0.2">
      <c r="C242" s="41"/>
      <c r="E242" s="41"/>
      <c r="F242" s="41"/>
      <c r="J242" s="41"/>
      <c r="K242" s="41"/>
    </row>
    <row r="243" spans="3:11" ht="15.75" customHeight="1" x14ac:dyDescent="0.2">
      <c r="C243" s="41"/>
      <c r="E243" s="41"/>
      <c r="F243" s="41"/>
      <c r="J243" s="41"/>
      <c r="K243" s="41"/>
    </row>
    <row r="244" spans="3:11" ht="15.75" customHeight="1" x14ac:dyDescent="0.2">
      <c r="C244" s="41"/>
      <c r="E244" s="41"/>
      <c r="F244" s="41"/>
      <c r="J244" s="41"/>
      <c r="K244" s="41"/>
    </row>
    <row r="245" spans="3:11" ht="15.75" customHeight="1" x14ac:dyDescent="0.2">
      <c r="C245" s="41"/>
      <c r="E245" s="41"/>
      <c r="F245" s="41"/>
      <c r="J245" s="41"/>
      <c r="K245" s="41"/>
    </row>
    <row r="246" spans="3:11" ht="15.75" customHeight="1" x14ac:dyDescent="0.2">
      <c r="C246" s="41"/>
      <c r="E246" s="41"/>
      <c r="F246" s="41"/>
      <c r="J246" s="41"/>
      <c r="K246" s="41"/>
    </row>
    <row r="247" spans="3:11" ht="15.75" customHeight="1" x14ac:dyDescent="0.2">
      <c r="C247" s="41"/>
      <c r="E247" s="41"/>
      <c r="F247" s="41"/>
      <c r="J247" s="41"/>
      <c r="K247" s="41"/>
    </row>
    <row r="248" spans="3:11" ht="15.75" customHeight="1" x14ac:dyDescent="0.2">
      <c r="C248" s="41"/>
      <c r="E248" s="41"/>
      <c r="F248" s="41"/>
      <c r="J248" s="41"/>
      <c r="K248" s="41"/>
    </row>
    <row r="249" spans="3:11" ht="15.75" customHeight="1" x14ac:dyDescent="0.2">
      <c r="C249" s="41"/>
      <c r="E249" s="41"/>
      <c r="F249" s="41"/>
      <c r="J249" s="41"/>
      <c r="K249" s="41"/>
    </row>
    <row r="250" spans="3:11" ht="15.75" customHeight="1" x14ac:dyDescent="0.2">
      <c r="C250" s="41"/>
      <c r="E250" s="41"/>
      <c r="F250" s="41"/>
      <c r="J250" s="41"/>
      <c r="K250" s="41"/>
    </row>
    <row r="251" spans="3:11" ht="15.75" customHeight="1" x14ac:dyDescent="0.2">
      <c r="C251" s="41"/>
      <c r="E251" s="41"/>
      <c r="F251" s="41"/>
      <c r="J251" s="41"/>
      <c r="K251" s="41"/>
    </row>
    <row r="252" spans="3:11" ht="15.75" customHeight="1" x14ac:dyDescent="0.2">
      <c r="C252" s="41"/>
      <c r="E252" s="41"/>
      <c r="F252" s="41"/>
      <c r="J252" s="41"/>
      <c r="K252" s="41"/>
    </row>
    <row r="253" spans="3:11" ht="15.75" customHeight="1" x14ac:dyDescent="0.2">
      <c r="C253" s="41"/>
      <c r="E253" s="41"/>
      <c r="F253" s="41"/>
      <c r="J253" s="41"/>
      <c r="K253" s="41"/>
    </row>
    <row r="254" spans="3:11" ht="15.75" customHeight="1" x14ac:dyDescent="0.2">
      <c r="C254" s="41"/>
      <c r="E254" s="41"/>
      <c r="F254" s="41"/>
      <c r="J254" s="41"/>
      <c r="K254" s="41"/>
    </row>
    <row r="255" spans="3:11" ht="15.75" customHeight="1" x14ac:dyDescent="0.2">
      <c r="C255" s="41"/>
      <c r="E255" s="41"/>
      <c r="F255" s="41"/>
      <c r="J255" s="41"/>
      <c r="K255" s="41"/>
    </row>
    <row r="256" spans="3:11" ht="15.75" customHeight="1" x14ac:dyDescent="0.2">
      <c r="C256" s="41"/>
      <c r="E256" s="41"/>
      <c r="F256" s="41"/>
      <c r="J256" s="41"/>
      <c r="K256" s="41"/>
    </row>
    <row r="257" spans="3:11" ht="15.75" customHeight="1" x14ac:dyDescent="0.2">
      <c r="C257" s="41"/>
      <c r="E257" s="41"/>
      <c r="F257" s="41"/>
      <c r="J257" s="41"/>
      <c r="K257" s="41"/>
    </row>
    <row r="258" spans="3:11" ht="15.75" customHeight="1" x14ac:dyDescent="0.2">
      <c r="C258" s="41"/>
      <c r="E258" s="41"/>
      <c r="F258" s="41"/>
      <c r="J258" s="41"/>
      <c r="K258" s="41"/>
    </row>
    <row r="259" spans="3:11" ht="15.75" customHeight="1" x14ac:dyDescent="0.2">
      <c r="C259" s="41"/>
      <c r="E259" s="41"/>
      <c r="F259" s="41"/>
      <c r="J259" s="41"/>
      <c r="K259" s="41"/>
    </row>
    <row r="260" spans="3:11" ht="15.75" customHeight="1" x14ac:dyDescent="0.2">
      <c r="C260" s="41"/>
      <c r="E260" s="41"/>
      <c r="F260" s="41"/>
      <c r="J260" s="41"/>
      <c r="K260" s="41"/>
    </row>
    <row r="261" spans="3:11" ht="15.75" customHeight="1" x14ac:dyDescent="0.2">
      <c r="C261" s="41"/>
      <c r="E261" s="41"/>
      <c r="F261" s="41"/>
      <c r="J261" s="41"/>
      <c r="K261" s="41"/>
    </row>
    <row r="262" spans="3:11" ht="15.75" customHeight="1" x14ac:dyDescent="0.2">
      <c r="C262" s="41"/>
      <c r="E262" s="41"/>
      <c r="F262" s="41"/>
      <c r="J262" s="41"/>
      <c r="K262" s="41"/>
    </row>
    <row r="263" spans="3:11" ht="15.75" customHeight="1" x14ac:dyDescent="0.2">
      <c r="C263" s="41"/>
      <c r="E263" s="41"/>
      <c r="F263" s="41"/>
      <c r="J263" s="41"/>
      <c r="K263" s="41"/>
    </row>
    <row r="264" spans="3:11" ht="15.75" customHeight="1" x14ac:dyDescent="0.2">
      <c r="C264" s="41"/>
      <c r="E264" s="41"/>
      <c r="F264" s="41"/>
      <c r="J264" s="41"/>
      <c r="K264" s="41"/>
    </row>
    <row r="265" spans="3:11" ht="15.75" customHeight="1" x14ac:dyDescent="0.2">
      <c r="C265" s="41"/>
      <c r="E265" s="41"/>
      <c r="F265" s="41"/>
      <c r="J265" s="41"/>
      <c r="K265" s="41"/>
    </row>
    <row r="266" spans="3:11" ht="15.75" customHeight="1" x14ac:dyDescent="0.2">
      <c r="C266" s="41"/>
      <c r="E266" s="41"/>
      <c r="F266" s="41"/>
      <c r="J266" s="41"/>
      <c r="K266" s="41"/>
    </row>
    <row r="267" spans="3:11" ht="15.75" customHeight="1" x14ac:dyDescent="0.2">
      <c r="C267" s="41"/>
      <c r="E267" s="41"/>
      <c r="F267" s="41"/>
      <c r="J267" s="41"/>
      <c r="K267" s="41"/>
    </row>
    <row r="268" spans="3:11" ht="15.75" customHeight="1" x14ac:dyDescent="0.2">
      <c r="C268" s="41"/>
      <c r="E268" s="41"/>
      <c r="F268" s="41"/>
      <c r="J268" s="41"/>
      <c r="K268" s="41"/>
    </row>
    <row r="269" spans="3:11" ht="15.75" customHeight="1" x14ac:dyDescent="0.2">
      <c r="C269" s="41"/>
      <c r="E269" s="41"/>
      <c r="F269" s="41"/>
      <c r="J269" s="41"/>
      <c r="K269" s="41"/>
    </row>
    <row r="270" spans="3:11" ht="15.75" customHeight="1" x14ac:dyDescent="0.2">
      <c r="C270" s="41"/>
      <c r="E270" s="41"/>
      <c r="F270" s="41"/>
      <c r="J270" s="41"/>
      <c r="K270" s="41"/>
    </row>
    <row r="271" spans="3:11" ht="15.75" customHeight="1" x14ac:dyDescent="0.2">
      <c r="C271" s="41"/>
      <c r="E271" s="41"/>
      <c r="F271" s="41"/>
      <c r="J271" s="41"/>
      <c r="K271" s="41"/>
    </row>
    <row r="272" spans="3:11" ht="15.75" customHeight="1" x14ac:dyDescent="0.2">
      <c r="C272" s="41"/>
      <c r="E272" s="41"/>
      <c r="F272" s="41"/>
      <c r="J272" s="41"/>
      <c r="K272" s="41"/>
    </row>
    <row r="273" spans="3:11" ht="15.75" customHeight="1" x14ac:dyDescent="0.2">
      <c r="C273" s="41"/>
      <c r="E273" s="41"/>
      <c r="F273" s="41"/>
      <c r="J273" s="41"/>
      <c r="K273" s="41"/>
    </row>
    <row r="274" spans="3:11" ht="15.75" customHeight="1" x14ac:dyDescent="0.2">
      <c r="C274" s="41"/>
      <c r="E274" s="41"/>
      <c r="F274" s="41"/>
      <c r="J274" s="41"/>
      <c r="K274" s="41"/>
    </row>
    <row r="275" spans="3:11" ht="15.75" customHeight="1" x14ac:dyDescent="0.2">
      <c r="C275" s="41"/>
      <c r="E275" s="41"/>
      <c r="F275" s="41"/>
      <c r="J275" s="41"/>
      <c r="K275" s="41"/>
    </row>
    <row r="276" spans="3:11" ht="15.75" customHeight="1" x14ac:dyDescent="0.2">
      <c r="C276" s="41"/>
      <c r="E276" s="41"/>
      <c r="F276" s="41"/>
      <c r="J276" s="41"/>
      <c r="K276" s="41"/>
    </row>
    <row r="277" spans="3:11" ht="15.75" customHeight="1" x14ac:dyDescent="0.2">
      <c r="C277" s="41"/>
      <c r="E277" s="41"/>
      <c r="F277" s="41"/>
      <c r="J277" s="41"/>
      <c r="K277" s="41"/>
    </row>
    <row r="278" spans="3:11" ht="15.75" customHeight="1" x14ac:dyDescent="0.2">
      <c r="C278" s="41"/>
      <c r="E278" s="41"/>
      <c r="F278" s="41"/>
      <c r="J278" s="41"/>
      <c r="K278" s="41"/>
    </row>
    <row r="279" spans="3:11" ht="15.75" customHeight="1" x14ac:dyDescent="0.2">
      <c r="C279" s="41"/>
      <c r="E279" s="41"/>
      <c r="F279" s="41"/>
      <c r="J279" s="41"/>
      <c r="K279" s="41"/>
    </row>
    <row r="280" spans="3:11" ht="15.75" customHeight="1" x14ac:dyDescent="0.2">
      <c r="C280" s="41"/>
      <c r="E280" s="41"/>
      <c r="F280" s="41"/>
      <c r="J280" s="41"/>
      <c r="K280" s="41"/>
    </row>
    <row r="281" spans="3:11" ht="15.75" customHeight="1" x14ac:dyDescent="0.2">
      <c r="C281" s="41"/>
      <c r="E281" s="41"/>
      <c r="F281" s="41"/>
      <c r="J281" s="41"/>
      <c r="K281" s="41"/>
    </row>
    <row r="282" spans="3:11" ht="15.75" customHeight="1" x14ac:dyDescent="0.2">
      <c r="C282" s="41"/>
      <c r="E282" s="41"/>
      <c r="F282" s="41"/>
      <c r="J282" s="41"/>
      <c r="K282" s="41"/>
    </row>
    <row r="283" spans="3:11" ht="15.75" customHeight="1" x14ac:dyDescent="0.2">
      <c r="C283" s="41"/>
      <c r="E283" s="41"/>
      <c r="F283" s="41"/>
      <c r="J283" s="41"/>
      <c r="K283" s="41"/>
    </row>
    <row r="284" spans="3:11" ht="15.75" customHeight="1" x14ac:dyDescent="0.2">
      <c r="C284" s="41"/>
      <c r="E284" s="41"/>
      <c r="F284" s="41"/>
      <c r="J284" s="41"/>
      <c r="K284" s="41"/>
    </row>
    <row r="285" spans="3:11" ht="15.75" customHeight="1" x14ac:dyDescent="0.2">
      <c r="C285" s="41"/>
      <c r="E285" s="41"/>
      <c r="F285" s="41"/>
      <c r="J285" s="41"/>
      <c r="K285" s="41"/>
    </row>
    <row r="286" spans="3:11" ht="15.75" customHeight="1" x14ac:dyDescent="0.2">
      <c r="C286" s="41"/>
      <c r="E286" s="41"/>
      <c r="F286" s="41"/>
      <c r="J286" s="41"/>
      <c r="K286" s="41"/>
    </row>
    <row r="287" spans="3:11" ht="15.75" customHeight="1" x14ac:dyDescent="0.2">
      <c r="C287" s="41"/>
      <c r="E287" s="41"/>
      <c r="F287" s="41"/>
      <c r="J287" s="41"/>
      <c r="K287" s="41"/>
    </row>
    <row r="288" spans="3:11" ht="15.75" customHeight="1" x14ac:dyDescent="0.2">
      <c r="C288" s="41"/>
      <c r="E288" s="41"/>
      <c r="F288" s="41"/>
      <c r="J288" s="41"/>
      <c r="K288" s="41"/>
    </row>
    <row r="289" spans="3:11" ht="15.75" customHeight="1" x14ac:dyDescent="0.2">
      <c r="C289" s="41"/>
      <c r="E289" s="41"/>
      <c r="F289" s="41"/>
      <c r="J289" s="41"/>
      <c r="K289" s="41"/>
    </row>
    <row r="290" spans="3:11" ht="15.75" customHeight="1" x14ac:dyDescent="0.2">
      <c r="C290" s="41"/>
      <c r="E290" s="41"/>
      <c r="F290" s="41"/>
      <c r="J290" s="41"/>
      <c r="K290" s="41"/>
    </row>
    <row r="291" spans="3:11" ht="15.75" customHeight="1" x14ac:dyDescent="0.2">
      <c r="C291" s="41"/>
      <c r="E291" s="41"/>
      <c r="F291" s="41"/>
      <c r="J291" s="41"/>
      <c r="K291" s="41"/>
    </row>
    <row r="292" spans="3:11" ht="15.75" customHeight="1" x14ac:dyDescent="0.2">
      <c r="C292" s="41"/>
      <c r="E292" s="41"/>
      <c r="F292" s="41"/>
      <c r="J292" s="41"/>
      <c r="K292" s="41"/>
    </row>
    <row r="293" spans="3:11" ht="15.75" customHeight="1" x14ac:dyDescent="0.2">
      <c r="C293" s="41"/>
      <c r="E293" s="41"/>
      <c r="F293" s="41"/>
      <c r="J293" s="41"/>
      <c r="K293" s="41"/>
    </row>
    <row r="294" spans="3:11" ht="15.75" customHeight="1" x14ac:dyDescent="0.2">
      <c r="C294" s="41"/>
      <c r="E294" s="41"/>
      <c r="F294" s="41"/>
      <c r="J294" s="41"/>
      <c r="K294" s="41"/>
    </row>
    <row r="295" spans="3:11" ht="15.75" customHeight="1" x14ac:dyDescent="0.2">
      <c r="C295" s="41"/>
      <c r="E295" s="41"/>
      <c r="F295" s="41"/>
      <c r="J295" s="41"/>
      <c r="K295" s="41"/>
    </row>
    <row r="296" spans="3:11" ht="15.75" customHeight="1" x14ac:dyDescent="0.2">
      <c r="C296" s="41"/>
      <c r="E296" s="41"/>
      <c r="F296" s="41"/>
      <c r="J296" s="41"/>
      <c r="K296" s="41"/>
    </row>
    <row r="297" spans="3:11" ht="15.75" customHeight="1" x14ac:dyDescent="0.2">
      <c r="C297" s="41"/>
      <c r="E297" s="41"/>
      <c r="F297" s="41"/>
      <c r="J297" s="41"/>
      <c r="K297" s="41"/>
    </row>
    <row r="298" spans="3:11" ht="15.75" customHeight="1" x14ac:dyDescent="0.2">
      <c r="C298" s="41"/>
      <c r="E298" s="41"/>
      <c r="F298" s="41"/>
      <c r="J298" s="41"/>
      <c r="K298" s="41"/>
    </row>
    <row r="299" spans="3:11" ht="15.75" customHeight="1" x14ac:dyDescent="0.2">
      <c r="C299" s="41"/>
      <c r="E299" s="41"/>
      <c r="F299" s="41"/>
      <c r="J299" s="41"/>
      <c r="K299" s="41"/>
    </row>
    <row r="300" spans="3:11" ht="15.75" customHeight="1" x14ac:dyDescent="0.2">
      <c r="C300" s="41"/>
      <c r="E300" s="41"/>
      <c r="F300" s="41"/>
      <c r="J300" s="41"/>
      <c r="K300" s="41"/>
    </row>
    <row r="301" spans="3:11" ht="15.75" customHeight="1" x14ac:dyDescent="0.2">
      <c r="C301" s="41"/>
      <c r="E301" s="41"/>
      <c r="F301" s="41"/>
      <c r="J301" s="41"/>
      <c r="K301" s="41"/>
    </row>
    <row r="302" spans="3:11" ht="15.75" customHeight="1" x14ac:dyDescent="0.2">
      <c r="C302" s="41"/>
      <c r="E302" s="41"/>
      <c r="F302" s="41"/>
      <c r="J302" s="41"/>
      <c r="K302" s="41"/>
    </row>
    <row r="303" spans="3:11" ht="15.75" customHeight="1" x14ac:dyDescent="0.2">
      <c r="C303" s="41"/>
      <c r="E303" s="41"/>
      <c r="F303" s="41"/>
      <c r="J303" s="41"/>
      <c r="K303" s="41"/>
    </row>
    <row r="304" spans="3:11" ht="15.75" customHeight="1" x14ac:dyDescent="0.2">
      <c r="C304" s="41"/>
      <c r="E304" s="41"/>
      <c r="F304" s="41"/>
      <c r="J304" s="41"/>
      <c r="K304" s="41"/>
    </row>
    <row r="305" spans="3:11" ht="15.75" customHeight="1" x14ac:dyDescent="0.2">
      <c r="C305" s="41"/>
      <c r="E305" s="41"/>
      <c r="F305" s="41"/>
      <c r="J305" s="41"/>
      <c r="K305" s="41"/>
    </row>
    <row r="306" spans="3:11" ht="15.75" customHeight="1" x14ac:dyDescent="0.2">
      <c r="C306" s="41"/>
      <c r="E306" s="41"/>
      <c r="F306" s="41"/>
      <c r="J306" s="41"/>
      <c r="K306" s="41"/>
    </row>
    <row r="307" spans="3:11" ht="15.75" customHeight="1" x14ac:dyDescent="0.2">
      <c r="C307" s="41"/>
      <c r="E307" s="41"/>
      <c r="F307" s="41"/>
      <c r="J307" s="41"/>
      <c r="K307" s="41"/>
    </row>
    <row r="308" spans="3:11" ht="15.75" customHeight="1" x14ac:dyDescent="0.2">
      <c r="C308" s="41"/>
      <c r="E308" s="41"/>
      <c r="F308" s="41"/>
      <c r="J308" s="41"/>
      <c r="K308" s="41"/>
    </row>
    <row r="309" spans="3:11" ht="15.75" customHeight="1" x14ac:dyDescent="0.2">
      <c r="C309" s="41"/>
      <c r="E309" s="41"/>
      <c r="F309" s="41"/>
      <c r="J309" s="41"/>
      <c r="K309" s="41"/>
    </row>
    <row r="310" spans="3:11" ht="15.75" customHeight="1" x14ac:dyDescent="0.2">
      <c r="C310" s="41"/>
      <c r="E310" s="41"/>
      <c r="F310" s="41"/>
      <c r="J310" s="41"/>
      <c r="K310" s="41"/>
    </row>
    <row r="311" spans="3:11" ht="15.75" customHeight="1" x14ac:dyDescent="0.2">
      <c r="C311" s="41"/>
      <c r="E311" s="41"/>
      <c r="F311" s="41"/>
      <c r="J311" s="41"/>
      <c r="K311" s="41"/>
    </row>
    <row r="312" spans="3:11" ht="15.75" customHeight="1" x14ac:dyDescent="0.2">
      <c r="C312" s="41"/>
      <c r="E312" s="41"/>
      <c r="F312" s="41"/>
      <c r="J312" s="41"/>
      <c r="K312" s="41"/>
    </row>
    <row r="313" spans="3:11" ht="15.75" customHeight="1" x14ac:dyDescent="0.2">
      <c r="C313" s="41"/>
      <c r="E313" s="41"/>
      <c r="F313" s="41"/>
      <c r="J313" s="41"/>
      <c r="K313" s="41"/>
    </row>
    <row r="314" spans="3:11" ht="15.75" customHeight="1" x14ac:dyDescent="0.2">
      <c r="C314" s="41"/>
      <c r="E314" s="41"/>
      <c r="F314" s="41"/>
      <c r="J314" s="41"/>
      <c r="K314" s="41"/>
    </row>
    <row r="315" spans="3:11" ht="15.75" customHeight="1" x14ac:dyDescent="0.2">
      <c r="C315" s="41"/>
      <c r="E315" s="41"/>
      <c r="F315" s="41"/>
      <c r="J315" s="41"/>
      <c r="K315" s="41"/>
    </row>
    <row r="316" spans="3:11" ht="15.75" customHeight="1" x14ac:dyDescent="0.2">
      <c r="C316" s="41"/>
      <c r="E316" s="41"/>
      <c r="F316" s="41"/>
      <c r="J316" s="41"/>
      <c r="K316" s="41"/>
    </row>
    <row r="317" spans="3:11" ht="15.75" customHeight="1" x14ac:dyDescent="0.2">
      <c r="C317" s="41"/>
      <c r="E317" s="41"/>
      <c r="F317" s="41"/>
      <c r="J317" s="41"/>
      <c r="K317" s="41"/>
    </row>
    <row r="318" spans="3:11" ht="15.75" customHeight="1" x14ac:dyDescent="0.2">
      <c r="C318" s="41"/>
      <c r="E318" s="41"/>
      <c r="F318" s="41"/>
      <c r="J318" s="41"/>
      <c r="K318" s="41"/>
    </row>
    <row r="319" spans="3:11" ht="15.75" customHeight="1" x14ac:dyDescent="0.2">
      <c r="C319" s="41"/>
      <c r="E319" s="41"/>
      <c r="F319" s="41"/>
      <c r="J319" s="41"/>
      <c r="K319" s="41"/>
    </row>
    <row r="320" spans="3:11" ht="15.75" customHeight="1" x14ac:dyDescent="0.2">
      <c r="C320" s="41"/>
      <c r="E320" s="41"/>
      <c r="F320" s="41"/>
      <c r="J320" s="41"/>
      <c r="K320" s="41"/>
    </row>
    <row r="321" spans="3:11" ht="15.75" customHeight="1" x14ac:dyDescent="0.2">
      <c r="C321" s="41"/>
      <c r="E321" s="41"/>
      <c r="F321" s="41"/>
      <c r="J321" s="41"/>
      <c r="K321" s="41"/>
    </row>
    <row r="322" spans="3:11" ht="15.75" customHeight="1" x14ac:dyDescent="0.2">
      <c r="C322" s="41"/>
      <c r="E322" s="41"/>
      <c r="F322" s="41"/>
      <c r="J322" s="41"/>
      <c r="K322" s="41"/>
    </row>
    <row r="323" spans="3:11" ht="15.75" customHeight="1" x14ac:dyDescent="0.2">
      <c r="C323" s="41"/>
      <c r="E323" s="41"/>
      <c r="F323" s="41"/>
      <c r="J323" s="41"/>
      <c r="K323" s="41"/>
    </row>
    <row r="324" spans="3:11" ht="15.75" customHeight="1" x14ac:dyDescent="0.2">
      <c r="C324" s="41"/>
      <c r="E324" s="41"/>
      <c r="F324" s="41"/>
      <c r="J324" s="41"/>
      <c r="K324" s="41"/>
    </row>
    <row r="325" spans="3:11" ht="15.75" customHeight="1" x14ac:dyDescent="0.2">
      <c r="C325" s="41"/>
      <c r="E325" s="41"/>
      <c r="F325" s="41"/>
      <c r="J325" s="41"/>
      <c r="K325" s="41"/>
    </row>
    <row r="326" spans="3:11" ht="15.75" customHeight="1" x14ac:dyDescent="0.2">
      <c r="C326" s="41"/>
      <c r="E326" s="41"/>
      <c r="F326" s="41"/>
      <c r="J326" s="41"/>
      <c r="K326" s="41"/>
    </row>
    <row r="327" spans="3:11" ht="15.75" customHeight="1" x14ac:dyDescent="0.2">
      <c r="C327" s="41"/>
      <c r="E327" s="41"/>
      <c r="F327" s="41"/>
      <c r="J327" s="41"/>
      <c r="K327" s="41"/>
    </row>
    <row r="328" spans="3:11" ht="15.75" customHeight="1" x14ac:dyDescent="0.2">
      <c r="C328" s="41"/>
      <c r="E328" s="41"/>
      <c r="F328" s="41"/>
      <c r="J328" s="41"/>
      <c r="K328" s="41"/>
    </row>
    <row r="329" spans="3:11" ht="15.75" customHeight="1" x14ac:dyDescent="0.2">
      <c r="C329" s="41"/>
      <c r="E329" s="41"/>
      <c r="F329" s="41"/>
      <c r="J329" s="41"/>
      <c r="K329" s="41"/>
    </row>
    <row r="330" spans="3:11" ht="15.75" customHeight="1" x14ac:dyDescent="0.2">
      <c r="C330" s="41"/>
      <c r="E330" s="41"/>
      <c r="F330" s="41"/>
      <c r="J330" s="41"/>
      <c r="K330" s="41"/>
    </row>
    <row r="331" spans="3:11" ht="15.75" customHeight="1" x14ac:dyDescent="0.2">
      <c r="C331" s="41"/>
      <c r="E331" s="41"/>
      <c r="F331" s="41"/>
      <c r="J331" s="41"/>
      <c r="K331" s="41"/>
    </row>
    <row r="332" spans="3:11" ht="15.75" customHeight="1" x14ac:dyDescent="0.2">
      <c r="C332" s="41"/>
      <c r="E332" s="41"/>
      <c r="F332" s="41"/>
      <c r="J332" s="41"/>
      <c r="K332" s="41"/>
    </row>
    <row r="333" spans="3:11" ht="15.75" customHeight="1" x14ac:dyDescent="0.2">
      <c r="C333" s="41"/>
      <c r="E333" s="41"/>
      <c r="F333" s="41"/>
      <c r="J333" s="41"/>
      <c r="K333" s="41"/>
    </row>
    <row r="334" spans="3:11" ht="15.75" customHeight="1" x14ac:dyDescent="0.2">
      <c r="C334" s="41"/>
      <c r="E334" s="41"/>
      <c r="F334" s="41"/>
      <c r="J334" s="41"/>
      <c r="K334" s="41"/>
    </row>
    <row r="335" spans="3:11" ht="15.75" customHeight="1" x14ac:dyDescent="0.2">
      <c r="C335" s="41"/>
      <c r="E335" s="41"/>
      <c r="F335" s="41"/>
      <c r="J335" s="41"/>
      <c r="K335" s="41"/>
    </row>
    <row r="336" spans="3:11" ht="15.75" customHeight="1" x14ac:dyDescent="0.2">
      <c r="C336" s="41"/>
      <c r="E336" s="41"/>
      <c r="F336" s="41"/>
      <c r="J336" s="41"/>
      <c r="K336" s="41"/>
    </row>
    <row r="337" spans="3:11" ht="15.75" customHeight="1" x14ac:dyDescent="0.2">
      <c r="C337" s="41"/>
      <c r="E337" s="41"/>
      <c r="F337" s="41"/>
      <c r="J337" s="41"/>
      <c r="K337" s="41"/>
    </row>
    <row r="338" spans="3:11" ht="15.75" customHeight="1" x14ac:dyDescent="0.2">
      <c r="C338" s="41"/>
      <c r="E338" s="41"/>
      <c r="F338" s="41"/>
      <c r="J338" s="41"/>
      <c r="K338" s="41"/>
    </row>
    <row r="339" spans="3:11" ht="15.75" customHeight="1" x14ac:dyDescent="0.2">
      <c r="C339" s="41"/>
      <c r="E339" s="41"/>
      <c r="F339" s="41"/>
      <c r="J339" s="41"/>
      <c r="K339" s="41"/>
    </row>
    <row r="340" spans="3:11" ht="15.75" customHeight="1" x14ac:dyDescent="0.2">
      <c r="C340" s="41"/>
      <c r="E340" s="41"/>
      <c r="F340" s="41"/>
      <c r="J340" s="41"/>
      <c r="K340" s="41"/>
    </row>
    <row r="341" spans="3:11" ht="15.75" customHeight="1" x14ac:dyDescent="0.2">
      <c r="C341" s="41"/>
      <c r="E341" s="41"/>
      <c r="F341" s="41"/>
      <c r="J341" s="41"/>
      <c r="K341" s="41"/>
    </row>
    <row r="342" spans="3:11" ht="15.75" customHeight="1" x14ac:dyDescent="0.2">
      <c r="C342" s="41"/>
      <c r="E342" s="41"/>
      <c r="F342" s="41"/>
      <c r="J342" s="41"/>
      <c r="K342" s="41"/>
    </row>
    <row r="343" spans="3:11" ht="15.75" customHeight="1" x14ac:dyDescent="0.2">
      <c r="C343" s="41"/>
      <c r="E343" s="41"/>
      <c r="F343" s="41"/>
      <c r="J343" s="41"/>
      <c r="K343" s="41"/>
    </row>
    <row r="344" spans="3:11" ht="15.75" customHeight="1" x14ac:dyDescent="0.2">
      <c r="C344" s="41"/>
      <c r="E344" s="41"/>
      <c r="F344" s="41"/>
      <c r="J344" s="41"/>
      <c r="K344" s="41"/>
    </row>
    <row r="345" spans="3:11" ht="15.75" customHeight="1" x14ac:dyDescent="0.2">
      <c r="C345" s="41"/>
      <c r="E345" s="41"/>
      <c r="F345" s="41"/>
      <c r="J345" s="41"/>
      <c r="K345" s="41"/>
    </row>
    <row r="346" spans="3:11" ht="15.75" customHeight="1" x14ac:dyDescent="0.2">
      <c r="C346" s="41"/>
      <c r="E346" s="41"/>
      <c r="F346" s="41"/>
      <c r="J346" s="41"/>
      <c r="K346" s="41"/>
    </row>
    <row r="347" spans="3:11" ht="15.75" customHeight="1" x14ac:dyDescent="0.2">
      <c r="C347" s="41"/>
      <c r="E347" s="41"/>
      <c r="F347" s="41"/>
      <c r="J347" s="41"/>
      <c r="K347" s="41"/>
    </row>
    <row r="348" spans="3:11" ht="15.75" customHeight="1" x14ac:dyDescent="0.2">
      <c r="C348" s="41"/>
      <c r="E348" s="41"/>
      <c r="F348" s="41"/>
      <c r="J348" s="41"/>
      <c r="K348" s="41"/>
    </row>
    <row r="349" spans="3:11" ht="15.75" customHeight="1" x14ac:dyDescent="0.2">
      <c r="C349" s="41"/>
      <c r="E349" s="41"/>
      <c r="F349" s="41"/>
      <c r="J349" s="41"/>
      <c r="K349" s="41"/>
    </row>
    <row r="350" spans="3:11" ht="15.75" customHeight="1" x14ac:dyDescent="0.2">
      <c r="C350" s="41"/>
      <c r="E350" s="41"/>
      <c r="F350" s="41"/>
      <c r="J350" s="41"/>
      <c r="K350" s="41"/>
    </row>
    <row r="351" spans="3:11" ht="15.75" customHeight="1" x14ac:dyDescent="0.2">
      <c r="C351" s="41"/>
      <c r="E351" s="41"/>
      <c r="F351" s="41"/>
      <c r="J351" s="41"/>
      <c r="K351" s="41"/>
    </row>
    <row r="352" spans="3:11" ht="15.75" customHeight="1" x14ac:dyDescent="0.2">
      <c r="C352" s="41"/>
      <c r="E352" s="41"/>
      <c r="F352" s="41"/>
      <c r="J352" s="41"/>
      <c r="K352" s="41"/>
    </row>
    <row r="353" spans="3:11" ht="15.75" customHeight="1" x14ac:dyDescent="0.2">
      <c r="C353" s="41"/>
      <c r="E353" s="41"/>
      <c r="F353" s="41"/>
      <c r="J353" s="41"/>
      <c r="K353" s="41"/>
    </row>
    <row r="354" spans="3:11" ht="15.75" customHeight="1" x14ac:dyDescent="0.2">
      <c r="C354" s="41"/>
      <c r="E354" s="41"/>
      <c r="F354" s="41"/>
      <c r="J354" s="41"/>
      <c r="K354" s="41"/>
    </row>
    <row r="355" spans="3:11" ht="15.75" customHeight="1" x14ac:dyDescent="0.2">
      <c r="C355" s="41"/>
      <c r="E355" s="41"/>
      <c r="F355" s="41"/>
      <c r="J355" s="41"/>
      <c r="K355" s="41"/>
    </row>
    <row r="356" spans="3:11" ht="15.75" customHeight="1" x14ac:dyDescent="0.2">
      <c r="C356" s="41"/>
      <c r="E356" s="41"/>
      <c r="F356" s="41"/>
      <c r="J356" s="41"/>
      <c r="K356" s="41"/>
    </row>
    <row r="357" spans="3:11" ht="15.75" customHeight="1" x14ac:dyDescent="0.2">
      <c r="C357" s="41"/>
      <c r="E357" s="41"/>
      <c r="F357" s="41"/>
      <c r="J357" s="41"/>
      <c r="K357" s="41"/>
    </row>
    <row r="358" spans="3:11" ht="15.75" customHeight="1" x14ac:dyDescent="0.2">
      <c r="C358" s="41"/>
      <c r="E358" s="41"/>
      <c r="F358" s="41"/>
      <c r="J358" s="41"/>
      <c r="K358" s="41"/>
    </row>
    <row r="359" spans="3:11" ht="15.75" customHeight="1" x14ac:dyDescent="0.2">
      <c r="C359" s="41"/>
      <c r="E359" s="41"/>
      <c r="F359" s="41"/>
      <c r="J359" s="41"/>
      <c r="K359" s="41"/>
    </row>
    <row r="360" spans="3:11" ht="15.75" customHeight="1" x14ac:dyDescent="0.2">
      <c r="C360" s="41"/>
      <c r="E360" s="41"/>
      <c r="F360" s="41"/>
      <c r="J360" s="41"/>
      <c r="K360" s="41"/>
    </row>
    <row r="361" spans="3:11" ht="15.75" customHeight="1" x14ac:dyDescent="0.2">
      <c r="C361" s="41"/>
      <c r="E361" s="41"/>
      <c r="F361" s="41"/>
      <c r="J361" s="41"/>
      <c r="K361" s="41"/>
    </row>
    <row r="362" spans="3:11" ht="15.75" customHeight="1" x14ac:dyDescent="0.2">
      <c r="C362" s="41"/>
      <c r="E362" s="41"/>
      <c r="F362" s="41"/>
      <c r="J362" s="41"/>
      <c r="K362" s="41"/>
    </row>
    <row r="363" spans="3:11" ht="15.75" customHeight="1" x14ac:dyDescent="0.2">
      <c r="C363" s="41"/>
      <c r="E363" s="41"/>
      <c r="F363" s="41"/>
      <c r="J363" s="41"/>
      <c r="K363" s="41"/>
    </row>
    <row r="364" spans="3:11" ht="15.75" customHeight="1" x14ac:dyDescent="0.2">
      <c r="C364" s="41"/>
      <c r="E364" s="41"/>
      <c r="F364" s="41"/>
      <c r="J364" s="41"/>
      <c r="K364" s="41"/>
    </row>
    <row r="365" spans="3:11" ht="15.75" customHeight="1" x14ac:dyDescent="0.2">
      <c r="C365" s="41"/>
      <c r="E365" s="41"/>
      <c r="F365" s="41"/>
      <c r="J365" s="41"/>
      <c r="K365" s="41"/>
    </row>
    <row r="366" spans="3:11" ht="15.75" customHeight="1" x14ac:dyDescent="0.2">
      <c r="C366" s="41"/>
      <c r="E366" s="41"/>
      <c r="F366" s="41"/>
      <c r="J366" s="41"/>
      <c r="K366" s="41"/>
    </row>
    <row r="367" spans="3:11" ht="15.75" customHeight="1" x14ac:dyDescent="0.2">
      <c r="C367" s="41"/>
      <c r="E367" s="41"/>
      <c r="F367" s="41"/>
      <c r="J367" s="41"/>
      <c r="K367" s="41"/>
    </row>
    <row r="368" spans="3:11" ht="15.75" customHeight="1" x14ac:dyDescent="0.2">
      <c r="C368" s="41"/>
      <c r="E368" s="41"/>
      <c r="F368" s="41"/>
      <c r="J368" s="41"/>
      <c r="K368" s="41"/>
    </row>
    <row r="369" spans="3:11" ht="15.75" customHeight="1" x14ac:dyDescent="0.2">
      <c r="C369" s="41"/>
      <c r="E369" s="41"/>
      <c r="F369" s="41"/>
      <c r="J369" s="41"/>
      <c r="K369" s="41"/>
    </row>
    <row r="370" spans="3:11" ht="15.75" customHeight="1" x14ac:dyDescent="0.2">
      <c r="C370" s="41"/>
      <c r="E370" s="41"/>
      <c r="F370" s="41"/>
      <c r="J370" s="41"/>
      <c r="K370" s="41"/>
    </row>
    <row r="371" spans="3:11" ht="15.75" customHeight="1" x14ac:dyDescent="0.2">
      <c r="C371" s="41"/>
      <c r="E371" s="41"/>
      <c r="F371" s="41"/>
      <c r="J371" s="41"/>
      <c r="K371" s="41"/>
    </row>
    <row r="372" spans="3:11" ht="15.75" customHeight="1" x14ac:dyDescent="0.2">
      <c r="C372" s="41"/>
      <c r="E372" s="41"/>
      <c r="F372" s="41"/>
      <c r="J372" s="41"/>
      <c r="K372" s="41"/>
    </row>
    <row r="373" spans="3:11" ht="15.75" customHeight="1" x14ac:dyDescent="0.2">
      <c r="C373" s="41"/>
      <c r="E373" s="41"/>
      <c r="F373" s="41"/>
      <c r="J373" s="41"/>
      <c r="K373" s="41"/>
    </row>
    <row r="374" spans="3:11" ht="15.75" customHeight="1" x14ac:dyDescent="0.2">
      <c r="C374" s="41"/>
      <c r="E374" s="41"/>
      <c r="F374" s="41"/>
      <c r="J374" s="41"/>
      <c r="K374" s="41"/>
    </row>
    <row r="375" spans="3:11" ht="15.75" customHeight="1" x14ac:dyDescent="0.2">
      <c r="C375" s="41"/>
      <c r="E375" s="41"/>
      <c r="F375" s="41"/>
      <c r="J375" s="41"/>
      <c r="K375" s="41"/>
    </row>
    <row r="376" spans="3:11" ht="15.75" customHeight="1" x14ac:dyDescent="0.2">
      <c r="C376" s="41"/>
      <c r="E376" s="41"/>
      <c r="F376" s="41"/>
      <c r="J376" s="41"/>
      <c r="K376" s="41"/>
    </row>
    <row r="377" spans="3:11" ht="15.75" customHeight="1" x14ac:dyDescent="0.2">
      <c r="C377" s="41"/>
      <c r="E377" s="41"/>
      <c r="F377" s="41"/>
      <c r="J377" s="41"/>
      <c r="K377" s="41"/>
    </row>
    <row r="378" spans="3:11" ht="15.75" customHeight="1" x14ac:dyDescent="0.2">
      <c r="C378" s="41"/>
      <c r="E378" s="41"/>
      <c r="F378" s="41"/>
      <c r="J378" s="41"/>
      <c r="K378" s="41"/>
    </row>
    <row r="379" spans="3:11" ht="15.75" customHeight="1" x14ac:dyDescent="0.2">
      <c r="C379" s="41"/>
      <c r="E379" s="41"/>
      <c r="F379" s="41"/>
      <c r="J379" s="41"/>
      <c r="K379" s="41"/>
    </row>
    <row r="380" spans="3:11" ht="15.75" customHeight="1" x14ac:dyDescent="0.2">
      <c r="C380" s="41"/>
      <c r="E380" s="41"/>
      <c r="F380" s="41"/>
      <c r="J380" s="41"/>
      <c r="K380" s="41"/>
    </row>
    <row r="381" spans="3:11" ht="15.75" customHeight="1" x14ac:dyDescent="0.2">
      <c r="C381" s="41"/>
      <c r="E381" s="41"/>
      <c r="F381" s="41"/>
      <c r="J381" s="41"/>
      <c r="K381" s="41"/>
    </row>
    <row r="382" spans="3:11" ht="15.75" customHeight="1" x14ac:dyDescent="0.2">
      <c r="C382" s="41"/>
      <c r="E382" s="41"/>
      <c r="F382" s="41"/>
      <c r="J382" s="41"/>
      <c r="K382" s="41"/>
    </row>
    <row r="383" spans="3:11" ht="15.75" customHeight="1" x14ac:dyDescent="0.2">
      <c r="C383" s="41"/>
      <c r="E383" s="41"/>
      <c r="F383" s="41"/>
      <c r="J383" s="41"/>
      <c r="K383" s="41"/>
    </row>
    <row r="384" spans="3:11" ht="15.75" customHeight="1" x14ac:dyDescent="0.2">
      <c r="C384" s="41"/>
      <c r="E384" s="41"/>
      <c r="F384" s="41"/>
      <c r="J384" s="41"/>
      <c r="K384" s="41"/>
    </row>
    <row r="385" spans="3:11" ht="15.75" customHeight="1" x14ac:dyDescent="0.2">
      <c r="C385" s="41"/>
      <c r="E385" s="41"/>
      <c r="F385" s="41"/>
      <c r="J385" s="41"/>
      <c r="K385" s="41"/>
    </row>
    <row r="386" spans="3:11" ht="15.75" customHeight="1" x14ac:dyDescent="0.2">
      <c r="C386" s="41"/>
      <c r="E386" s="41"/>
      <c r="F386" s="41"/>
      <c r="J386" s="41"/>
      <c r="K386" s="41"/>
    </row>
    <row r="387" spans="3:11" ht="15.75" customHeight="1" x14ac:dyDescent="0.2">
      <c r="C387" s="41"/>
      <c r="E387" s="41"/>
      <c r="F387" s="41"/>
      <c r="J387" s="41"/>
      <c r="K387" s="41"/>
    </row>
    <row r="388" spans="3:11" ht="15.75" customHeight="1" x14ac:dyDescent="0.2">
      <c r="C388" s="41"/>
      <c r="E388" s="41"/>
      <c r="F388" s="41"/>
      <c r="J388" s="41"/>
      <c r="K388" s="41"/>
    </row>
    <row r="389" spans="3:11" ht="15.75" customHeight="1" x14ac:dyDescent="0.2">
      <c r="C389" s="41"/>
      <c r="E389" s="41"/>
      <c r="F389" s="41"/>
      <c r="J389" s="41"/>
      <c r="K389" s="41"/>
    </row>
    <row r="390" spans="3:11" ht="15.75" customHeight="1" x14ac:dyDescent="0.2">
      <c r="C390" s="41"/>
      <c r="E390" s="41"/>
      <c r="F390" s="41"/>
      <c r="J390" s="41"/>
      <c r="K390" s="41"/>
    </row>
    <row r="391" spans="3:11" ht="15.75" customHeight="1" x14ac:dyDescent="0.2">
      <c r="C391" s="41"/>
      <c r="E391" s="41"/>
      <c r="F391" s="41"/>
      <c r="J391" s="41"/>
      <c r="K391" s="41"/>
    </row>
    <row r="392" spans="3:11" ht="15.75" customHeight="1" x14ac:dyDescent="0.2">
      <c r="C392" s="41"/>
      <c r="E392" s="41"/>
      <c r="F392" s="41"/>
      <c r="J392" s="41"/>
      <c r="K392" s="41"/>
    </row>
    <row r="393" spans="3:11" ht="15.75" customHeight="1" x14ac:dyDescent="0.2">
      <c r="C393" s="41"/>
      <c r="E393" s="41"/>
      <c r="F393" s="41"/>
      <c r="J393" s="41"/>
      <c r="K393" s="41"/>
    </row>
    <row r="394" spans="3:11" ht="15.75" customHeight="1" x14ac:dyDescent="0.2">
      <c r="C394" s="41"/>
      <c r="E394" s="41"/>
      <c r="F394" s="41"/>
      <c r="J394" s="41"/>
      <c r="K394" s="41"/>
    </row>
    <row r="395" spans="3:11" ht="15.75" customHeight="1" x14ac:dyDescent="0.2">
      <c r="C395" s="41"/>
      <c r="E395" s="41"/>
      <c r="F395" s="41"/>
      <c r="J395" s="41"/>
      <c r="K395" s="41"/>
    </row>
    <row r="396" spans="3:11" ht="15.75" customHeight="1" x14ac:dyDescent="0.2">
      <c r="C396" s="41"/>
      <c r="E396" s="41"/>
      <c r="F396" s="41"/>
      <c r="J396" s="41"/>
      <c r="K396" s="41"/>
    </row>
    <row r="397" spans="3:11" ht="15.75" customHeight="1" x14ac:dyDescent="0.2">
      <c r="C397" s="41"/>
      <c r="E397" s="41"/>
      <c r="F397" s="41"/>
      <c r="J397" s="41"/>
      <c r="K397" s="41"/>
    </row>
    <row r="398" spans="3:11" ht="15.75" customHeight="1" x14ac:dyDescent="0.2">
      <c r="C398" s="41"/>
      <c r="E398" s="41"/>
      <c r="F398" s="41"/>
      <c r="J398" s="41"/>
      <c r="K398" s="41"/>
    </row>
    <row r="399" spans="3:11" ht="15.75" customHeight="1" x14ac:dyDescent="0.2">
      <c r="C399" s="41"/>
      <c r="E399" s="41"/>
      <c r="F399" s="41"/>
      <c r="J399" s="41"/>
      <c r="K399" s="41"/>
    </row>
    <row r="400" spans="3:11" ht="15.75" customHeight="1" x14ac:dyDescent="0.2">
      <c r="C400" s="41"/>
      <c r="E400" s="41"/>
      <c r="F400" s="41"/>
      <c r="J400" s="41"/>
      <c r="K400" s="41"/>
    </row>
    <row r="401" spans="3:11" ht="15.75" customHeight="1" x14ac:dyDescent="0.2">
      <c r="C401" s="41"/>
      <c r="E401" s="41"/>
      <c r="F401" s="41"/>
      <c r="J401" s="41"/>
      <c r="K401" s="41"/>
    </row>
    <row r="402" spans="3:11" ht="15.75" customHeight="1" x14ac:dyDescent="0.2">
      <c r="C402" s="41"/>
      <c r="E402" s="41"/>
      <c r="F402" s="41"/>
      <c r="J402" s="41"/>
      <c r="K402" s="41"/>
    </row>
    <row r="403" spans="3:11" ht="15.75" customHeight="1" x14ac:dyDescent="0.2">
      <c r="C403" s="41"/>
      <c r="E403" s="41"/>
      <c r="F403" s="41"/>
      <c r="J403" s="41"/>
      <c r="K403" s="41"/>
    </row>
    <row r="404" spans="3:11" ht="15.75" customHeight="1" x14ac:dyDescent="0.2">
      <c r="C404" s="41"/>
      <c r="E404" s="41"/>
      <c r="F404" s="41"/>
      <c r="J404" s="41"/>
      <c r="K404" s="41"/>
    </row>
    <row r="405" spans="3:11" ht="15.75" customHeight="1" x14ac:dyDescent="0.2">
      <c r="C405" s="41"/>
      <c r="E405" s="41"/>
      <c r="F405" s="41"/>
      <c r="J405" s="41"/>
      <c r="K405" s="41"/>
    </row>
    <row r="406" spans="3:11" ht="15.75" customHeight="1" x14ac:dyDescent="0.2">
      <c r="C406" s="41"/>
      <c r="E406" s="41"/>
      <c r="F406" s="41"/>
      <c r="J406" s="41"/>
      <c r="K406" s="41"/>
    </row>
    <row r="407" spans="3:11" ht="15.75" customHeight="1" x14ac:dyDescent="0.2">
      <c r="C407" s="41"/>
      <c r="E407" s="41"/>
      <c r="F407" s="41"/>
      <c r="J407" s="41"/>
      <c r="K407" s="41"/>
    </row>
    <row r="408" spans="3:11" ht="15.75" customHeight="1" x14ac:dyDescent="0.2">
      <c r="C408" s="41"/>
      <c r="E408" s="41"/>
      <c r="F408" s="41"/>
      <c r="J408" s="41"/>
      <c r="K408" s="41"/>
    </row>
    <row r="409" spans="3:11" ht="15.75" customHeight="1" x14ac:dyDescent="0.2">
      <c r="C409" s="41"/>
      <c r="E409" s="41"/>
      <c r="F409" s="41"/>
      <c r="J409" s="41"/>
      <c r="K409" s="41"/>
    </row>
    <row r="410" spans="3:11" ht="15.75" customHeight="1" x14ac:dyDescent="0.2">
      <c r="C410" s="41"/>
      <c r="E410" s="41"/>
      <c r="F410" s="41"/>
      <c r="J410" s="41"/>
      <c r="K410" s="41"/>
    </row>
    <row r="411" spans="3:11" ht="15.75" customHeight="1" x14ac:dyDescent="0.2">
      <c r="C411" s="41"/>
      <c r="E411" s="41"/>
      <c r="F411" s="41"/>
      <c r="J411" s="41"/>
      <c r="K411" s="41"/>
    </row>
    <row r="412" spans="3:11" ht="15.75" customHeight="1" x14ac:dyDescent="0.2">
      <c r="C412" s="41"/>
      <c r="E412" s="41"/>
      <c r="F412" s="41"/>
      <c r="J412" s="41"/>
      <c r="K412" s="41"/>
    </row>
    <row r="413" spans="3:11" ht="15.75" customHeight="1" x14ac:dyDescent="0.2">
      <c r="C413" s="41"/>
      <c r="E413" s="41"/>
      <c r="F413" s="41"/>
      <c r="J413" s="41"/>
      <c r="K413" s="41"/>
    </row>
    <row r="414" spans="3:11" ht="15.75" customHeight="1" x14ac:dyDescent="0.2">
      <c r="C414" s="41"/>
      <c r="E414" s="41"/>
      <c r="F414" s="41"/>
      <c r="J414" s="41"/>
      <c r="K414" s="41"/>
    </row>
    <row r="415" spans="3:11" ht="15.75" customHeight="1" x14ac:dyDescent="0.2">
      <c r="C415" s="41"/>
      <c r="E415" s="41"/>
      <c r="F415" s="41"/>
      <c r="J415" s="41"/>
      <c r="K415" s="41"/>
    </row>
    <row r="416" spans="3:11" ht="15.75" customHeight="1" x14ac:dyDescent="0.2">
      <c r="C416" s="41"/>
      <c r="E416" s="41"/>
      <c r="F416" s="41"/>
      <c r="J416" s="41"/>
      <c r="K416" s="41"/>
    </row>
    <row r="417" spans="3:11" ht="15.75" customHeight="1" x14ac:dyDescent="0.2">
      <c r="C417" s="41"/>
      <c r="E417" s="41"/>
      <c r="F417" s="41"/>
      <c r="J417" s="41"/>
      <c r="K417" s="41"/>
    </row>
    <row r="418" spans="3:11" ht="15.75" customHeight="1" x14ac:dyDescent="0.2">
      <c r="C418" s="41"/>
      <c r="E418" s="41"/>
      <c r="F418" s="41"/>
      <c r="J418" s="41"/>
      <c r="K418" s="41"/>
    </row>
    <row r="419" spans="3:11" ht="15.75" customHeight="1" x14ac:dyDescent="0.2">
      <c r="C419" s="41"/>
      <c r="E419" s="41"/>
      <c r="F419" s="41"/>
      <c r="J419" s="41"/>
      <c r="K419" s="41"/>
    </row>
    <row r="420" spans="3:11" ht="15.75" customHeight="1" x14ac:dyDescent="0.2">
      <c r="C420" s="41"/>
      <c r="E420" s="41"/>
      <c r="F420" s="41"/>
      <c r="J420" s="41"/>
      <c r="K420" s="41"/>
    </row>
    <row r="421" spans="3:11" ht="15.75" customHeight="1" x14ac:dyDescent="0.2">
      <c r="C421" s="41"/>
      <c r="E421" s="41"/>
      <c r="F421" s="41"/>
      <c r="J421" s="41"/>
      <c r="K421" s="41"/>
    </row>
    <row r="422" spans="3:11" ht="15.75" customHeight="1" x14ac:dyDescent="0.2">
      <c r="C422" s="41"/>
      <c r="E422" s="41"/>
      <c r="F422" s="41"/>
      <c r="J422" s="41"/>
      <c r="K422" s="41"/>
    </row>
    <row r="423" spans="3:11" ht="15.75" customHeight="1" x14ac:dyDescent="0.2">
      <c r="C423" s="41"/>
      <c r="E423" s="41"/>
      <c r="F423" s="41"/>
      <c r="J423" s="41"/>
      <c r="K423" s="41"/>
    </row>
    <row r="424" spans="3:11" ht="15.75" customHeight="1" x14ac:dyDescent="0.2">
      <c r="C424" s="41"/>
      <c r="E424" s="41"/>
      <c r="F424" s="41"/>
      <c r="J424" s="41"/>
      <c r="K424" s="41"/>
    </row>
    <row r="425" spans="3:11" ht="15.75" customHeight="1" x14ac:dyDescent="0.2">
      <c r="C425" s="41"/>
      <c r="E425" s="41"/>
      <c r="F425" s="41"/>
      <c r="J425" s="41"/>
      <c r="K425" s="41"/>
    </row>
    <row r="426" spans="3:11" ht="15.75" customHeight="1" x14ac:dyDescent="0.2">
      <c r="C426" s="41"/>
      <c r="E426" s="41"/>
      <c r="F426" s="41"/>
      <c r="J426" s="41"/>
      <c r="K426" s="41"/>
    </row>
    <row r="427" spans="3:11" ht="15.75" customHeight="1" x14ac:dyDescent="0.2">
      <c r="C427" s="41"/>
      <c r="E427" s="41"/>
      <c r="F427" s="41"/>
      <c r="J427" s="41"/>
      <c r="K427" s="41"/>
    </row>
    <row r="428" spans="3:11" ht="15.75" customHeight="1" x14ac:dyDescent="0.2">
      <c r="C428" s="41"/>
      <c r="E428" s="41"/>
      <c r="F428" s="41"/>
      <c r="J428" s="41"/>
      <c r="K428" s="41"/>
    </row>
    <row r="429" spans="3:11" ht="15.75" customHeight="1" x14ac:dyDescent="0.2">
      <c r="C429" s="41"/>
      <c r="E429" s="41"/>
      <c r="F429" s="41"/>
      <c r="J429" s="41"/>
      <c r="K429" s="41"/>
    </row>
    <row r="430" spans="3:11" ht="15.75" customHeight="1" x14ac:dyDescent="0.2">
      <c r="C430" s="41"/>
      <c r="E430" s="41"/>
      <c r="F430" s="41"/>
      <c r="J430" s="41"/>
      <c r="K430" s="41"/>
    </row>
    <row r="431" spans="3:11" ht="15.75" customHeight="1" x14ac:dyDescent="0.2">
      <c r="C431" s="41"/>
      <c r="E431" s="41"/>
      <c r="F431" s="41"/>
      <c r="J431" s="41"/>
      <c r="K431" s="41"/>
    </row>
    <row r="432" spans="3:11" ht="15.75" customHeight="1" x14ac:dyDescent="0.2">
      <c r="C432" s="41"/>
      <c r="E432" s="41"/>
      <c r="F432" s="41"/>
      <c r="J432" s="41"/>
      <c r="K432" s="41"/>
    </row>
    <row r="433" spans="3:11" ht="15.75" customHeight="1" x14ac:dyDescent="0.2">
      <c r="C433" s="41"/>
      <c r="E433" s="41"/>
      <c r="F433" s="41"/>
      <c r="J433" s="41"/>
      <c r="K433" s="41"/>
    </row>
    <row r="434" spans="3:11" ht="15.75" customHeight="1" x14ac:dyDescent="0.2">
      <c r="C434" s="41"/>
      <c r="E434" s="41"/>
      <c r="F434" s="41"/>
      <c r="J434" s="41"/>
      <c r="K434" s="41"/>
    </row>
    <row r="435" spans="3:11" ht="15.75" customHeight="1" x14ac:dyDescent="0.2">
      <c r="C435" s="41"/>
      <c r="E435" s="41"/>
      <c r="F435" s="41"/>
      <c r="J435" s="41"/>
      <c r="K435" s="41"/>
    </row>
    <row r="436" spans="3:11" ht="15.75" customHeight="1" x14ac:dyDescent="0.2">
      <c r="C436" s="41"/>
      <c r="E436" s="41"/>
      <c r="F436" s="41"/>
      <c r="J436" s="41"/>
      <c r="K436" s="41"/>
    </row>
    <row r="437" spans="3:11" ht="15.75" customHeight="1" x14ac:dyDescent="0.2">
      <c r="C437" s="41"/>
      <c r="E437" s="41"/>
      <c r="F437" s="41"/>
      <c r="J437" s="41"/>
      <c r="K437" s="41"/>
    </row>
    <row r="438" spans="3:11" ht="15.75" customHeight="1" x14ac:dyDescent="0.2">
      <c r="C438" s="41"/>
      <c r="E438" s="41"/>
      <c r="F438" s="41"/>
      <c r="J438" s="41"/>
      <c r="K438" s="41"/>
    </row>
    <row r="439" spans="3:11" ht="15.75" customHeight="1" x14ac:dyDescent="0.2">
      <c r="C439" s="41"/>
      <c r="E439" s="41"/>
      <c r="F439" s="41"/>
      <c r="J439" s="41"/>
      <c r="K439" s="41"/>
    </row>
    <row r="440" spans="3:11" ht="15.75" customHeight="1" x14ac:dyDescent="0.2">
      <c r="C440" s="41"/>
      <c r="E440" s="41"/>
      <c r="F440" s="41"/>
      <c r="J440" s="41"/>
      <c r="K440" s="41"/>
    </row>
    <row r="441" spans="3:11" ht="15.75" customHeight="1" x14ac:dyDescent="0.2">
      <c r="C441" s="41"/>
      <c r="E441" s="41"/>
      <c r="F441" s="41"/>
      <c r="J441" s="41"/>
      <c r="K441" s="41"/>
    </row>
    <row r="442" spans="3:11" ht="15.75" customHeight="1" x14ac:dyDescent="0.2">
      <c r="C442" s="41"/>
      <c r="E442" s="41"/>
      <c r="F442" s="41"/>
      <c r="J442" s="41"/>
      <c r="K442" s="41"/>
    </row>
    <row r="443" spans="3:11" ht="15.75" customHeight="1" x14ac:dyDescent="0.2">
      <c r="C443" s="41"/>
      <c r="E443" s="41"/>
      <c r="F443" s="41"/>
      <c r="J443" s="41"/>
      <c r="K443" s="41"/>
    </row>
    <row r="444" spans="3:11" ht="15.75" customHeight="1" x14ac:dyDescent="0.2">
      <c r="C444" s="41"/>
      <c r="E444" s="41"/>
      <c r="F444" s="41"/>
      <c r="J444" s="41"/>
      <c r="K444" s="41"/>
    </row>
    <row r="445" spans="3:11" ht="15.75" customHeight="1" x14ac:dyDescent="0.2">
      <c r="C445" s="41"/>
      <c r="E445" s="41"/>
      <c r="F445" s="41"/>
      <c r="J445" s="41"/>
      <c r="K445" s="41"/>
    </row>
    <row r="446" spans="3:11" ht="15.75" customHeight="1" x14ac:dyDescent="0.2">
      <c r="C446" s="41"/>
      <c r="E446" s="41"/>
      <c r="F446" s="41"/>
      <c r="J446" s="41"/>
      <c r="K446" s="41"/>
    </row>
    <row r="447" spans="3:11" ht="15.75" customHeight="1" x14ac:dyDescent="0.2">
      <c r="C447" s="41"/>
      <c r="E447" s="41"/>
      <c r="F447" s="41"/>
      <c r="J447" s="41"/>
      <c r="K447" s="41"/>
    </row>
    <row r="448" spans="3:11" ht="15.75" customHeight="1" x14ac:dyDescent="0.2">
      <c r="C448" s="41"/>
      <c r="E448" s="41"/>
      <c r="F448" s="41"/>
      <c r="J448" s="41"/>
      <c r="K448" s="41"/>
    </row>
    <row r="449" spans="3:11" ht="15.75" customHeight="1" x14ac:dyDescent="0.2">
      <c r="C449" s="41"/>
      <c r="E449" s="41"/>
      <c r="F449" s="41"/>
      <c r="J449" s="41"/>
      <c r="K449" s="41"/>
    </row>
    <row r="450" spans="3:11" ht="15.75" customHeight="1" x14ac:dyDescent="0.2">
      <c r="C450" s="41"/>
      <c r="E450" s="41"/>
      <c r="F450" s="41"/>
      <c r="J450" s="41"/>
      <c r="K450" s="41"/>
    </row>
    <row r="451" spans="3:11" ht="15.75" customHeight="1" x14ac:dyDescent="0.2">
      <c r="C451" s="41"/>
      <c r="E451" s="41"/>
      <c r="F451" s="41"/>
      <c r="J451" s="41"/>
      <c r="K451" s="41"/>
    </row>
    <row r="452" spans="3:11" ht="15.75" customHeight="1" x14ac:dyDescent="0.2">
      <c r="C452" s="41"/>
      <c r="E452" s="41"/>
      <c r="F452" s="41"/>
      <c r="J452" s="41"/>
      <c r="K452" s="41"/>
    </row>
    <row r="453" spans="3:11" ht="15.75" customHeight="1" x14ac:dyDescent="0.2">
      <c r="C453" s="41"/>
      <c r="E453" s="41"/>
      <c r="F453" s="41"/>
      <c r="J453" s="41"/>
      <c r="K453" s="41"/>
    </row>
    <row r="454" spans="3:11" ht="15.75" customHeight="1" x14ac:dyDescent="0.2">
      <c r="C454" s="41"/>
      <c r="E454" s="41"/>
      <c r="F454" s="41"/>
      <c r="J454" s="41"/>
      <c r="K454" s="41"/>
    </row>
    <row r="455" spans="3:11" ht="15.75" customHeight="1" x14ac:dyDescent="0.2">
      <c r="C455" s="41"/>
      <c r="E455" s="41"/>
      <c r="F455" s="41"/>
      <c r="J455" s="41"/>
      <c r="K455" s="41"/>
    </row>
    <row r="456" spans="3:11" ht="15.75" customHeight="1" x14ac:dyDescent="0.2">
      <c r="C456" s="41"/>
      <c r="E456" s="41"/>
      <c r="F456" s="41"/>
      <c r="J456" s="41"/>
      <c r="K456" s="41"/>
    </row>
    <row r="457" spans="3:11" ht="15.75" customHeight="1" x14ac:dyDescent="0.2">
      <c r="C457" s="41"/>
      <c r="E457" s="41"/>
      <c r="F457" s="41"/>
      <c r="J457" s="41"/>
      <c r="K457" s="41"/>
    </row>
    <row r="458" spans="3:11" ht="15.75" customHeight="1" x14ac:dyDescent="0.2">
      <c r="C458" s="41"/>
      <c r="E458" s="41"/>
      <c r="F458" s="41"/>
      <c r="J458" s="41"/>
      <c r="K458" s="41"/>
    </row>
    <row r="459" spans="3:11" ht="15.75" customHeight="1" x14ac:dyDescent="0.2">
      <c r="C459" s="41"/>
      <c r="E459" s="41"/>
      <c r="F459" s="41"/>
      <c r="J459" s="41"/>
      <c r="K459" s="41"/>
    </row>
    <row r="460" spans="3:11" ht="15.75" customHeight="1" x14ac:dyDescent="0.2">
      <c r="C460" s="41"/>
      <c r="E460" s="41"/>
      <c r="F460" s="41"/>
      <c r="J460" s="41"/>
      <c r="K460" s="41"/>
    </row>
    <row r="461" spans="3:11" ht="15.75" customHeight="1" x14ac:dyDescent="0.2">
      <c r="C461" s="41"/>
      <c r="E461" s="41"/>
      <c r="F461" s="41"/>
      <c r="J461" s="41"/>
      <c r="K461" s="41"/>
    </row>
    <row r="462" spans="3:11" ht="15.75" customHeight="1" x14ac:dyDescent="0.2">
      <c r="C462" s="41"/>
      <c r="E462" s="41"/>
      <c r="F462" s="41"/>
      <c r="J462" s="41"/>
      <c r="K462" s="41"/>
    </row>
    <row r="463" spans="3:11" ht="15.75" customHeight="1" x14ac:dyDescent="0.2">
      <c r="C463" s="41"/>
      <c r="E463" s="41"/>
      <c r="F463" s="41"/>
      <c r="J463" s="41"/>
      <c r="K463" s="41"/>
    </row>
    <row r="464" spans="3:11" ht="15.75" customHeight="1" x14ac:dyDescent="0.2">
      <c r="C464" s="41"/>
      <c r="E464" s="41"/>
      <c r="F464" s="41"/>
      <c r="J464" s="41"/>
      <c r="K464" s="41"/>
    </row>
    <row r="465" spans="3:11" ht="15.75" customHeight="1" x14ac:dyDescent="0.2">
      <c r="C465" s="41"/>
      <c r="E465" s="41"/>
      <c r="F465" s="41"/>
      <c r="J465" s="41"/>
      <c r="K465" s="41"/>
    </row>
    <row r="466" spans="3:11" ht="15.75" customHeight="1" x14ac:dyDescent="0.2">
      <c r="C466" s="41"/>
      <c r="E466" s="41"/>
      <c r="F466" s="41"/>
      <c r="J466" s="41"/>
      <c r="K466" s="41"/>
    </row>
    <row r="467" spans="3:11" ht="15.75" customHeight="1" x14ac:dyDescent="0.2">
      <c r="C467" s="41"/>
      <c r="E467" s="41"/>
      <c r="F467" s="41"/>
      <c r="J467" s="41"/>
      <c r="K467" s="41"/>
    </row>
    <row r="468" spans="3:11" ht="15.75" customHeight="1" x14ac:dyDescent="0.2">
      <c r="C468" s="41"/>
      <c r="E468" s="41"/>
      <c r="F468" s="41"/>
      <c r="J468" s="41"/>
      <c r="K468" s="41"/>
    </row>
    <row r="469" spans="3:11" ht="15.75" customHeight="1" x14ac:dyDescent="0.2">
      <c r="C469" s="41"/>
      <c r="E469" s="41"/>
      <c r="F469" s="41"/>
      <c r="J469" s="41"/>
      <c r="K469" s="41"/>
    </row>
    <row r="470" spans="3:11" ht="15.75" customHeight="1" x14ac:dyDescent="0.2">
      <c r="C470" s="41"/>
      <c r="E470" s="41"/>
      <c r="F470" s="41"/>
      <c r="J470" s="41"/>
      <c r="K470" s="41"/>
    </row>
    <row r="471" spans="3:11" ht="15.75" customHeight="1" x14ac:dyDescent="0.2">
      <c r="C471" s="41"/>
      <c r="E471" s="41"/>
      <c r="F471" s="41"/>
      <c r="J471" s="41"/>
      <c r="K471" s="41"/>
    </row>
    <row r="472" spans="3:11" ht="15.75" customHeight="1" x14ac:dyDescent="0.2">
      <c r="C472" s="41"/>
      <c r="E472" s="41"/>
      <c r="F472" s="41"/>
      <c r="J472" s="41"/>
      <c r="K472" s="41"/>
    </row>
    <row r="473" spans="3:11" ht="15.75" customHeight="1" x14ac:dyDescent="0.2">
      <c r="C473" s="41"/>
      <c r="E473" s="41"/>
      <c r="F473" s="41"/>
      <c r="J473" s="41"/>
      <c r="K473" s="41"/>
    </row>
    <row r="474" spans="3:11" ht="15.75" customHeight="1" x14ac:dyDescent="0.2">
      <c r="C474" s="41"/>
      <c r="E474" s="41"/>
      <c r="F474" s="41"/>
      <c r="J474" s="41"/>
      <c r="K474" s="41"/>
    </row>
    <row r="475" spans="3:11" ht="15.75" customHeight="1" x14ac:dyDescent="0.2">
      <c r="C475" s="41"/>
      <c r="E475" s="41"/>
      <c r="F475" s="41"/>
      <c r="J475" s="41"/>
      <c r="K475" s="41"/>
    </row>
    <row r="476" spans="3:11" ht="15.75" customHeight="1" x14ac:dyDescent="0.2">
      <c r="C476" s="41"/>
      <c r="E476" s="41"/>
      <c r="F476" s="41"/>
      <c r="J476" s="41"/>
      <c r="K476" s="41"/>
    </row>
    <row r="477" spans="3:11" ht="15.75" customHeight="1" x14ac:dyDescent="0.2">
      <c r="C477" s="41"/>
      <c r="E477" s="41"/>
      <c r="F477" s="41"/>
      <c r="J477" s="41"/>
      <c r="K477" s="41"/>
    </row>
    <row r="478" spans="3:11" ht="15.75" customHeight="1" x14ac:dyDescent="0.2">
      <c r="C478" s="41"/>
      <c r="E478" s="41"/>
      <c r="F478" s="41"/>
      <c r="J478" s="41"/>
      <c r="K478" s="41"/>
    </row>
    <row r="479" spans="3:11" ht="15.75" customHeight="1" x14ac:dyDescent="0.2">
      <c r="C479" s="41"/>
      <c r="E479" s="41"/>
      <c r="F479" s="41"/>
      <c r="J479" s="41"/>
      <c r="K479" s="41"/>
    </row>
    <row r="480" spans="3:11" ht="15.75" customHeight="1" x14ac:dyDescent="0.2">
      <c r="C480" s="41"/>
      <c r="E480" s="41"/>
      <c r="F480" s="41"/>
      <c r="J480" s="41"/>
      <c r="K480" s="41"/>
    </row>
    <row r="481" spans="3:11" ht="15.75" customHeight="1" x14ac:dyDescent="0.2">
      <c r="C481" s="41"/>
      <c r="E481" s="41"/>
      <c r="F481" s="41"/>
      <c r="J481" s="41"/>
      <c r="K481" s="41"/>
    </row>
    <row r="482" spans="3:11" ht="15.75" customHeight="1" x14ac:dyDescent="0.2">
      <c r="C482" s="41"/>
      <c r="E482" s="41"/>
      <c r="F482" s="41"/>
      <c r="J482" s="41"/>
      <c r="K482" s="41"/>
    </row>
    <row r="483" spans="3:11" ht="15.75" customHeight="1" x14ac:dyDescent="0.2">
      <c r="C483" s="41"/>
      <c r="E483" s="41"/>
      <c r="F483" s="41"/>
      <c r="J483" s="41"/>
      <c r="K483" s="41"/>
    </row>
    <row r="484" spans="3:11" ht="15.75" customHeight="1" x14ac:dyDescent="0.2">
      <c r="C484" s="41"/>
      <c r="E484" s="41"/>
      <c r="F484" s="41"/>
      <c r="J484" s="41"/>
      <c r="K484" s="41"/>
    </row>
    <row r="485" spans="3:11" ht="15.75" customHeight="1" x14ac:dyDescent="0.2">
      <c r="C485" s="41"/>
      <c r="E485" s="41"/>
      <c r="F485" s="41"/>
      <c r="J485" s="41"/>
      <c r="K485" s="41"/>
    </row>
    <row r="486" spans="3:11" ht="15.75" customHeight="1" x14ac:dyDescent="0.2">
      <c r="C486" s="41"/>
      <c r="E486" s="41"/>
      <c r="F486" s="41"/>
      <c r="J486" s="41"/>
      <c r="K486" s="41"/>
    </row>
    <row r="487" spans="3:11" ht="15.75" customHeight="1" x14ac:dyDescent="0.2">
      <c r="C487" s="41"/>
      <c r="E487" s="41"/>
      <c r="F487" s="41"/>
      <c r="J487" s="41"/>
      <c r="K487" s="41"/>
    </row>
    <row r="488" spans="3:11" ht="15.75" customHeight="1" x14ac:dyDescent="0.2">
      <c r="C488" s="41"/>
      <c r="E488" s="41"/>
      <c r="F488" s="41"/>
      <c r="J488" s="41"/>
      <c r="K488" s="41"/>
    </row>
    <row r="489" spans="3:11" ht="15.75" customHeight="1" x14ac:dyDescent="0.2">
      <c r="C489" s="41"/>
      <c r="E489" s="41"/>
      <c r="F489" s="41"/>
      <c r="J489" s="41"/>
      <c r="K489" s="41"/>
    </row>
    <row r="490" spans="3:11" ht="15.75" customHeight="1" x14ac:dyDescent="0.2">
      <c r="C490" s="41"/>
      <c r="E490" s="41"/>
      <c r="F490" s="41"/>
      <c r="J490" s="41"/>
      <c r="K490" s="41"/>
    </row>
    <row r="491" spans="3:11" ht="15.75" customHeight="1" x14ac:dyDescent="0.2">
      <c r="C491" s="41"/>
      <c r="E491" s="41"/>
      <c r="F491" s="41"/>
      <c r="J491" s="41"/>
      <c r="K491" s="41"/>
    </row>
    <row r="492" spans="3:11" ht="15.75" customHeight="1" x14ac:dyDescent="0.2">
      <c r="C492" s="41"/>
      <c r="E492" s="41"/>
      <c r="F492" s="41"/>
      <c r="J492" s="41"/>
      <c r="K492" s="41"/>
    </row>
    <row r="493" spans="3:11" ht="15.75" customHeight="1" x14ac:dyDescent="0.2">
      <c r="C493" s="41"/>
      <c r="E493" s="41"/>
      <c r="F493" s="41"/>
      <c r="J493" s="41"/>
      <c r="K493" s="41"/>
    </row>
    <row r="494" spans="3:11" ht="15.75" customHeight="1" x14ac:dyDescent="0.2">
      <c r="C494" s="41"/>
      <c r="E494" s="41"/>
      <c r="F494" s="41"/>
      <c r="J494" s="41"/>
      <c r="K494" s="41"/>
    </row>
    <row r="495" spans="3:11" ht="15.75" customHeight="1" x14ac:dyDescent="0.2">
      <c r="C495" s="41"/>
      <c r="E495" s="41"/>
      <c r="F495" s="41"/>
      <c r="J495" s="41"/>
      <c r="K495" s="41"/>
    </row>
    <row r="496" spans="3:11" ht="15.75" customHeight="1" x14ac:dyDescent="0.2">
      <c r="C496" s="41"/>
      <c r="E496" s="41"/>
      <c r="F496" s="41"/>
      <c r="J496" s="41"/>
      <c r="K496" s="41"/>
    </row>
    <row r="497" spans="3:11" ht="15.75" customHeight="1" x14ac:dyDescent="0.2">
      <c r="C497" s="41"/>
      <c r="E497" s="41"/>
      <c r="F497" s="41"/>
      <c r="J497" s="41"/>
      <c r="K497" s="41"/>
    </row>
    <row r="498" spans="3:11" ht="15.75" customHeight="1" x14ac:dyDescent="0.2">
      <c r="C498" s="41"/>
      <c r="E498" s="41"/>
      <c r="F498" s="41"/>
      <c r="J498" s="41"/>
      <c r="K498" s="41"/>
    </row>
    <row r="499" spans="3:11" ht="15.75" customHeight="1" x14ac:dyDescent="0.2">
      <c r="C499" s="41"/>
      <c r="E499" s="41"/>
      <c r="F499" s="41"/>
      <c r="J499" s="41"/>
      <c r="K499" s="41"/>
    </row>
    <row r="500" spans="3:11" ht="15.75" customHeight="1" x14ac:dyDescent="0.2">
      <c r="C500" s="41"/>
      <c r="E500" s="41"/>
      <c r="F500" s="41"/>
      <c r="J500" s="41"/>
      <c r="K500" s="41"/>
    </row>
    <row r="501" spans="3:11" ht="15.75" customHeight="1" x14ac:dyDescent="0.2">
      <c r="C501" s="41"/>
      <c r="E501" s="41"/>
      <c r="F501" s="41"/>
      <c r="J501" s="41"/>
      <c r="K501" s="41"/>
    </row>
    <row r="502" spans="3:11" ht="15.75" customHeight="1" x14ac:dyDescent="0.2">
      <c r="C502" s="41"/>
      <c r="E502" s="41"/>
      <c r="F502" s="41"/>
      <c r="J502" s="41"/>
      <c r="K502" s="41"/>
    </row>
    <row r="503" spans="3:11" ht="15.75" customHeight="1" x14ac:dyDescent="0.2">
      <c r="C503" s="41"/>
      <c r="E503" s="41"/>
      <c r="F503" s="41"/>
      <c r="J503" s="41"/>
      <c r="K503" s="41"/>
    </row>
    <row r="504" spans="3:11" ht="15.75" customHeight="1" x14ac:dyDescent="0.2">
      <c r="C504" s="41"/>
      <c r="E504" s="41"/>
      <c r="F504" s="41"/>
      <c r="J504" s="41"/>
      <c r="K504" s="41"/>
    </row>
    <row r="505" spans="3:11" ht="15.75" customHeight="1" x14ac:dyDescent="0.2">
      <c r="C505" s="41"/>
      <c r="E505" s="41"/>
      <c r="F505" s="41"/>
      <c r="J505" s="41"/>
      <c r="K505" s="41"/>
    </row>
    <row r="506" spans="3:11" ht="15.75" customHeight="1" x14ac:dyDescent="0.2">
      <c r="C506" s="41"/>
      <c r="E506" s="41"/>
      <c r="F506" s="41"/>
      <c r="J506" s="41"/>
      <c r="K506" s="41"/>
    </row>
    <row r="507" spans="3:11" ht="15.75" customHeight="1" x14ac:dyDescent="0.2">
      <c r="C507" s="41"/>
      <c r="E507" s="41"/>
      <c r="F507" s="41"/>
      <c r="J507" s="41"/>
      <c r="K507" s="41"/>
    </row>
    <row r="508" spans="3:11" ht="15.75" customHeight="1" x14ac:dyDescent="0.2">
      <c r="C508" s="41"/>
      <c r="E508" s="41"/>
      <c r="F508" s="41"/>
      <c r="J508" s="41"/>
      <c r="K508" s="41"/>
    </row>
    <row r="509" spans="3:11" ht="15.75" customHeight="1" x14ac:dyDescent="0.2">
      <c r="C509" s="41"/>
      <c r="E509" s="41"/>
      <c r="F509" s="41"/>
      <c r="J509" s="41"/>
      <c r="K509" s="41"/>
    </row>
    <row r="510" spans="3:11" ht="15.75" customHeight="1" x14ac:dyDescent="0.2">
      <c r="C510" s="41"/>
      <c r="E510" s="41"/>
      <c r="F510" s="41"/>
      <c r="J510" s="41"/>
      <c r="K510" s="41"/>
    </row>
    <row r="511" spans="3:11" ht="15.75" customHeight="1" x14ac:dyDescent="0.2">
      <c r="C511" s="41"/>
      <c r="E511" s="41"/>
      <c r="F511" s="41"/>
      <c r="J511" s="41"/>
      <c r="K511" s="41"/>
    </row>
    <row r="512" spans="3:11" ht="15.75" customHeight="1" x14ac:dyDescent="0.2">
      <c r="C512" s="41"/>
      <c r="E512" s="41"/>
      <c r="F512" s="41"/>
      <c r="J512" s="41"/>
      <c r="K512" s="41"/>
    </row>
    <row r="513" spans="3:11" ht="15.75" customHeight="1" x14ac:dyDescent="0.2">
      <c r="C513" s="41"/>
      <c r="E513" s="41"/>
      <c r="F513" s="41"/>
      <c r="J513" s="41"/>
      <c r="K513" s="41"/>
    </row>
    <row r="514" spans="3:11" ht="15.75" customHeight="1" x14ac:dyDescent="0.2">
      <c r="C514" s="41"/>
      <c r="E514" s="41"/>
      <c r="F514" s="41"/>
      <c r="J514" s="41"/>
      <c r="K514" s="41"/>
    </row>
    <row r="515" spans="3:11" ht="15.75" customHeight="1" x14ac:dyDescent="0.2">
      <c r="C515" s="41"/>
      <c r="E515" s="41"/>
      <c r="F515" s="41"/>
      <c r="J515" s="41"/>
      <c r="K515" s="41"/>
    </row>
    <row r="516" spans="3:11" ht="15.75" customHeight="1" x14ac:dyDescent="0.2">
      <c r="C516" s="41"/>
      <c r="E516" s="41"/>
      <c r="F516" s="41"/>
      <c r="J516" s="41"/>
      <c r="K516" s="41"/>
    </row>
    <row r="517" spans="3:11" ht="15.75" customHeight="1" x14ac:dyDescent="0.2">
      <c r="C517" s="41"/>
      <c r="E517" s="41"/>
      <c r="F517" s="41"/>
      <c r="J517" s="41"/>
      <c r="K517" s="41"/>
    </row>
    <row r="518" spans="3:11" ht="15.75" customHeight="1" x14ac:dyDescent="0.2">
      <c r="C518" s="41"/>
      <c r="E518" s="41"/>
      <c r="F518" s="41"/>
      <c r="J518" s="41"/>
      <c r="K518" s="41"/>
    </row>
    <row r="519" spans="3:11" ht="15.75" customHeight="1" x14ac:dyDescent="0.2">
      <c r="C519" s="41"/>
      <c r="E519" s="41"/>
      <c r="F519" s="41"/>
      <c r="J519" s="41"/>
      <c r="K519" s="41"/>
    </row>
    <row r="520" spans="3:11" ht="15.75" customHeight="1" x14ac:dyDescent="0.2">
      <c r="C520" s="41"/>
      <c r="E520" s="41"/>
      <c r="F520" s="41"/>
      <c r="J520" s="41"/>
      <c r="K520" s="41"/>
    </row>
    <row r="521" spans="3:11" ht="15.75" customHeight="1" x14ac:dyDescent="0.2">
      <c r="C521" s="41"/>
      <c r="E521" s="41"/>
      <c r="F521" s="41"/>
      <c r="J521" s="41"/>
      <c r="K521" s="41"/>
    </row>
    <row r="522" spans="3:11" ht="15.75" customHeight="1" x14ac:dyDescent="0.2">
      <c r="C522" s="41"/>
      <c r="E522" s="41"/>
      <c r="F522" s="41"/>
      <c r="J522" s="41"/>
      <c r="K522" s="41"/>
    </row>
    <row r="523" spans="3:11" ht="15.75" customHeight="1" x14ac:dyDescent="0.2">
      <c r="C523" s="41"/>
      <c r="E523" s="41"/>
      <c r="F523" s="41"/>
      <c r="J523" s="41"/>
      <c r="K523" s="41"/>
    </row>
    <row r="524" spans="3:11" ht="15.75" customHeight="1" x14ac:dyDescent="0.2">
      <c r="C524" s="41"/>
      <c r="E524" s="41"/>
      <c r="F524" s="41"/>
      <c r="J524" s="41"/>
      <c r="K524" s="41"/>
    </row>
    <row r="525" spans="3:11" ht="15.75" customHeight="1" x14ac:dyDescent="0.2">
      <c r="C525" s="41"/>
      <c r="E525" s="41"/>
      <c r="F525" s="41"/>
      <c r="J525" s="41"/>
      <c r="K525" s="41"/>
    </row>
    <row r="526" spans="3:11" ht="15.75" customHeight="1" x14ac:dyDescent="0.2">
      <c r="C526" s="41"/>
      <c r="E526" s="41"/>
      <c r="F526" s="41"/>
      <c r="J526" s="41"/>
      <c r="K526" s="41"/>
    </row>
    <row r="527" spans="3:11" ht="15.75" customHeight="1" x14ac:dyDescent="0.2">
      <c r="C527" s="41"/>
      <c r="E527" s="41"/>
      <c r="F527" s="41"/>
      <c r="J527" s="41"/>
      <c r="K527" s="41"/>
    </row>
    <row r="528" spans="3:11" ht="15.75" customHeight="1" x14ac:dyDescent="0.2">
      <c r="C528" s="41"/>
      <c r="E528" s="41"/>
      <c r="F528" s="41"/>
      <c r="J528" s="41"/>
      <c r="K528" s="41"/>
    </row>
    <row r="529" spans="3:11" ht="15.75" customHeight="1" x14ac:dyDescent="0.2">
      <c r="C529" s="41"/>
      <c r="E529" s="41"/>
      <c r="F529" s="41"/>
      <c r="J529" s="41"/>
      <c r="K529" s="41"/>
    </row>
    <row r="530" spans="3:11" ht="15.75" customHeight="1" x14ac:dyDescent="0.2">
      <c r="C530" s="41"/>
      <c r="E530" s="41"/>
      <c r="F530" s="41"/>
      <c r="J530" s="41"/>
      <c r="K530" s="41"/>
    </row>
    <row r="531" spans="3:11" ht="15.75" customHeight="1" x14ac:dyDescent="0.2">
      <c r="C531" s="41"/>
      <c r="E531" s="41"/>
      <c r="F531" s="41"/>
      <c r="J531" s="41"/>
      <c r="K531" s="41"/>
    </row>
    <row r="532" spans="3:11" ht="15.75" customHeight="1" x14ac:dyDescent="0.2">
      <c r="C532" s="41"/>
      <c r="E532" s="41"/>
      <c r="F532" s="41"/>
      <c r="J532" s="41"/>
      <c r="K532" s="41"/>
    </row>
    <row r="533" spans="3:11" ht="15.75" customHeight="1" x14ac:dyDescent="0.2">
      <c r="C533" s="41"/>
      <c r="E533" s="41"/>
      <c r="F533" s="41"/>
      <c r="J533" s="41"/>
      <c r="K533" s="41"/>
    </row>
    <row r="534" spans="3:11" ht="15.75" customHeight="1" x14ac:dyDescent="0.2">
      <c r="C534" s="41"/>
      <c r="E534" s="41"/>
      <c r="F534" s="41"/>
      <c r="J534" s="41"/>
      <c r="K534" s="41"/>
    </row>
    <row r="535" spans="3:11" ht="15.75" customHeight="1" x14ac:dyDescent="0.2">
      <c r="C535" s="41"/>
      <c r="E535" s="41"/>
      <c r="F535" s="41"/>
      <c r="J535" s="41"/>
      <c r="K535" s="41"/>
    </row>
    <row r="536" spans="3:11" ht="15.75" customHeight="1" x14ac:dyDescent="0.2">
      <c r="C536" s="41"/>
      <c r="E536" s="41"/>
      <c r="F536" s="41"/>
      <c r="J536" s="41"/>
      <c r="K536" s="41"/>
    </row>
    <row r="537" spans="3:11" ht="15.75" customHeight="1" x14ac:dyDescent="0.2">
      <c r="C537" s="41"/>
      <c r="E537" s="41"/>
      <c r="F537" s="41"/>
      <c r="J537" s="41"/>
      <c r="K537" s="41"/>
    </row>
    <row r="538" spans="3:11" ht="15.75" customHeight="1" x14ac:dyDescent="0.2">
      <c r="C538" s="41"/>
      <c r="E538" s="41"/>
      <c r="F538" s="41"/>
      <c r="J538" s="41"/>
      <c r="K538" s="41"/>
    </row>
    <row r="539" spans="3:11" ht="15.75" customHeight="1" x14ac:dyDescent="0.2">
      <c r="C539" s="41"/>
      <c r="E539" s="41"/>
      <c r="F539" s="41"/>
      <c r="J539" s="41"/>
      <c r="K539" s="41"/>
    </row>
    <row r="540" spans="3:11" ht="15.75" customHeight="1" x14ac:dyDescent="0.2">
      <c r="C540" s="41"/>
      <c r="E540" s="41"/>
      <c r="F540" s="41"/>
      <c r="J540" s="41"/>
      <c r="K540" s="41"/>
    </row>
    <row r="541" spans="3:11" ht="15.75" customHeight="1" x14ac:dyDescent="0.2">
      <c r="C541" s="41"/>
      <c r="E541" s="41"/>
      <c r="F541" s="41"/>
      <c r="J541" s="41"/>
      <c r="K541" s="41"/>
    </row>
    <row r="542" spans="3:11" ht="15.75" customHeight="1" x14ac:dyDescent="0.2">
      <c r="C542" s="41"/>
      <c r="E542" s="41"/>
      <c r="F542" s="41"/>
      <c r="J542" s="41"/>
      <c r="K542" s="41"/>
    </row>
    <row r="543" spans="3:11" ht="15.75" customHeight="1" x14ac:dyDescent="0.2">
      <c r="C543" s="41"/>
      <c r="E543" s="41"/>
      <c r="F543" s="41"/>
      <c r="J543" s="41"/>
      <c r="K543" s="41"/>
    </row>
    <row r="544" spans="3:11" ht="15.75" customHeight="1" x14ac:dyDescent="0.2">
      <c r="C544" s="41"/>
      <c r="E544" s="41"/>
      <c r="F544" s="41"/>
      <c r="J544" s="41"/>
      <c r="K544" s="41"/>
    </row>
    <row r="545" spans="3:11" ht="15.75" customHeight="1" x14ac:dyDescent="0.2">
      <c r="C545" s="41"/>
      <c r="E545" s="41"/>
      <c r="F545" s="41"/>
      <c r="J545" s="41"/>
      <c r="K545" s="41"/>
    </row>
    <row r="546" spans="3:11" ht="15.75" customHeight="1" x14ac:dyDescent="0.2">
      <c r="C546" s="41"/>
      <c r="E546" s="41"/>
      <c r="F546" s="41"/>
      <c r="J546" s="41"/>
      <c r="K546" s="41"/>
    </row>
    <row r="547" spans="3:11" ht="15.75" customHeight="1" x14ac:dyDescent="0.2">
      <c r="C547" s="41"/>
      <c r="E547" s="41"/>
      <c r="F547" s="41"/>
      <c r="J547" s="41"/>
      <c r="K547" s="41"/>
    </row>
    <row r="548" spans="3:11" ht="15.75" customHeight="1" x14ac:dyDescent="0.2">
      <c r="C548" s="41"/>
      <c r="E548" s="41"/>
      <c r="F548" s="41"/>
      <c r="J548" s="41"/>
      <c r="K548" s="41"/>
    </row>
    <row r="549" spans="3:11" ht="15.75" customHeight="1" x14ac:dyDescent="0.2">
      <c r="C549" s="41"/>
      <c r="E549" s="41"/>
      <c r="F549" s="41"/>
      <c r="J549" s="41"/>
      <c r="K549" s="41"/>
    </row>
    <row r="550" spans="3:11" ht="15.75" customHeight="1" x14ac:dyDescent="0.2">
      <c r="C550" s="41"/>
      <c r="E550" s="41"/>
      <c r="F550" s="41"/>
      <c r="J550" s="41"/>
      <c r="K550" s="41"/>
    </row>
    <row r="551" spans="3:11" ht="15.75" customHeight="1" x14ac:dyDescent="0.2">
      <c r="C551" s="41"/>
      <c r="E551" s="41"/>
      <c r="F551" s="41"/>
      <c r="J551" s="41"/>
      <c r="K551" s="41"/>
    </row>
    <row r="552" spans="3:11" ht="15.75" customHeight="1" x14ac:dyDescent="0.2">
      <c r="C552" s="41"/>
      <c r="E552" s="41"/>
      <c r="F552" s="41"/>
      <c r="J552" s="41"/>
      <c r="K552" s="41"/>
    </row>
    <row r="553" spans="3:11" ht="15.75" customHeight="1" x14ac:dyDescent="0.2">
      <c r="C553" s="41"/>
      <c r="E553" s="41"/>
      <c r="F553" s="41"/>
      <c r="J553" s="41"/>
      <c r="K553" s="41"/>
    </row>
    <row r="554" spans="3:11" ht="15.75" customHeight="1" x14ac:dyDescent="0.2">
      <c r="C554" s="41"/>
      <c r="E554" s="41"/>
      <c r="F554" s="41"/>
      <c r="J554" s="41"/>
      <c r="K554" s="41"/>
    </row>
    <row r="555" spans="3:11" ht="15.75" customHeight="1" x14ac:dyDescent="0.2">
      <c r="C555" s="41"/>
      <c r="E555" s="41"/>
      <c r="F555" s="41"/>
      <c r="J555" s="41"/>
      <c r="K555" s="41"/>
    </row>
    <row r="556" spans="3:11" ht="15.75" customHeight="1" x14ac:dyDescent="0.2">
      <c r="C556" s="41"/>
      <c r="E556" s="41"/>
      <c r="F556" s="41"/>
      <c r="J556" s="41"/>
      <c r="K556" s="41"/>
    </row>
    <row r="557" spans="3:11" ht="15.75" customHeight="1" x14ac:dyDescent="0.2">
      <c r="C557" s="41"/>
      <c r="E557" s="41"/>
      <c r="F557" s="41"/>
      <c r="J557" s="41"/>
      <c r="K557" s="41"/>
    </row>
    <row r="558" spans="3:11" ht="15.75" customHeight="1" x14ac:dyDescent="0.2">
      <c r="C558" s="41"/>
      <c r="E558" s="41"/>
      <c r="F558" s="41"/>
      <c r="J558" s="41"/>
      <c r="K558" s="41"/>
    </row>
    <row r="559" spans="3:11" ht="15.75" customHeight="1" x14ac:dyDescent="0.2">
      <c r="C559" s="41"/>
      <c r="E559" s="41"/>
      <c r="F559" s="41"/>
      <c r="J559" s="41"/>
      <c r="K559" s="41"/>
    </row>
    <row r="560" spans="3:11" ht="15.75" customHeight="1" x14ac:dyDescent="0.2">
      <c r="C560" s="41"/>
      <c r="E560" s="41"/>
      <c r="F560" s="41"/>
      <c r="J560" s="41"/>
      <c r="K560" s="41"/>
    </row>
    <row r="561" spans="3:11" ht="15.75" customHeight="1" x14ac:dyDescent="0.2">
      <c r="C561" s="41"/>
      <c r="E561" s="41"/>
      <c r="F561" s="41"/>
      <c r="J561" s="41"/>
      <c r="K561" s="41"/>
    </row>
    <row r="562" spans="3:11" ht="15.75" customHeight="1" x14ac:dyDescent="0.2">
      <c r="C562" s="41"/>
      <c r="E562" s="41"/>
      <c r="F562" s="41"/>
      <c r="J562" s="41"/>
      <c r="K562" s="41"/>
    </row>
    <row r="563" spans="3:11" ht="15.75" customHeight="1" x14ac:dyDescent="0.2">
      <c r="C563" s="41"/>
      <c r="E563" s="41"/>
      <c r="F563" s="41"/>
      <c r="J563" s="41"/>
      <c r="K563" s="41"/>
    </row>
    <row r="564" spans="3:11" ht="15.75" customHeight="1" x14ac:dyDescent="0.2">
      <c r="C564" s="41"/>
      <c r="E564" s="41"/>
      <c r="F564" s="41"/>
      <c r="J564" s="41"/>
      <c r="K564" s="41"/>
    </row>
    <row r="565" spans="3:11" ht="15.75" customHeight="1" x14ac:dyDescent="0.2">
      <c r="C565" s="41"/>
      <c r="E565" s="41"/>
      <c r="F565" s="41"/>
      <c r="J565" s="41"/>
      <c r="K565" s="41"/>
    </row>
    <row r="566" spans="3:11" ht="15.75" customHeight="1" x14ac:dyDescent="0.2">
      <c r="C566" s="41"/>
      <c r="E566" s="41"/>
      <c r="F566" s="41"/>
      <c r="J566" s="41"/>
      <c r="K566" s="41"/>
    </row>
    <row r="567" spans="3:11" ht="15.75" customHeight="1" x14ac:dyDescent="0.2">
      <c r="C567" s="41"/>
      <c r="E567" s="41"/>
      <c r="F567" s="41"/>
      <c r="J567" s="41"/>
      <c r="K567" s="41"/>
    </row>
    <row r="568" spans="3:11" ht="15.75" customHeight="1" x14ac:dyDescent="0.2">
      <c r="C568" s="41"/>
      <c r="E568" s="41"/>
      <c r="F568" s="41"/>
      <c r="J568" s="41"/>
      <c r="K568" s="41"/>
    </row>
    <row r="569" spans="3:11" ht="15.75" customHeight="1" x14ac:dyDescent="0.2">
      <c r="C569" s="41"/>
      <c r="E569" s="41"/>
      <c r="F569" s="41"/>
      <c r="J569" s="41"/>
      <c r="K569" s="41"/>
    </row>
    <row r="570" spans="3:11" ht="15.75" customHeight="1" x14ac:dyDescent="0.2">
      <c r="C570" s="41"/>
      <c r="E570" s="41"/>
      <c r="F570" s="41"/>
      <c r="J570" s="41"/>
      <c r="K570" s="41"/>
    </row>
    <row r="571" spans="3:11" ht="15.75" customHeight="1" x14ac:dyDescent="0.2">
      <c r="C571" s="41"/>
      <c r="E571" s="41"/>
      <c r="F571" s="41"/>
      <c r="J571" s="41"/>
      <c r="K571" s="41"/>
    </row>
    <row r="572" spans="3:11" ht="15.75" customHeight="1" x14ac:dyDescent="0.2">
      <c r="C572" s="41"/>
      <c r="E572" s="41"/>
      <c r="F572" s="41"/>
      <c r="J572" s="41"/>
      <c r="K572" s="41"/>
    </row>
    <row r="573" spans="3:11" ht="15.75" customHeight="1" x14ac:dyDescent="0.2">
      <c r="C573" s="41"/>
      <c r="E573" s="41"/>
      <c r="F573" s="41"/>
      <c r="J573" s="41"/>
      <c r="K573" s="41"/>
    </row>
    <row r="574" spans="3:11" ht="15.75" customHeight="1" x14ac:dyDescent="0.2">
      <c r="C574" s="41"/>
      <c r="E574" s="41"/>
      <c r="F574" s="41"/>
      <c r="J574" s="41"/>
      <c r="K574" s="41"/>
    </row>
    <row r="575" spans="3:11" ht="15.75" customHeight="1" x14ac:dyDescent="0.2">
      <c r="C575" s="41"/>
      <c r="E575" s="41"/>
      <c r="F575" s="41"/>
      <c r="J575" s="41"/>
      <c r="K575" s="41"/>
    </row>
    <row r="576" spans="3:11" ht="15.75" customHeight="1" x14ac:dyDescent="0.2">
      <c r="C576" s="41"/>
      <c r="E576" s="41"/>
      <c r="F576" s="41"/>
      <c r="J576" s="41"/>
      <c r="K576" s="41"/>
    </row>
    <row r="577" spans="3:11" ht="15.75" customHeight="1" x14ac:dyDescent="0.2">
      <c r="C577" s="41"/>
      <c r="E577" s="41"/>
      <c r="F577" s="41"/>
      <c r="J577" s="41"/>
      <c r="K577" s="41"/>
    </row>
    <row r="578" spans="3:11" ht="15.75" customHeight="1" x14ac:dyDescent="0.2">
      <c r="C578" s="41"/>
      <c r="E578" s="41"/>
      <c r="F578" s="41"/>
      <c r="J578" s="41"/>
      <c r="K578" s="41"/>
    </row>
    <row r="579" spans="3:11" ht="15.75" customHeight="1" x14ac:dyDescent="0.2">
      <c r="C579" s="41"/>
      <c r="E579" s="41"/>
      <c r="F579" s="41"/>
      <c r="J579" s="41"/>
      <c r="K579" s="41"/>
    </row>
    <row r="580" spans="3:11" ht="15.75" customHeight="1" x14ac:dyDescent="0.2">
      <c r="C580" s="41"/>
      <c r="E580" s="41"/>
      <c r="F580" s="41"/>
      <c r="J580" s="41"/>
      <c r="K580" s="41"/>
    </row>
    <row r="581" spans="3:11" ht="15.75" customHeight="1" x14ac:dyDescent="0.2">
      <c r="C581" s="41"/>
      <c r="E581" s="41"/>
      <c r="F581" s="41"/>
      <c r="J581" s="41"/>
      <c r="K581" s="41"/>
    </row>
    <row r="582" spans="3:11" ht="15.75" customHeight="1" x14ac:dyDescent="0.2">
      <c r="C582" s="41"/>
      <c r="E582" s="41"/>
      <c r="F582" s="41"/>
      <c r="J582" s="41"/>
      <c r="K582" s="41"/>
    </row>
    <row r="583" spans="3:11" ht="15.75" customHeight="1" x14ac:dyDescent="0.2">
      <c r="C583" s="41"/>
      <c r="E583" s="41"/>
      <c r="F583" s="41"/>
      <c r="J583" s="41"/>
      <c r="K583" s="41"/>
    </row>
    <row r="584" spans="3:11" ht="15.75" customHeight="1" x14ac:dyDescent="0.2">
      <c r="C584" s="41"/>
      <c r="E584" s="41"/>
      <c r="F584" s="41"/>
      <c r="J584" s="41"/>
      <c r="K584" s="41"/>
    </row>
    <row r="585" spans="3:11" ht="15.75" customHeight="1" x14ac:dyDescent="0.2">
      <c r="C585" s="41"/>
      <c r="E585" s="41"/>
      <c r="F585" s="41"/>
      <c r="J585" s="41"/>
      <c r="K585" s="41"/>
    </row>
    <row r="586" spans="3:11" ht="15.75" customHeight="1" x14ac:dyDescent="0.2">
      <c r="C586" s="41"/>
      <c r="E586" s="41"/>
      <c r="F586" s="41"/>
      <c r="J586" s="41"/>
      <c r="K586" s="41"/>
    </row>
    <row r="587" spans="3:11" ht="15.75" customHeight="1" x14ac:dyDescent="0.2">
      <c r="C587" s="41"/>
      <c r="E587" s="41"/>
      <c r="F587" s="41"/>
      <c r="J587" s="41"/>
      <c r="K587" s="41"/>
    </row>
    <row r="588" spans="3:11" ht="15.75" customHeight="1" x14ac:dyDescent="0.2">
      <c r="C588" s="41"/>
      <c r="E588" s="41"/>
      <c r="F588" s="41"/>
      <c r="J588" s="41"/>
      <c r="K588" s="41"/>
    </row>
    <row r="589" spans="3:11" ht="15.75" customHeight="1" x14ac:dyDescent="0.2">
      <c r="C589" s="41"/>
      <c r="E589" s="41"/>
      <c r="F589" s="41"/>
      <c r="J589" s="41"/>
      <c r="K589" s="41"/>
    </row>
    <row r="590" spans="3:11" ht="15.75" customHeight="1" x14ac:dyDescent="0.2">
      <c r="C590" s="41"/>
      <c r="E590" s="41"/>
      <c r="F590" s="41"/>
      <c r="J590" s="41"/>
      <c r="K590" s="41"/>
    </row>
    <row r="591" spans="3:11" ht="15.75" customHeight="1" x14ac:dyDescent="0.2">
      <c r="C591" s="41"/>
      <c r="E591" s="41"/>
      <c r="F591" s="41"/>
      <c r="J591" s="41"/>
      <c r="K591" s="41"/>
    </row>
    <row r="592" spans="3:11" ht="15.75" customHeight="1" x14ac:dyDescent="0.2">
      <c r="C592" s="41"/>
      <c r="E592" s="41"/>
      <c r="F592" s="41"/>
      <c r="J592" s="41"/>
      <c r="K592" s="41"/>
    </row>
    <row r="593" spans="3:11" ht="15.75" customHeight="1" x14ac:dyDescent="0.2">
      <c r="C593" s="41"/>
      <c r="E593" s="41"/>
      <c r="F593" s="41"/>
      <c r="J593" s="41"/>
      <c r="K593" s="41"/>
    </row>
    <row r="594" spans="3:11" ht="15.75" customHeight="1" x14ac:dyDescent="0.2">
      <c r="C594" s="41"/>
      <c r="E594" s="41"/>
      <c r="F594" s="41"/>
      <c r="J594" s="41"/>
      <c r="K594" s="41"/>
    </row>
    <row r="595" spans="3:11" ht="15.75" customHeight="1" x14ac:dyDescent="0.2">
      <c r="C595" s="41"/>
      <c r="E595" s="41"/>
      <c r="F595" s="41"/>
      <c r="J595" s="41"/>
      <c r="K595" s="41"/>
    </row>
    <row r="596" spans="3:11" ht="15.75" customHeight="1" x14ac:dyDescent="0.2">
      <c r="C596" s="41"/>
      <c r="E596" s="41"/>
      <c r="F596" s="41"/>
      <c r="J596" s="41"/>
      <c r="K596" s="41"/>
    </row>
    <row r="597" spans="3:11" ht="15.75" customHeight="1" x14ac:dyDescent="0.2">
      <c r="C597" s="41"/>
      <c r="E597" s="41"/>
      <c r="F597" s="41"/>
      <c r="J597" s="41"/>
      <c r="K597" s="41"/>
    </row>
    <row r="598" spans="3:11" ht="15.75" customHeight="1" x14ac:dyDescent="0.2">
      <c r="C598" s="41"/>
      <c r="E598" s="41"/>
      <c r="F598" s="41"/>
      <c r="J598" s="41"/>
      <c r="K598" s="41"/>
    </row>
    <row r="599" spans="3:11" ht="15.75" customHeight="1" x14ac:dyDescent="0.2">
      <c r="C599" s="41"/>
      <c r="E599" s="41"/>
      <c r="F599" s="41"/>
      <c r="J599" s="41"/>
      <c r="K599" s="41"/>
    </row>
    <row r="600" spans="3:11" ht="15.75" customHeight="1" x14ac:dyDescent="0.2">
      <c r="C600" s="41"/>
      <c r="E600" s="41"/>
      <c r="F600" s="41"/>
      <c r="J600" s="41"/>
      <c r="K600" s="41"/>
    </row>
    <row r="601" spans="3:11" ht="15.75" customHeight="1" x14ac:dyDescent="0.2">
      <c r="C601" s="41"/>
      <c r="E601" s="41"/>
      <c r="F601" s="41"/>
      <c r="J601" s="41"/>
      <c r="K601" s="41"/>
    </row>
    <row r="602" spans="3:11" ht="15.75" customHeight="1" x14ac:dyDescent="0.2">
      <c r="C602" s="41"/>
      <c r="E602" s="41"/>
      <c r="F602" s="41"/>
      <c r="J602" s="41"/>
      <c r="K602" s="41"/>
    </row>
    <row r="603" spans="3:11" ht="15.75" customHeight="1" x14ac:dyDescent="0.2">
      <c r="C603" s="41"/>
      <c r="E603" s="41"/>
      <c r="F603" s="41"/>
      <c r="J603" s="41"/>
      <c r="K603" s="41"/>
    </row>
    <row r="604" spans="3:11" ht="15.75" customHeight="1" x14ac:dyDescent="0.2">
      <c r="C604" s="41"/>
      <c r="E604" s="41"/>
      <c r="F604" s="41"/>
      <c r="J604" s="41"/>
      <c r="K604" s="41"/>
    </row>
    <row r="605" spans="3:11" ht="15.75" customHeight="1" x14ac:dyDescent="0.2">
      <c r="C605" s="41"/>
      <c r="E605" s="41"/>
      <c r="F605" s="41"/>
      <c r="J605" s="41"/>
      <c r="K605" s="41"/>
    </row>
    <row r="606" spans="3:11" ht="15.75" customHeight="1" x14ac:dyDescent="0.2">
      <c r="C606" s="41"/>
      <c r="E606" s="41"/>
      <c r="F606" s="41"/>
      <c r="J606" s="41"/>
      <c r="K606" s="41"/>
    </row>
    <row r="607" spans="3:11" ht="15.75" customHeight="1" x14ac:dyDescent="0.2">
      <c r="C607" s="41"/>
      <c r="E607" s="41"/>
      <c r="F607" s="41"/>
      <c r="J607" s="41"/>
      <c r="K607" s="41"/>
    </row>
    <row r="608" spans="3:11" ht="15.75" customHeight="1" x14ac:dyDescent="0.2">
      <c r="C608" s="41"/>
      <c r="E608" s="41"/>
      <c r="F608" s="41"/>
      <c r="J608" s="41"/>
      <c r="K608" s="41"/>
    </row>
    <row r="609" spans="3:11" ht="15.75" customHeight="1" x14ac:dyDescent="0.2">
      <c r="C609" s="41"/>
      <c r="E609" s="41"/>
      <c r="F609" s="41"/>
      <c r="J609" s="41"/>
      <c r="K609" s="41"/>
    </row>
    <row r="610" spans="3:11" ht="15.75" customHeight="1" x14ac:dyDescent="0.2">
      <c r="C610" s="41"/>
      <c r="E610" s="41"/>
      <c r="F610" s="41"/>
      <c r="J610" s="41"/>
      <c r="K610" s="41"/>
    </row>
    <row r="611" spans="3:11" ht="15.75" customHeight="1" x14ac:dyDescent="0.2">
      <c r="C611" s="41"/>
      <c r="E611" s="41"/>
      <c r="F611" s="41"/>
      <c r="J611" s="41"/>
      <c r="K611" s="41"/>
    </row>
    <row r="612" spans="3:11" ht="15.75" customHeight="1" x14ac:dyDescent="0.2">
      <c r="C612" s="41"/>
      <c r="E612" s="41"/>
      <c r="F612" s="41"/>
      <c r="J612" s="41"/>
      <c r="K612" s="41"/>
    </row>
    <row r="613" spans="3:11" ht="15.75" customHeight="1" x14ac:dyDescent="0.2">
      <c r="C613" s="41"/>
      <c r="E613" s="41"/>
      <c r="F613" s="41"/>
      <c r="J613" s="41"/>
      <c r="K613" s="41"/>
    </row>
    <row r="614" spans="3:11" ht="15.75" customHeight="1" x14ac:dyDescent="0.2">
      <c r="C614" s="41"/>
      <c r="E614" s="41"/>
      <c r="F614" s="41"/>
      <c r="J614" s="41"/>
      <c r="K614" s="41"/>
    </row>
    <row r="615" spans="3:11" ht="15.75" customHeight="1" x14ac:dyDescent="0.2">
      <c r="C615" s="41"/>
      <c r="E615" s="41"/>
      <c r="F615" s="41"/>
      <c r="J615" s="41"/>
      <c r="K615" s="41"/>
    </row>
    <row r="616" spans="3:11" ht="15.75" customHeight="1" x14ac:dyDescent="0.2">
      <c r="C616" s="41"/>
      <c r="E616" s="41"/>
      <c r="F616" s="41"/>
      <c r="J616" s="41"/>
      <c r="K616" s="41"/>
    </row>
    <row r="617" spans="3:11" ht="15.75" customHeight="1" x14ac:dyDescent="0.2">
      <c r="C617" s="41"/>
      <c r="E617" s="41"/>
      <c r="F617" s="41"/>
      <c r="J617" s="41"/>
      <c r="K617" s="41"/>
    </row>
    <row r="618" spans="3:11" ht="15.75" customHeight="1" x14ac:dyDescent="0.2">
      <c r="C618" s="41"/>
      <c r="E618" s="41"/>
      <c r="F618" s="41"/>
      <c r="J618" s="41"/>
      <c r="K618" s="41"/>
    </row>
    <row r="619" spans="3:11" ht="15.75" customHeight="1" x14ac:dyDescent="0.2">
      <c r="C619" s="41"/>
      <c r="E619" s="41"/>
      <c r="F619" s="41"/>
      <c r="J619" s="41"/>
      <c r="K619" s="41"/>
    </row>
    <row r="620" spans="3:11" ht="15.75" customHeight="1" x14ac:dyDescent="0.2">
      <c r="C620" s="41"/>
      <c r="E620" s="41"/>
      <c r="F620" s="41"/>
      <c r="J620" s="41"/>
      <c r="K620" s="41"/>
    </row>
    <row r="621" spans="3:11" ht="15.75" customHeight="1" x14ac:dyDescent="0.2">
      <c r="C621" s="41"/>
      <c r="E621" s="41"/>
      <c r="F621" s="41"/>
      <c r="J621" s="41"/>
      <c r="K621" s="41"/>
    </row>
    <row r="622" spans="3:11" ht="15.75" customHeight="1" x14ac:dyDescent="0.2">
      <c r="C622" s="41"/>
      <c r="E622" s="41"/>
      <c r="F622" s="41"/>
      <c r="J622" s="41"/>
      <c r="K622" s="41"/>
    </row>
    <row r="623" spans="3:11" ht="15.75" customHeight="1" x14ac:dyDescent="0.2">
      <c r="C623" s="41"/>
      <c r="E623" s="41"/>
      <c r="F623" s="41"/>
      <c r="J623" s="41"/>
      <c r="K623" s="41"/>
    </row>
    <row r="624" spans="3:11" ht="15.75" customHeight="1" x14ac:dyDescent="0.2">
      <c r="C624" s="41"/>
      <c r="E624" s="41"/>
      <c r="F624" s="41"/>
      <c r="J624" s="41"/>
      <c r="K624" s="41"/>
    </row>
    <row r="625" spans="3:11" ht="15.75" customHeight="1" x14ac:dyDescent="0.2">
      <c r="C625" s="41"/>
      <c r="E625" s="41"/>
      <c r="F625" s="41"/>
      <c r="J625" s="41"/>
      <c r="K625" s="41"/>
    </row>
    <row r="626" spans="3:11" ht="15.75" customHeight="1" x14ac:dyDescent="0.2">
      <c r="C626" s="41"/>
      <c r="E626" s="41"/>
      <c r="F626" s="41"/>
      <c r="J626" s="41"/>
      <c r="K626" s="41"/>
    </row>
    <row r="627" spans="3:11" ht="15.75" customHeight="1" x14ac:dyDescent="0.2">
      <c r="C627" s="41"/>
      <c r="E627" s="41"/>
      <c r="F627" s="41"/>
      <c r="J627" s="41"/>
      <c r="K627" s="41"/>
    </row>
    <row r="628" spans="3:11" ht="15.75" customHeight="1" x14ac:dyDescent="0.2">
      <c r="C628" s="41"/>
      <c r="E628" s="41"/>
      <c r="F628" s="41"/>
      <c r="J628" s="41"/>
      <c r="K628" s="41"/>
    </row>
    <row r="629" spans="3:11" ht="15.75" customHeight="1" x14ac:dyDescent="0.2">
      <c r="C629" s="41"/>
      <c r="E629" s="41"/>
      <c r="F629" s="41"/>
      <c r="J629" s="41"/>
      <c r="K629" s="41"/>
    </row>
    <row r="630" spans="3:11" ht="15.75" customHeight="1" x14ac:dyDescent="0.2">
      <c r="C630" s="41"/>
      <c r="E630" s="41"/>
      <c r="F630" s="41"/>
      <c r="J630" s="41"/>
      <c r="K630" s="41"/>
    </row>
    <row r="631" spans="3:11" ht="15.75" customHeight="1" x14ac:dyDescent="0.2">
      <c r="C631" s="41"/>
      <c r="E631" s="41"/>
      <c r="F631" s="41"/>
      <c r="J631" s="41"/>
      <c r="K631" s="41"/>
    </row>
    <row r="632" spans="3:11" ht="15.75" customHeight="1" x14ac:dyDescent="0.2">
      <c r="C632" s="41"/>
      <c r="E632" s="41"/>
      <c r="F632" s="41"/>
      <c r="J632" s="41"/>
      <c r="K632" s="41"/>
    </row>
    <row r="633" spans="3:11" ht="15.75" customHeight="1" x14ac:dyDescent="0.2">
      <c r="C633" s="41"/>
      <c r="E633" s="41"/>
      <c r="F633" s="41"/>
      <c r="J633" s="41"/>
      <c r="K633" s="41"/>
    </row>
    <row r="634" spans="3:11" ht="15.75" customHeight="1" x14ac:dyDescent="0.2">
      <c r="C634" s="41"/>
      <c r="E634" s="41"/>
      <c r="F634" s="41"/>
      <c r="J634" s="41"/>
      <c r="K634" s="41"/>
    </row>
    <row r="635" spans="3:11" ht="15.75" customHeight="1" x14ac:dyDescent="0.2">
      <c r="C635" s="41"/>
      <c r="E635" s="41"/>
      <c r="F635" s="41"/>
      <c r="J635" s="41"/>
      <c r="K635" s="41"/>
    </row>
    <row r="636" spans="3:11" ht="15.75" customHeight="1" x14ac:dyDescent="0.2">
      <c r="C636" s="41"/>
      <c r="E636" s="41"/>
      <c r="F636" s="41"/>
      <c r="J636" s="41"/>
      <c r="K636" s="41"/>
    </row>
    <row r="637" spans="3:11" ht="15.75" customHeight="1" x14ac:dyDescent="0.2">
      <c r="C637" s="41"/>
      <c r="E637" s="41"/>
      <c r="F637" s="41"/>
      <c r="J637" s="41"/>
      <c r="K637" s="41"/>
    </row>
    <row r="638" spans="3:11" ht="15.75" customHeight="1" x14ac:dyDescent="0.2">
      <c r="C638" s="41"/>
      <c r="E638" s="41"/>
      <c r="F638" s="41"/>
      <c r="J638" s="41"/>
      <c r="K638" s="41"/>
    </row>
    <row r="639" spans="3:11" ht="15.75" customHeight="1" x14ac:dyDescent="0.2">
      <c r="C639" s="41"/>
      <c r="E639" s="41"/>
      <c r="F639" s="41"/>
      <c r="J639" s="41"/>
      <c r="K639" s="41"/>
    </row>
    <row r="640" spans="3:11" ht="15.75" customHeight="1" x14ac:dyDescent="0.2">
      <c r="C640" s="41"/>
      <c r="E640" s="41"/>
      <c r="F640" s="41"/>
      <c r="J640" s="41"/>
      <c r="K640" s="41"/>
    </row>
    <row r="641" spans="3:11" ht="15.75" customHeight="1" x14ac:dyDescent="0.2">
      <c r="C641" s="41"/>
      <c r="E641" s="41"/>
      <c r="F641" s="41"/>
      <c r="J641" s="41"/>
      <c r="K641" s="41"/>
    </row>
    <row r="642" spans="3:11" ht="15.75" customHeight="1" x14ac:dyDescent="0.2">
      <c r="C642" s="41"/>
      <c r="E642" s="41"/>
      <c r="F642" s="41"/>
      <c r="J642" s="41"/>
      <c r="K642" s="41"/>
    </row>
    <row r="643" spans="3:11" ht="15.75" customHeight="1" x14ac:dyDescent="0.2">
      <c r="C643" s="41"/>
      <c r="E643" s="41"/>
      <c r="F643" s="41"/>
      <c r="J643" s="41"/>
      <c r="K643" s="41"/>
    </row>
    <row r="644" spans="3:11" ht="15.75" customHeight="1" x14ac:dyDescent="0.2">
      <c r="C644" s="41"/>
      <c r="E644" s="41"/>
      <c r="F644" s="41"/>
      <c r="J644" s="41"/>
      <c r="K644" s="41"/>
    </row>
    <row r="645" spans="3:11" ht="15.75" customHeight="1" x14ac:dyDescent="0.2">
      <c r="C645" s="41"/>
      <c r="E645" s="41"/>
      <c r="F645" s="41"/>
      <c r="J645" s="41"/>
      <c r="K645" s="41"/>
    </row>
    <row r="646" spans="3:11" ht="15.75" customHeight="1" x14ac:dyDescent="0.2">
      <c r="C646" s="41"/>
      <c r="E646" s="41"/>
      <c r="F646" s="41"/>
      <c r="J646" s="41"/>
      <c r="K646" s="41"/>
    </row>
    <row r="647" spans="3:11" ht="15.75" customHeight="1" x14ac:dyDescent="0.2">
      <c r="C647" s="41"/>
      <c r="E647" s="41"/>
      <c r="F647" s="41"/>
      <c r="J647" s="41"/>
      <c r="K647" s="41"/>
    </row>
    <row r="648" spans="3:11" ht="15.75" customHeight="1" x14ac:dyDescent="0.2">
      <c r="C648" s="41"/>
      <c r="E648" s="41"/>
      <c r="F648" s="41"/>
      <c r="J648" s="41"/>
      <c r="K648" s="41"/>
    </row>
    <row r="649" spans="3:11" ht="15.75" customHeight="1" x14ac:dyDescent="0.2">
      <c r="C649" s="41"/>
      <c r="E649" s="41"/>
      <c r="F649" s="41"/>
      <c r="J649" s="41"/>
      <c r="K649" s="41"/>
    </row>
    <row r="650" spans="3:11" ht="15.75" customHeight="1" x14ac:dyDescent="0.2">
      <c r="C650" s="41"/>
      <c r="E650" s="41"/>
      <c r="F650" s="41"/>
      <c r="J650" s="41"/>
      <c r="K650" s="41"/>
    </row>
    <row r="651" spans="3:11" ht="15.75" customHeight="1" x14ac:dyDescent="0.2">
      <c r="C651" s="41"/>
      <c r="E651" s="41"/>
      <c r="F651" s="41"/>
      <c r="J651" s="41"/>
      <c r="K651" s="41"/>
    </row>
    <row r="652" spans="3:11" ht="15.75" customHeight="1" x14ac:dyDescent="0.2">
      <c r="C652" s="41"/>
      <c r="E652" s="41"/>
      <c r="F652" s="41"/>
      <c r="J652" s="41"/>
      <c r="K652" s="41"/>
    </row>
    <row r="653" spans="3:11" ht="15.75" customHeight="1" x14ac:dyDescent="0.2">
      <c r="C653" s="41"/>
      <c r="E653" s="41"/>
      <c r="F653" s="41"/>
      <c r="J653" s="41"/>
      <c r="K653" s="41"/>
    </row>
    <row r="654" spans="3:11" ht="15.75" customHeight="1" x14ac:dyDescent="0.2">
      <c r="C654" s="41"/>
      <c r="E654" s="41"/>
      <c r="F654" s="41"/>
      <c r="J654" s="41"/>
      <c r="K654" s="41"/>
    </row>
    <row r="655" spans="3:11" ht="15.75" customHeight="1" x14ac:dyDescent="0.2">
      <c r="C655" s="41"/>
      <c r="E655" s="41"/>
      <c r="F655" s="41"/>
      <c r="J655" s="41"/>
      <c r="K655" s="41"/>
    </row>
    <row r="656" spans="3:11" ht="15.75" customHeight="1" x14ac:dyDescent="0.2">
      <c r="C656" s="41"/>
      <c r="E656" s="41"/>
      <c r="F656" s="41"/>
      <c r="J656" s="41"/>
      <c r="K656" s="41"/>
    </row>
    <row r="657" spans="3:11" ht="15.75" customHeight="1" x14ac:dyDescent="0.2">
      <c r="C657" s="41"/>
      <c r="E657" s="41"/>
      <c r="F657" s="41"/>
      <c r="J657" s="41"/>
      <c r="K657" s="41"/>
    </row>
    <row r="658" spans="3:11" ht="15.75" customHeight="1" x14ac:dyDescent="0.2">
      <c r="C658" s="41"/>
      <c r="E658" s="41"/>
      <c r="F658" s="41"/>
      <c r="J658" s="41"/>
      <c r="K658" s="41"/>
    </row>
    <row r="659" spans="3:11" ht="15.75" customHeight="1" x14ac:dyDescent="0.2">
      <c r="C659" s="41"/>
      <c r="E659" s="41"/>
      <c r="F659" s="41"/>
      <c r="J659" s="41"/>
      <c r="K659" s="41"/>
    </row>
    <row r="660" spans="3:11" ht="15.75" customHeight="1" x14ac:dyDescent="0.2">
      <c r="C660" s="41"/>
      <c r="E660" s="41"/>
      <c r="F660" s="41"/>
      <c r="J660" s="41"/>
      <c r="K660" s="41"/>
    </row>
    <row r="661" spans="3:11" ht="15.75" customHeight="1" x14ac:dyDescent="0.2">
      <c r="C661" s="41"/>
      <c r="E661" s="41"/>
      <c r="F661" s="41"/>
      <c r="J661" s="41"/>
      <c r="K661" s="41"/>
    </row>
    <row r="662" spans="3:11" ht="15.75" customHeight="1" x14ac:dyDescent="0.2">
      <c r="C662" s="41"/>
      <c r="E662" s="41"/>
      <c r="F662" s="41"/>
      <c r="J662" s="41"/>
      <c r="K662" s="41"/>
    </row>
    <row r="663" spans="3:11" ht="15.75" customHeight="1" x14ac:dyDescent="0.2">
      <c r="C663" s="41"/>
      <c r="E663" s="41"/>
      <c r="F663" s="41"/>
      <c r="J663" s="41"/>
      <c r="K663" s="41"/>
    </row>
    <row r="664" spans="3:11" ht="15.75" customHeight="1" x14ac:dyDescent="0.2">
      <c r="C664" s="41"/>
      <c r="E664" s="41"/>
      <c r="F664" s="41"/>
      <c r="J664" s="41"/>
      <c r="K664" s="41"/>
    </row>
    <row r="665" spans="3:11" ht="15.75" customHeight="1" x14ac:dyDescent="0.2">
      <c r="C665" s="41"/>
      <c r="E665" s="41"/>
      <c r="F665" s="41"/>
      <c r="J665" s="41"/>
      <c r="K665" s="41"/>
    </row>
    <row r="666" spans="3:11" ht="15.75" customHeight="1" x14ac:dyDescent="0.2">
      <c r="C666" s="41"/>
      <c r="E666" s="41"/>
      <c r="F666" s="41"/>
      <c r="J666" s="41"/>
      <c r="K666" s="41"/>
    </row>
    <row r="667" spans="3:11" ht="15.75" customHeight="1" x14ac:dyDescent="0.2">
      <c r="C667" s="41"/>
      <c r="E667" s="41"/>
      <c r="F667" s="41"/>
      <c r="J667" s="41"/>
      <c r="K667" s="41"/>
    </row>
    <row r="668" spans="3:11" ht="15.75" customHeight="1" x14ac:dyDescent="0.2">
      <c r="C668" s="41"/>
      <c r="E668" s="41"/>
      <c r="F668" s="41"/>
      <c r="J668" s="41"/>
      <c r="K668" s="41"/>
    </row>
    <row r="669" spans="3:11" ht="15.75" customHeight="1" x14ac:dyDescent="0.2">
      <c r="C669" s="41"/>
      <c r="E669" s="41"/>
      <c r="F669" s="41"/>
      <c r="J669" s="41"/>
      <c r="K669" s="41"/>
    </row>
    <row r="670" spans="3:11" ht="15.75" customHeight="1" x14ac:dyDescent="0.2">
      <c r="C670" s="41"/>
      <c r="E670" s="41"/>
      <c r="F670" s="41"/>
      <c r="J670" s="41"/>
      <c r="K670" s="41"/>
    </row>
    <row r="671" spans="3:11" ht="15.75" customHeight="1" x14ac:dyDescent="0.2">
      <c r="C671" s="41"/>
      <c r="E671" s="41"/>
      <c r="F671" s="41"/>
      <c r="J671" s="41"/>
      <c r="K671" s="41"/>
    </row>
    <row r="672" spans="3:11" ht="15.75" customHeight="1" x14ac:dyDescent="0.2">
      <c r="C672" s="41"/>
      <c r="E672" s="41"/>
      <c r="F672" s="41"/>
      <c r="J672" s="41"/>
      <c r="K672" s="41"/>
    </row>
    <row r="673" spans="3:11" ht="15.75" customHeight="1" x14ac:dyDescent="0.2">
      <c r="C673" s="41"/>
      <c r="E673" s="41"/>
      <c r="F673" s="41"/>
      <c r="J673" s="41"/>
      <c r="K673" s="41"/>
    </row>
    <row r="674" spans="3:11" ht="15.75" customHeight="1" x14ac:dyDescent="0.2">
      <c r="C674" s="41"/>
      <c r="E674" s="41"/>
      <c r="F674" s="41"/>
      <c r="J674" s="41"/>
      <c r="K674" s="41"/>
    </row>
    <row r="675" spans="3:11" ht="15.75" customHeight="1" x14ac:dyDescent="0.2">
      <c r="C675" s="41"/>
      <c r="E675" s="41"/>
      <c r="F675" s="41"/>
      <c r="J675" s="41"/>
      <c r="K675" s="41"/>
    </row>
    <row r="676" spans="3:11" ht="15.75" customHeight="1" x14ac:dyDescent="0.2">
      <c r="C676" s="41"/>
      <c r="E676" s="41"/>
      <c r="F676" s="41"/>
      <c r="J676" s="41"/>
      <c r="K676" s="41"/>
    </row>
    <row r="677" spans="3:11" ht="15.75" customHeight="1" x14ac:dyDescent="0.2">
      <c r="C677" s="41"/>
      <c r="E677" s="41"/>
      <c r="F677" s="41"/>
      <c r="J677" s="41"/>
      <c r="K677" s="41"/>
    </row>
    <row r="678" spans="3:11" ht="15.75" customHeight="1" x14ac:dyDescent="0.2">
      <c r="C678" s="41"/>
      <c r="E678" s="41"/>
      <c r="F678" s="41"/>
      <c r="J678" s="41"/>
      <c r="K678" s="41"/>
    </row>
    <row r="679" spans="3:11" ht="15.75" customHeight="1" x14ac:dyDescent="0.2">
      <c r="C679" s="41"/>
      <c r="E679" s="41"/>
      <c r="F679" s="41"/>
      <c r="J679" s="41"/>
      <c r="K679" s="41"/>
    </row>
    <row r="680" spans="3:11" ht="15.75" customHeight="1" x14ac:dyDescent="0.2">
      <c r="C680" s="41"/>
      <c r="E680" s="41"/>
      <c r="F680" s="41"/>
      <c r="J680" s="41"/>
      <c r="K680" s="41"/>
    </row>
    <row r="681" spans="3:11" ht="15.75" customHeight="1" x14ac:dyDescent="0.2">
      <c r="C681" s="41"/>
      <c r="E681" s="41"/>
      <c r="F681" s="41"/>
      <c r="J681" s="41"/>
      <c r="K681" s="41"/>
    </row>
    <row r="682" spans="3:11" ht="15.75" customHeight="1" x14ac:dyDescent="0.2">
      <c r="C682" s="41"/>
      <c r="E682" s="41"/>
      <c r="F682" s="41"/>
      <c r="J682" s="41"/>
      <c r="K682" s="41"/>
    </row>
    <row r="683" spans="3:11" ht="15.75" customHeight="1" x14ac:dyDescent="0.2">
      <c r="C683" s="41"/>
      <c r="E683" s="41"/>
      <c r="F683" s="41"/>
      <c r="J683" s="41"/>
      <c r="K683" s="41"/>
    </row>
    <row r="684" spans="3:11" ht="15.75" customHeight="1" x14ac:dyDescent="0.2">
      <c r="C684" s="41"/>
      <c r="E684" s="41"/>
      <c r="F684" s="41"/>
      <c r="J684" s="41"/>
      <c r="K684" s="41"/>
    </row>
    <row r="685" spans="3:11" ht="15.75" customHeight="1" x14ac:dyDescent="0.2">
      <c r="C685" s="41"/>
      <c r="E685" s="41"/>
      <c r="F685" s="41"/>
      <c r="J685" s="41"/>
      <c r="K685" s="41"/>
    </row>
    <row r="686" spans="3:11" ht="15.75" customHeight="1" x14ac:dyDescent="0.2">
      <c r="C686" s="41"/>
      <c r="E686" s="41"/>
      <c r="F686" s="41"/>
      <c r="J686" s="41"/>
      <c r="K686" s="41"/>
    </row>
    <row r="687" spans="3:11" ht="15.75" customHeight="1" x14ac:dyDescent="0.2">
      <c r="C687" s="41"/>
      <c r="E687" s="41"/>
      <c r="F687" s="41"/>
      <c r="J687" s="41"/>
      <c r="K687" s="41"/>
    </row>
    <row r="688" spans="3:11" ht="15.75" customHeight="1" x14ac:dyDescent="0.2">
      <c r="C688" s="41"/>
      <c r="E688" s="41"/>
      <c r="F688" s="41"/>
      <c r="J688" s="41"/>
      <c r="K688" s="41"/>
    </row>
    <row r="689" spans="3:11" ht="15.75" customHeight="1" x14ac:dyDescent="0.2">
      <c r="C689" s="41"/>
      <c r="E689" s="41"/>
      <c r="F689" s="41"/>
      <c r="J689" s="41"/>
      <c r="K689" s="41"/>
    </row>
    <row r="690" spans="3:11" ht="15.75" customHeight="1" x14ac:dyDescent="0.2">
      <c r="C690" s="41"/>
      <c r="E690" s="41"/>
      <c r="F690" s="41"/>
      <c r="J690" s="41"/>
      <c r="K690" s="41"/>
    </row>
    <row r="691" spans="3:11" ht="15.75" customHeight="1" x14ac:dyDescent="0.2">
      <c r="C691" s="41"/>
      <c r="E691" s="41"/>
      <c r="F691" s="41"/>
      <c r="J691" s="41"/>
      <c r="K691" s="41"/>
    </row>
    <row r="692" spans="3:11" ht="15.75" customHeight="1" x14ac:dyDescent="0.2">
      <c r="C692" s="41"/>
      <c r="E692" s="41"/>
      <c r="F692" s="41"/>
      <c r="J692" s="41"/>
      <c r="K692" s="41"/>
    </row>
    <row r="693" spans="3:11" ht="15.75" customHeight="1" x14ac:dyDescent="0.2">
      <c r="C693" s="41"/>
      <c r="E693" s="41"/>
      <c r="F693" s="41"/>
      <c r="J693" s="41"/>
      <c r="K693" s="41"/>
    </row>
    <row r="694" spans="3:11" ht="15.75" customHeight="1" x14ac:dyDescent="0.2">
      <c r="C694" s="41"/>
      <c r="E694" s="41"/>
      <c r="F694" s="41"/>
      <c r="J694" s="41"/>
      <c r="K694" s="41"/>
    </row>
    <row r="695" spans="3:11" ht="15.75" customHeight="1" x14ac:dyDescent="0.2">
      <c r="C695" s="41"/>
      <c r="E695" s="41"/>
      <c r="F695" s="41"/>
      <c r="J695" s="41"/>
      <c r="K695" s="41"/>
    </row>
    <row r="696" spans="3:11" ht="15.75" customHeight="1" x14ac:dyDescent="0.2">
      <c r="C696" s="41"/>
      <c r="E696" s="41"/>
      <c r="F696" s="41"/>
      <c r="J696" s="41"/>
      <c r="K696" s="41"/>
    </row>
    <row r="697" spans="3:11" ht="15.75" customHeight="1" x14ac:dyDescent="0.2">
      <c r="C697" s="41"/>
      <c r="E697" s="41"/>
      <c r="F697" s="41"/>
      <c r="J697" s="41"/>
      <c r="K697" s="41"/>
    </row>
    <row r="698" spans="3:11" ht="15.75" customHeight="1" x14ac:dyDescent="0.2">
      <c r="C698" s="41"/>
      <c r="E698" s="41"/>
      <c r="F698" s="41"/>
      <c r="J698" s="41"/>
      <c r="K698" s="41"/>
    </row>
    <row r="699" spans="3:11" ht="15.75" customHeight="1" x14ac:dyDescent="0.2">
      <c r="C699" s="41"/>
      <c r="E699" s="41"/>
      <c r="F699" s="41"/>
      <c r="J699" s="41"/>
      <c r="K699" s="41"/>
    </row>
    <row r="700" spans="3:11" ht="15.75" customHeight="1" x14ac:dyDescent="0.2">
      <c r="C700" s="41"/>
      <c r="E700" s="41"/>
      <c r="F700" s="41"/>
      <c r="J700" s="41"/>
      <c r="K700" s="41"/>
    </row>
    <row r="701" spans="3:11" ht="15.75" customHeight="1" x14ac:dyDescent="0.2">
      <c r="C701" s="41"/>
      <c r="E701" s="41"/>
      <c r="F701" s="41"/>
      <c r="J701" s="41"/>
      <c r="K701" s="41"/>
    </row>
    <row r="702" spans="3:11" ht="15.75" customHeight="1" x14ac:dyDescent="0.2">
      <c r="C702" s="41"/>
      <c r="E702" s="41"/>
      <c r="F702" s="41"/>
      <c r="J702" s="41"/>
      <c r="K702" s="41"/>
    </row>
    <row r="703" spans="3:11" ht="15.75" customHeight="1" x14ac:dyDescent="0.2">
      <c r="C703" s="41"/>
      <c r="E703" s="41"/>
      <c r="F703" s="41"/>
      <c r="J703" s="41"/>
      <c r="K703" s="41"/>
    </row>
    <row r="704" spans="3:11" ht="15.75" customHeight="1" x14ac:dyDescent="0.2">
      <c r="C704" s="41"/>
      <c r="E704" s="41"/>
      <c r="F704" s="41"/>
      <c r="J704" s="41"/>
      <c r="K704" s="41"/>
    </row>
    <row r="705" spans="3:11" ht="15.75" customHeight="1" x14ac:dyDescent="0.2">
      <c r="C705" s="41"/>
      <c r="E705" s="41"/>
      <c r="F705" s="41"/>
      <c r="J705" s="41"/>
      <c r="K705" s="41"/>
    </row>
    <row r="706" spans="3:11" ht="15.75" customHeight="1" x14ac:dyDescent="0.2">
      <c r="C706" s="41"/>
      <c r="E706" s="41"/>
      <c r="F706" s="41"/>
      <c r="J706" s="41"/>
      <c r="K706" s="41"/>
    </row>
    <row r="707" spans="3:11" ht="15.75" customHeight="1" x14ac:dyDescent="0.2">
      <c r="C707" s="41"/>
      <c r="E707" s="41"/>
      <c r="F707" s="41"/>
      <c r="J707" s="41"/>
      <c r="K707" s="41"/>
    </row>
    <row r="708" spans="3:11" ht="15.75" customHeight="1" x14ac:dyDescent="0.2">
      <c r="C708" s="41"/>
      <c r="E708" s="41"/>
      <c r="F708" s="41"/>
      <c r="J708" s="41"/>
      <c r="K708" s="41"/>
    </row>
    <row r="709" spans="3:11" ht="15.75" customHeight="1" x14ac:dyDescent="0.2">
      <c r="C709" s="41"/>
      <c r="E709" s="41"/>
      <c r="F709" s="41"/>
      <c r="J709" s="41"/>
      <c r="K709" s="41"/>
    </row>
    <row r="710" spans="3:11" ht="15.75" customHeight="1" x14ac:dyDescent="0.2">
      <c r="C710" s="41"/>
      <c r="E710" s="41"/>
      <c r="F710" s="41"/>
      <c r="J710" s="41"/>
      <c r="K710" s="41"/>
    </row>
    <row r="711" spans="3:11" ht="15.75" customHeight="1" x14ac:dyDescent="0.2">
      <c r="C711" s="41"/>
      <c r="E711" s="41"/>
      <c r="F711" s="41"/>
      <c r="J711" s="41"/>
      <c r="K711" s="41"/>
    </row>
    <row r="712" spans="3:11" ht="15.75" customHeight="1" x14ac:dyDescent="0.2">
      <c r="C712" s="41"/>
      <c r="E712" s="41"/>
      <c r="F712" s="41"/>
      <c r="J712" s="41"/>
      <c r="K712" s="41"/>
    </row>
    <row r="713" spans="3:11" ht="15.75" customHeight="1" x14ac:dyDescent="0.2">
      <c r="C713" s="41"/>
      <c r="E713" s="41"/>
      <c r="F713" s="41"/>
      <c r="J713" s="41"/>
      <c r="K713" s="41"/>
    </row>
    <row r="714" spans="3:11" ht="15.75" customHeight="1" x14ac:dyDescent="0.2">
      <c r="C714" s="41"/>
      <c r="E714" s="41"/>
      <c r="F714" s="41"/>
      <c r="J714" s="41"/>
      <c r="K714" s="41"/>
    </row>
    <row r="715" spans="3:11" ht="15.75" customHeight="1" x14ac:dyDescent="0.2">
      <c r="C715" s="41"/>
      <c r="E715" s="41"/>
      <c r="F715" s="41"/>
      <c r="J715" s="41"/>
      <c r="K715" s="41"/>
    </row>
    <row r="716" spans="3:11" ht="15.75" customHeight="1" x14ac:dyDescent="0.2">
      <c r="C716" s="41"/>
      <c r="E716" s="41"/>
      <c r="F716" s="41"/>
      <c r="J716" s="41"/>
      <c r="K716" s="41"/>
    </row>
    <row r="717" spans="3:11" ht="15.75" customHeight="1" x14ac:dyDescent="0.2">
      <c r="C717" s="41"/>
      <c r="E717" s="41"/>
      <c r="F717" s="41"/>
      <c r="J717" s="41"/>
      <c r="K717" s="41"/>
    </row>
    <row r="718" spans="3:11" ht="15.75" customHeight="1" x14ac:dyDescent="0.2">
      <c r="C718" s="41"/>
      <c r="E718" s="41"/>
      <c r="F718" s="41"/>
      <c r="J718" s="41"/>
      <c r="K718" s="41"/>
    </row>
    <row r="719" spans="3:11" ht="15.75" customHeight="1" x14ac:dyDescent="0.2">
      <c r="C719" s="41"/>
      <c r="E719" s="41"/>
      <c r="F719" s="41"/>
      <c r="J719" s="41"/>
      <c r="K719" s="41"/>
    </row>
    <row r="720" spans="3:11" ht="15.75" customHeight="1" x14ac:dyDescent="0.2">
      <c r="C720" s="41"/>
      <c r="E720" s="41"/>
      <c r="F720" s="41"/>
      <c r="J720" s="41"/>
      <c r="K720" s="41"/>
    </row>
    <row r="721" spans="3:11" ht="15.75" customHeight="1" x14ac:dyDescent="0.2">
      <c r="C721" s="41"/>
      <c r="E721" s="41"/>
      <c r="F721" s="41"/>
      <c r="J721" s="41"/>
      <c r="K721" s="41"/>
    </row>
    <row r="722" spans="3:11" ht="15.75" customHeight="1" x14ac:dyDescent="0.2">
      <c r="C722" s="41"/>
      <c r="E722" s="41"/>
      <c r="F722" s="41"/>
      <c r="J722" s="41"/>
      <c r="K722" s="41"/>
    </row>
    <row r="723" spans="3:11" ht="15.75" customHeight="1" x14ac:dyDescent="0.2">
      <c r="C723" s="41"/>
      <c r="E723" s="41"/>
      <c r="F723" s="41"/>
      <c r="J723" s="41"/>
      <c r="K723" s="41"/>
    </row>
    <row r="724" spans="3:11" ht="15.75" customHeight="1" x14ac:dyDescent="0.2">
      <c r="C724" s="41"/>
      <c r="E724" s="41"/>
      <c r="F724" s="41"/>
      <c r="J724" s="41"/>
      <c r="K724" s="41"/>
    </row>
    <row r="725" spans="3:11" ht="15.75" customHeight="1" x14ac:dyDescent="0.2">
      <c r="C725" s="41"/>
      <c r="E725" s="41"/>
      <c r="F725" s="41"/>
      <c r="J725" s="41"/>
      <c r="K725" s="41"/>
    </row>
    <row r="726" spans="3:11" ht="15.75" customHeight="1" x14ac:dyDescent="0.2">
      <c r="C726" s="41"/>
      <c r="E726" s="41"/>
      <c r="F726" s="41"/>
      <c r="J726" s="41"/>
      <c r="K726" s="41"/>
    </row>
    <row r="727" spans="3:11" ht="15.75" customHeight="1" x14ac:dyDescent="0.2">
      <c r="C727" s="41"/>
      <c r="E727" s="41"/>
      <c r="F727" s="41"/>
      <c r="J727" s="41"/>
      <c r="K727" s="41"/>
    </row>
    <row r="728" spans="3:11" ht="15.75" customHeight="1" x14ac:dyDescent="0.2">
      <c r="C728" s="41"/>
      <c r="E728" s="41"/>
      <c r="F728" s="41"/>
      <c r="J728" s="41"/>
      <c r="K728" s="41"/>
    </row>
    <row r="729" spans="3:11" ht="15.75" customHeight="1" x14ac:dyDescent="0.2">
      <c r="C729" s="41"/>
      <c r="E729" s="41"/>
      <c r="F729" s="41"/>
      <c r="J729" s="41"/>
      <c r="K729" s="41"/>
    </row>
    <row r="730" spans="3:11" ht="15.75" customHeight="1" x14ac:dyDescent="0.2">
      <c r="C730" s="41"/>
      <c r="E730" s="41"/>
      <c r="F730" s="41"/>
      <c r="J730" s="41"/>
      <c r="K730" s="41"/>
    </row>
    <row r="731" spans="3:11" ht="15.75" customHeight="1" x14ac:dyDescent="0.2">
      <c r="C731" s="41"/>
      <c r="E731" s="41"/>
      <c r="F731" s="41"/>
      <c r="J731" s="41"/>
      <c r="K731" s="41"/>
    </row>
    <row r="732" spans="3:11" ht="15.75" customHeight="1" x14ac:dyDescent="0.2">
      <c r="C732" s="41"/>
      <c r="E732" s="41"/>
      <c r="F732" s="41"/>
      <c r="J732" s="41"/>
      <c r="K732" s="41"/>
    </row>
    <row r="733" spans="3:11" ht="15.75" customHeight="1" x14ac:dyDescent="0.2">
      <c r="C733" s="41"/>
      <c r="E733" s="41"/>
      <c r="F733" s="41"/>
      <c r="J733" s="41"/>
      <c r="K733" s="41"/>
    </row>
    <row r="734" spans="3:11" ht="15.75" customHeight="1" x14ac:dyDescent="0.2">
      <c r="C734" s="41"/>
      <c r="E734" s="41"/>
      <c r="F734" s="41"/>
      <c r="J734" s="41"/>
      <c r="K734" s="41"/>
    </row>
    <row r="735" spans="3:11" ht="15.75" customHeight="1" x14ac:dyDescent="0.2">
      <c r="C735" s="41"/>
      <c r="E735" s="41"/>
      <c r="F735" s="41"/>
      <c r="J735" s="41"/>
      <c r="K735" s="41"/>
    </row>
    <row r="736" spans="3:11" ht="15.75" customHeight="1" x14ac:dyDescent="0.2">
      <c r="C736" s="41"/>
      <c r="E736" s="41"/>
      <c r="F736" s="41"/>
      <c r="J736" s="41"/>
      <c r="K736" s="41"/>
    </row>
    <row r="737" spans="3:11" ht="15.75" customHeight="1" x14ac:dyDescent="0.2">
      <c r="C737" s="41"/>
      <c r="E737" s="41"/>
      <c r="F737" s="41"/>
      <c r="J737" s="41"/>
      <c r="K737" s="41"/>
    </row>
    <row r="738" spans="3:11" ht="15.75" customHeight="1" x14ac:dyDescent="0.2">
      <c r="C738" s="41"/>
      <c r="E738" s="41"/>
      <c r="F738" s="41"/>
      <c r="J738" s="41"/>
      <c r="K738" s="41"/>
    </row>
    <row r="739" spans="3:11" ht="15.75" customHeight="1" x14ac:dyDescent="0.2">
      <c r="C739" s="41"/>
      <c r="E739" s="41"/>
      <c r="F739" s="41"/>
      <c r="J739" s="41"/>
      <c r="K739" s="41"/>
    </row>
    <row r="740" spans="3:11" ht="15.75" customHeight="1" x14ac:dyDescent="0.2">
      <c r="C740" s="41"/>
      <c r="E740" s="41"/>
      <c r="F740" s="41"/>
      <c r="J740" s="41"/>
      <c r="K740" s="41"/>
    </row>
    <row r="741" spans="3:11" ht="15.75" customHeight="1" x14ac:dyDescent="0.2">
      <c r="C741" s="41"/>
      <c r="E741" s="41"/>
      <c r="F741" s="41"/>
      <c r="J741" s="41"/>
      <c r="K741" s="41"/>
    </row>
    <row r="742" spans="3:11" ht="15.75" customHeight="1" x14ac:dyDescent="0.2">
      <c r="C742" s="41"/>
      <c r="E742" s="41"/>
      <c r="F742" s="41"/>
      <c r="J742" s="41"/>
      <c r="K742" s="41"/>
    </row>
    <row r="743" spans="3:11" ht="15.75" customHeight="1" x14ac:dyDescent="0.2">
      <c r="C743" s="41"/>
      <c r="E743" s="41"/>
      <c r="F743" s="41"/>
      <c r="J743" s="41"/>
      <c r="K743" s="41"/>
    </row>
    <row r="744" spans="3:11" ht="15.75" customHeight="1" x14ac:dyDescent="0.2">
      <c r="C744" s="41"/>
      <c r="E744" s="41"/>
      <c r="F744" s="41"/>
      <c r="J744" s="41"/>
      <c r="K744" s="41"/>
    </row>
    <row r="745" spans="3:11" ht="15.75" customHeight="1" x14ac:dyDescent="0.2">
      <c r="C745" s="41"/>
      <c r="E745" s="41"/>
      <c r="F745" s="41"/>
      <c r="J745" s="41"/>
      <c r="K745" s="41"/>
    </row>
    <row r="746" spans="3:11" ht="15.75" customHeight="1" x14ac:dyDescent="0.2">
      <c r="C746" s="41"/>
      <c r="E746" s="41"/>
      <c r="F746" s="41"/>
      <c r="J746" s="41"/>
      <c r="K746" s="41"/>
    </row>
    <row r="747" spans="3:11" ht="15.75" customHeight="1" x14ac:dyDescent="0.2">
      <c r="C747" s="41"/>
      <c r="E747" s="41"/>
      <c r="F747" s="41"/>
      <c r="J747" s="41"/>
      <c r="K747" s="41"/>
    </row>
    <row r="748" spans="3:11" ht="15.75" customHeight="1" x14ac:dyDescent="0.2">
      <c r="C748" s="41"/>
      <c r="E748" s="41"/>
      <c r="F748" s="41"/>
      <c r="J748" s="41"/>
      <c r="K748" s="41"/>
    </row>
    <row r="749" spans="3:11" ht="15.75" customHeight="1" x14ac:dyDescent="0.2">
      <c r="C749" s="41"/>
      <c r="E749" s="41"/>
      <c r="F749" s="41"/>
      <c r="J749" s="41"/>
      <c r="K749" s="41"/>
    </row>
    <row r="750" spans="3:11" ht="15.75" customHeight="1" x14ac:dyDescent="0.2">
      <c r="C750" s="41"/>
      <c r="E750" s="41"/>
      <c r="F750" s="41"/>
      <c r="J750" s="41"/>
      <c r="K750" s="41"/>
    </row>
    <row r="751" spans="3:11" ht="15.75" customHeight="1" x14ac:dyDescent="0.2">
      <c r="C751" s="41"/>
      <c r="E751" s="41"/>
      <c r="F751" s="41"/>
      <c r="J751" s="41"/>
      <c r="K751" s="41"/>
    </row>
    <row r="752" spans="3:11" ht="15.75" customHeight="1" x14ac:dyDescent="0.2">
      <c r="C752" s="41"/>
      <c r="E752" s="41"/>
      <c r="F752" s="41"/>
      <c r="J752" s="41"/>
      <c r="K752" s="41"/>
    </row>
    <row r="753" spans="3:11" ht="15.75" customHeight="1" x14ac:dyDescent="0.2">
      <c r="C753" s="41"/>
      <c r="E753" s="41"/>
      <c r="F753" s="41"/>
      <c r="J753" s="41"/>
      <c r="K753" s="41"/>
    </row>
    <row r="754" spans="3:11" ht="15.75" customHeight="1" x14ac:dyDescent="0.2">
      <c r="C754" s="41"/>
      <c r="E754" s="41"/>
      <c r="F754" s="41"/>
      <c r="J754" s="41"/>
      <c r="K754" s="41"/>
    </row>
    <row r="755" spans="3:11" ht="15.75" customHeight="1" x14ac:dyDescent="0.2">
      <c r="C755" s="41"/>
      <c r="E755" s="41"/>
      <c r="F755" s="41"/>
      <c r="J755" s="41"/>
      <c r="K755" s="41"/>
    </row>
    <row r="756" spans="3:11" ht="15.75" customHeight="1" x14ac:dyDescent="0.2">
      <c r="C756" s="41"/>
      <c r="E756" s="41"/>
      <c r="F756" s="41"/>
      <c r="J756" s="41"/>
      <c r="K756" s="41"/>
    </row>
    <row r="757" spans="3:11" ht="15.75" customHeight="1" x14ac:dyDescent="0.2">
      <c r="C757" s="41"/>
      <c r="E757" s="41"/>
      <c r="F757" s="41"/>
      <c r="J757" s="41"/>
      <c r="K757" s="41"/>
    </row>
    <row r="758" spans="3:11" ht="15.75" customHeight="1" x14ac:dyDescent="0.2">
      <c r="C758" s="41"/>
      <c r="E758" s="41"/>
      <c r="F758" s="41"/>
      <c r="J758" s="41"/>
      <c r="K758" s="41"/>
    </row>
    <row r="759" spans="3:11" ht="15.75" customHeight="1" x14ac:dyDescent="0.2">
      <c r="C759" s="41"/>
      <c r="E759" s="41"/>
      <c r="F759" s="41"/>
      <c r="J759" s="41"/>
      <c r="K759" s="41"/>
    </row>
    <row r="760" spans="3:11" ht="15.75" customHeight="1" x14ac:dyDescent="0.2">
      <c r="C760" s="41"/>
      <c r="E760" s="41"/>
      <c r="F760" s="41"/>
      <c r="J760" s="41"/>
      <c r="K760" s="41"/>
    </row>
    <row r="761" spans="3:11" ht="15.75" customHeight="1" x14ac:dyDescent="0.2">
      <c r="C761" s="41"/>
      <c r="E761" s="41"/>
      <c r="F761" s="41"/>
      <c r="J761" s="41"/>
      <c r="K761" s="41"/>
    </row>
    <row r="762" spans="3:11" ht="15.75" customHeight="1" x14ac:dyDescent="0.2">
      <c r="C762" s="41"/>
      <c r="E762" s="41"/>
      <c r="F762" s="41"/>
      <c r="J762" s="41"/>
      <c r="K762" s="41"/>
    </row>
    <row r="763" spans="3:11" ht="15.75" customHeight="1" x14ac:dyDescent="0.2">
      <c r="C763" s="41"/>
      <c r="E763" s="41"/>
      <c r="F763" s="41"/>
      <c r="J763" s="41"/>
      <c r="K763" s="41"/>
    </row>
    <row r="764" spans="3:11" ht="15.75" customHeight="1" x14ac:dyDescent="0.2">
      <c r="C764" s="41"/>
      <c r="E764" s="41"/>
      <c r="F764" s="41"/>
      <c r="J764" s="41"/>
      <c r="K764" s="41"/>
    </row>
    <row r="765" spans="3:11" ht="15.75" customHeight="1" x14ac:dyDescent="0.2">
      <c r="C765" s="41"/>
      <c r="E765" s="41"/>
      <c r="F765" s="41"/>
      <c r="J765" s="41"/>
      <c r="K765" s="41"/>
    </row>
    <row r="766" spans="3:11" ht="15.75" customHeight="1" x14ac:dyDescent="0.2">
      <c r="C766" s="41"/>
      <c r="E766" s="41"/>
      <c r="F766" s="41"/>
      <c r="J766" s="41"/>
      <c r="K766" s="41"/>
    </row>
    <row r="767" spans="3:11" ht="15.75" customHeight="1" x14ac:dyDescent="0.2">
      <c r="C767" s="41"/>
      <c r="E767" s="41"/>
      <c r="F767" s="41"/>
      <c r="J767" s="41"/>
      <c r="K767" s="41"/>
    </row>
    <row r="768" spans="3:11" ht="15.75" customHeight="1" x14ac:dyDescent="0.2">
      <c r="C768" s="41"/>
      <c r="E768" s="41"/>
      <c r="F768" s="41"/>
      <c r="J768" s="41"/>
      <c r="K768" s="41"/>
    </row>
    <row r="769" spans="3:11" ht="15.75" customHeight="1" x14ac:dyDescent="0.2">
      <c r="C769" s="41"/>
      <c r="E769" s="41"/>
      <c r="F769" s="41"/>
      <c r="J769" s="41"/>
      <c r="K769" s="41"/>
    </row>
    <row r="770" spans="3:11" ht="15.75" customHeight="1" x14ac:dyDescent="0.2">
      <c r="C770" s="41"/>
      <c r="E770" s="41"/>
      <c r="F770" s="41"/>
      <c r="J770" s="41"/>
      <c r="K770" s="41"/>
    </row>
    <row r="771" spans="3:11" ht="15.75" customHeight="1" x14ac:dyDescent="0.2">
      <c r="C771" s="41"/>
      <c r="E771" s="41"/>
      <c r="F771" s="41"/>
      <c r="J771" s="41"/>
      <c r="K771" s="41"/>
    </row>
    <row r="772" spans="3:11" ht="15.75" customHeight="1" x14ac:dyDescent="0.2">
      <c r="C772" s="41"/>
      <c r="E772" s="41"/>
      <c r="F772" s="41"/>
      <c r="J772" s="41"/>
      <c r="K772" s="41"/>
    </row>
    <row r="773" spans="3:11" ht="15.75" customHeight="1" x14ac:dyDescent="0.2">
      <c r="C773" s="41"/>
      <c r="E773" s="41"/>
      <c r="F773" s="41"/>
      <c r="J773" s="41"/>
      <c r="K773" s="41"/>
    </row>
    <row r="774" spans="3:11" ht="15.75" customHeight="1" x14ac:dyDescent="0.2">
      <c r="C774" s="41"/>
      <c r="E774" s="41"/>
      <c r="F774" s="41"/>
      <c r="J774" s="41"/>
      <c r="K774" s="41"/>
    </row>
    <row r="775" spans="3:11" ht="15.75" customHeight="1" x14ac:dyDescent="0.2">
      <c r="C775" s="41"/>
      <c r="E775" s="41"/>
      <c r="F775" s="41"/>
      <c r="J775" s="41"/>
      <c r="K775" s="41"/>
    </row>
    <row r="776" spans="3:11" ht="15.75" customHeight="1" x14ac:dyDescent="0.2">
      <c r="C776" s="41"/>
      <c r="E776" s="41"/>
      <c r="F776" s="41"/>
      <c r="J776" s="41"/>
      <c r="K776" s="41"/>
    </row>
    <row r="777" spans="3:11" ht="15.75" customHeight="1" x14ac:dyDescent="0.2">
      <c r="C777" s="41"/>
      <c r="E777" s="41"/>
      <c r="F777" s="41"/>
      <c r="J777" s="41"/>
      <c r="K777" s="41"/>
    </row>
    <row r="778" spans="3:11" ht="15.75" customHeight="1" x14ac:dyDescent="0.2">
      <c r="C778" s="41"/>
      <c r="E778" s="41"/>
      <c r="F778" s="41"/>
      <c r="J778" s="41"/>
      <c r="K778" s="41"/>
    </row>
    <row r="779" spans="3:11" ht="15.75" customHeight="1" x14ac:dyDescent="0.2">
      <c r="C779" s="41"/>
      <c r="E779" s="41"/>
      <c r="F779" s="41"/>
      <c r="J779" s="41"/>
      <c r="K779" s="41"/>
    </row>
    <row r="780" spans="3:11" ht="15.75" customHeight="1" x14ac:dyDescent="0.2">
      <c r="C780" s="41"/>
      <c r="E780" s="41"/>
      <c r="F780" s="41"/>
      <c r="J780" s="41"/>
      <c r="K780" s="41"/>
    </row>
    <row r="781" spans="3:11" ht="15.75" customHeight="1" x14ac:dyDescent="0.2">
      <c r="C781" s="41"/>
      <c r="E781" s="41"/>
      <c r="F781" s="41"/>
      <c r="J781" s="41"/>
      <c r="K781" s="41"/>
    </row>
    <row r="782" spans="3:11" ht="15.75" customHeight="1" x14ac:dyDescent="0.2">
      <c r="C782" s="41"/>
      <c r="E782" s="41"/>
      <c r="F782" s="41"/>
      <c r="J782" s="41"/>
      <c r="K782" s="41"/>
    </row>
    <row r="783" spans="3:11" ht="15.75" customHeight="1" x14ac:dyDescent="0.2">
      <c r="C783" s="41"/>
      <c r="E783" s="41"/>
      <c r="F783" s="41"/>
      <c r="J783" s="41"/>
      <c r="K783" s="41"/>
    </row>
    <row r="784" spans="3:11" ht="15.75" customHeight="1" x14ac:dyDescent="0.2">
      <c r="C784" s="41"/>
      <c r="E784" s="41"/>
      <c r="F784" s="41"/>
      <c r="J784" s="41"/>
      <c r="K784" s="41"/>
    </row>
    <row r="785" spans="3:11" ht="15.75" customHeight="1" x14ac:dyDescent="0.2">
      <c r="C785" s="41"/>
      <c r="E785" s="41"/>
      <c r="F785" s="41"/>
      <c r="J785" s="41"/>
      <c r="K785" s="41"/>
    </row>
    <row r="786" spans="3:11" ht="15.75" customHeight="1" x14ac:dyDescent="0.2">
      <c r="C786" s="41"/>
      <c r="E786" s="41"/>
      <c r="F786" s="41"/>
      <c r="J786" s="41"/>
      <c r="K786" s="41"/>
    </row>
    <row r="787" spans="3:11" ht="15.75" customHeight="1" x14ac:dyDescent="0.2">
      <c r="C787" s="41"/>
      <c r="E787" s="41"/>
      <c r="F787" s="41"/>
      <c r="J787" s="41"/>
      <c r="K787" s="41"/>
    </row>
    <row r="788" spans="3:11" ht="15.75" customHeight="1" x14ac:dyDescent="0.2">
      <c r="C788" s="41"/>
      <c r="E788" s="41"/>
      <c r="F788" s="41"/>
      <c r="J788" s="41"/>
      <c r="K788" s="41"/>
    </row>
    <row r="789" spans="3:11" ht="15.75" customHeight="1" x14ac:dyDescent="0.2">
      <c r="C789" s="41"/>
      <c r="E789" s="41"/>
      <c r="F789" s="41"/>
      <c r="J789" s="41"/>
      <c r="K789" s="41"/>
    </row>
    <row r="790" spans="3:11" ht="15.75" customHeight="1" x14ac:dyDescent="0.2">
      <c r="C790" s="41"/>
      <c r="E790" s="41"/>
      <c r="F790" s="41"/>
      <c r="J790" s="41"/>
      <c r="K790" s="41"/>
    </row>
    <row r="791" spans="3:11" ht="15.75" customHeight="1" x14ac:dyDescent="0.2">
      <c r="C791" s="41"/>
      <c r="E791" s="41"/>
      <c r="F791" s="41"/>
      <c r="J791" s="41"/>
      <c r="K791" s="41"/>
    </row>
    <row r="792" spans="3:11" ht="15.75" customHeight="1" x14ac:dyDescent="0.2">
      <c r="C792" s="41"/>
      <c r="E792" s="41"/>
      <c r="F792" s="41"/>
      <c r="J792" s="41"/>
      <c r="K792" s="41"/>
    </row>
    <row r="793" spans="3:11" ht="15.75" customHeight="1" x14ac:dyDescent="0.2">
      <c r="C793" s="41"/>
      <c r="E793" s="41"/>
      <c r="F793" s="41"/>
      <c r="J793" s="41"/>
      <c r="K793" s="41"/>
    </row>
    <row r="794" spans="3:11" ht="15.75" customHeight="1" x14ac:dyDescent="0.2">
      <c r="C794" s="41"/>
      <c r="E794" s="41"/>
      <c r="F794" s="41"/>
      <c r="J794" s="41"/>
      <c r="K794" s="41"/>
    </row>
    <row r="795" spans="3:11" ht="15.75" customHeight="1" x14ac:dyDescent="0.2">
      <c r="C795" s="41"/>
      <c r="E795" s="41"/>
      <c r="F795" s="41"/>
      <c r="J795" s="41"/>
      <c r="K795" s="41"/>
    </row>
    <row r="796" spans="3:11" ht="15.75" customHeight="1" x14ac:dyDescent="0.2">
      <c r="C796" s="41"/>
      <c r="E796" s="41"/>
      <c r="F796" s="41"/>
      <c r="J796" s="41"/>
      <c r="K796" s="41"/>
    </row>
    <row r="797" spans="3:11" ht="15.75" customHeight="1" x14ac:dyDescent="0.2">
      <c r="C797" s="41"/>
      <c r="E797" s="41"/>
      <c r="F797" s="41"/>
      <c r="J797" s="41"/>
      <c r="K797" s="41"/>
    </row>
    <row r="798" spans="3:11" ht="15.75" customHeight="1" x14ac:dyDescent="0.2">
      <c r="C798" s="41"/>
      <c r="E798" s="41"/>
      <c r="F798" s="41"/>
      <c r="J798" s="41"/>
      <c r="K798" s="41"/>
    </row>
    <row r="799" spans="3:11" ht="15.75" customHeight="1" x14ac:dyDescent="0.2">
      <c r="C799" s="41"/>
      <c r="E799" s="41"/>
      <c r="F799" s="41"/>
      <c r="J799" s="41"/>
      <c r="K799" s="41"/>
    </row>
    <row r="800" spans="3:11" ht="15.75" customHeight="1" x14ac:dyDescent="0.2">
      <c r="C800" s="41"/>
      <c r="E800" s="41"/>
      <c r="F800" s="41"/>
      <c r="J800" s="41"/>
      <c r="K800" s="41"/>
    </row>
    <row r="801" spans="3:11" ht="15.75" customHeight="1" x14ac:dyDescent="0.2">
      <c r="C801" s="41"/>
      <c r="E801" s="41"/>
      <c r="F801" s="41"/>
      <c r="J801" s="41"/>
      <c r="K801" s="41"/>
    </row>
    <row r="802" spans="3:11" ht="15.75" customHeight="1" x14ac:dyDescent="0.2">
      <c r="C802" s="41"/>
      <c r="E802" s="41"/>
      <c r="F802" s="41"/>
      <c r="J802" s="41"/>
      <c r="K802" s="41"/>
    </row>
    <row r="803" spans="3:11" ht="15.75" customHeight="1" x14ac:dyDescent="0.2">
      <c r="C803" s="41"/>
      <c r="E803" s="41"/>
      <c r="F803" s="41"/>
      <c r="J803" s="41"/>
      <c r="K803" s="41"/>
    </row>
    <row r="804" spans="3:11" ht="15.75" customHeight="1" x14ac:dyDescent="0.2">
      <c r="C804" s="41"/>
      <c r="E804" s="41"/>
      <c r="F804" s="41"/>
      <c r="J804" s="41"/>
      <c r="K804" s="41"/>
    </row>
    <row r="805" spans="3:11" ht="15.75" customHeight="1" x14ac:dyDescent="0.2">
      <c r="C805" s="41"/>
      <c r="E805" s="41"/>
      <c r="F805" s="41"/>
      <c r="J805" s="41"/>
      <c r="K805" s="41"/>
    </row>
    <row r="806" spans="3:11" ht="15.75" customHeight="1" x14ac:dyDescent="0.2">
      <c r="C806" s="41"/>
      <c r="E806" s="41"/>
      <c r="F806" s="41"/>
      <c r="J806" s="41"/>
      <c r="K806" s="41"/>
    </row>
    <row r="807" spans="3:11" ht="15.75" customHeight="1" x14ac:dyDescent="0.2">
      <c r="C807" s="41"/>
      <c r="E807" s="41"/>
      <c r="F807" s="41"/>
      <c r="J807" s="41"/>
      <c r="K807" s="41"/>
    </row>
    <row r="808" spans="3:11" ht="15.75" customHeight="1" x14ac:dyDescent="0.2">
      <c r="C808" s="41"/>
      <c r="E808" s="41"/>
      <c r="F808" s="41"/>
      <c r="J808" s="41"/>
      <c r="K808" s="41"/>
    </row>
    <row r="809" spans="3:11" ht="15.75" customHeight="1" x14ac:dyDescent="0.2">
      <c r="C809" s="41"/>
      <c r="E809" s="41"/>
      <c r="F809" s="41"/>
      <c r="J809" s="41"/>
      <c r="K809" s="41"/>
    </row>
    <row r="810" spans="3:11" ht="15.75" customHeight="1" x14ac:dyDescent="0.2">
      <c r="C810" s="41"/>
      <c r="E810" s="41"/>
      <c r="F810" s="41"/>
      <c r="J810" s="41"/>
      <c r="K810" s="41"/>
    </row>
    <row r="811" spans="3:11" ht="15.75" customHeight="1" x14ac:dyDescent="0.2">
      <c r="C811" s="41"/>
      <c r="E811" s="41"/>
      <c r="F811" s="41"/>
      <c r="J811" s="41"/>
      <c r="K811" s="41"/>
    </row>
    <row r="812" spans="3:11" ht="15.75" customHeight="1" x14ac:dyDescent="0.2">
      <c r="C812" s="41"/>
      <c r="E812" s="41"/>
      <c r="F812" s="41"/>
      <c r="J812" s="41"/>
      <c r="K812" s="41"/>
    </row>
    <row r="813" spans="3:11" ht="15.75" customHeight="1" x14ac:dyDescent="0.2">
      <c r="C813" s="41"/>
      <c r="E813" s="41"/>
      <c r="F813" s="41"/>
      <c r="J813" s="41"/>
      <c r="K813" s="41"/>
    </row>
    <row r="814" spans="3:11" ht="15.75" customHeight="1" x14ac:dyDescent="0.2">
      <c r="C814" s="41"/>
      <c r="E814" s="41"/>
      <c r="F814" s="41"/>
      <c r="J814" s="41"/>
      <c r="K814" s="41"/>
    </row>
    <row r="815" spans="3:11" ht="15.75" customHeight="1" x14ac:dyDescent="0.2">
      <c r="C815" s="41"/>
      <c r="E815" s="41"/>
      <c r="F815" s="41"/>
      <c r="J815" s="41"/>
      <c r="K815" s="41"/>
    </row>
    <row r="816" spans="3:11" ht="15.75" customHeight="1" x14ac:dyDescent="0.2">
      <c r="C816" s="41"/>
      <c r="E816" s="41"/>
      <c r="F816" s="41"/>
      <c r="J816" s="41"/>
      <c r="K816" s="41"/>
    </row>
    <row r="817" spans="3:11" ht="15.75" customHeight="1" x14ac:dyDescent="0.2">
      <c r="C817" s="41"/>
      <c r="E817" s="41"/>
      <c r="F817" s="41"/>
      <c r="J817" s="41"/>
      <c r="K817" s="41"/>
    </row>
    <row r="818" spans="3:11" ht="15.75" customHeight="1" x14ac:dyDescent="0.2">
      <c r="C818" s="41"/>
      <c r="E818" s="41"/>
      <c r="F818" s="41"/>
      <c r="J818" s="41"/>
      <c r="K818" s="41"/>
    </row>
    <row r="819" spans="3:11" ht="15.75" customHeight="1" x14ac:dyDescent="0.2">
      <c r="C819" s="41"/>
      <c r="E819" s="41"/>
      <c r="F819" s="41"/>
      <c r="J819" s="41"/>
      <c r="K819" s="41"/>
    </row>
    <row r="820" spans="3:11" ht="15.75" customHeight="1" x14ac:dyDescent="0.2">
      <c r="C820" s="41"/>
      <c r="E820" s="41"/>
      <c r="F820" s="41"/>
      <c r="J820" s="41"/>
      <c r="K820" s="41"/>
    </row>
    <row r="821" spans="3:11" ht="15.75" customHeight="1" x14ac:dyDescent="0.2">
      <c r="C821" s="41"/>
      <c r="E821" s="41"/>
      <c r="F821" s="41"/>
      <c r="J821" s="41"/>
      <c r="K821" s="41"/>
    </row>
    <row r="822" spans="3:11" ht="15.75" customHeight="1" x14ac:dyDescent="0.2">
      <c r="C822" s="41"/>
      <c r="E822" s="41"/>
      <c r="F822" s="41"/>
      <c r="J822" s="41"/>
      <c r="K822" s="41"/>
    </row>
    <row r="823" spans="3:11" ht="15.75" customHeight="1" x14ac:dyDescent="0.2">
      <c r="C823" s="41"/>
      <c r="E823" s="41"/>
      <c r="F823" s="41"/>
      <c r="J823" s="41"/>
      <c r="K823" s="41"/>
    </row>
    <row r="824" spans="3:11" ht="15.75" customHeight="1" x14ac:dyDescent="0.2">
      <c r="C824" s="41"/>
      <c r="E824" s="41"/>
      <c r="F824" s="41"/>
      <c r="J824" s="41"/>
      <c r="K824" s="41"/>
    </row>
    <row r="825" spans="3:11" ht="15.75" customHeight="1" x14ac:dyDescent="0.2">
      <c r="C825" s="41"/>
      <c r="E825" s="41"/>
      <c r="F825" s="41"/>
      <c r="J825" s="41"/>
      <c r="K825" s="41"/>
    </row>
    <row r="826" spans="3:11" ht="15.75" customHeight="1" x14ac:dyDescent="0.2">
      <c r="C826" s="41"/>
      <c r="E826" s="41"/>
      <c r="F826" s="41"/>
      <c r="J826" s="41"/>
      <c r="K826" s="41"/>
    </row>
    <row r="827" spans="3:11" ht="15.75" customHeight="1" x14ac:dyDescent="0.2">
      <c r="C827" s="41"/>
      <c r="E827" s="41"/>
      <c r="F827" s="41"/>
      <c r="J827" s="41"/>
      <c r="K827" s="41"/>
    </row>
    <row r="828" spans="3:11" ht="15.75" customHeight="1" x14ac:dyDescent="0.2">
      <c r="C828" s="41"/>
      <c r="E828" s="41"/>
      <c r="F828" s="41"/>
      <c r="J828" s="41"/>
      <c r="K828" s="41"/>
    </row>
    <row r="829" spans="3:11" ht="15.75" customHeight="1" x14ac:dyDescent="0.2">
      <c r="C829" s="41"/>
      <c r="E829" s="41"/>
      <c r="F829" s="41"/>
      <c r="J829" s="41"/>
      <c r="K829" s="41"/>
    </row>
    <row r="830" spans="3:11" ht="15.75" customHeight="1" x14ac:dyDescent="0.2">
      <c r="C830" s="41"/>
      <c r="E830" s="41"/>
      <c r="F830" s="41"/>
      <c r="J830" s="41"/>
      <c r="K830" s="41"/>
    </row>
    <row r="831" spans="3:11" ht="15.75" customHeight="1" x14ac:dyDescent="0.2">
      <c r="C831" s="41"/>
      <c r="E831" s="41"/>
      <c r="F831" s="41"/>
      <c r="J831" s="41"/>
      <c r="K831" s="41"/>
    </row>
    <row r="832" spans="3:11" ht="15.75" customHeight="1" x14ac:dyDescent="0.2">
      <c r="C832" s="41"/>
      <c r="E832" s="41"/>
      <c r="F832" s="41"/>
      <c r="J832" s="41"/>
      <c r="K832" s="41"/>
    </row>
    <row r="833" spans="3:11" ht="15.75" customHeight="1" x14ac:dyDescent="0.2">
      <c r="C833" s="41"/>
      <c r="E833" s="41"/>
      <c r="F833" s="41"/>
      <c r="J833" s="41"/>
      <c r="K833" s="41"/>
    </row>
    <row r="834" spans="3:11" ht="15.75" customHeight="1" x14ac:dyDescent="0.2">
      <c r="C834" s="41"/>
      <c r="E834" s="41"/>
      <c r="F834" s="41"/>
      <c r="J834" s="41"/>
      <c r="K834" s="41"/>
    </row>
    <row r="835" spans="3:11" ht="15.75" customHeight="1" x14ac:dyDescent="0.2">
      <c r="C835" s="41"/>
      <c r="E835" s="41"/>
      <c r="F835" s="41"/>
      <c r="J835" s="41"/>
      <c r="K835" s="41"/>
    </row>
    <row r="836" spans="3:11" ht="15.75" customHeight="1" x14ac:dyDescent="0.2">
      <c r="C836" s="41"/>
      <c r="E836" s="41"/>
      <c r="F836" s="41"/>
      <c r="J836" s="41"/>
      <c r="K836" s="41"/>
    </row>
    <row r="837" spans="3:11" ht="15.75" customHeight="1" x14ac:dyDescent="0.2">
      <c r="C837" s="41"/>
      <c r="E837" s="41"/>
      <c r="F837" s="41"/>
      <c r="J837" s="41"/>
      <c r="K837" s="41"/>
    </row>
    <row r="838" spans="3:11" ht="15.75" customHeight="1" x14ac:dyDescent="0.2">
      <c r="C838" s="41"/>
      <c r="E838" s="41"/>
      <c r="F838" s="41"/>
      <c r="J838" s="41"/>
      <c r="K838" s="41"/>
    </row>
    <row r="839" spans="3:11" ht="15.75" customHeight="1" x14ac:dyDescent="0.2">
      <c r="C839" s="41"/>
      <c r="E839" s="41"/>
      <c r="F839" s="41"/>
      <c r="J839" s="41"/>
      <c r="K839" s="41"/>
    </row>
    <row r="840" spans="3:11" ht="15.75" customHeight="1" x14ac:dyDescent="0.2">
      <c r="C840" s="41"/>
      <c r="E840" s="41"/>
      <c r="F840" s="41"/>
      <c r="J840" s="41"/>
      <c r="K840" s="41"/>
    </row>
    <row r="841" spans="3:11" ht="15.75" customHeight="1" x14ac:dyDescent="0.2">
      <c r="C841" s="41"/>
      <c r="E841" s="41"/>
      <c r="F841" s="41"/>
      <c r="J841" s="41"/>
      <c r="K841" s="41"/>
    </row>
    <row r="842" spans="3:11" ht="15.75" customHeight="1" x14ac:dyDescent="0.2">
      <c r="C842" s="41"/>
      <c r="E842" s="41"/>
      <c r="F842" s="41"/>
      <c r="J842" s="41"/>
      <c r="K842" s="41"/>
    </row>
    <row r="843" spans="3:11" ht="15.75" customHeight="1" x14ac:dyDescent="0.2">
      <c r="C843" s="41"/>
      <c r="E843" s="41"/>
      <c r="F843" s="41"/>
      <c r="J843" s="41"/>
      <c r="K843" s="41"/>
    </row>
    <row r="844" spans="3:11" ht="15.75" customHeight="1" x14ac:dyDescent="0.2">
      <c r="C844" s="41"/>
      <c r="E844" s="41"/>
      <c r="F844" s="41"/>
      <c r="J844" s="41"/>
      <c r="K844" s="41"/>
    </row>
    <row r="845" spans="3:11" ht="15.75" customHeight="1" x14ac:dyDescent="0.2">
      <c r="C845" s="41"/>
      <c r="E845" s="41"/>
      <c r="F845" s="41"/>
      <c r="J845" s="41"/>
      <c r="K845" s="41"/>
    </row>
    <row r="846" spans="3:11" ht="15.75" customHeight="1" x14ac:dyDescent="0.2">
      <c r="C846" s="41"/>
      <c r="E846" s="41"/>
      <c r="F846" s="41"/>
      <c r="J846" s="41"/>
      <c r="K846" s="41"/>
    </row>
    <row r="847" spans="3:11" ht="15.75" customHeight="1" x14ac:dyDescent="0.2">
      <c r="C847" s="41"/>
      <c r="E847" s="41"/>
      <c r="F847" s="41"/>
      <c r="J847" s="41"/>
      <c r="K847" s="41"/>
    </row>
    <row r="848" spans="3:11" ht="15.75" customHeight="1" x14ac:dyDescent="0.2">
      <c r="C848" s="41"/>
      <c r="E848" s="41"/>
      <c r="F848" s="41"/>
      <c r="J848" s="41"/>
      <c r="K848" s="41"/>
    </row>
    <row r="849" spans="3:11" ht="15.75" customHeight="1" x14ac:dyDescent="0.2">
      <c r="C849" s="41"/>
      <c r="E849" s="41"/>
      <c r="F849" s="41"/>
      <c r="J849" s="41"/>
      <c r="K849" s="41"/>
    </row>
    <row r="850" spans="3:11" ht="15.75" customHeight="1" x14ac:dyDescent="0.2">
      <c r="C850" s="41"/>
      <c r="E850" s="41"/>
      <c r="F850" s="41"/>
      <c r="J850" s="41"/>
      <c r="K850" s="41"/>
    </row>
    <row r="851" spans="3:11" ht="15.75" customHeight="1" x14ac:dyDescent="0.2">
      <c r="C851" s="41"/>
      <c r="E851" s="41"/>
      <c r="F851" s="41"/>
      <c r="J851" s="41"/>
      <c r="K851" s="41"/>
    </row>
    <row r="852" spans="3:11" ht="15.75" customHeight="1" x14ac:dyDescent="0.2">
      <c r="C852" s="41"/>
      <c r="E852" s="41"/>
      <c r="F852" s="41"/>
      <c r="J852" s="41"/>
      <c r="K852" s="41"/>
    </row>
    <row r="853" spans="3:11" ht="15.75" customHeight="1" x14ac:dyDescent="0.2">
      <c r="C853" s="41"/>
      <c r="E853" s="41"/>
      <c r="F853" s="41"/>
      <c r="J853" s="41"/>
      <c r="K853" s="41"/>
    </row>
    <row r="854" spans="3:11" ht="15.75" customHeight="1" x14ac:dyDescent="0.2">
      <c r="C854" s="41"/>
      <c r="E854" s="41"/>
      <c r="F854" s="41"/>
      <c r="J854" s="41"/>
      <c r="K854" s="41"/>
    </row>
    <row r="855" spans="3:11" ht="15.75" customHeight="1" x14ac:dyDescent="0.2">
      <c r="C855" s="41"/>
      <c r="E855" s="41"/>
      <c r="F855" s="41"/>
      <c r="J855" s="41"/>
      <c r="K855" s="41"/>
    </row>
    <row r="856" spans="3:11" ht="15.75" customHeight="1" x14ac:dyDescent="0.2">
      <c r="C856" s="41"/>
      <c r="E856" s="41"/>
      <c r="F856" s="41"/>
      <c r="J856" s="41"/>
      <c r="K856" s="41"/>
    </row>
    <row r="857" spans="3:11" ht="15.75" customHeight="1" x14ac:dyDescent="0.2">
      <c r="C857" s="41"/>
      <c r="E857" s="41"/>
      <c r="F857" s="41"/>
      <c r="J857" s="41"/>
      <c r="K857" s="41"/>
    </row>
    <row r="858" spans="3:11" ht="15.75" customHeight="1" x14ac:dyDescent="0.2">
      <c r="C858" s="41"/>
      <c r="E858" s="41"/>
      <c r="F858" s="41"/>
      <c r="J858" s="41"/>
      <c r="K858" s="41"/>
    </row>
    <row r="859" spans="3:11" ht="15.75" customHeight="1" x14ac:dyDescent="0.2">
      <c r="C859" s="41"/>
      <c r="E859" s="41"/>
      <c r="F859" s="41"/>
      <c r="J859" s="41"/>
      <c r="K859" s="41"/>
    </row>
    <row r="860" spans="3:11" ht="15.75" customHeight="1" x14ac:dyDescent="0.2">
      <c r="C860" s="41"/>
      <c r="E860" s="41"/>
      <c r="F860" s="41"/>
      <c r="J860" s="41"/>
      <c r="K860" s="41"/>
    </row>
    <row r="861" spans="3:11" ht="15.75" customHeight="1" x14ac:dyDescent="0.2">
      <c r="C861" s="41"/>
      <c r="E861" s="41"/>
      <c r="F861" s="41"/>
      <c r="J861" s="41"/>
      <c r="K861" s="41"/>
    </row>
    <row r="862" spans="3:11" ht="15.75" customHeight="1" x14ac:dyDescent="0.2">
      <c r="C862" s="41"/>
      <c r="E862" s="41"/>
      <c r="F862" s="41"/>
      <c r="J862" s="41"/>
      <c r="K862" s="41"/>
    </row>
    <row r="863" spans="3:11" ht="15.75" customHeight="1" x14ac:dyDescent="0.2">
      <c r="C863" s="41"/>
      <c r="E863" s="41"/>
      <c r="F863" s="41"/>
      <c r="J863" s="41"/>
      <c r="K863" s="41"/>
    </row>
    <row r="864" spans="3:11" ht="15.75" customHeight="1" x14ac:dyDescent="0.2">
      <c r="C864" s="41"/>
      <c r="E864" s="41"/>
      <c r="F864" s="41"/>
      <c r="J864" s="41"/>
      <c r="K864" s="41"/>
    </row>
    <row r="865" spans="3:11" ht="15.75" customHeight="1" x14ac:dyDescent="0.2">
      <c r="C865" s="41"/>
      <c r="E865" s="41"/>
      <c r="F865" s="41"/>
      <c r="J865" s="41"/>
      <c r="K865" s="41"/>
    </row>
    <row r="866" spans="3:11" ht="15.75" customHeight="1" x14ac:dyDescent="0.2">
      <c r="C866" s="41"/>
      <c r="E866" s="41"/>
      <c r="F866" s="41"/>
      <c r="J866" s="41"/>
      <c r="K866" s="41"/>
    </row>
    <row r="867" spans="3:11" ht="15.75" customHeight="1" x14ac:dyDescent="0.2">
      <c r="C867" s="41"/>
      <c r="E867" s="41"/>
      <c r="F867" s="41"/>
      <c r="J867" s="41"/>
      <c r="K867" s="41"/>
    </row>
    <row r="868" spans="3:11" ht="15.75" customHeight="1" x14ac:dyDescent="0.2">
      <c r="C868" s="41"/>
      <c r="E868" s="41"/>
      <c r="F868" s="41"/>
      <c r="J868" s="41"/>
      <c r="K868" s="41"/>
    </row>
    <row r="869" spans="3:11" ht="15.75" customHeight="1" x14ac:dyDescent="0.2">
      <c r="C869" s="41"/>
      <c r="E869" s="41"/>
      <c r="F869" s="41"/>
      <c r="J869" s="41"/>
      <c r="K869" s="41"/>
    </row>
    <row r="870" spans="3:11" ht="15.75" customHeight="1" x14ac:dyDescent="0.2">
      <c r="C870" s="41"/>
      <c r="E870" s="41"/>
      <c r="F870" s="41"/>
      <c r="J870" s="41"/>
      <c r="K870" s="41"/>
    </row>
    <row r="871" spans="3:11" ht="15.75" customHeight="1" x14ac:dyDescent="0.2">
      <c r="C871" s="41"/>
      <c r="E871" s="41"/>
      <c r="F871" s="41"/>
      <c r="J871" s="41"/>
      <c r="K871" s="41"/>
    </row>
    <row r="872" spans="3:11" ht="15.75" customHeight="1" x14ac:dyDescent="0.2">
      <c r="C872" s="41"/>
      <c r="E872" s="41"/>
      <c r="F872" s="41"/>
      <c r="J872" s="41"/>
      <c r="K872" s="41"/>
    </row>
    <row r="873" spans="3:11" ht="15.75" customHeight="1" x14ac:dyDescent="0.2">
      <c r="C873" s="41"/>
      <c r="E873" s="41"/>
      <c r="F873" s="41"/>
      <c r="J873" s="41"/>
      <c r="K873" s="41"/>
    </row>
    <row r="874" spans="3:11" ht="15.75" customHeight="1" x14ac:dyDescent="0.2">
      <c r="C874" s="41"/>
      <c r="E874" s="41"/>
      <c r="F874" s="41"/>
      <c r="J874" s="41"/>
      <c r="K874" s="41"/>
    </row>
    <row r="875" spans="3:11" ht="15.75" customHeight="1" x14ac:dyDescent="0.2">
      <c r="C875" s="41"/>
      <c r="E875" s="41"/>
      <c r="F875" s="41"/>
      <c r="J875" s="41"/>
      <c r="K875" s="41"/>
    </row>
    <row r="876" spans="3:11" ht="15.75" customHeight="1" x14ac:dyDescent="0.2">
      <c r="C876" s="41"/>
      <c r="E876" s="41"/>
      <c r="F876" s="41"/>
      <c r="J876" s="41"/>
      <c r="K876" s="41"/>
    </row>
    <row r="877" spans="3:11" ht="15.75" customHeight="1" x14ac:dyDescent="0.2">
      <c r="C877" s="41"/>
      <c r="E877" s="41"/>
      <c r="F877" s="41"/>
      <c r="J877" s="41"/>
      <c r="K877" s="41"/>
    </row>
    <row r="878" spans="3:11" ht="15.75" customHeight="1" x14ac:dyDescent="0.2">
      <c r="C878" s="41"/>
      <c r="E878" s="41"/>
      <c r="F878" s="41"/>
      <c r="J878" s="41"/>
      <c r="K878" s="41"/>
    </row>
    <row r="879" spans="3:11" ht="15.75" customHeight="1" x14ac:dyDescent="0.2">
      <c r="C879" s="41"/>
      <c r="E879" s="41"/>
      <c r="F879" s="41"/>
      <c r="J879" s="41"/>
      <c r="K879" s="41"/>
    </row>
    <row r="880" spans="3:11" ht="15.75" customHeight="1" x14ac:dyDescent="0.2">
      <c r="C880" s="41"/>
      <c r="E880" s="41"/>
      <c r="F880" s="41"/>
      <c r="J880" s="41"/>
      <c r="K880" s="41"/>
    </row>
    <row r="881" spans="3:11" ht="15.75" customHeight="1" x14ac:dyDescent="0.2">
      <c r="C881" s="41"/>
      <c r="E881" s="41"/>
      <c r="F881" s="41"/>
      <c r="J881" s="41"/>
      <c r="K881" s="41"/>
    </row>
    <row r="882" spans="3:11" ht="15.75" customHeight="1" x14ac:dyDescent="0.2">
      <c r="C882" s="41"/>
      <c r="E882" s="41"/>
      <c r="F882" s="41"/>
      <c r="J882" s="41"/>
      <c r="K882" s="41"/>
    </row>
    <row r="883" spans="3:11" ht="15.75" customHeight="1" x14ac:dyDescent="0.2">
      <c r="C883" s="41"/>
      <c r="E883" s="41"/>
      <c r="F883" s="41"/>
      <c r="J883" s="41"/>
      <c r="K883" s="41"/>
    </row>
    <row r="884" spans="3:11" ht="15.75" customHeight="1" x14ac:dyDescent="0.2">
      <c r="C884" s="41"/>
      <c r="E884" s="41"/>
      <c r="F884" s="41"/>
      <c r="J884" s="41"/>
      <c r="K884" s="41"/>
    </row>
    <row r="885" spans="3:11" ht="15.75" customHeight="1" x14ac:dyDescent="0.2">
      <c r="C885" s="41"/>
      <c r="E885" s="41"/>
      <c r="F885" s="41"/>
      <c r="J885" s="41"/>
      <c r="K885" s="41"/>
    </row>
    <row r="886" spans="3:11" ht="15.75" customHeight="1" x14ac:dyDescent="0.2">
      <c r="C886" s="41"/>
      <c r="E886" s="41"/>
      <c r="F886" s="41"/>
      <c r="J886" s="41"/>
      <c r="K886" s="41"/>
    </row>
    <row r="887" spans="3:11" ht="15.75" customHeight="1" x14ac:dyDescent="0.2">
      <c r="C887" s="41"/>
      <c r="E887" s="41"/>
      <c r="F887" s="41"/>
      <c r="J887" s="41"/>
      <c r="K887" s="41"/>
    </row>
    <row r="888" spans="3:11" ht="15.75" customHeight="1" x14ac:dyDescent="0.2">
      <c r="C888" s="41"/>
      <c r="E888" s="41"/>
      <c r="F888" s="41"/>
      <c r="J888" s="41"/>
      <c r="K888" s="41"/>
    </row>
    <row r="889" spans="3:11" ht="15.75" customHeight="1" x14ac:dyDescent="0.2">
      <c r="C889" s="41"/>
      <c r="E889" s="41"/>
      <c r="F889" s="41"/>
      <c r="J889" s="41"/>
      <c r="K889" s="41"/>
    </row>
    <row r="890" spans="3:11" ht="15.75" customHeight="1" x14ac:dyDescent="0.2">
      <c r="C890" s="41"/>
      <c r="E890" s="41"/>
      <c r="F890" s="41"/>
      <c r="J890" s="41"/>
      <c r="K890" s="41"/>
    </row>
    <row r="891" spans="3:11" ht="15.75" customHeight="1" x14ac:dyDescent="0.2">
      <c r="C891" s="41"/>
      <c r="E891" s="41"/>
      <c r="F891" s="41"/>
      <c r="J891" s="41"/>
      <c r="K891" s="41"/>
    </row>
    <row r="892" spans="3:11" ht="15.75" customHeight="1" x14ac:dyDescent="0.2">
      <c r="C892" s="41"/>
      <c r="E892" s="41"/>
      <c r="F892" s="41"/>
      <c r="J892" s="41"/>
      <c r="K892" s="41"/>
    </row>
    <row r="893" spans="3:11" ht="15.75" customHeight="1" x14ac:dyDescent="0.2">
      <c r="C893" s="41"/>
      <c r="E893" s="41"/>
      <c r="F893" s="41"/>
      <c r="J893" s="41"/>
      <c r="K893" s="41"/>
    </row>
    <row r="894" spans="3:11" ht="15.75" customHeight="1" x14ac:dyDescent="0.2">
      <c r="C894" s="41"/>
      <c r="E894" s="41"/>
      <c r="F894" s="41"/>
      <c r="J894" s="41"/>
      <c r="K894" s="41"/>
    </row>
    <row r="895" spans="3:11" ht="15.75" customHeight="1" x14ac:dyDescent="0.2">
      <c r="C895" s="41"/>
      <c r="E895" s="41"/>
      <c r="F895" s="41"/>
      <c r="J895" s="41"/>
      <c r="K895" s="41"/>
    </row>
    <row r="896" spans="3:11" ht="15.75" customHeight="1" x14ac:dyDescent="0.2">
      <c r="C896" s="41"/>
      <c r="E896" s="41"/>
      <c r="F896" s="41"/>
      <c r="J896" s="41"/>
      <c r="K896" s="41"/>
    </row>
    <row r="897" spans="3:11" ht="15.75" customHeight="1" x14ac:dyDescent="0.2">
      <c r="C897" s="41"/>
      <c r="E897" s="41"/>
      <c r="F897" s="41"/>
      <c r="J897" s="41"/>
      <c r="K897" s="41"/>
    </row>
    <row r="898" spans="3:11" ht="15.75" customHeight="1" x14ac:dyDescent="0.2">
      <c r="C898" s="41"/>
      <c r="E898" s="41"/>
      <c r="F898" s="41"/>
      <c r="J898" s="41"/>
      <c r="K898" s="41"/>
    </row>
    <row r="899" spans="3:11" ht="15.75" customHeight="1" x14ac:dyDescent="0.2">
      <c r="C899" s="41"/>
      <c r="E899" s="41"/>
      <c r="F899" s="41"/>
      <c r="J899" s="41"/>
      <c r="K899" s="41"/>
    </row>
    <row r="900" spans="3:11" ht="15.75" customHeight="1" x14ac:dyDescent="0.2">
      <c r="C900" s="41"/>
      <c r="E900" s="41"/>
      <c r="F900" s="41"/>
      <c r="J900" s="41"/>
      <c r="K900" s="41"/>
    </row>
    <row r="901" spans="3:11" ht="15.75" customHeight="1" x14ac:dyDescent="0.2">
      <c r="C901" s="41"/>
      <c r="E901" s="41"/>
      <c r="F901" s="41"/>
      <c r="J901" s="41"/>
      <c r="K901" s="41"/>
    </row>
    <row r="902" spans="3:11" ht="15.75" customHeight="1" x14ac:dyDescent="0.2">
      <c r="C902" s="41"/>
      <c r="E902" s="41"/>
      <c r="F902" s="41"/>
      <c r="J902" s="41"/>
      <c r="K902" s="41"/>
    </row>
    <row r="903" spans="3:11" ht="15.75" customHeight="1" x14ac:dyDescent="0.2">
      <c r="C903" s="41"/>
      <c r="E903" s="41"/>
      <c r="F903" s="41"/>
      <c r="J903" s="41"/>
      <c r="K903" s="41"/>
    </row>
    <row r="904" spans="3:11" ht="15.75" customHeight="1" x14ac:dyDescent="0.2">
      <c r="C904" s="41"/>
      <c r="E904" s="41"/>
      <c r="F904" s="41"/>
      <c r="J904" s="41"/>
      <c r="K904" s="41"/>
    </row>
    <row r="905" spans="3:11" ht="15.75" customHeight="1" x14ac:dyDescent="0.2">
      <c r="C905" s="41"/>
      <c r="E905" s="41"/>
      <c r="F905" s="41"/>
      <c r="J905" s="41"/>
      <c r="K905" s="41"/>
    </row>
    <row r="906" spans="3:11" ht="15.75" customHeight="1" x14ac:dyDescent="0.2">
      <c r="C906" s="41"/>
      <c r="E906" s="41"/>
      <c r="F906" s="41"/>
      <c r="J906" s="41"/>
      <c r="K906" s="41"/>
    </row>
    <row r="907" spans="3:11" ht="15.75" customHeight="1" x14ac:dyDescent="0.2">
      <c r="C907" s="41"/>
      <c r="E907" s="41"/>
      <c r="F907" s="41"/>
      <c r="J907" s="41"/>
      <c r="K907" s="41"/>
    </row>
    <row r="908" spans="3:11" ht="15.75" customHeight="1" x14ac:dyDescent="0.2">
      <c r="C908" s="41"/>
      <c r="E908" s="41"/>
      <c r="F908" s="41"/>
      <c r="J908" s="41"/>
      <c r="K908" s="41"/>
    </row>
    <row r="909" spans="3:11" ht="15.75" customHeight="1" x14ac:dyDescent="0.2">
      <c r="C909" s="41"/>
      <c r="E909" s="41"/>
      <c r="F909" s="41"/>
      <c r="J909" s="41"/>
      <c r="K909" s="41"/>
    </row>
    <row r="910" spans="3:11" ht="15.75" customHeight="1" x14ac:dyDescent="0.2">
      <c r="C910" s="41"/>
      <c r="E910" s="41"/>
      <c r="F910" s="41"/>
      <c r="J910" s="41"/>
      <c r="K910" s="41"/>
    </row>
    <row r="911" spans="3:11" ht="15.75" customHeight="1" x14ac:dyDescent="0.2">
      <c r="C911" s="41"/>
      <c r="E911" s="41"/>
      <c r="F911" s="41"/>
      <c r="J911" s="41"/>
      <c r="K911" s="41"/>
    </row>
    <row r="912" spans="3:11" ht="15.75" customHeight="1" x14ac:dyDescent="0.2">
      <c r="C912" s="41"/>
      <c r="E912" s="41"/>
      <c r="F912" s="41"/>
      <c r="J912" s="41"/>
      <c r="K912" s="41"/>
    </row>
    <row r="913" spans="3:11" ht="15.75" customHeight="1" x14ac:dyDescent="0.2">
      <c r="C913" s="41"/>
      <c r="E913" s="41"/>
      <c r="F913" s="41"/>
      <c r="J913" s="41"/>
      <c r="K913" s="41"/>
    </row>
    <row r="914" spans="3:11" ht="15.75" customHeight="1" x14ac:dyDescent="0.2">
      <c r="C914" s="41"/>
      <c r="E914" s="41"/>
      <c r="F914" s="41"/>
      <c r="J914" s="41"/>
      <c r="K914" s="41"/>
    </row>
    <row r="915" spans="3:11" ht="15.75" customHeight="1" x14ac:dyDescent="0.2">
      <c r="C915" s="41"/>
      <c r="E915" s="41"/>
      <c r="F915" s="41"/>
      <c r="J915" s="41"/>
      <c r="K915" s="41"/>
    </row>
    <row r="916" spans="3:11" ht="15.75" customHeight="1" x14ac:dyDescent="0.2">
      <c r="C916" s="41"/>
      <c r="E916" s="41"/>
      <c r="F916" s="41"/>
      <c r="J916" s="41"/>
      <c r="K916" s="41"/>
    </row>
    <row r="917" spans="3:11" ht="15.75" customHeight="1" x14ac:dyDescent="0.2">
      <c r="C917" s="41"/>
      <c r="E917" s="41"/>
      <c r="F917" s="41"/>
      <c r="J917" s="41"/>
      <c r="K917" s="41"/>
    </row>
    <row r="918" spans="3:11" ht="15.75" customHeight="1" x14ac:dyDescent="0.2">
      <c r="C918" s="41"/>
      <c r="E918" s="41"/>
      <c r="F918" s="41"/>
      <c r="J918" s="41"/>
      <c r="K918" s="41"/>
    </row>
    <row r="919" spans="3:11" ht="15.75" customHeight="1" x14ac:dyDescent="0.2">
      <c r="C919" s="41"/>
      <c r="E919" s="41"/>
      <c r="F919" s="41"/>
      <c r="J919" s="41"/>
      <c r="K919" s="41"/>
    </row>
    <row r="920" spans="3:11" ht="15.75" customHeight="1" x14ac:dyDescent="0.2">
      <c r="C920" s="41"/>
      <c r="E920" s="41"/>
      <c r="F920" s="41"/>
      <c r="J920" s="41"/>
      <c r="K920" s="41"/>
    </row>
    <row r="921" spans="3:11" ht="15.75" customHeight="1" x14ac:dyDescent="0.2">
      <c r="C921" s="41"/>
      <c r="E921" s="41"/>
      <c r="F921" s="41"/>
      <c r="J921" s="41"/>
      <c r="K921" s="41"/>
    </row>
    <row r="922" spans="3:11" ht="15.75" customHeight="1" x14ac:dyDescent="0.2">
      <c r="C922" s="41"/>
      <c r="E922" s="41"/>
      <c r="F922" s="41"/>
      <c r="J922" s="41"/>
      <c r="K922" s="41"/>
    </row>
    <row r="923" spans="3:11" ht="15.75" customHeight="1" x14ac:dyDescent="0.2">
      <c r="C923" s="41"/>
      <c r="E923" s="41"/>
      <c r="F923" s="41"/>
      <c r="J923" s="41"/>
      <c r="K923" s="41"/>
    </row>
    <row r="924" spans="3:11" ht="15.75" customHeight="1" x14ac:dyDescent="0.2">
      <c r="C924" s="41"/>
      <c r="E924" s="41"/>
      <c r="F924" s="41"/>
      <c r="J924" s="41"/>
      <c r="K924" s="41"/>
    </row>
    <row r="925" spans="3:11" ht="15.75" customHeight="1" x14ac:dyDescent="0.2">
      <c r="C925" s="41"/>
      <c r="E925" s="41"/>
      <c r="F925" s="41"/>
      <c r="J925" s="41"/>
      <c r="K925" s="41"/>
    </row>
    <row r="926" spans="3:11" ht="15.75" customHeight="1" x14ac:dyDescent="0.2">
      <c r="C926" s="41"/>
      <c r="E926" s="41"/>
      <c r="F926" s="41"/>
      <c r="J926" s="41"/>
      <c r="K926" s="41"/>
    </row>
    <row r="927" spans="3:11" ht="15.75" customHeight="1" x14ac:dyDescent="0.2">
      <c r="C927" s="41"/>
      <c r="E927" s="41"/>
      <c r="F927" s="41"/>
      <c r="J927" s="41"/>
      <c r="K927" s="41"/>
    </row>
    <row r="928" spans="3:11" ht="15.75" customHeight="1" x14ac:dyDescent="0.2">
      <c r="C928" s="41"/>
      <c r="E928" s="41"/>
      <c r="F928" s="41"/>
      <c r="J928" s="41"/>
      <c r="K928" s="41"/>
    </row>
    <row r="929" spans="3:11" ht="15.75" customHeight="1" x14ac:dyDescent="0.2">
      <c r="C929" s="41"/>
      <c r="E929" s="41"/>
      <c r="F929" s="41"/>
      <c r="J929" s="41"/>
      <c r="K929" s="41"/>
    </row>
    <row r="930" spans="3:11" ht="15.75" customHeight="1" x14ac:dyDescent="0.2">
      <c r="C930" s="41"/>
      <c r="E930" s="41"/>
      <c r="F930" s="41"/>
      <c r="J930" s="41"/>
      <c r="K930" s="41"/>
    </row>
    <row r="931" spans="3:11" ht="15.75" customHeight="1" x14ac:dyDescent="0.2">
      <c r="C931" s="41"/>
      <c r="E931" s="41"/>
      <c r="F931" s="41"/>
      <c r="J931" s="41"/>
      <c r="K931" s="41"/>
    </row>
    <row r="932" spans="3:11" ht="15.75" customHeight="1" x14ac:dyDescent="0.2">
      <c r="C932" s="41"/>
      <c r="E932" s="41"/>
      <c r="F932" s="41"/>
      <c r="J932" s="41"/>
      <c r="K932" s="41"/>
    </row>
    <row r="933" spans="3:11" ht="15.75" customHeight="1" x14ac:dyDescent="0.2">
      <c r="C933" s="41"/>
      <c r="E933" s="41"/>
      <c r="F933" s="41"/>
      <c r="J933" s="41"/>
      <c r="K933" s="41"/>
    </row>
    <row r="934" spans="3:11" ht="15.75" customHeight="1" x14ac:dyDescent="0.2">
      <c r="C934" s="41"/>
      <c r="E934" s="41"/>
      <c r="F934" s="41"/>
      <c r="J934" s="41"/>
      <c r="K934" s="41"/>
    </row>
    <row r="935" spans="3:11" ht="15.75" customHeight="1" x14ac:dyDescent="0.2">
      <c r="C935" s="41"/>
      <c r="E935" s="41"/>
      <c r="F935" s="41"/>
      <c r="J935" s="41"/>
      <c r="K935" s="41"/>
    </row>
    <row r="936" spans="3:11" ht="15.75" customHeight="1" x14ac:dyDescent="0.2">
      <c r="C936" s="41"/>
      <c r="E936" s="41"/>
      <c r="F936" s="41"/>
      <c r="J936" s="41"/>
      <c r="K936" s="41"/>
    </row>
    <row r="937" spans="3:11" ht="15.75" customHeight="1" x14ac:dyDescent="0.2">
      <c r="C937" s="41"/>
      <c r="E937" s="41"/>
      <c r="F937" s="41"/>
      <c r="J937" s="41"/>
      <c r="K937" s="41"/>
    </row>
    <row r="938" spans="3:11" ht="15.75" customHeight="1" x14ac:dyDescent="0.2">
      <c r="C938" s="41"/>
      <c r="E938" s="41"/>
      <c r="F938" s="41"/>
      <c r="J938" s="41"/>
      <c r="K938" s="41"/>
    </row>
    <row r="939" spans="3:11" ht="15.75" customHeight="1" x14ac:dyDescent="0.2">
      <c r="C939" s="41"/>
      <c r="E939" s="41"/>
      <c r="F939" s="41"/>
      <c r="J939" s="41"/>
      <c r="K939" s="41"/>
    </row>
    <row r="940" spans="3:11" ht="15.75" customHeight="1" x14ac:dyDescent="0.2">
      <c r="C940" s="41"/>
      <c r="E940" s="41"/>
      <c r="F940" s="41"/>
      <c r="J940" s="41"/>
      <c r="K940" s="41"/>
    </row>
    <row r="941" spans="3:11" ht="15.75" customHeight="1" x14ac:dyDescent="0.2">
      <c r="C941" s="41"/>
      <c r="E941" s="41"/>
      <c r="F941" s="41"/>
      <c r="J941" s="41"/>
      <c r="K941" s="41"/>
    </row>
    <row r="942" spans="3:11" ht="15.75" customHeight="1" x14ac:dyDescent="0.2">
      <c r="C942" s="41"/>
      <c r="E942" s="41"/>
      <c r="F942" s="41"/>
      <c r="J942" s="41"/>
      <c r="K942" s="41"/>
    </row>
    <row r="943" spans="3:11" ht="15.75" customHeight="1" x14ac:dyDescent="0.2">
      <c r="C943" s="41"/>
      <c r="E943" s="41"/>
      <c r="F943" s="41"/>
      <c r="J943" s="41"/>
      <c r="K943" s="41"/>
    </row>
    <row r="944" spans="3:11" ht="15.75" customHeight="1" x14ac:dyDescent="0.2">
      <c r="C944" s="41"/>
      <c r="E944" s="41"/>
      <c r="F944" s="41"/>
      <c r="J944" s="41"/>
      <c r="K944" s="41"/>
    </row>
    <row r="945" spans="3:11" ht="15.75" customHeight="1" x14ac:dyDescent="0.2">
      <c r="C945" s="41"/>
      <c r="E945" s="41"/>
      <c r="F945" s="41"/>
      <c r="J945" s="41"/>
      <c r="K945" s="41"/>
    </row>
    <row r="946" spans="3:11" ht="15.75" customHeight="1" x14ac:dyDescent="0.2">
      <c r="C946" s="41"/>
      <c r="E946" s="41"/>
      <c r="F946" s="41"/>
      <c r="J946" s="41"/>
      <c r="K946" s="41"/>
    </row>
    <row r="947" spans="3:11" ht="15.75" customHeight="1" x14ac:dyDescent="0.2">
      <c r="C947" s="41"/>
      <c r="E947" s="41"/>
      <c r="F947" s="41"/>
      <c r="J947" s="41"/>
      <c r="K947" s="41"/>
    </row>
    <row r="948" spans="3:11" ht="15.75" customHeight="1" x14ac:dyDescent="0.2">
      <c r="C948" s="41"/>
      <c r="E948" s="41"/>
      <c r="F948" s="41"/>
      <c r="J948" s="41"/>
      <c r="K948" s="41"/>
    </row>
    <row r="949" spans="3:11" ht="15.75" customHeight="1" x14ac:dyDescent="0.2">
      <c r="C949" s="41"/>
      <c r="E949" s="41"/>
      <c r="F949" s="41"/>
      <c r="J949" s="41"/>
      <c r="K949" s="41"/>
    </row>
    <row r="950" spans="3:11" ht="15.75" customHeight="1" x14ac:dyDescent="0.2">
      <c r="C950" s="41"/>
      <c r="E950" s="41"/>
      <c r="F950" s="41"/>
      <c r="J950" s="41"/>
      <c r="K950" s="41"/>
    </row>
    <row r="951" spans="3:11" ht="15.75" customHeight="1" x14ac:dyDescent="0.2">
      <c r="C951" s="41"/>
      <c r="E951" s="41"/>
      <c r="F951" s="41"/>
      <c r="J951" s="41"/>
      <c r="K951" s="41"/>
    </row>
    <row r="952" spans="3:11" ht="15.75" customHeight="1" x14ac:dyDescent="0.2">
      <c r="C952" s="41"/>
      <c r="E952" s="41"/>
      <c r="F952" s="41"/>
      <c r="J952" s="41"/>
      <c r="K952" s="41"/>
    </row>
    <row r="953" spans="3:11" ht="15.75" customHeight="1" x14ac:dyDescent="0.2">
      <c r="C953" s="41"/>
      <c r="E953" s="41"/>
      <c r="F953" s="41"/>
      <c r="J953" s="41"/>
      <c r="K953" s="41"/>
    </row>
    <row r="954" spans="3:11" ht="15.75" customHeight="1" x14ac:dyDescent="0.2">
      <c r="C954" s="41"/>
      <c r="E954" s="41"/>
      <c r="F954" s="41"/>
      <c r="J954" s="41"/>
      <c r="K954" s="41"/>
    </row>
    <row r="955" spans="3:11" ht="15.75" customHeight="1" x14ac:dyDescent="0.2">
      <c r="C955" s="41"/>
      <c r="E955" s="41"/>
      <c r="F955" s="41"/>
      <c r="J955" s="41"/>
      <c r="K955" s="41"/>
    </row>
    <row r="956" spans="3:11" ht="15.75" customHeight="1" x14ac:dyDescent="0.2">
      <c r="C956" s="41"/>
      <c r="E956" s="41"/>
      <c r="F956" s="41"/>
      <c r="J956" s="41"/>
      <c r="K956" s="41"/>
    </row>
    <row r="957" spans="3:11" ht="15.75" customHeight="1" x14ac:dyDescent="0.2">
      <c r="C957" s="41"/>
      <c r="E957" s="41"/>
      <c r="F957" s="41"/>
      <c r="J957" s="41"/>
      <c r="K957" s="41"/>
    </row>
    <row r="958" spans="3:11" ht="15.75" customHeight="1" x14ac:dyDescent="0.2">
      <c r="C958" s="41"/>
      <c r="E958" s="41"/>
      <c r="F958" s="41"/>
      <c r="J958" s="41"/>
      <c r="K958" s="41"/>
    </row>
    <row r="959" spans="3:11" ht="15.75" customHeight="1" x14ac:dyDescent="0.2">
      <c r="C959" s="41"/>
      <c r="E959" s="41"/>
      <c r="F959" s="41"/>
      <c r="J959" s="41"/>
      <c r="K959" s="41"/>
    </row>
    <row r="960" spans="3:11" ht="15.75" customHeight="1" x14ac:dyDescent="0.2">
      <c r="C960" s="41"/>
      <c r="E960" s="41"/>
      <c r="F960" s="41"/>
      <c r="J960" s="41"/>
      <c r="K960" s="41"/>
    </row>
    <row r="961" spans="3:11" ht="15.75" customHeight="1" x14ac:dyDescent="0.2">
      <c r="C961" s="41"/>
      <c r="E961" s="41"/>
      <c r="F961" s="41"/>
      <c r="J961" s="41"/>
      <c r="K961" s="41"/>
    </row>
    <row r="962" spans="3:11" ht="15.75" customHeight="1" x14ac:dyDescent="0.2">
      <c r="C962" s="41"/>
      <c r="E962" s="41"/>
      <c r="F962" s="41"/>
      <c r="J962" s="41"/>
      <c r="K962" s="41"/>
    </row>
    <row r="963" spans="3:11" ht="15.75" customHeight="1" x14ac:dyDescent="0.2">
      <c r="C963" s="41"/>
      <c r="E963" s="41"/>
      <c r="F963" s="41"/>
      <c r="J963" s="41"/>
      <c r="K963" s="41"/>
    </row>
    <row r="964" spans="3:11" ht="15.75" customHeight="1" x14ac:dyDescent="0.2">
      <c r="C964" s="41"/>
      <c r="E964" s="41"/>
      <c r="F964" s="41"/>
      <c r="J964" s="41"/>
      <c r="K964" s="41"/>
    </row>
    <row r="965" spans="3:11" ht="15.75" customHeight="1" x14ac:dyDescent="0.2">
      <c r="C965" s="41"/>
      <c r="E965" s="41"/>
      <c r="F965" s="41"/>
      <c r="J965" s="41"/>
      <c r="K965" s="41"/>
    </row>
    <row r="966" spans="3:11" ht="15.75" customHeight="1" x14ac:dyDescent="0.2">
      <c r="C966" s="41"/>
      <c r="E966" s="41"/>
      <c r="F966" s="41"/>
      <c r="J966" s="41"/>
      <c r="K966" s="41"/>
    </row>
    <row r="967" spans="3:11" ht="15.75" customHeight="1" x14ac:dyDescent="0.2">
      <c r="C967" s="41"/>
      <c r="E967" s="41"/>
      <c r="F967" s="41"/>
      <c r="J967" s="41"/>
      <c r="K967" s="41"/>
    </row>
    <row r="968" spans="3:11" ht="15.75" customHeight="1" x14ac:dyDescent="0.2">
      <c r="C968" s="41"/>
      <c r="E968" s="41"/>
      <c r="F968" s="41"/>
      <c r="J968" s="41"/>
      <c r="K968" s="41"/>
    </row>
    <row r="969" spans="3:11" ht="15.75" customHeight="1" x14ac:dyDescent="0.2">
      <c r="C969" s="41"/>
      <c r="E969" s="41"/>
      <c r="F969" s="41"/>
      <c r="J969" s="41"/>
      <c r="K969" s="41"/>
    </row>
    <row r="970" spans="3:11" ht="15.75" customHeight="1" x14ac:dyDescent="0.2">
      <c r="C970" s="41"/>
      <c r="E970" s="41"/>
      <c r="F970" s="41"/>
      <c r="J970" s="41"/>
      <c r="K970" s="41"/>
    </row>
    <row r="971" spans="3:11" ht="15.75" customHeight="1" x14ac:dyDescent="0.2">
      <c r="C971" s="41"/>
      <c r="E971" s="41"/>
      <c r="F971" s="41"/>
      <c r="J971" s="41"/>
      <c r="K971" s="41"/>
    </row>
    <row r="972" spans="3:11" ht="15.75" customHeight="1" x14ac:dyDescent="0.2">
      <c r="C972" s="41"/>
      <c r="E972" s="41"/>
      <c r="F972" s="41"/>
      <c r="J972" s="41"/>
      <c r="K972" s="41"/>
    </row>
    <row r="973" spans="3:11" ht="15.75" customHeight="1" x14ac:dyDescent="0.2">
      <c r="C973" s="41"/>
      <c r="E973" s="41"/>
      <c r="F973" s="41"/>
      <c r="J973" s="41"/>
      <c r="K973" s="41"/>
    </row>
    <row r="974" spans="3:11" ht="15.75" customHeight="1" x14ac:dyDescent="0.2">
      <c r="C974" s="41"/>
      <c r="E974" s="41"/>
      <c r="F974" s="41"/>
      <c r="J974" s="41"/>
      <c r="K974" s="41"/>
    </row>
    <row r="975" spans="3:11" ht="15.75" customHeight="1" x14ac:dyDescent="0.2">
      <c r="C975" s="41"/>
      <c r="E975" s="41"/>
      <c r="F975" s="41"/>
      <c r="J975" s="41"/>
      <c r="K975" s="41"/>
    </row>
    <row r="976" spans="3:11" ht="15.75" customHeight="1" x14ac:dyDescent="0.2">
      <c r="C976" s="41"/>
      <c r="E976" s="41"/>
      <c r="F976" s="41"/>
      <c r="J976" s="41"/>
      <c r="K976" s="41"/>
    </row>
    <row r="977" spans="3:11" ht="15.75" customHeight="1" x14ac:dyDescent="0.2">
      <c r="C977" s="41"/>
      <c r="E977" s="41"/>
      <c r="F977" s="41"/>
      <c r="J977" s="41"/>
      <c r="K977" s="41"/>
    </row>
    <row r="978" spans="3:11" ht="15.75" customHeight="1" x14ac:dyDescent="0.2">
      <c r="C978" s="41"/>
      <c r="E978" s="41"/>
      <c r="F978" s="41"/>
      <c r="J978" s="41"/>
      <c r="K978" s="41"/>
    </row>
    <row r="979" spans="3:11" ht="15.75" customHeight="1" x14ac:dyDescent="0.2">
      <c r="C979" s="41"/>
      <c r="E979" s="41"/>
      <c r="F979" s="41"/>
      <c r="J979" s="41"/>
      <c r="K979" s="41"/>
    </row>
    <row r="980" spans="3:11" ht="15.75" customHeight="1" x14ac:dyDescent="0.2">
      <c r="C980" s="41"/>
      <c r="E980" s="41"/>
      <c r="F980" s="41"/>
      <c r="J980" s="41"/>
      <c r="K980" s="41"/>
    </row>
    <row r="981" spans="3:11" ht="15.75" customHeight="1" x14ac:dyDescent="0.2">
      <c r="C981" s="41"/>
      <c r="E981" s="41"/>
      <c r="F981" s="41"/>
      <c r="J981" s="41"/>
      <c r="K981" s="41"/>
    </row>
    <row r="982" spans="3:11" ht="15.75" customHeight="1" x14ac:dyDescent="0.2">
      <c r="C982" s="41"/>
      <c r="E982" s="41"/>
      <c r="F982" s="41"/>
      <c r="J982" s="41"/>
      <c r="K982" s="41"/>
    </row>
    <row r="983" spans="3:11" ht="15.75" customHeight="1" x14ac:dyDescent="0.2">
      <c r="C983" s="41"/>
      <c r="E983" s="41"/>
      <c r="F983" s="41"/>
      <c r="J983" s="41"/>
      <c r="K983" s="41"/>
    </row>
    <row r="984" spans="3:11" ht="15.75" customHeight="1" x14ac:dyDescent="0.2">
      <c r="C984" s="41"/>
      <c r="E984" s="41"/>
      <c r="F984" s="41"/>
      <c r="J984" s="41"/>
      <c r="K984" s="41"/>
    </row>
    <row r="985" spans="3:11" ht="15.75" customHeight="1" x14ac:dyDescent="0.2">
      <c r="C985" s="41"/>
      <c r="E985" s="41"/>
      <c r="F985" s="41"/>
      <c r="J985" s="41"/>
      <c r="K985" s="41"/>
    </row>
    <row r="986" spans="3:11" ht="15.75" customHeight="1" x14ac:dyDescent="0.2">
      <c r="C986" s="41"/>
      <c r="E986" s="41"/>
      <c r="F986" s="41"/>
      <c r="J986" s="41"/>
      <c r="K986" s="41"/>
    </row>
    <row r="987" spans="3:11" ht="15.75" customHeight="1" x14ac:dyDescent="0.2">
      <c r="C987" s="41"/>
      <c r="E987" s="41"/>
      <c r="F987" s="41"/>
      <c r="J987" s="41"/>
      <c r="K987" s="41"/>
    </row>
    <row r="988" spans="3:11" ht="15.75" customHeight="1" x14ac:dyDescent="0.2">
      <c r="C988" s="41"/>
      <c r="E988" s="41"/>
      <c r="F988" s="41"/>
      <c r="J988" s="41"/>
      <c r="K988" s="41"/>
    </row>
    <row r="989" spans="3:11" ht="15.75" customHeight="1" x14ac:dyDescent="0.2">
      <c r="C989" s="41"/>
      <c r="E989" s="41"/>
      <c r="F989" s="41"/>
      <c r="J989" s="41"/>
      <c r="K989" s="41"/>
    </row>
    <row r="990" spans="3:11" ht="15.75" customHeight="1" x14ac:dyDescent="0.2">
      <c r="C990" s="41"/>
      <c r="E990" s="41"/>
      <c r="F990" s="41"/>
      <c r="J990" s="41"/>
      <c r="K990" s="41"/>
    </row>
    <row r="991" spans="3:11" ht="15.75" customHeight="1" x14ac:dyDescent="0.2">
      <c r="C991" s="41"/>
      <c r="E991" s="41"/>
      <c r="F991" s="41"/>
      <c r="J991" s="41"/>
      <c r="K991" s="41"/>
    </row>
    <row r="992" spans="3:11" ht="15.75" customHeight="1" x14ac:dyDescent="0.2">
      <c r="C992" s="41"/>
      <c r="E992" s="41"/>
      <c r="F992" s="41"/>
      <c r="J992" s="41"/>
      <c r="K992" s="41"/>
    </row>
    <row r="993" spans="3:11" ht="15.75" customHeight="1" x14ac:dyDescent="0.2">
      <c r="C993" s="41"/>
      <c r="E993" s="41"/>
      <c r="F993" s="41"/>
      <c r="J993" s="41"/>
      <c r="K993" s="41"/>
    </row>
    <row r="994" spans="3:11" ht="15.75" customHeight="1" x14ac:dyDescent="0.2">
      <c r="C994" s="41"/>
      <c r="E994" s="41"/>
      <c r="F994" s="41"/>
      <c r="J994" s="41"/>
      <c r="K994" s="41"/>
    </row>
    <row r="995" spans="3:11" ht="15.75" customHeight="1" x14ac:dyDescent="0.2">
      <c r="C995" s="41"/>
      <c r="E995" s="41"/>
      <c r="F995" s="41"/>
      <c r="J995" s="41"/>
      <c r="K995" s="41"/>
    </row>
    <row r="996" spans="3:11" ht="15.75" customHeight="1" x14ac:dyDescent="0.2">
      <c r="C996" s="41"/>
      <c r="E996" s="41"/>
      <c r="F996" s="41"/>
      <c r="J996" s="41"/>
      <c r="K996" s="41"/>
    </row>
  </sheetData>
  <autoFilter ref="A1:AI1" xr:uid="{00000000-0009-0000-0000-000002000000}"/>
  <hyperlinks>
    <hyperlink ref="Q3" r:id="rId1" xr:uid="{00000000-0004-0000-0200-000000000000}"/>
    <hyperlink ref="R3" r:id="rId2" xr:uid="{00000000-0004-0000-0200-000001000000}"/>
    <hyperlink ref="P4" r:id="rId3" xr:uid="{00000000-0004-0000-0200-000002000000}"/>
    <hyperlink ref="P5" r:id="rId4" xr:uid="{00000000-0004-0000-0200-000003000000}"/>
    <hyperlink ref="Q5" r:id="rId5" xr:uid="{00000000-0004-0000-0200-000004000000}"/>
    <hyperlink ref="P6" r:id="rId6" xr:uid="{00000000-0004-0000-0200-000005000000}"/>
    <hyperlink ref="Q6" r:id="rId7" xr:uid="{00000000-0004-0000-0200-000006000000}"/>
    <hyperlink ref="R6" r:id="rId8" xr:uid="{00000000-0004-0000-0200-000007000000}"/>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4">
        <x14:dataValidation type="list" allowBlank="1" showErrorMessage="1" xr:uid="{00000000-0002-0000-0200-000000000000}">
          <x14:formula1>
            <xm:f>Dropdowns!$G$4:$G$5</xm:f>
          </x14:formula1>
          <xm:sqref>F2:F6 F7:F996</xm:sqref>
        </x14:dataValidation>
        <x14:dataValidation type="list" allowBlank="1" showErrorMessage="1" xr:uid="{00000000-0002-0000-0200-000001000000}">
          <x14:formula1>
            <xm:f>Dropdowns!$F$4:$F$8</xm:f>
          </x14:formula1>
          <xm:sqref>E2:E6 E7:E996</xm:sqref>
        </x14:dataValidation>
        <x14:dataValidation type="list" allowBlank="1" showErrorMessage="1" xr:uid="{00000000-0002-0000-0200-000002000000}">
          <x14:formula1>
            <xm:f>Dropdowns!$K$4:$K$205</xm:f>
          </x14:formula1>
          <xm:sqref>J2:J6 J7:J996</xm:sqref>
        </x14:dataValidation>
        <x14:dataValidation type="list" allowBlank="1" showErrorMessage="1" xr:uid="{00000000-0002-0000-0200-000003000000}">
          <x14:formula1>
            <xm:f>Dropdowns!$B$4:$B$9</xm:f>
          </x14:formula1>
          <xm:sqref>C2:C6 C7:C996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I1005"/>
  <sheetViews>
    <sheetView workbookViewId="0">
      <pane ySplit="1" topLeftCell="A2" activePane="bottomLeft" state="frozen"/>
      <selection pane="bottomLeft" activeCell="B6" sqref="B6"/>
    </sheetView>
  </sheetViews>
  <sheetFormatPr baseColWidth="10" defaultColWidth="11.1640625" defaultRowHeight="15" customHeight="1" x14ac:dyDescent="0.2"/>
  <cols>
    <col min="1" max="1" width="16.6640625" customWidth="1"/>
    <col min="2" max="2" width="52.6640625" customWidth="1"/>
    <col min="3" max="4" width="27.6640625" customWidth="1"/>
    <col min="5" max="5" width="19.83203125" customWidth="1"/>
    <col min="6" max="6" width="26" customWidth="1"/>
    <col min="7" max="7" width="26.83203125" customWidth="1"/>
    <col min="8" max="8" width="22.83203125" customWidth="1"/>
    <col min="9" max="9" width="27" customWidth="1"/>
    <col min="10" max="10" width="32.83203125" customWidth="1"/>
    <col min="11" max="12" width="32" customWidth="1"/>
    <col min="13" max="13" width="23.83203125" customWidth="1"/>
    <col min="14" max="14" width="21.83203125" customWidth="1"/>
    <col min="15" max="15" width="20.6640625" customWidth="1"/>
    <col min="16" max="16" width="19.5" customWidth="1"/>
    <col min="17" max="17" width="18.83203125" customWidth="1"/>
    <col min="18" max="18" width="19.6640625" customWidth="1"/>
    <col min="19" max="19" width="15.1640625" customWidth="1"/>
    <col min="20" max="20" width="13.5" customWidth="1"/>
    <col min="21" max="21" width="14" customWidth="1"/>
    <col min="22" max="22" width="22.5" customWidth="1"/>
    <col min="23" max="23" width="27.5" customWidth="1"/>
    <col min="24" max="34" width="11" customWidth="1"/>
  </cols>
  <sheetData>
    <row r="1" spans="1:35" ht="60" customHeight="1" x14ac:dyDescent="0.2">
      <c r="A1" s="1" t="s">
        <v>0</v>
      </c>
      <c r="B1" s="43" t="s">
        <v>1</v>
      </c>
      <c r="C1" s="1" t="s">
        <v>805</v>
      </c>
      <c r="D1" s="1" t="s">
        <v>798</v>
      </c>
      <c r="E1" s="1" t="s">
        <v>827</v>
      </c>
      <c r="F1" s="1" t="s">
        <v>6</v>
      </c>
      <c r="G1" s="1" t="s">
        <v>7</v>
      </c>
      <c r="H1" s="1" t="s">
        <v>8</v>
      </c>
      <c r="I1" s="1" t="s">
        <v>9</v>
      </c>
      <c r="J1" s="1" t="s">
        <v>10</v>
      </c>
      <c r="K1" s="1" t="s">
        <v>11</v>
      </c>
      <c r="L1" s="2" t="s">
        <v>12</v>
      </c>
      <c r="M1" s="44" t="s">
        <v>13</v>
      </c>
      <c r="N1" s="44" t="s">
        <v>14</v>
      </c>
      <c r="O1" s="44" t="s">
        <v>15</v>
      </c>
      <c r="P1" s="44" t="s">
        <v>16</v>
      </c>
      <c r="Q1" s="44" t="s">
        <v>17</v>
      </c>
      <c r="R1" s="1"/>
      <c r="S1" s="1"/>
      <c r="T1" s="1"/>
      <c r="U1" s="1"/>
      <c r="V1" s="1"/>
      <c r="W1" s="1"/>
      <c r="X1" s="1"/>
      <c r="Y1" s="1"/>
      <c r="Z1" s="1"/>
      <c r="AA1" s="1"/>
      <c r="AB1" s="1"/>
      <c r="AC1" s="1"/>
      <c r="AD1" s="1"/>
      <c r="AE1" s="1"/>
      <c r="AF1" s="1"/>
      <c r="AG1" s="1"/>
      <c r="AH1" s="1"/>
    </row>
    <row r="2" spans="1:35" ht="60" customHeight="1" x14ac:dyDescent="0.2">
      <c r="A2" s="3">
        <v>44560</v>
      </c>
      <c r="B2" s="4" t="s">
        <v>828</v>
      </c>
      <c r="C2" s="4" t="s">
        <v>24</v>
      </c>
      <c r="D2" s="4"/>
      <c r="E2" s="4"/>
      <c r="F2" s="4"/>
      <c r="G2" s="4"/>
      <c r="H2" s="4"/>
      <c r="I2" s="4"/>
      <c r="J2" s="4"/>
      <c r="K2" s="4"/>
      <c r="L2" s="4"/>
      <c r="M2" s="4"/>
      <c r="N2" s="4"/>
      <c r="O2" s="20" t="s">
        <v>829</v>
      </c>
      <c r="P2" s="4"/>
      <c r="Q2" s="10"/>
      <c r="R2" s="10"/>
      <c r="S2" s="10"/>
      <c r="T2" s="8"/>
      <c r="U2" s="4"/>
      <c r="V2" s="4"/>
      <c r="W2" s="4"/>
      <c r="X2" s="4"/>
      <c r="Y2" s="4"/>
      <c r="Z2" s="4"/>
      <c r="AA2" s="4"/>
      <c r="AB2" s="4"/>
      <c r="AC2" s="4"/>
      <c r="AD2" s="4"/>
      <c r="AE2" s="4"/>
      <c r="AF2" s="4"/>
      <c r="AG2" s="4"/>
      <c r="AH2" s="4"/>
    </row>
    <row r="3" spans="1:35" ht="60" customHeight="1" x14ac:dyDescent="0.2">
      <c r="A3" s="3">
        <v>45727</v>
      </c>
      <c r="B3" s="4" t="s">
        <v>1366</v>
      </c>
      <c r="C3" s="4"/>
      <c r="D3" s="12" t="s">
        <v>1370</v>
      </c>
      <c r="E3" s="4"/>
      <c r="F3" s="4"/>
      <c r="G3" s="4"/>
      <c r="H3" s="4"/>
      <c r="I3" s="4"/>
      <c r="J3" s="4"/>
      <c r="K3" s="4"/>
      <c r="L3" s="4"/>
      <c r="M3" s="4" t="s">
        <v>1372</v>
      </c>
      <c r="N3" s="4"/>
      <c r="O3" s="4"/>
      <c r="P3" s="84" t="s">
        <v>1367</v>
      </c>
      <c r="Q3" s="84" t="s">
        <v>1368</v>
      </c>
      <c r="R3" s="84" t="s">
        <v>1369</v>
      </c>
      <c r="S3" s="84" t="s">
        <v>1371</v>
      </c>
      <c r="T3" s="4"/>
      <c r="U3" s="4"/>
      <c r="V3" s="4"/>
      <c r="W3" s="4"/>
      <c r="X3" s="4"/>
      <c r="Y3" s="4"/>
      <c r="Z3" s="4"/>
      <c r="AA3" s="4"/>
      <c r="AB3" s="4"/>
      <c r="AC3" s="4"/>
      <c r="AD3" s="4"/>
      <c r="AE3" s="4"/>
      <c r="AF3" s="4"/>
      <c r="AG3" s="4"/>
      <c r="AH3" s="4"/>
      <c r="AI3" s="4"/>
    </row>
    <row r="4" spans="1:35" ht="60" customHeight="1" x14ac:dyDescent="0.2">
      <c r="A4" s="3"/>
      <c r="B4" s="4"/>
      <c r="C4" s="4"/>
      <c r="D4" s="4"/>
      <c r="E4" s="4"/>
      <c r="F4" s="4"/>
      <c r="G4" s="4"/>
      <c r="H4" s="4"/>
      <c r="I4" s="4"/>
      <c r="J4" s="4"/>
      <c r="K4" s="4"/>
      <c r="L4" s="4"/>
      <c r="M4" s="4"/>
      <c r="N4" s="4"/>
      <c r="O4" s="4"/>
      <c r="P4" s="4"/>
      <c r="Q4" s="10"/>
      <c r="R4" s="7"/>
      <c r="S4" s="7"/>
      <c r="T4" s="4"/>
      <c r="U4" s="4"/>
      <c r="V4" s="4"/>
      <c r="W4" s="4"/>
      <c r="X4" s="4"/>
      <c r="Y4" s="4"/>
      <c r="Z4" s="4"/>
      <c r="AA4" s="4"/>
      <c r="AB4" s="4"/>
      <c r="AC4" s="4"/>
      <c r="AD4" s="4"/>
      <c r="AE4" s="4"/>
      <c r="AF4" s="4"/>
      <c r="AG4" s="4"/>
      <c r="AH4" s="4"/>
    </row>
    <row r="5" spans="1:35" ht="60" customHeight="1" x14ac:dyDescent="0.2">
      <c r="A5" s="3"/>
      <c r="B5" s="4"/>
      <c r="C5" s="4"/>
      <c r="D5" s="4"/>
      <c r="E5" s="4"/>
      <c r="F5" s="4"/>
      <c r="G5" s="4"/>
      <c r="H5" s="4"/>
      <c r="I5" s="4"/>
      <c r="J5" s="4"/>
      <c r="K5" s="4"/>
      <c r="L5" s="4"/>
      <c r="M5" s="4"/>
      <c r="N5" s="4"/>
      <c r="O5" s="4"/>
      <c r="P5" s="4"/>
      <c r="Q5" s="10"/>
      <c r="R5" s="19"/>
      <c r="S5" s="19"/>
      <c r="T5" s="19"/>
      <c r="U5" s="19"/>
      <c r="V5" s="4"/>
      <c r="W5" s="4"/>
      <c r="X5" s="4"/>
      <c r="Y5" s="4"/>
      <c r="Z5" s="4"/>
      <c r="AA5" s="4"/>
      <c r="AB5" s="4"/>
      <c r="AC5" s="4"/>
      <c r="AD5" s="4"/>
      <c r="AE5" s="4"/>
      <c r="AF5" s="4"/>
      <c r="AG5" s="4"/>
      <c r="AH5" s="4"/>
    </row>
    <row r="6" spans="1:35" ht="60" customHeight="1" x14ac:dyDescent="0.2">
      <c r="A6" s="3"/>
      <c r="B6" s="4"/>
      <c r="C6" s="4"/>
      <c r="D6" s="4"/>
      <c r="E6" s="4"/>
      <c r="F6" s="4"/>
      <c r="G6" s="4"/>
      <c r="H6" s="4"/>
      <c r="I6" s="4"/>
      <c r="J6" s="4"/>
      <c r="K6" s="4"/>
      <c r="L6" s="4"/>
      <c r="M6" s="4"/>
      <c r="N6" s="4"/>
      <c r="O6" s="4"/>
      <c r="P6" s="4"/>
      <c r="Q6" s="10"/>
      <c r="R6" s="4"/>
      <c r="S6" s="4"/>
      <c r="T6" s="4"/>
      <c r="U6" s="4"/>
      <c r="V6" s="4"/>
      <c r="W6" s="4"/>
      <c r="X6" s="4"/>
      <c r="Y6" s="4"/>
      <c r="Z6" s="4"/>
      <c r="AA6" s="4"/>
      <c r="AB6" s="4"/>
      <c r="AC6" s="4"/>
      <c r="AD6" s="4"/>
      <c r="AE6" s="4"/>
      <c r="AF6" s="4"/>
      <c r="AG6" s="4"/>
      <c r="AH6" s="4"/>
    </row>
    <row r="7" spans="1:35" ht="60" customHeight="1" x14ac:dyDescent="0.2">
      <c r="A7" s="3"/>
      <c r="B7" s="4"/>
      <c r="C7" s="4"/>
      <c r="D7" s="4"/>
      <c r="E7" s="4"/>
      <c r="F7" s="4"/>
      <c r="G7" s="4"/>
      <c r="H7" s="4"/>
      <c r="I7" s="4"/>
      <c r="J7" s="4"/>
      <c r="K7" s="4"/>
      <c r="L7" s="4"/>
      <c r="M7" s="4"/>
      <c r="N7" s="4"/>
      <c r="O7" s="38"/>
      <c r="P7" s="4"/>
      <c r="Q7" s="10"/>
      <c r="R7" s="4"/>
      <c r="S7" s="4"/>
      <c r="T7" s="4"/>
      <c r="U7" s="4"/>
      <c r="V7" s="4"/>
      <c r="W7" s="4"/>
      <c r="X7" s="4"/>
      <c r="Y7" s="4"/>
      <c r="Z7" s="4"/>
      <c r="AA7" s="4"/>
      <c r="AB7" s="4"/>
      <c r="AC7" s="4"/>
      <c r="AD7" s="4"/>
      <c r="AE7" s="4"/>
      <c r="AF7" s="4"/>
      <c r="AG7" s="4"/>
      <c r="AH7" s="4"/>
    </row>
    <row r="8" spans="1:35" ht="60" customHeight="1" x14ac:dyDescent="0.2">
      <c r="A8" s="3"/>
      <c r="B8" s="4"/>
      <c r="C8" s="4"/>
      <c r="D8" s="4"/>
      <c r="E8" s="4"/>
      <c r="F8" s="4"/>
      <c r="G8" s="4"/>
      <c r="H8" s="4"/>
      <c r="I8" s="4"/>
      <c r="J8" s="4"/>
      <c r="K8" s="4"/>
      <c r="L8" s="4"/>
      <c r="M8" s="4"/>
      <c r="N8" s="4"/>
      <c r="O8" s="4"/>
      <c r="P8" s="4"/>
      <c r="Q8" s="10"/>
      <c r="R8" s="4"/>
      <c r="S8" s="4"/>
      <c r="T8" s="4"/>
      <c r="U8" s="4"/>
      <c r="V8" s="4"/>
      <c r="W8" s="4"/>
      <c r="X8" s="4"/>
      <c r="Y8" s="4"/>
      <c r="Z8" s="4"/>
      <c r="AA8" s="4"/>
      <c r="AB8" s="4"/>
      <c r="AC8" s="4"/>
      <c r="AD8" s="4"/>
      <c r="AE8" s="4"/>
      <c r="AF8" s="4"/>
      <c r="AG8" s="4"/>
      <c r="AH8" s="4"/>
    </row>
    <row r="9" spans="1:35" ht="60" customHeight="1" x14ac:dyDescent="0.2">
      <c r="A9" s="3"/>
      <c r="B9" s="4"/>
      <c r="C9" s="4"/>
      <c r="D9" s="4"/>
      <c r="E9" s="4"/>
      <c r="F9" s="4"/>
      <c r="G9" s="4"/>
      <c r="H9" s="4"/>
      <c r="I9" s="4"/>
      <c r="J9" s="4"/>
      <c r="K9" s="4"/>
      <c r="L9" s="4"/>
      <c r="M9" s="4"/>
      <c r="N9" s="4"/>
      <c r="O9" s="4"/>
      <c r="P9" s="4"/>
      <c r="Q9" s="10"/>
      <c r="R9" s="4"/>
      <c r="S9" s="4"/>
      <c r="T9" s="4"/>
      <c r="U9" s="4"/>
      <c r="V9" s="4"/>
      <c r="W9" s="4"/>
      <c r="X9" s="4"/>
      <c r="Y9" s="4"/>
      <c r="Z9" s="4"/>
      <c r="AA9" s="4"/>
      <c r="AB9" s="4"/>
      <c r="AC9" s="4"/>
      <c r="AD9" s="4"/>
      <c r="AE9" s="4"/>
      <c r="AF9" s="4"/>
      <c r="AG9" s="4"/>
      <c r="AH9" s="4"/>
    </row>
    <row r="10" spans="1:35" ht="60" customHeight="1" x14ac:dyDescent="0.2">
      <c r="A10" s="3"/>
      <c r="B10" s="4"/>
      <c r="C10" s="4"/>
      <c r="D10" s="4"/>
      <c r="E10" s="4"/>
      <c r="F10" s="4"/>
      <c r="G10" s="4"/>
      <c r="H10" s="4"/>
      <c r="I10" s="4"/>
      <c r="J10" s="4"/>
      <c r="K10" s="4"/>
      <c r="L10" s="4"/>
      <c r="M10" s="4"/>
      <c r="N10" s="4"/>
      <c r="O10" s="4"/>
      <c r="P10" s="4"/>
      <c r="Q10" s="10"/>
      <c r="R10" s="4"/>
      <c r="S10" s="4"/>
      <c r="T10" s="4"/>
      <c r="U10" s="4"/>
      <c r="V10" s="4"/>
      <c r="W10" s="4"/>
      <c r="X10" s="4"/>
      <c r="Y10" s="4"/>
      <c r="Z10" s="4"/>
      <c r="AA10" s="4"/>
      <c r="AB10" s="4"/>
      <c r="AC10" s="4"/>
      <c r="AD10" s="4"/>
      <c r="AE10" s="4"/>
      <c r="AF10" s="4"/>
      <c r="AG10" s="4"/>
      <c r="AH10" s="4"/>
    </row>
    <row r="11" spans="1:35" ht="60" customHeight="1" x14ac:dyDescent="0.2">
      <c r="A11" s="3"/>
      <c r="B11" s="4"/>
      <c r="C11" s="4"/>
      <c r="D11" s="4"/>
      <c r="E11" s="4"/>
      <c r="F11" s="4"/>
      <c r="G11" s="4"/>
      <c r="H11" s="4"/>
      <c r="I11" s="4"/>
      <c r="J11" s="4"/>
      <c r="K11" s="4"/>
      <c r="L11" s="4"/>
      <c r="M11" s="4"/>
      <c r="N11" s="4"/>
      <c r="O11" s="4"/>
      <c r="P11" s="4"/>
      <c r="Q11" s="7"/>
      <c r="R11" s="4"/>
      <c r="S11" s="4"/>
      <c r="T11" s="4"/>
      <c r="U11" s="4"/>
      <c r="V11" s="4"/>
      <c r="W11" s="4"/>
      <c r="X11" s="4"/>
      <c r="Y11" s="4"/>
      <c r="Z11" s="4"/>
      <c r="AA11" s="4"/>
      <c r="AB11" s="4"/>
      <c r="AC11" s="4"/>
      <c r="AD11" s="4"/>
      <c r="AE11" s="4"/>
      <c r="AF11" s="4"/>
      <c r="AG11" s="4"/>
      <c r="AH11" s="4"/>
    </row>
    <row r="12" spans="1:35" ht="60" customHeight="1" x14ac:dyDescent="0.2">
      <c r="A12" s="3"/>
      <c r="B12" s="4"/>
      <c r="C12" s="4"/>
      <c r="D12" s="4"/>
      <c r="E12" s="4"/>
      <c r="F12" s="4"/>
      <c r="G12" s="4"/>
      <c r="H12" s="4"/>
      <c r="I12" s="4"/>
      <c r="J12" s="4"/>
      <c r="K12" s="4"/>
      <c r="L12" s="4"/>
      <c r="M12" s="4"/>
      <c r="N12" s="4"/>
      <c r="O12" s="38"/>
      <c r="P12" s="4"/>
      <c r="Q12" s="10"/>
      <c r="R12" s="10"/>
      <c r="S12" s="7"/>
      <c r="T12" s="4"/>
      <c r="U12" s="4"/>
      <c r="V12" s="4"/>
      <c r="W12" s="4"/>
      <c r="X12" s="4"/>
      <c r="Y12" s="4"/>
      <c r="Z12" s="4"/>
      <c r="AA12" s="4"/>
      <c r="AB12" s="4"/>
      <c r="AC12" s="4"/>
      <c r="AD12" s="4"/>
      <c r="AE12" s="4"/>
      <c r="AF12" s="4"/>
      <c r="AG12" s="4"/>
      <c r="AH12" s="4"/>
    </row>
    <row r="13" spans="1:35" ht="60" customHeight="1" x14ac:dyDescent="0.2">
      <c r="A13" s="3"/>
      <c r="B13" s="4"/>
      <c r="C13" s="4"/>
      <c r="D13" s="4"/>
      <c r="E13" s="4"/>
      <c r="F13" s="4"/>
      <c r="G13" s="4"/>
      <c r="H13" s="4"/>
      <c r="I13" s="4"/>
      <c r="J13" s="4"/>
      <c r="K13" s="4"/>
      <c r="L13" s="4"/>
      <c r="M13" s="4"/>
      <c r="N13" s="4"/>
      <c r="O13" s="4"/>
      <c r="P13" s="4"/>
      <c r="Q13" s="7"/>
      <c r="R13" s="4"/>
      <c r="S13" s="4"/>
      <c r="T13" s="4"/>
      <c r="U13" s="4"/>
      <c r="V13" s="4"/>
      <c r="W13" s="4"/>
      <c r="X13" s="4"/>
      <c r="Y13" s="4"/>
      <c r="Z13" s="4"/>
      <c r="AA13" s="4"/>
      <c r="AB13" s="4"/>
      <c r="AC13" s="4"/>
      <c r="AD13" s="4"/>
      <c r="AE13" s="4"/>
      <c r="AF13" s="4"/>
      <c r="AG13" s="4"/>
      <c r="AH13" s="4"/>
    </row>
    <row r="14" spans="1:35" ht="60" customHeight="1" x14ac:dyDescent="0.2">
      <c r="A14" s="3"/>
      <c r="B14" s="4"/>
      <c r="C14" s="4"/>
      <c r="D14" s="4"/>
      <c r="E14" s="4"/>
      <c r="F14" s="4"/>
      <c r="G14" s="4"/>
      <c r="H14" s="4"/>
      <c r="I14" s="4"/>
      <c r="J14" s="4"/>
      <c r="K14" s="4"/>
      <c r="L14" s="4"/>
      <c r="M14" s="4"/>
      <c r="N14" s="4"/>
      <c r="O14" s="4"/>
      <c r="P14" s="4"/>
      <c r="Q14" s="7"/>
      <c r="R14" s="10"/>
      <c r="S14" s="10"/>
      <c r="T14" s="8"/>
      <c r="U14" s="4"/>
      <c r="V14" s="4"/>
      <c r="W14" s="4"/>
      <c r="X14" s="4"/>
      <c r="Y14" s="4"/>
      <c r="Z14" s="4"/>
      <c r="AA14" s="4"/>
      <c r="AB14" s="4"/>
      <c r="AC14" s="4"/>
      <c r="AD14" s="4"/>
      <c r="AE14" s="4"/>
      <c r="AF14" s="4"/>
      <c r="AG14" s="4"/>
      <c r="AH14" s="4"/>
    </row>
    <row r="15" spans="1:35" ht="60" customHeight="1" x14ac:dyDescent="0.2">
      <c r="A15" s="3"/>
      <c r="B15" s="4"/>
      <c r="C15" s="4"/>
      <c r="D15" s="4"/>
      <c r="E15" s="4"/>
      <c r="F15" s="4"/>
      <c r="G15" s="4"/>
      <c r="H15" s="4"/>
      <c r="I15" s="4"/>
      <c r="J15" s="4"/>
      <c r="K15" s="4"/>
      <c r="L15" s="4"/>
      <c r="M15" s="4"/>
      <c r="N15" s="4"/>
      <c r="O15" s="4"/>
      <c r="P15" s="4"/>
      <c r="Q15" s="10"/>
      <c r="R15" s="10"/>
      <c r="S15" s="4"/>
      <c r="T15" s="4"/>
      <c r="U15" s="4"/>
      <c r="V15" s="4"/>
      <c r="W15" s="4"/>
      <c r="X15" s="4"/>
      <c r="Y15" s="4"/>
      <c r="Z15" s="4"/>
      <c r="AA15" s="4"/>
      <c r="AB15" s="4"/>
      <c r="AC15" s="4"/>
      <c r="AD15" s="4"/>
      <c r="AE15" s="4"/>
      <c r="AF15" s="4"/>
      <c r="AG15" s="4"/>
      <c r="AH15" s="4"/>
    </row>
    <row r="16" spans="1:35" ht="60" customHeight="1" x14ac:dyDescent="0.2">
      <c r="A16" s="3"/>
      <c r="B16" s="4"/>
      <c r="C16" s="4"/>
      <c r="D16" s="4"/>
      <c r="E16" s="4"/>
      <c r="F16" s="4"/>
      <c r="G16" s="4"/>
      <c r="H16" s="4"/>
      <c r="I16" s="4"/>
      <c r="J16" s="4"/>
      <c r="K16" s="4"/>
      <c r="L16" s="4"/>
      <c r="M16" s="4"/>
      <c r="N16" s="4"/>
      <c r="O16" s="4"/>
      <c r="P16" s="4"/>
      <c r="Q16" s="10"/>
      <c r="R16" s="10"/>
      <c r="S16" s="10"/>
      <c r="T16" s="4"/>
      <c r="U16" s="4"/>
      <c r="V16" s="4"/>
      <c r="W16" s="4"/>
      <c r="X16" s="4"/>
      <c r="Y16" s="4"/>
      <c r="Z16" s="4"/>
      <c r="AA16" s="4"/>
      <c r="AB16" s="4"/>
      <c r="AC16" s="4"/>
      <c r="AD16" s="4"/>
      <c r="AE16" s="4"/>
      <c r="AF16" s="4"/>
      <c r="AG16" s="4"/>
      <c r="AH16" s="4"/>
    </row>
    <row r="17" spans="1:34" ht="60" customHeight="1" x14ac:dyDescent="0.2">
      <c r="A17" s="3"/>
      <c r="B17" s="4"/>
      <c r="C17" s="4"/>
      <c r="D17" s="4"/>
      <c r="E17" s="4"/>
      <c r="F17" s="4"/>
      <c r="G17" s="4"/>
      <c r="H17" s="4"/>
      <c r="I17" s="4"/>
      <c r="J17" s="4"/>
      <c r="K17" s="4"/>
      <c r="L17" s="4"/>
      <c r="M17" s="4"/>
      <c r="N17" s="4"/>
      <c r="O17" s="4"/>
      <c r="P17" s="4"/>
      <c r="Q17" s="10"/>
      <c r="R17" s="4"/>
      <c r="S17" s="4"/>
      <c r="T17" s="4"/>
      <c r="U17" s="4"/>
      <c r="V17" s="4"/>
      <c r="W17" s="4"/>
      <c r="X17" s="4"/>
      <c r="Y17" s="4"/>
      <c r="Z17" s="4"/>
      <c r="AA17" s="4"/>
      <c r="AB17" s="4"/>
      <c r="AC17" s="4"/>
      <c r="AD17" s="4"/>
      <c r="AE17" s="4"/>
      <c r="AF17" s="4"/>
      <c r="AG17" s="4"/>
      <c r="AH17" s="4"/>
    </row>
    <row r="18" spans="1:34" ht="60" customHeight="1" x14ac:dyDescent="0.2">
      <c r="A18" s="3"/>
      <c r="B18" s="4"/>
      <c r="C18" s="4"/>
      <c r="D18" s="4"/>
      <c r="E18" s="4"/>
      <c r="F18" s="4"/>
      <c r="G18" s="4"/>
      <c r="H18" s="4"/>
      <c r="I18" s="4"/>
      <c r="J18" s="4"/>
      <c r="K18" s="4"/>
      <c r="L18" s="4"/>
      <c r="M18" s="4"/>
      <c r="N18" s="4"/>
      <c r="O18" s="4"/>
      <c r="P18" s="4"/>
      <c r="Q18" s="10"/>
      <c r="R18" s="7"/>
      <c r="S18" s="4"/>
      <c r="T18" s="4"/>
      <c r="U18" s="4"/>
      <c r="V18" s="4"/>
      <c r="W18" s="4"/>
      <c r="X18" s="4"/>
      <c r="Y18" s="4"/>
      <c r="Z18" s="4"/>
      <c r="AA18" s="4"/>
      <c r="AB18" s="4"/>
      <c r="AC18" s="4"/>
      <c r="AD18" s="4"/>
      <c r="AE18" s="4"/>
      <c r="AF18" s="4"/>
      <c r="AG18" s="4"/>
      <c r="AH18" s="4"/>
    </row>
    <row r="19" spans="1:34" ht="60" customHeight="1" x14ac:dyDescent="0.2">
      <c r="A19" s="3"/>
      <c r="B19" s="4"/>
      <c r="C19" s="4"/>
      <c r="D19" s="4"/>
      <c r="E19" s="4"/>
      <c r="F19" s="4"/>
      <c r="G19" s="4"/>
      <c r="H19" s="4"/>
      <c r="I19" s="4"/>
      <c r="J19" s="4"/>
      <c r="K19" s="4"/>
      <c r="L19" s="4"/>
      <c r="M19" s="4"/>
      <c r="N19" s="4"/>
      <c r="O19" s="4"/>
      <c r="P19" s="4"/>
      <c r="Q19" s="10"/>
      <c r="R19" s="4"/>
      <c r="S19" s="4"/>
      <c r="T19" s="4"/>
      <c r="U19" s="4"/>
      <c r="V19" s="4"/>
      <c r="W19" s="4"/>
      <c r="X19" s="4"/>
      <c r="Y19" s="4"/>
      <c r="Z19" s="4"/>
      <c r="AA19" s="4"/>
      <c r="AB19" s="4"/>
      <c r="AC19" s="4"/>
      <c r="AD19" s="4"/>
      <c r="AE19" s="4"/>
      <c r="AF19" s="4"/>
      <c r="AG19" s="4"/>
      <c r="AH19" s="4"/>
    </row>
    <row r="20" spans="1:34" ht="60" customHeight="1" x14ac:dyDescent="0.2">
      <c r="A20" s="3"/>
      <c r="B20" s="4"/>
      <c r="C20" s="4"/>
      <c r="D20" s="4"/>
      <c r="E20" s="4"/>
      <c r="F20" s="4"/>
      <c r="G20" s="4"/>
      <c r="H20" s="4"/>
      <c r="I20" s="4"/>
      <c r="J20" s="4"/>
      <c r="K20" s="4"/>
      <c r="L20" s="4"/>
      <c r="M20" s="4"/>
      <c r="N20" s="4"/>
      <c r="O20" s="4"/>
      <c r="P20" s="4"/>
      <c r="Q20" s="10"/>
      <c r="R20" s="4"/>
      <c r="S20" s="4"/>
      <c r="T20" s="4"/>
      <c r="U20" s="4"/>
      <c r="V20" s="4"/>
      <c r="W20" s="4"/>
      <c r="X20" s="4"/>
      <c r="Y20" s="4"/>
      <c r="Z20" s="4"/>
      <c r="AA20" s="4"/>
      <c r="AB20" s="4"/>
      <c r="AC20" s="4"/>
      <c r="AD20" s="4"/>
      <c r="AE20" s="4"/>
      <c r="AF20" s="4"/>
      <c r="AG20" s="4"/>
      <c r="AH20" s="4"/>
    </row>
    <row r="21" spans="1:34" ht="60" customHeight="1" x14ac:dyDescent="0.2">
      <c r="A21" s="3"/>
      <c r="B21" s="4"/>
      <c r="C21" s="4"/>
      <c r="D21" s="4"/>
      <c r="E21" s="4"/>
      <c r="F21" s="4"/>
      <c r="G21" s="4"/>
      <c r="H21" s="4"/>
      <c r="I21" s="4"/>
      <c r="J21" s="4"/>
      <c r="K21" s="4"/>
      <c r="L21" s="4"/>
      <c r="M21" s="4"/>
      <c r="N21" s="4"/>
      <c r="O21" s="4"/>
      <c r="P21" s="4"/>
      <c r="Q21" s="10"/>
      <c r="R21" s="10"/>
      <c r="S21" s="4"/>
      <c r="T21" s="4"/>
      <c r="U21" s="4"/>
      <c r="V21" s="4"/>
      <c r="W21" s="4"/>
      <c r="X21" s="4"/>
      <c r="Y21" s="4"/>
      <c r="Z21" s="4"/>
      <c r="AA21" s="4"/>
      <c r="AB21" s="4"/>
      <c r="AC21" s="4"/>
      <c r="AD21" s="4"/>
      <c r="AE21" s="4"/>
      <c r="AF21" s="4"/>
      <c r="AG21" s="4"/>
      <c r="AH21" s="4"/>
    </row>
    <row r="22" spans="1:34" ht="60" customHeight="1" x14ac:dyDescent="0.2">
      <c r="A22" s="3"/>
      <c r="B22" s="4"/>
      <c r="C22" s="4"/>
      <c r="D22" s="4"/>
      <c r="E22" s="4"/>
      <c r="F22" s="4"/>
      <c r="G22" s="4"/>
      <c r="H22" s="4"/>
      <c r="I22" s="4"/>
      <c r="J22" s="4"/>
      <c r="K22" s="4"/>
      <c r="L22" s="4"/>
      <c r="M22" s="4"/>
      <c r="N22" s="4"/>
      <c r="O22" s="4"/>
      <c r="P22" s="4"/>
      <c r="Q22" s="10"/>
      <c r="R22" s="8"/>
      <c r="S22" s="4"/>
      <c r="T22" s="4"/>
      <c r="U22" s="4"/>
      <c r="V22" s="4"/>
      <c r="W22" s="4"/>
      <c r="X22" s="4"/>
      <c r="Y22" s="4"/>
      <c r="Z22" s="4"/>
      <c r="AA22" s="4"/>
      <c r="AB22" s="4"/>
      <c r="AC22" s="4"/>
      <c r="AD22" s="4"/>
      <c r="AE22" s="4"/>
      <c r="AF22" s="4"/>
      <c r="AG22" s="4"/>
      <c r="AH22" s="4"/>
    </row>
    <row r="23" spans="1:34" ht="60" customHeight="1" x14ac:dyDescent="0.2">
      <c r="A23" s="3"/>
      <c r="B23" s="4"/>
      <c r="C23" s="4"/>
      <c r="D23" s="4"/>
      <c r="E23" s="4"/>
      <c r="F23" s="4"/>
      <c r="G23" s="4"/>
      <c r="H23" s="4"/>
      <c r="I23" s="4"/>
      <c r="J23" s="4"/>
      <c r="K23" s="4"/>
      <c r="L23" s="4"/>
      <c r="M23" s="4"/>
      <c r="N23" s="4"/>
      <c r="O23" s="4"/>
      <c r="P23" s="4"/>
      <c r="Q23" s="10"/>
      <c r="R23" s="4"/>
      <c r="S23" s="4"/>
      <c r="T23" s="4"/>
      <c r="U23" s="4"/>
      <c r="V23" s="4"/>
      <c r="W23" s="4"/>
      <c r="X23" s="4"/>
      <c r="Y23" s="4"/>
      <c r="Z23" s="4"/>
      <c r="AA23" s="4"/>
      <c r="AB23" s="4"/>
      <c r="AC23" s="4"/>
      <c r="AD23" s="4"/>
      <c r="AE23" s="4"/>
      <c r="AF23" s="4"/>
      <c r="AG23" s="4"/>
      <c r="AH23" s="4"/>
    </row>
    <row r="24" spans="1:34" ht="60" customHeight="1" x14ac:dyDescent="0.2">
      <c r="A24" s="3"/>
      <c r="B24" s="4"/>
      <c r="C24" s="4"/>
      <c r="D24" s="4"/>
      <c r="E24" s="4"/>
      <c r="F24" s="4"/>
      <c r="G24" s="4"/>
      <c r="H24" s="4"/>
      <c r="I24" s="4"/>
      <c r="J24" s="4"/>
      <c r="K24" s="4"/>
      <c r="L24" s="4"/>
      <c r="M24" s="4"/>
      <c r="N24" s="4"/>
      <c r="O24" s="4"/>
      <c r="P24" s="4"/>
      <c r="Q24" s="10"/>
      <c r="R24" s="4"/>
      <c r="S24" s="4"/>
      <c r="T24" s="4"/>
      <c r="U24" s="4"/>
      <c r="V24" s="4"/>
      <c r="W24" s="4"/>
      <c r="X24" s="4"/>
      <c r="Y24" s="4"/>
      <c r="Z24" s="4"/>
      <c r="AA24" s="4"/>
      <c r="AB24" s="4"/>
      <c r="AC24" s="4"/>
      <c r="AD24" s="4"/>
      <c r="AE24" s="4"/>
      <c r="AF24" s="4"/>
      <c r="AG24" s="4"/>
      <c r="AH24" s="4"/>
    </row>
    <row r="25" spans="1:34" ht="60" customHeight="1" x14ac:dyDescent="0.2">
      <c r="A25" s="3"/>
      <c r="B25" s="4"/>
      <c r="C25" s="4"/>
      <c r="D25" s="4"/>
      <c r="E25" s="4"/>
      <c r="F25" s="4"/>
      <c r="G25" s="4"/>
      <c r="H25" s="4"/>
      <c r="I25" s="4"/>
      <c r="J25" s="4"/>
      <c r="K25" s="4"/>
      <c r="L25" s="4"/>
      <c r="M25" s="4"/>
      <c r="N25" s="4"/>
      <c r="O25" s="4"/>
      <c r="P25" s="4"/>
      <c r="Q25" s="10"/>
      <c r="R25" s="10"/>
      <c r="S25" s="19"/>
      <c r="T25" s="4"/>
      <c r="U25" s="4"/>
      <c r="V25" s="4"/>
      <c r="W25" s="4"/>
      <c r="X25" s="4"/>
      <c r="Y25" s="4"/>
      <c r="Z25" s="4"/>
      <c r="AA25" s="4"/>
      <c r="AB25" s="4"/>
      <c r="AC25" s="4"/>
      <c r="AD25" s="4"/>
      <c r="AE25" s="4"/>
      <c r="AF25" s="4"/>
      <c r="AG25" s="4"/>
      <c r="AH25" s="4"/>
    </row>
    <row r="26" spans="1:34" ht="60" customHeight="1" x14ac:dyDescent="0.2">
      <c r="A26" s="3"/>
      <c r="B26" s="4"/>
      <c r="C26" s="4"/>
      <c r="D26" s="4"/>
      <c r="E26" s="4"/>
      <c r="F26" s="4"/>
      <c r="G26" s="4"/>
      <c r="H26" s="4"/>
      <c r="I26" s="4"/>
      <c r="J26" s="4"/>
      <c r="K26" s="4"/>
      <c r="L26" s="4"/>
      <c r="M26" s="4"/>
      <c r="N26" s="4"/>
      <c r="O26" s="4"/>
      <c r="P26" s="4"/>
      <c r="Q26" s="10"/>
      <c r="R26" s="4"/>
      <c r="S26" s="4"/>
      <c r="T26" s="4"/>
      <c r="U26" s="4"/>
      <c r="V26" s="4"/>
      <c r="W26" s="4"/>
      <c r="X26" s="4"/>
      <c r="Y26" s="4"/>
      <c r="Z26" s="4"/>
      <c r="AA26" s="4"/>
      <c r="AB26" s="4"/>
      <c r="AC26" s="4"/>
      <c r="AD26" s="4"/>
      <c r="AE26" s="4"/>
      <c r="AF26" s="4"/>
      <c r="AG26" s="4"/>
      <c r="AH26" s="4"/>
    </row>
    <row r="27" spans="1:34" ht="60" customHeight="1" x14ac:dyDescent="0.2">
      <c r="A27" s="3"/>
      <c r="B27" s="4"/>
      <c r="C27" s="4"/>
      <c r="D27" s="4"/>
      <c r="E27" s="4"/>
      <c r="F27" s="4"/>
      <c r="G27" s="4"/>
      <c r="H27" s="4"/>
      <c r="I27" s="4"/>
      <c r="J27" s="4"/>
      <c r="K27" s="4"/>
      <c r="L27" s="4"/>
      <c r="M27" s="4"/>
      <c r="N27" s="4"/>
      <c r="O27" s="4"/>
      <c r="P27" s="4"/>
      <c r="Q27" s="10"/>
      <c r="R27" s="4"/>
      <c r="S27" s="4"/>
      <c r="T27" s="4"/>
      <c r="U27" s="4"/>
      <c r="V27" s="4"/>
      <c r="W27" s="4"/>
      <c r="X27" s="4"/>
      <c r="Y27" s="4"/>
      <c r="Z27" s="4"/>
      <c r="AA27" s="4"/>
      <c r="AB27" s="4"/>
      <c r="AC27" s="4"/>
      <c r="AD27" s="4"/>
      <c r="AE27" s="4"/>
      <c r="AF27" s="4"/>
      <c r="AG27" s="4"/>
      <c r="AH27" s="4"/>
    </row>
    <row r="28" spans="1:34" ht="60" customHeight="1" x14ac:dyDescent="0.2">
      <c r="A28" s="3"/>
      <c r="B28" s="4"/>
      <c r="C28" s="4"/>
      <c r="D28" s="4"/>
      <c r="E28" s="4"/>
      <c r="F28" s="4"/>
      <c r="G28" s="4"/>
      <c r="H28" s="4"/>
      <c r="I28" s="4"/>
      <c r="J28" s="4"/>
      <c r="K28" s="4"/>
      <c r="L28" s="4"/>
      <c r="M28" s="4"/>
      <c r="N28" s="4"/>
      <c r="O28" s="4"/>
      <c r="P28" s="4"/>
      <c r="Q28" s="10"/>
      <c r="R28" s="10"/>
      <c r="S28" s="10"/>
      <c r="T28" s="4"/>
      <c r="U28" s="4"/>
      <c r="V28" s="4"/>
      <c r="W28" s="4"/>
      <c r="X28" s="4"/>
      <c r="Y28" s="4"/>
      <c r="Z28" s="4"/>
      <c r="AA28" s="4"/>
      <c r="AB28" s="4"/>
      <c r="AC28" s="4"/>
      <c r="AD28" s="4"/>
      <c r="AE28" s="4"/>
      <c r="AF28" s="4"/>
      <c r="AG28" s="4"/>
      <c r="AH28" s="4"/>
    </row>
    <row r="29" spans="1:34" ht="60" customHeight="1" x14ac:dyDescent="0.2">
      <c r="A29" s="3"/>
      <c r="B29" s="4"/>
      <c r="C29" s="4"/>
      <c r="D29" s="4"/>
      <c r="E29" s="4"/>
      <c r="F29" s="4"/>
      <c r="G29" s="4"/>
      <c r="H29" s="4"/>
      <c r="I29" s="4"/>
      <c r="J29" s="4"/>
      <c r="K29" s="4"/>
      <c r="L29" s="4"/>
      <c r="M29" s="4"/>
      <c r="N29" s="4"/>
      <c r="O29" s="4"/>
      <c r="P29" s="4"/>
      <c r="Q29" s="10"/>
      <c r="R29" s="10"/>
      <c r="S29" s="10"/>
      <c r="T29" s="10"/>
      <c r="U29" s="4"/>
      <c r="V29" s="4"/>
      <c r="W29" s="4"/>
      <c r="X29" s="4"/>
      <c r="Y29" s="4"/>
      <c r="Z29" s="4"/>
      <c r="AA29" s="4"/>
      <c r="AB29" s="4"/>
      <c r="AC29" s="4"/>
      <c r="AD29" s="4"/>
      <c r="AE29" s="4"/>
      <c r="AF29" s="4"/>
      <c r="AG29" s="4"/>
      <c r="AH29" s="4"/>
    </row>
    <row r="30" spans="1:34" ht="60" customHeight="1" x14ac:dyDescent="0.2">
      <c r="A30" s="3"/>
      <c r="B30" s="4"/>
      <c r="C30" s="4"/>
      <c r="D30" s="4"/>
      <c r="E30" s="4"/>
      <c r="F30" s="4"/>
      <c r="G30" s="4"/>
      <c r="H30" s="4"/>
      <c r="I30" s="4"/>
      <c r="J30" s="4"/>
      <c r="K30" s="4"/>
      <c r="L30" s="4"/>
      <c r="M30" s="4"/>
      <c r="N30" s="4"/>
      <c r="O30" s="4"/>
      <c r="P30" s="4"/>
      <c r="Q30" s="10"/>
      <c r="R30" s="10"/>
      <c r="S30" s="4"/>
      <c r="T30" s="4"/>
      <c r="U30" s="4"/>
      <c r="V30" s="4"/>
      <c r="W30" s="4"/>
      <c r="X30" s="4"/>
      <c r="Y30" s="4"/>
      <c r="Z30" s="4"/>
      <c r="AA30" s="4"/>
      <c r="AB30" s="4"/>
      <c r="AC30" s="4"/>
      <c r="AD30" s="4"/>
      <c r="AE30" s="4"/>
      <c r="AF30" s="4"/>
      <c r="AG30" s="4"/>
      <c r="AH30" s="4"/>
    </row>
    <row r="31" spans="1:34" ht="60" customHeight="1" x14ac:dyDescent="0.2">
      <c r="A31" s="3"/>
      <c r="B31" s="4"/>
      <c r="C31" s="4"/>
      <c r="D31" s="4"/>
      <c r="E31" s="4"/>
      <c r="F31" s="4"/>
      <c r="G31" s="4"/>
      <c r="H31" s="4"/>
      <c r="I31" s="4"/>
      <c r="J31" s="4"/>
      <c r="K31" s="4"/>
      <c r="L31" s="4"/>
      <c r="M31" s="4"/>
      <c r="N31" s="4"/>
      <c r="O31" s="4"/>
      <c r="P31" s="4"/>
      <c r="Q31" s="7"/>
      <c r="R31" s="4"/>
      <c r="S31" s="4"/>
      <c r="T31" s="4"/>
      <c r="U31" s="4"/>
      <c r="V31" s="4"/>
      <c r="W31" s="4"/>
      <c r="X31" s="4"/>
      <c r="Y31" s="4"/>
      <c r="Z31" s="4"/>
      <c r="AA31" s="4"/>
      <c r="AB31" s="4"/>
      <c r="AC31" s="4"/>
      <c r="AD31" s="4"/>
      <c r="AE31" s="4"/>
      <c r="AF31" s="4"/>
      <c r="AG31" s="4"/>
      <c r="AH31" s="4"/>
    </row>
    <row r="32" spans="1:34" ht="60" customHeight="1" x14ac:dyDescent="0.2">
      <c r="A32" s="3"/>
      <c r="B32" s="4"/>
      <c r="C32" s="4"/>
      <c r="D32" s="4"/>
      <c r="E32" s="4"/>
      <c r="F32" s="4"/>
      <c r="G32" s="4"/>
      <c r="H32" s="4"/>
      <c r="I32" s="4"/>
      <c r="J32" s="4"/>
      <c r="K32" s="4"/>
      <c r="L32" s="4"/>
      <c r="M32" s="4"/>
      <c r="N32" s="4"/>
      <c r="O32" s="4"/>
      <c r="P32" s="4"/>
      <c r="Q32" s="10"/>
      <c r="R32" s="4"/>
      <c r="S32" s="4"/>
      <c r="T32" s="4"/>
      <c r="U32" s="4"/>
      <c r="V32" s="4"/>
      <c r="W32" s="4"/>
      <c r="X32" s="4"/>
      <c r="Y32" s="4"/>
      <c r="Z32" s="4"/>
      <c r="AA32" s="4"/>
      <c r="AB32" s="4"/>
      <c r="AC32" s="4"/>
      <c r="AD32" s="4"/>
      <c r="AE32" s="4"/>
      <c r="AF32" s="4"/>
      <c r="AG32" s="4"/>
      <c r="AH32" s="4"/>
    </row>
    <row r="33" spans="1:34" ht="60" customHeight="1" x14ac:dyDescent="0.2">
      <c r="A33" s="3"/>
      <c r="B33" s="4"/>
      <c r="C33" s="4"/>
      <c r="D33" s="4"/>
      <c r="E33" s="4"/>
      <c r="F33" s="4"/>
      <c r="G33" s="4"/>
      <c r="H33" s="4"/>
      <c r="I33" s="4"/>
      <c r="J33" s="4"/>
      <c r="K33" s="4"/>
      <c r="L33" s="4"/>
      <c r="M33" s="4"/>
      <c r="N33" s="4"/>
      <c r="O33" s="4"/>
      <c r="P33" s="4"/>
      <c r="Q33" s="10"/>
      <c r="R33" s="10"/>
      <c r="S33" s="4"/>
      <c r="T33" s="4"/>
      <c r="U33" s="4"/>
      <c r="V33" s="4"/>
      <c r="W33" s="4"/>
      <c r="X33" s="4"/>
      <c r="Y33" s="4"/>
      <c r="Z33" s="4"/>
      <c r="AA33" s="4"/>
      <c r="AB33" s="4"/>
      <c r="AC33" s="4"/>
      <c r="AD33" s="4"/>
      <c r="AE33" s="4"/>
      <c r="AF33" s="4"/>
      <c r="AG33" s="4"/>
      <c r="AH33" s="4"/>
    </row>
    <row r="34" spans="1:34" ht="60" customHeight="1" x14ac:dyDescent="0.2">
      <c r="A34" s="3"/>
      <c r="B34" s="4"/>
      <c r="C34" s="4"/>
      <c r="D34" s="4"/>
      <c r="E34" s="4"/>
      <c r="F34" s="4"/>
      <c r="G34" s="4"/>
      <c r="H34" s="4"/>
      <c r="I34" s="4"/>
      <c r="J34" s="4"/>
      <c r="K34" s="4"/>
      <c r="L34" s="4"/>
      <c r="M34" s="4"/>
      <c r="N34" s="4"/>
      <c r="O34" s="4"/>
      <c r="P34" s="4"/>
      <c r="Q34" s="10"/>
      <c r="R34" s="10"/>
      <c r="S34" s="4"/>
      <c r="T34" s="4"/>
      <c r="U34" s="4"/>
      <c r="V34" s="4"/>
      <c r="W34" s="4"/>
      <c r="X34" s="4"/>
      <c r="Y34" s="4"/>
      <c r="Z34" s="4"/>
      <c r="AA34" s="4"/>
      <c r="AB34" s="4"/>
      <c r="AC34" s="4"/>
      <c r="AD34" s="4"/>
      <c r="AE34" s="4"/>
      <c r="AF34" s="4"/>
      <c r="AG34" s="4"/>
      <c r="AH34" s="4"/>
    </row>
    <row r="35" spans="1:34" ht="60" customHeight="1" x14ac:dyDescent="0.2">
      <c r="A35" s="3"/>
      <c r="B35" s="4"/>
      <c r="C35" s="4"/>
      <c r="D35" s="4"/>
      <c r="E35" s="4"/>
      <c r="F35" s="4"/>
      <c r="G35" s="4"/>
      <c r="H35" s="4"/>
      <c r="I35" s="4"/>
      <c r="J35" s="4"/>
      <c r="K35" s="4"/>
      <c r="L35" s="4"/>
      <c r="M35" s="4"/>
      <c r="N35" s="4"/>
      <c r="O35" s="4"/>
      <c r="P35" s="4"/>
      <c r="Q35" s="10"/>
      <c r="R35" s="4"/>
      <c r="S35" s="4"/>
      <c r="T35" s="4"/>
      <c r="U35" s="4"/>
      <c r="V35" s="4"/>
      <c r="W35" s="4"/>
      <c r="X35" s="4"/>
      <c r="Y35" s="4"/>
      <c r="Z35" s="4"/>
      <c r="AA35" s="4"/>
      <c r="AB35" s="4"/>
      <c r="AC35" s="4"/>
      <c r="AD35" s="4"/>
      <c r="AE35" s="4"/>
      <c r="AF35" s="4"/>
      <c r="AG35" s="4"/>
      <c r="AH35" s="4"/>
    </row>
    <row r="36" spans="1:34" ht="60" customHeight="1" x14ac:dyDescent="0.2">
      <c r="A36" s="3"/>
      <c r="B36" s="4"/>
      <c r="C36" s="4"/>
      <c r="D36" s="4"/>
      <c r="E36" s="4"/>
      <c r="F36" s="4"/>
      <c r="G36" s="4"/>
      <c r="H36" s="4"/>
      <c r="I36" s="4"/>
      <c r="J36" s="4"/>
      <c r="K36" s="4"/>
      <c r="L36" s="4"/>
      <c r="M36" s="4"/>
      <c r="N36" s="4"/>
      <c r="O36" s="4"/>
      <c r="P36" s="4"/>
      <c r="Q36" s="10"/>
      <c r="R36" s="10"/>
      <c r="S36" s="4"/>
      <c r="T36" s="4"/>
      <c r="U36" s="4"/>
      <c r="V36" s="4"/>
      <c r="W36" s="4"/>
      <c r="X36" s="4"/>
      <c r="Y36" s="4"/>
      <c r="Z36" s="4"/>
      <c r="AA36" s="4"/>
      <c r="AB36" s="4"/>
      <c r="AC36" s="4"/>
      <c r="AD36" s="4"/>
      <c r="AE36" s="4"/>
      <c r="AF36" s="4"/>
      <c r="AG36" s="4"/>
      <c r="AH36" s="4"/>
    </row>
    <row r="37" spans="1:34" ht="60" customHeight="1" x14ac:dyDescent="0.2">
      <c r="A37" s="3"/>
      <c r="B37" s="4"/>
      <c r="C37" s="4"/>
      <c r="D37" s="4"/>
      <c r="E37" s="4"/>
      <c r="F37" s="4"/>
      <c r="G37" s="4"/>
      <c r="H37" s="4"/>
      <c r="I37" s="4"/>
      <c r="J37" s="4"/>
      <c r="K37" s="4"/>
      <c r="L37" s="4"/>
      <c r="M37" s="4"/>
      <c r="N37" s="4"/>
      <c r="O37" s="4"/>
      <c r="P37" s="4"/>
      <c r="Q37" s="7"/>
      <c r="R37" s="7"/>
      <c r="S37" s="4"/>
      <c r="T37" s="4"/>
      <c r="U37" s="4"/>
      <c r="V37" s="4"/>
      <c r="W37" s="4"/>
      <c r="X37" s="4"/>
      <c r="Y37" s="4"/>
      <c r="Z37" s="4"/>
      <c r="AA37" s="4"/>
      <c r="AB37" s="4"/>
      <c r="AC37" s="4"/>
      <c r="AD37" s="4"/>
      <c r="AE37" s="4"/>
      <c r="AF37" s="4"/>
      <c r="AG37" s="4"/>
      <c r="AH37" s="4"/>
    </row>
    <row r="38" spans="1:34" ht="60" customHeight="1" x14ac:dyDescent="0.2">
      <c r="A38" s="3"/>
      <c r="B38" s="4"/>
      <c r="C38" s="4"/>
      <c r="D38" s="4"/>
      <c r="E38" s="4"/>
      <c r="F38" s="4"/>
      <c r="G38" s="4"/>
      <c r="H38" s="4"/>
      <c r="I38" s="4"/>
      <c r="J38" s="4"/>
      <c r="K38" s="4"/>
      <c r="L38" s="4"/>
      <c r="M38" s="4"/>
      <c r="N38" s="4"/>
      <c r="O38" s="4"/>
      <c r="P38" s="4"/>
      <c r="Q38" s="10"/>
      <c r="R38" s="4"/>
      <c r="S38" s="4"/>
      <c r="T38" s="4"/>
      <c r="U38" s="4"/>
      <c r="V38" s="4"/>
      <c r="W38" s="4"/>
      <c r="X38" s="4"/>
      <c r="Y38" s="4"/>
      <c r="Z38" s="4"/>
      <c r="AA38" s="4"/>
      <c r="AB38" s="4"/>
      <c r="AC38" s="4"/>
      <c r="AD38" s="4"/>
      <c r="AE38" s="4"/>
      <c r="AF38" s="4"/>
      <c r="AG38" s="4"/>
      <c r="AH38" s="4"/>
    </row>
    <row r="39" spans="1:34" ht="60" customHeight="1" x14ac:dyDescent="0.2">
      <c r="A39" s="3"/>
      <c r="B39" s="4"/>
      <c r="C39" s="4"/>
      <c r="D39" s="4"/>
      <c r="E39" s="4"/>
      <c r="F39" s="4"/>
      <c r="G39" s="4"/>
      <c r="H39" s="4"/>
      <c r="I39" s="4"/>
      <c r="J39" s="4"/>
      <c r="K39" s="4"/>
      <c r="L39" s="4"/>
      <c r="M39" s="4"/>
      <c r="N39" s="4"/>
      <c r="O39" s="4"/>
      <c r="P39" s="4"/>
      <c r="Q39" s="7"/>
      <c r="R39" s="4"/>
      <c r="S39" s="4"/>
      <c r="T39" s="4"/>
      <c r="U39" s="4"/>
      <c r="V39" s="4"/>
      <c r="W39" s="4"/>
      <c r="X39" s="4"/>
      <c r="Y39" s="4"/>
      <c r="Z39" s="4"/>
      <c r="AA39" s="4"/>
      <c r="AB39" s="4"/>
      <c r="AC39" s="4"/>
      <c r="AD39" s="4"/>
      <c r="AE39" s="4"/>
      <c r="AF39" s="4"/>
      <c r="AG39" s="4"/>
      <c r="AH39" s="4"/>
    </row>
    <row r="40" spans="1:34" ht="60" customHeight="1" x14ac:dyDescent="0.2">
      <c r="A40" s="3"/>
      <c r="B40" s="4"/>
      <c r="C40" s="4"/>
      <c r="D40" s="4"/>
      <c r="E40" s="4"/>
      <c r="F40" s="4"/>
      <c r="G40" s="4"/>
      <c r="H40" s="4"/>
      <c r="I40" s="4"/>
      <c r="J40" s="4"/>
      <c r="K40" s="4"/>
      <c r="L40" s="4"/>
      <c r="M40" s="4"/>
      <c r="N40" s="4"/>
      <c r="O40" s="4"/>
      <c r="P40" s="4"/>
      <c r="Q40" s="7"/>
      <c r="R40" s="4"/>
      <c r="S40" s="4"/>
      <c r="T40" s="4"/>
      <c r="U40" s="4"/>
      <c r="V40" s="4"/>
      <c r="W40" s="4"/>
      <c r="X40" s="4"/>
      <c r="Y40" s="4"/>
      <c r="Z40" s="4"/>
      <c r="AA40" s="4"/>
      <c r="AB40" s="4"/>
      <c r="AC40" s="4"/>
      <c r="AD40" s="4"/>
      <c r="AE40" s="4"/>
      <c r="AF40" s="4"/>
      <c r="AG40" s="4"/>
      <c r="AH40" s="4"/>
    </row>
    <row r="41" spans="1:34" ht="60" customHeight="1" x14ac:dyDescent="0.2">
      <c r="A41" s="3"/>
      <c r="B41" s="4"/>
      <c r="C41" s="4"/>
      <c r="D41" s="4"/>
      <c r="E41" s="4"/>
      <c r="F41" s="4"/>
      <c r="G41" s="4"/>
      <c r="H41" s="4"/>
      <c r="I41" s="4"/>
      <c r="J41" s="4"/>
      <c r="K41" s="4"/>
      <c r="L41" s="4"/>
      <c r="M41" s="4"/>
      <c r="N41" s="4"/>
      <c r="O41" s="4"/>
      <c r="P41" s="4"/>
      <c r="Q41" s="10"/>
      <c r="R41" s="4"/>
      <c r="S41" s="4"/>
      <c r="T41" s="4"/>
      <c r="U41" s="4"/>
      <c r="V41" s="4"/>
      <c r="W41" s="4"/>
      <c r="X41" s="4"/>
      <c r="Y41" s="4"/>
      <c r="Z41" s="4"/>
      <c r="AA41" s="4"/>
      <c r="AB41" s="4"/>
      <c r="AC41" s="4"/>
      <c r="AD41" s="4"/>
      <c r="AE41" s="4"/>
      <c r="AF41" s="4"/>
      <c r="AG41" s="4"/>
      <c r="AH41" s="4"/>
    </row>
    <row r="42" spans="1:34" ht="60" customHeight="1" x14ac:dyDescent="0.2">
      <c r="A42" s="3"/>
      <c r="B42" s="4"/>
      <c r="C42" s="4"/>
      <c r="D42" s="4"/>
      <c r="E42" s="4"/>
      <c r="F42" s="4"/>
      <c r="G42" s="4"/>
      <c r="H42" s="4"/>
      <c r="I42" s="4"/>
      <c r="J42" s="4"/>
      <c r="K42" s="4"/>
      <c r="L42" s="4"/>
      <c r="M42" s="4"/>
      <c r="N42" s="4"/>
      <c r="O42" s="38"/>
      <c r="P42" s="4"/>
      <c r="Q42" s="10"/>
      <c r="R42" s="10"/>
      <c r="S42" s="4"/>
      <c r="T42" s="4"/>
      <c r="U42" s="4"/>
      <c r="V42" s="4"/>
      <c r="W42" s="4"/>
      <c r="X42" s="4"/>
      <c r="Y42" s="4"/>
      <c r="Z42" s="4"/>
      <c r="AA42" s="4"/>
      <c r="AB42" s="4"/>
      <c r="AC42" s="4"/>
      <c r="AD42" s="4"/>
      <c r="AE42" s="4"/>
      <c r="AF42" s="4"/>
      <c r="AG42" s="4"/>
      <c r="AH42" s="4"/>
    </row>
    <row r="43" spans="1:34" ht="60" customHeight="1" x14ac:dyDescent="0.2">
      <c r="A43" s="3"/>
      <c r="B43" s="4"/>
      <c r="C43" s="4"/>
      <c r="D43" s="4"/>
      <c r="E43" s="4"/>
      <c r="F43" s="4"/>
      <c r="G43" s="4"/>
      <c r="H43" s="4"/>
      <c r="I43" s="4"/>
      <c r="J43" s="4"/>
      <c r="K43" s="4"/>
      <c r="L43" s="4"/>
      <c r="M43" s="4"/>
      <c r="N43" s="4"/>
      <c r="O43" s="38"/>
      <c r="P43" s="4"/>
      <c r="Q43" s="7"/>
      <c r="R43" s="7"/>
      <c r="S43" s="4"/>
      <c r="T43" s="4"/>
      <c r="U43" s="4"/>
      <c r="V43" s="4"/>
      <c r="W43" s="4"/>
      <c r="X43" s="4"/>
      <c r="Y43" s="4"/>
      <c r="Z43" s="4"/>
      <c r="AA43" s="4"/>
      <c r="AB43" s="4"/>
      <c r="AC43" s="4"/>
      <c r="AD43" s="4"/>
      <c r="AE43" s="4"/>
      <c r="AF43" s="4"/>
      <c r="AG43" s="4"/>
      <c r="AH43" s="4"/>
    </row>
    <row r="44" spans="1:34" ht="60" customHeight="1" x14ac:dyDescent="0.2">
      <c r="A44" s="3"/>
      <c r="B44" s="4"/>
      <c r="C44" s="4"/>
      <c r="D44" s="4"/>
      <c r="E44" s="4"/>
      <c r="F44" s="4"/>
      <c r="G44" s="4"/>
      <c r="H44" s="4"/>
      <c r="I44" s="4"/>
      <c r="J44" s="4"/>
      <c r="K44" s="4"/>
      <c r="L44" s="4"/>
      <c r="M44" s="4"/>
      <c r="N44" s="4"/>
      <c r="O44" s="4"/>
      <c r="P44" s="4"/>
      <c r="Q44" s="7"/>
      <c r="R44" s="4"/>
      <c r="S44" s="4"/>
      <c r="T44" s="4"/>
      <c r="U44" s="4"/>
      <c r="V44" s="4"/>
      <c r="W44" s="4"/>
      <c r="X44" s="4"/>
      <c r="Y44" s="4"/>
      <c r="Z44" s="4"/>
      <c r="AA44" s="4"/>
      <c r="AB44" s="4"/>
      <c r="AC44" s="4"/>
      <c r="AD44" s="4"/>
      <c r="AE44" s="4"/>
      <c r="AF44" s="4"/>
      <c r="AG44" s="4"/>
      <c r="AH44" s="4"/>
    </row>
    <row r="45" spans="1:34" ht="60" customHeight="1" x14ac:dyDescent="0.2">
      <c r="A45" s="3"/>
      <c r="B45" s="4"/>
      <c r="C45" s="4"/>
      <c r="D45" s="4"/>
      <c r="E45" s="4"/>
      <c r="F45" s="4"/>
      <c r="G45" s="4"/>
      <c r="H45" s="4"/>
      <c r="I45" s="4"/>
      <c r="J45" s="4"/>
      <c r="K45" s="4"/>
      <c r="L45" s="4"/>
      <c r="M45" s="4"/>
      <c r="N45" s="4"/>
      <c r="O45" s="4"/>
      <c r="P45" s="4"/>
      <c r="Q45" s="7"/>
      <c r="R45" s="7"/>
      <c r="S45" s="4"/>
      <c r="T45" s="4"/>
      <c r="U45" s="4"/>
      <c r="V45" s="4"/>
      <c r="W45" s="4"/>
      <c r="X45" s="4"/>
      <c r="Y45" s="4"/>
      <c r="Z45" s="4"/>
      <c r="AA45" s="4"/>
      <c r="AB45" s="4"/>
      <c r="AC45" s="4"/>
      <c r="AD45" s="4"/>
      <c r="AE45" s="4"/>
      <c r="AF45" s="4"/>
      <c r="AG45" s="4"/>
      <c r="AH45" s="4"/>
    </row>
    <row r="46" spans="1:34" ht="60" customHeight="1" x14ac:dyDescent="0.2">
      <c r="A46" s="3"/>
      <c r="B46" s="4"/>
      <c r="C46" s="4"/>
      <c r="D46" s="4"/>
      <c r="E46" s="4"/>
      <c r="F46" s="4"/>
      <c r="G46" s="4"/>
      <c r="H46" s="4"/>
      <c r="I46" s="4"/>
      <c r="J46" s="4"/>
      <c r="K46" s="4"/>
      <c r="L46" s="4"/>
      <c r="M46" s="4"/>
      <c r="N46" s="4"/>
      <c r="O46" s="4"/>
      <c r="P46" s="4"/>
      <c r="Q46" s="7"/>
      <c r="R46" s="7"/>
      <c r="S46" s="4"/>
      <c r="T46" s="4"/>
      <c r="U46" s="4"/>
      <c r="V46" s="4"/>
      <c r="W46" s="4"/>
      <c r="X46" s="4"/>
      <c r="Y46" s="4"/>
      <c r="Z46" s="4"/>
      <c r="AA46" s="4"/>
      <c r="AB46" s="4"/>
      <c r="AC46" s="4"/>
      <c r="AD46" s="4"/>
      <c r="AE46" s="4"/>
      <c r="AF46" s="4"/>
      <c r="AG46" s="4"/>
      <c r="AH46" s="4"/>
    </row>
    <row r="47" spans="1:34" ht="60" customHeight="1" x14ac:dyDescent="0.2">
      <c r="A47" s="3"/>
      <c r="B47" s="4"/>
      <c r="C47" s="4"/>
      <c r="D47" s="4"/>
      <c r="E47" s="4"/>
      <c r="F47" s="4"/>
      <c r="G47" s="4"/>
      <c r="H47" s="4"/>
      <c r="I47" s="4"/>
      <c r="J47" s="4"/>
      <c r="K47" s="4"/>
      <c r="L47" s="4"/>
      <c r="M47" s="4"/>
      <c r="N47" s="4"/>
      <c r="O47" s="4"/>
      <c r="P47" s="4"/>
      <c r="Q47" s="10"/>
      <c r="R47" s="4"/>
      <c r="S47" s="4"/>
      <c r="T47" s="4"/>
      <c r="U47" s="4"/>
      <c r="V47" s="4"/>
      <c r="W47" s="4"/>
      <c r="X47" s="4"/>
      <c r="Y47" s="4"/>
      <c r="Z47" s="4"/>
      <c r="AA47" s="4"/>
      <c r="AB47" s="4"/>
      <c r="AC47" s="4"/>
      <c r="AD47" s="4"/>
      <c r="AE47" s="4"/>
      <c r="AF47" s="4"/>
      <c r="AG47" s="4"/>
      <c r="AH47" s="4"/>
    </row>
    <row r="48" spans="1:34" ht="60" customHeight="1" x14ac:dyDescent="0.2">
      <c r="A48" s="3"/>
      <c r="B48" s="4"/>
      <c r="C48" s="4"/>
      <c r="D48" s="4"/>
      <c r="E48" s="4"/>
      <c r="F48" s="4"/>
      <c r="G48" s="4"/>
      <c r="H48" s="4"/>
      <c r="I48" s="4"/>
      <c r="J48" s="4"/>
      <c r="K48" s="4"/>
      <c r="L48" s="4"/>
      <c r="M48" s="4"/>
      <c r="N48" s="4"/>
      <c r="O48" s="4"/>
      <c r="P48" s="4"/>
      <c r="Q48" s="10"/>
      <c r="R48" s="4"/>
      <c r="S48" s="4"/>
      <c r="T48" s="4"/>
      <c r="U48" s="4"/>
      <c r="V48" s="4"/>
      <c r="W48" s="4"/>
      <c r="X48" s="4"/>
      <c r="Y48" s="4"/>
      <c r="Z48" s="4"/>
      <c r="AA48" s="4"/>
      <c r="AB48" s="4"/>
      <c r="AC48" s="4"/>
      <c r="AD48" s="4"/>
      <c r="AE48" s="4"/>
      <c r="AF48" s="4"/>
      <c r="AG48" s="4"/>
      <c r="AH48" s="4"/>
    </row>
    <row r="49" spans="1:34" ht="60" customHeight="1" x14ac:dyDescent="0.2">
      <c r="A49" s="3"/>
      <c r="B49" s="4"/>
      <c r="C49" s="4"/>
      <c r="D49" s="4"/>
      <c r="E49" s="4"/>
      <c r="F49" s="4"/>
      <c r="G49" s="4"/>
      <c r="H49" s="4"/>
      <c r="I49" s="4"/>
      <c r="J49" s="4"/>
      <c r="K49" s="4"/>
      <c r="L49" s="4"/>
      <c r="M49" s="4"/>
      <c r="N49" s="4"/>
      <c r="O49" s="4"/>
      <c r="P49" s="4"/>
      <c r="Q49" s="7"/>
      <c r="R49" s="4"/>
      <c r="S49" s="4"/>
      <c r="T49" s="4"/>
      <c r="U49" s="4"/>
      <c r="V49" s="4"/>
      <c r="W49" s="4"/>
      <c r="X49" s="4"/>
      <c r="Y49" s="4"/>
      <c r="Z49" s="4"/>
      <c r="AA49" s="4"/>
      <c r="AB49" s="4"/>
      <c r="AC49" s="4"/>
      <c r="AD49" s="4"/>
      <c r="AE49" s="4"/>
      <c r="AF49" s="4"/>
      <c r="AG49" s="4"/>
      <c r="AH49" s="4"/>
    </row>
    <row r="50" spans="1:34" ht="60" customHeight="1" x14ac:dyDescent="0.2">
      <c r="A50" s="3"/>
      <c r="B50" s="4"/>
      <c r="C50" s="4"/>
      <c r="D50" s="4"/>
      <c r="E50" s="4"/>
      <c r="F50" s="4"/>
      <c r="G50" s="4"/>
      <c r="H50" s="4"/>
      <c r="I50" s="4"/>
      <c r="J50" s="4"/>
      <c r="K50" s="4"/>
      <c r="L50" s="4"/>
      <c r="M50" s="4"/>
      <c r="N50" s="4"/>
      <c r="O50" s="38"/>
      <c r="P50" s="4"/>
      <c r="Q50" s="7"/>
      <c r="R50" s="10"/>
      <c r="S50" s="4"/>
      <c r="T50" s="4"/>
      <c r="U50" s="4"/>
      <c r="V50" s="4"/>
      <c r="W50" s="4"/>
      <c r="X50" s="4"/>
      <c r="Y50" s="4"/>
      <c r="Z50" s="4"/>
      <c r="AA50" s="4"/>
      <c r="AB50" s="4"/>
      <c r="AC50" s="4"/>
      <c r="AD50" s="4"/>
      <c r="AE50" s="4"/>
      <c r="AF50" s="4"/>
      <c r="AG50" s="4"/>
      <c r="AH50" s="4"/>
    </row>
    <row r="51" spans="1:34" ht="60" customHeight="1" x14ac:dyDescent="0.2">
      <c r="A51" s="3"/>
      <c r="B51" s="4"/>
      <c r="C51" s="4"/>
      <c r="D51" s="4"/>
      <c r="E51" s="4"/>
      <c r="F51" s="4"/>
      <c r="G51" s="4"/>
      <c r="H51" s="4"/>
      <c r="I51" s="4"/>
      <c r="J51" s="4"/>
      <c r="K51" s="4"/>
      <c r="L51" s="4"/>
      <c r="M51" s="4"/>
      <c r="N51" s="4"/>
      <c r="O51" s="4"/>
      <c r="P51" s="4"/>
      <c r="Q51" s="7"/>
      <c r="R51" s="4"/>
      <c r="S51" s="4"/>
      <c r="T51" s="4"/>
      <c r="U51" s="4"/>
      <c r="V51" s="4"/>
      <c r="W51" s="4"/>
      <c r="X51" s="4"/>
      <c r="Y51" s="4"/>
      <c r="Z51" s="4"/>
      <c r="AA51" s="4"/>
      <c r="AB51" s="4"/>
      <c r="AC51" s="4"/>
      <c r="AD51" s="4"/>
      <c r="AE51" s="4"/>
      <c r="AF51" s="4"/>
      <c r="AG51" s="4"/>
      <c r="AH51" s="4"/>
    </row>
    <row r="52" spans="1:34" ht="66" customHeight="1" x14ac:dyDescent="0.2">
      <c r="A52" s="3"/>
      <c r="B52" s="4"/>
      <c r="C52" s="4"/>
      <c r="D52" s="4"/>
      <c r="E52" s="4"/>
      <c r="F52" s="4"/>
      <c r="G52" s="4"/>
      <c r="H52" s="4"/>
      <c r="I52" s="4"/>
      <c r="J52" s="4"/>
      <c r="K52" s="4"/>
      <c r="L52" s="4"/>
      <c r="M52" s="4"/>
      <c r="N52" s="4"/>
      <c r="O52" s="4"/>
      <c r="P52" s="4"/>
      <c r="Q52" s="7"/>
      <c r="R52" s="7"/>
      <c r="S52" s="4"/>
      <c r="T52" s="4"/>
      <c r="U52" s="4"/>
      <c r="V52" s="4"/>
      <c r="W52" s="4"/>
      <c r="X52" s="4"/>
      <c r="Y52" s="4"/>
      <c r="Z52" s="4"/>
      <c r="AA52" s="4"/>
      <c r="AB52" s="4"/>
      <c r="AC52" s="4"/>
      <c r="AD52" s="4"/>
      <c r="AE52" s="4"/>
      <c r="AF52" s="4"/>
      <c r="AG52" s="4"/>
      <c r="AH52" s="4"/>
    </row>
    <row r="53" spans="1:34" ht="60" customHeight="1" x14ac:dyDescent="0.2">
      <c r="A53" s="3"/>
      <c r="B53" s="4"/>
      <c r="C53" s="4"/>
      <c r="D53" s="4"/>
      <c r="E53" s="4"/>
      <c r="F53" s="4"/>
      <c r="G53" s="4"/>
      <c r="H53" s="4"/>
      <c r="I53" s="4"/>
      <c r="J53" s="4"/>
      <c r="K53" s="4"/>
      <c r="L53" s="4"/>
      <c r="M53" s="4"/>
      <c r="N53" s="4"/>
      <c r="O53" s="38"/>
      <c r="P53" s="4"/>
      <c r="Q53" s="7"/>
      <c r="R53" s="4"/>
      <c r="S53" s="4"/>
      <c r="T53" s="4"/>
      <c r="U53" s="4"/>
      <c r="V53" s="4"/>
      <c r="W53" s="4"/>
      <c r="X53" s="4"/>
      <c r="Y53" s="4"/>
      <c r="Z53" s="4"/>
      <c r="AA53" s="4"/>
      <c r="AB53" s="4"/>
      <c r="AC53" s="4"/>
      <c r="AD53" s="4"/>
      <c r="AE53" s="4"/>
      <c r="AF53" s="4"/>
      <c r="AG53" s="4"/>
      <c r="AH53" s="4"/>
    </row>
    <row r="54" spans="1:34" ht="60" customHeight="1" x14ac:dyDescent="0.2">
      <c r="A54" s="3"/>
      <c r="B54" s="4"/>
      <c r="C54" s="4"/>
      <c r="D54" s="4"/>
      <c r="E54" s="4"/>
      <c r="F54" s="4"/>
      <c r="G54" s="4"/>
      <c r="H54" s="4"/>
      <c r="I54" s="4"/>
      <c r="J54" s="4"/>
      <c r="K54" s="4"/>
      <c r="L54" s="4"/>
      <c r="M54" s="4"/>
      <c r="N54" s="4"/>
      <c r="O54" s="4"/>
      <c r="P54" s="4"/>
      <c r="Q54" s="7"/>
      <c r="R54" s="7"/>
      <c r="S54" s="7"/>
      <c r="T54" s="4"/>
      <c r="U54" s="4"/>
      <c r="V54" s="4"/>
      <c r="W54" s="4"/>
      <c r="X54" s="4"/>
      <c r="Y54" s="4"/>
      <c r="Z54" s="4"/>
      <c r="AA54" s="4"/>
      <c r="AB54" s="4"/>
      <c r="AC54" s="4"/>
      <c r="AD54" s="4"/>
      <c r="AE54" s="4"/>
      <c r="AF54" s="4"/>
      <c r="AG54" s="4"/>
      <c r="AH54" s="4"/>
    </row>
    <row r="55" spans="1:34" ht="60" customHeight="1" x14ac:dyDescent="0.2">
      <c r="A55" s="3"/>
      <c r="B55" s="4"/>
      <c r="C55" s="4"/>
      <c r="D55" s="4"/>
      <c r="E55" s="4"/>
      <c r="F55" s="4"/>
      <c r="G55" s="4"/>
      <c r="H55" s="4"/>
      <c r="I55" s="4"/>
      <c r="J55" s="4"/>
      <c r="K55" s="4"/>
      <c r="L55" s="4"/>
      <c r="M55" s="4"/>
      <c r="N55" s="4"/>
      <c r="O55" s="4"/>
      <c r="P55" s="4"/>
      <c r="Q55" s="7"/>
      <c r="R55" s="4"/>
      <c r="S55" s="4"/>
      <c r="T55" s="4"/>
      <c r="U55" s="4"/>
      <c r="V55" s="4"/>
      <c r="W55" s="4"/>
      <c r="X55" s="4"/>
      <c r="Y55" s="4"/>
      <c r="Z55" s="4"/>
      <c r="AA55" s="4"/>
      <c r="AB55" s="4"/>
      <c r="AC55" s="4"/>
      <c r="AD55" s="4"/>
      <c r="AE55" s="4"/>
      <c r="AF55" s="4"/>
      <c r="AG55" s="4"/>
      <c r="AH55" s="4"/>
    </row>
    <row r="56" spans="1:34" ht="60" customHeight="1" x14ac:dyDescent="0.2">
      <c r="A56" s="3"/>
      <c r="B56" s="4"/>
      <c r="C56" s="4"/>
      <c r="D56" s="4"/>
      <c r="E56" s="4"/>
      <c r="F56" s="4"/>
      <c r="G56" s="4"/>
      <c r="H56" s="4"/>
      <c r="I56" s="4"/>
      <c r="J56" s="4"/>
      <c r="K56" s="4"/>
      <c r="L56" s="4"/>
      <c r="M56" s="4"/>
      <c r="N56" s="4"/>
      <c r="O56" s="4"/>
      <c r="P56" s="4"/>
      <c r="Q56" s="7"/>
      <c r="R56" s="4"/>
      <c r="S56" s="4"/>
      <c r="T56" s="4"/>
      <c r="U56" s="4"/>
      <c r="V56" s="4"/>
      <c r="W56" s="4"/>
      <c r="X56" s="4"/>
      <c r="Y56" s="4"/>
      <c r="Z56" s="4"/>
      <c r="AA56" s="4"/>
      <c r="AB56" s="4"/>
      <c r="AC56" s="4"/>
      <c r="AD56" s="4"/>
      <c r="AE56" s="4"/>
      <c r="AF56" s="4"/>
      <c r="AG56" s="4"/>
      <c r="AH56" s="4"/>
    </row>
    <row r="57" spans="1:34" ht="60" customHeight="1" x14ac:dyDescent="0.2">
      <c r="A57" s="3"/>
      <c r="B57" s="4"/>
      <c r="C57" s="4"/>
      <c r="D57" s="4"/>
      <c r="E57" s="4"/>
      <c r="F57" s="4"/>
      <c r="G57" s="4"/>
      <c r="H57" s="4"/>
      <c r="I57" s="4"/>
      <c r="J57" s="4"/>
      <c r="K57" s="4"/>
      <c r="L57" s="4"/>
      <c r="M57" s="4"/>
      <c r="N57" s="4"/>
      <c r="O57" s="4"/>
      <c r="P57" s="4"/>
      <c r="Q57" s="7"/>
      <c r="R57" s="4"/>
      <c r="S57" s="4"/>
      <c r="T57" s="4"/>
      <c r="U57" s="4"/>
      <c r="V57" s="4"/>
      <c r="W57" s="4"/>
      <c r="X57" s="4"/>
      <c r="Y57" s="4"/>
      <c r="Z57" s="4"/>
      <c r="AA57" s="4"/>
      <c r="AB57" s="4"/>
      <c r="AC57" s="4"/>
      <c r="AD57" s="4"/>
      <c r="AE57" s="4"/>
      <c r="AF57" s="4"/>
      <c r="AG57" s="4"/>
      <c r="AH57" s="4"/>
    </row>
    <row r="58" spans="1:34" ht="60" customHeight="1" x14ac:dyDescent="0.2">
      <c r="A58" s="3"/>
      <c r="B58" s="4"/>
      <c r="C58" s="4"/>
      <c r="D58" s="4"/>
      <c r="E58" s="4"/>
      <c r="F58" s="4"/>
      <c r="G58" s="4"/>
      <c r="H58" s="4"/>
      <c r="I58" s="4"/>
      <c r="J58" s="4"/>
      <c r="K58" s="4"/>
      <c r="L58" s="4"/>
      <c r="M58" s="4"/>
      <c r="N58" s="4"/>
      <c r="O58" s="4"/>
      <c r="P58" s="4"/>
      <c r="Q58" s="10"/>
      <c r="R58" s="4"/>
      <c r="S58" s="4"/>
      <c r="T58" s="4"/>
      <c r="U58" s="4"/>
      <c r="V58" s="4"/>
      <c r="W58" s="4"/>
      <c r="X58" s="4"/>
      <c r="Y58" s="4"/>
      <c r="Z58" s="4"/>
      <c r="AA58" s="4"/>
      <c r="AB58" s="4"/>
      <c r="AC58" s="4"/>
      <c r="AD58" s="4"/>
      <c r="AE58" s="4"/>
      <c r="AF58" s="4"/>
      <c r="AG58" s="4"/>
      <c r="AH58" s="4"/>
    </row>
    <row r="59" spans="1:34" ht="60" customHeight="1" x14ac:dyDescent="0.2">
      <c r="A59" s="3"/>
      <c r="B59" s="4"/>
      <c r="C59" s="4"/>
      <c r="D59" s="4"/>
      <c r="E59" s="4"/>
      <c r="F59" s="4"/>
      <c r="G59" s="4"/>
      <c r="H59" s="4"/>
      <c r="I59" s="4"/>
      <c r="J59" s="4"/>
      <c r="K59" s="4"/>
      <c r="L59" s="4"/>
      <c r="M59" s="4"/>
      <c r="N59" s="4"/>
      <c r="O59" s="4"/>
      <c r="P59" s="4"/>
      <c r="Q59" s="10"/>
      <c r="R59" s="4"/>
      <c r="S59" s="4"/>
      <c r="T59" s="4"/>
      <c r="U59" s="4"/>
      <c r="V59" s="4"/>
      <c r="W59" s="4"/>
      <c r="X59" s="4"/>
      <c r="Y59" s="4"/>
      <c r="Z59" s="4"/>
      <c r="AA59" s="4"/>
      <c r="AB59" s="4"/>
      <c r="AC59" s="4"/>
      <c r="AD59" s="4"/>
      <c r="AE59" s="4"/>
      <c r="AF59" s="4"/>
      <c r="AG59" s="4"/>
      <c r="AH59" s="4"/>
    </row>
    <row r="60" spans="1:34" ht="60" customHeight="1" x14ac:dyDescent="0.2">
      <c r="A60" s="3"/>
      <c r="B60" s="4"/>
      <c r="C60" s="4"/>
      <c r="D60" s="4"/>
      <c r="E60" s="4"/>
      <c r="F60" s="4"/>
      <c r="G60" s="4"/>
      <c r="H60" s="4"/>
      <c r="I60" s="4"/>
      <c r="J60" s="4"/>
      <c r="K60" s="4"/>
      <c r="L60" s="4"/>
      <c r="M60" s="4"/>
      <c r="N60" s="4"/>
      <c r="O60" s="38"/>
      <c r="P60" s="4"/>
      <c r="Q60" s="10"/>
      <c r="R60" s="10"/>
      <c r="S60" s="10"/>
      <c r="T60" s="10"/>
      <c r="U60" s="4"/>
      <c r="V60" s="4"/>
      <c r="W60" s="4"/>
      <c r="X60" s="4"/>
      <c r="Y60" s="4"/>
      <c r="Z60" s="4"/>
      <c r="AA60" s="4"/>
      <c r="AB60" s="4"/>
      <c r="AC60" s="4"/>
      <c r="AD60" s="4"/>
      <c r="AE60" s="4"/>
      <c r="AF60" s="4"/>
      <c r="AG60" s="4"/>
      <c r="AH60" s="4"/>
    </row>
    <row r="61" spans="1:34" ht="60" customHeight="1" x14ac:dyDescent="0.2">
      <c r="A61" s="3"/>
      <c r="B61" s="9"/>
      <c r="C61" s="4"/>
      <c r="D61" s="4"/>
      <c r="E61" s="4"/>
      <c r="F61" s="4"/>
      <c r="G61" s="4"/>
      <c r="H61" s="4"/>
      <c r="I61" s="4"/>
      <c r="J61" s="4"/>
      <c r="K61" s="4"/>
      <c r="L61" s="4"/>
      <c r="M61" s="4"/>
      <c r="N61" s="4"/>
      <c r="O61" s="4"/>
      <c r="P61" s="4"/>
      <c r="Q61" s="10"/>
      <c r="R61" s="10"/>
      <c r="S61" s="10"/>
      <c r="T61" s="10"/>
      <c r="U61" s="4"/>
      <c r="V61" s="4"/>
      <c r="W61" s="4"/>
      <c r="X61" s="4"/>
      <c r="Y61" s="4"/>
      <c r="Z61" s="4"/>
      <c r="AA61" s="4"/>
      <c r="AB61" s="4"/>
      <c r="AC61" s="4"/>
      <c r="AD61" s="4"/>
      <c r="AE61" s="4"/>
      <c r="AF61" s="4"/>
      <c r="AG61" s="4"/>
      <c r="AH61" s="4"/>
    </row>
    <row r="62" spans="1:34" ht="60" customHeight="1" x14ac:dyDescent="0.2">
      <c r="A62" s="3"/>
      <c r="B62" s="9"/>
      <c r="C62" s="4"/>
      <c r="D62" s="4"/>
      <c r="E62" s="4"/>
      <c r="F62" s="4"/>
      <c r="G62" s="4"/>
      <c r="H62" s="4"/>
      <c r="I62" s="4"/>
      <c r="J62" s="4"/>
      <c r="K62" s="4"/>
      <c r="L62" s="4"/>
      <c r="M62" s="4"/>
      <c r="N62" s="4"/>
      <c r="O62" s="4"/>
      <c r="P62" s="4"/>
      <c r="Q62" s="10"/>
      <c r="R62" s="4"/>
      <c r="S62" s="4"/>
      <c r="T62" s="4"/>
      <c r="U62" s="4"/>
      <c r="V62" s="4"/>
      <c r="W62" s="4"/>
      <c r="X62" s="4"/>
      <c r="Y62" s="4"/>
      <c r="Z62" s="4"/>
      <c r="AA62" s="4"/>
      <c r="AB62" s="4"/>
      <c r="AC62" s="4"/>
      <c r="AD62" s="4"/>
      <c r="AE62" s="4"/>
      <c r="AF62" s="4"/>
      <c r="AG62" s="4"/>
      <c r="AH62" s="4"/>
    </row>
    <row r="63" spans="1:34" ht="60" customHeight="1" x14ac:dyDescent="0.2">
      <c r="A63" s="3"/>
      <c r="B63" s="4"/>
      <c r="C63" s="4"/>
      <c r="D63" s="4"/>
      <c r="E63" s="4"/>
      <c r="F63" s="4"/>
      <c r="G63" s="4"/>
      <c r="H63" s="4"/>
      <c r="I63" s="4"/>
      <c r="J63" s="4"/>
      <c r="K63" s="4"/>
      <c r="L63" s="4"/>
      <c r="M63" s="4"/>
      <c r="N63" s="4"/>
      <c r="O63" s="4"/>
      <c r="P63" s="4"/>
      <c r="Q63" s="10"/>
      <c r="R63" s="4"/>
      <c r="S63" s="4"/>
      <c r="T63" s="4"/>
      <c r="U63" s="4"/>
      <c r="V63" s="4"/>
      <c r="W63" s="4"/>
      <c r="X63" s="4"/>
      <c r="Y63" s="4"/>
      <c r="Z63" s="4"/>
      <c r="AA63" s="4"/>
      <c r="AB63" s="4"/>
      <c r="AC63" s="4"/>
      <c r="AD63" s="4"/>
      <c r="AE63" s="4"/>
      <c r="AF63" s="4"/>
      <c r="AG63" s="4"/>
      <c r="AH63" s="4"/>
    </row>
    <row r="64" spans="1:34" ht="60" customHeight="1" x14ac:dyDescent="0.2">
      <c r="A64" s="3"/>
      <c r="B64" s="4"/>
      <c r="C64" s="4"/>
      <c r="D64" s="4"/>
      <c r="E64" s="4"/>
      <c r="F64" s="4"/>
      <c r="G64" s="4"/>
      <c r="H64" s="4"/>
      <c r="I64" s="4"/>
      <c r="J64" s="4"/>
      <c r="K64" s="4"/>
      <c r="L64" s="4"/>
      <c r="M64" s="4"/>
      <c r="N64" s="4"/>
      <c r="O64" s="4"/>
      <c r="P64" s="4"/>
      <c r="Q64" s="7"/>
      <c r="R64" s="8"/>
      <c r="S64" s="7"/>
      <c r="T64" s="4"/>
      <c r="U64" s="4"/>
      <c r="V64" s="4"/>
      <c r="W64" s="4"/>
      <c r="X64" s="4"/>
      <c r="Y64" s="4"/>
      <c r="Z64" s="4"/>
      <c r="AA64" s="4"/>
      <c r="AB64" s="4"/>
      <c r="AC64" s="4"/>
      <c r="AD64" s="4"/>
      <c r="AE64" s="4"/>
      <c r="AF64" s="4"/>
      <c r="AG64" s="4"/>
      <c r="AH64" s="4"/>
    </row>
    <row r="65" spans="1:34" ht="60" customHeight="1" x14ac:dyDescent="0.2">
      <c r="A65" s="3"/>
      <c r="B65" s="4"/>
      <c r="C65" s="4"/>
      <c r="D65" s="4"/>
      <c r="E65" s="4"/>
      <c r="F65" s="4"/>
      <c r="G65" s="4"/>
      <c r="H65" s="4"/>
      <c r="I65" s="4"/>
      <c r="J65" s="4"/>
      <c r="K65" s="4"/>
      <c r="L65" s="4"/>
      <c r="M65" s="4"/>
      <c r="N65" s="4"/>
      <c r="O65" s="4"/>
      <c r="P65" s="4"/>
      <c r="Q65" s="10"/>
      <c r="R65" s="10"/>
      <c r="S65" s="4"/>
      <c r="T65" s="4"/>
      <c r="U65" s="4"/>
      <c r="V65" s="4"/>
      <c r="W65" s="4"/>
      <c r="X65" s="4"/>
      <c r="Y65" s="4"/>
      <c r="Z65" s="4"/>
      <c r="AA65" s="4"/>
      <c r="AB65" s="4"/>
      <c r="AC65" s="4"/>
      <c r="AD65" s="4"/>
      <c r="AE65" s="4"/>
      <c r="AF65" s="4"/>
      <c r="AG65" s="4"/>
      <c r="AH65" s="4"/>
    </row>
    <row r="66" spans="1:34" ht="60" customHeight="1" x14ac:dyDescent="0.2">
      <c r="A66" s="3"/>
      <c r="B66" s="4"/>
      <c r="C66" s="4"/>
      <c r="D66" s="4"/>
      <c r="E66" s="4"/>
      <c r="F66" s="4"/>
      <c r="G66" s="4"/>
      <c r="H66" s="4"/>
      <c r="I66" s="4"/>
      <c r="J66" s="4"/>
      <c r="K66" s="4"/>
      <c r="L66" s="4"/>
      <c r="M66" s="4"/>
      <c r="N66" s="4"/>
      <c r="O66" s="38"/>
      <c r="P66" s="4"/>
      <c r="Q66" s="10"/>
      <c r="R66" s="4"/>
      <c r="S66" s="4"/>
      <c r="T66" s="4"/>
      <c r="U66" s="4"/>
      <c r="V66" s="4"/>
      <c r="W66" s="4"/>
      <c r="X66" s="4"/>
      <c r="Y66" s="4"/>
      <c r="Z66" s="4"/>
      <c r="AA66" s="4"/>
      <c r="AB66" s="4"/>
      <c r="AC66" s="4"/>
      <c r="AD66" s="4"/>
      <c r="AE66" s="4"/>
      <c r="AF66" s="4"/>
      <c r="AG66" s="4"/>
      <c r="AH66" s="4"/>
    </row>
    <row r="67" spans="1:34" ht="60" customHeight="1" x14ac:dyDescent="0.2">
      <c r="A67" s="3"/>
      <c r="B67" s="4"/>
      <c r="C67" s="4"/>
      <c r="D67" s="4"/>
      <c r="E67" s="4"/>
      <c r="F67" s="4"/>
      <c r="G67" s="4"/>
      <c r="H67" s="4"/>
      <c r="I67" s="4"/>
      <c r="J67" s="4"/>
      <c r="K67" s="4"/>
      <c r="L67" s="4"/>
      <c r="M67" s="4"/>
      <c r="N67" s="4"/>
      <c r="O67" s="4"/>
      <c r="P67" s="4"/>
      <c r="Q67" s="7"/>
      <c r="R67" s="7"/>
      <c r="S67" s="4"/>
      <c r="T67" s="4"/>
      <c r="U67" s="4"/>
      <c r="V67" s="4"/>
      <c r="W67" s="4"/>
      <c r="X67" s="4"/>
      <c r="Y67" s="4"/>
      <c r="Z67" s="4"/>
      <c r="AA67" s="4"/>
      <c r="AB67" s="4"/>
      <c r="AC67" s="4"/>
      <c r="AD67" s="4"/>
      <c r="AE67" s="4"/>
      <c r="AF67" s="4"/>
      <c r="AG67" s="4"/>
      <c r="AH67" s="4"/>
    </row>
    <row r="68" spans="1:34" ht="60" customHeight="1" x14ac:dyDescent="0.2">
      <c r="A68" s="3"/>
      <c r="B68" s="4"/>
      <c r="C68" s="4"/>
      <c r="D68" s="4"/>
      <c r="E68" s="4"/>
      <c r="F68" s="4"/>
      <c r="G68" s="4"/>
      <c r="H68" s="4"/>
      <c r="I68" s="4"/>
      <c r="J68" s="4"/>
      <c r="K68" s="4"/>
      <c r="L68" s="4"/>
      <c r="M68" s="4"/>
      <c r="N68" s="4"/>
      <c r="O68" s="4"/>
      <c r="P68" s="4"/>
      <c r="Q68" s="7"/>
      <c r="R68" s="4"/>
      <c r="S68" s="4"/>
      <c r="T68" s="4"/>
      <c r="U68" s="4"/>
      <c r="V68" s="4"/>
      <c r="W68" s="4"/>
      <c r="X68" s="4"/>
      <c r="Y68" s="4"/>
      <c r="Z68" s="4"/>
      <c r="AA68" s="4"/>
      <c r="AB68" s="4"/>
      <c r="AC68" s="4"/>
      <c r="AD68" s="4"/>
      <c r="AE68" s="4"/>
      <c r="AF68" s="4"/>
      <c r="AG68" s="4"/>
      <c r="AH68" s="4"/>
    </row>
    <row r="69" spans="1:34" ht="60" customHeight="1" x14ac:dyDescent="0.2">
      <c r="A69" s="3"/>
      <c r="B69" s="4"/>
      <c r="C69" s="4"/>
      <c r="D69" s="4"/>
      <c r="E69" s="4"/>
      <c r="F69" s="4"/>
      <c r="G69" s="4"/>
      <c r="H69" s="4"/>
      <c r="I69" s="4"/>
      <c r="J69" s="4"/>
      <c r="K69" s="4"/>
      <c r="L69" s="4"/>
      <c r="M69" s="4"/>
      <c r="N69" s="4"/>
      <c r="O69" s="4"/>
      <c r="P69" s="4"/>
      <c r="Q69" s="10"/>
      <c r="R69" s="4"/>
      <c r="S69" s="4"/>
      <c r="T69" s="4"/>
      <c r="U69" s="4"/>
      <c r="V69" s="4"/>
      <c r="W69" s="4"/>
      <c r="X69" s="4"/>
      <c r="Y69" s="4"/>
      <c r="Z69" s="4"/>
      <c r="AA69" s="4"/>
      <c r="AB69" s="4"/>
      <c r="AC69" s="4"/>
      <c r="AD69" s="4"/>
      <c r="AE69" s="4"/>
      <c r="AF69" s="4"/>
      <c r="AG69" s="4"/>
      <c r="AH69" s="4"/>
    </row>
    <row r="70" spans="1:34" ht="60" customHeight="1" x14ac:dyDescent="0.2">
      <c r="A70" s="3"/>
      <c r="B70" s="4"/>
      <c r="C70" s="4"/>
      <c r="D70" s="4"/>
      <c r="E70" s="4"/>
      <c r="F70" s="4"/>
      <c r="G70" s="4"/>
      <c r="H70" s="4"/>
      <c r="I70" s="4"/>
      <c r="J70" s="4"/>
      <c r="K70" s="4"/>
      <c r="L70" s="4"/>
      <c r="M70" s="4"/>
      <c r="N70" s="4"/>
      <c r="O70" s="4"/>
      <c r="P70" s="4"/>
      <c r="Q70" s="7"/>
      <c r="R70" s="7"/>
      <c r="S70" s="7"/>
      <c r="T70" s="4"/>
      <c r="U70" s="4"/>
      <c r="V70" s="4"/>
      <c r="W70" s="4"/>
      <c r="X70" s="4"/>
      <c r="Y70" s="4"/>
      <c r="Z70" s="4"/>
      <c r="AA70" s="4"/>
      <c r="AB70" s="4"/>
      <c r="AC70" s="4"/>
      <c r="AD70" s="4"/>
      <c r="AE70" s="4"/>
      <c r="AF70" s="4"/>
      <c r="AG70" s="4"/>
      <c r="AH70" s="4"/>
    </row>
    <row r="71" spans="1:34" ht="60" customHeight="1" x14ac:dyDescent="0.2">
      <c r="A71" s="3"/>
      <c r="B71" s="4"/>
      <c r="C71" s="4"/>
      <c r="D71" s="4"/>
      <c r="E71" s="4"/>
      <c r="F71" s="4"/>
      <c r="G71" s="4"/>
      <c r="H71" s="4"/>
      <c r="I71" s="4"/>
      <c r="J71" s="4"/>
      <c r="K71" s="4"/>
      <c r="L71" s="4"/>
      <c r="M71" s="4"/>
      <c r="N71" s="4"/>
      <c r="O71" s="4"/>
      <c r="P71" s="4"/>
      <c r="Q71" s="10"/>
      <c r="R71" s="10"/>
      <c r="S71" s="4"/>
      <c r="T71" s="4"/>
      <c r="U71" s="4"/>
      <c r="V71" s="4"/>
      <c r="W71" s="4"/>
      <c r="X71" s="4"/>
      <c r="Y71" s="4"/>
      <c r="Z71" s="4"/>
      <c r="AA71" s="4"/>
      <c r="AB71" s="4"/>
      <c r="AC71" s="4"/>
      <c r="AD71" s="4"/>
      <c r="AE71" s="4"/>
      <c r="AF71" s="4"/>
      <c r="AG71" s="4"/>
      <c r="AH71" s="4"/>
    </row>
    <row r="72" spans="1:34" ht="60" customHeight="1" x14ac:dyDescent="0.2">
      <c r="A72" s="3"/>
      <c r="B72" s="4"/>
      <c r="C72" s="4"/>
      <c r="D72" s="4"/>
      <c r="E72" s="4"/>
      <c r="F72" s="4"/>
      <c r="G72" s="4"/>
      <c r="H72" s="4"/>
      <c r="I72" s="4"/>
      <c r="J72" s="4"/>
      <c r="K72" s="4"/>
      <c r="L72" s="4"/>
      <c r="M72" s="4"/>
      <c r="N72" s="4"/>
      <c r="O72" s="4"/>
      <c r="P72" s="4"/>
      <c r="Q72" s="10"/>
      <c r="R72" s="10"/>
      <c r="S72" s="4"/>
      <c r="T72" s="4"/>
      <c r="U72" s="4"/>
      <c r="V72" s="4"/>
      <c r="W72" s="4"/>
      <c r="X72" s="4"/>
      <c r="Y72" s="4"/>
      <c r="Z72" s="4"/>
      <c r="AA72" s="4"/>
      <c r="AB72" s="4"/>
      <c r="AC72" s="4"/>
      <c r="AD72" s="4"/>
      <c r="AE72" s="4"/>
      <c r="AF72" s="4"/>
      <c r="AG72" s="4"/>
      <c r="AH72" s="4"/>
    </row>
    <row r="73" spans="1:34" ht="60" customHeight="1" x14ac:dyDescent="0.2">
      <c r="A73" s="3"/>
      <c r="B73" s="4"/>
      <c r="C73" s="4"/>
      <c r="D73" s="4"/>
      <c r="E73" s="4"/>
      <c r="F73" s="4"/>
      <c r="G73" s="4"/>
      <c r="H73" s="4"/>
      <c r="I73" s="4"/>
      <c r="J73" s="4"/>
      <c r="K73" s="4"/>
      <c r="L73" s="4"/>
      <c r="M73" s="4"/>
      <c r="N73" s="4"/>
      <c r="O73" s="4"/>
      <c r="P73" s="4"/>
      <c r="Q73" s="10"/>
      <c r="R73" s="4"/>
      <c r="S73" s="4"/>
      <c r="T73" s="4"/>
      <c r="U73" s="4"/>
      <c r="V73" s="4"/>
      <c r="W73" s="4"/>
      <c r="X73" s="4"/>
      <c r="Y73" s="4"/>
      <c r="Z73" s="4"/>
      <c r="AA73" s="4"/>
      <c r="AB73" s="4"/>
      <c r="AC73" s="4"/>
      <c r="AD73" s="4"/>
      <c r="AE73" s="4"/>
      <c r="AF73" s="4"/>
      <c r="AG73" s="4"/>
      <c r="AH73" s="4"/>
    </row>
    <row r="74" spans="1:34" ht="60" customHeight="1" x14ac:dyDescent="0.2">
      <c r="A74" s="3"/>
      <c r="B74" s="4"/>
      <c r="C74" s="4"/>
      <c r="D74" s="4"/>
      <c r="E74" s="4"/>
      <c r="F74" s="4"/>
      <c r="G74" s="4"/>
      <c r="H74" s="4"/>
      <c r="I74" s="4"/>
      <c r="J74" s="4"/>
      <c r="K74" s="4"/>
      <c r="L74" s="4"/>
      <c r="M74" s="4"/>
      <c r="N74" s="4"/>
      <c r="O74" s="4"/>
      <c r="P74" s="4"/>
      <c r="Q74" s="10"/>
      <c r="R74" s="10"/>
      <c r="S74" s="7"/>
      <c r="T74" s="4"/>
      <c r="U74" s="4"/>
      <c r="V74" s="4"/>
      <c r="W74" s="4"/>
      <c r="X74" s="4"/>
      <c r="Y74" s="4"/>
      <c r="Z74" s="4"/>
      <c r="AA74" s="4"/>
      <c r="AB74" s="4"/>
      <c r="AC74" s="4"/>
      <c r="AD74" s="4"/>
      <c r="AE74" s="4"/>
      <c r="AF74" s="4"/>
      <c r="AG74" s="4"/>
      <c r="AH74" s="4"/>
    </row>
    <row r="75" spans="1:34" ht="60" customHeight="1" x14ac:dyDescent="0.2">
      <c r="A75" s="3"/>
      <c r="B75" s="4"/>
      <c r="C75" s="4"/>
      <c r="D75" s="4"/>
      <c r="E75" s="4"/>
      <c r="F75" s="4"/>
      <c r="G75" s="4"/>
      <c r="H75" s="4"/>
      <c r="I75" s="4"/>
      <c r="J75" s="4"/>
      <c r="K75" s="4"/>
      <c r="L75" s="4"/>
      <c r="M75" s="4"/>
      <c r="N75" s="4"/>
      <c r="O75" s="4"/>
      <c r="P75" s="4"/>
      <c r="Q75" s="10"/>
      <c r="R75" s="4"/>
      <c r="S75" s="4"/>
      <c r="T75" s="4"/>
      <c r="U75" s="4"/>
      <c r="V75" s="4"/>
      <c r="W75" s="4"/>
      <c r="X75" s="4"/>
      <c r="Y75" s="4"/>
      <c r="Z75" s="4"/>
      <c r="AA75" s="4"/>
      <c r="AB75" s="4"/>
      <c r="AC75" s="4"/>
      <c r="AD75" s="4"/>
      <c r="AE75" s="4"/>
      <c r="AF75" s="4"/>
      <c r="AG75" s="4"/>
      <c r="AH75" s="4"/>
    </row>
    <row r="76" spans="1:34" ht="60" customHeight="1" x14ac:dyDescent="0.2">
      <c r="A76" s="3"/>
      <c r="B76" s="4"/>
      <c r="C76" s="4"/>
      <c r="D76" s="4"/>
      <c r="E76" s="4"/>
      <c r="F76" s="4"/>
      <c r="G76" s="4"/>
      <c r="H76" s="4"/>
      <c r="I76" s="4"/>
      <c r="J76" s="4"/>
      <c r="K76" s="4"/>
      <c r="L76" s="4"/>
      <c r="M76" s="4"/>
      <c r="N76" s="4"/>
      <c r="O76" s="4"/>
      <c r="P76" s="4"/>
      <c r="Q76" s="10"/>
      <c r="R76" s="10"/>
      <c r="S76" s="4"/>
      <c r="T76" s="4"/>
      <c r="U76" s="4"/>
      <c r="V76" s="4"/>
      <c r="W76" s="4"/>
      <c r="X76" s="4"/>
      <c r="Y76" s="4"/>
      <c r="Z76" s="4"/>
      <c r="AA76" s="4"/>
      <c r="AB76" s="4"/>
      <c r="AC76" s="4"/>
      <c r="AD76" s="4"/>
      <c r="AE76" s="4"/>
      <c r="AF76" s="4"/>
      <c r="AG76" s="4"/>
      <c r="AH76" s="4"/>
    </row>
    <row r="77" spans="1:34" ht="60" customHeight="1" x14ac:dyDescent="0.2">
      <c r="A77" s="3"/>
      <c r="B77" s="4"/>
      <c r="C77" s="4"/>
      <c r="D77" s="4"/>
      <c r="E77" s="4"/>
      <c r="F77" s="4"/>
      <c r="G77" s="4"/>
      <c r="H77" s="4"/>
      <c r="I77" s="4"/>
      <c r="J77" s="4"/>
      <c r="K77" s="4"/>
      <c r="L77" s="4"/>
      <c r="M77" s="4"/>
      <c r="N77" s="4"/>
      <c r="O77" s="4"/>
      <c r="P77" s="4"/>
      <c r="Q77" s="10"/>
      <c r="R77" s="4"/>
      <c r="S77" s="4"/>
      <c r="T77" s="4"/>
      <c r="U77" s="4"/>
      <c r="V77" s="4"/>
      <c r="W77" s="4"/>
      <c r="X77" s="4"/>
      <c r="Y77" s="4"/>
      <c r="Z77" s="4"/>
      <c r="AA77" s="4"/>
      <c r="AB77" s="4"/>
      <c r="AC77" s="4"/>
      <c r="AD77" s="4"/>
      <c r="AE77" s="4"/>
      <c r="AF77" s="4"/>
      <c r="AG77" s="4"/>
      <c r="AH77" s="4"/>
    </row>
    <row r="78" spans="1:34" ht="60" customHeight="1" x14ac:dyDescent="0.2">
      <c r="A78" s="3"/>
      <c r="B78" s="4"/>
      <c r="C78" s="4"/>
      <c r="D78" s="4"/>
      <c r="E78" s="4"/>
      <c r="F78" s="4"/>
      <c r="G78" s="4"/>
      <c r="H78" s="4"/>
      <c r="I78" s="4"/>
      <c r="J78" s="4"/>
      <c r="K78" s="4"/>
      <c r="L78" s="4"/>
      <c r="M78" s="4"/>
      <c r="N78" s="4"/>
      <c r="O78" s="4"/>
      <c r="P78" s="4"/>
      <c r="Q78" s="10"/>
      <c r="R78" s="4"/>
      <c r="S78" s="4"/>
      <c r="T78" s="4"/>
      <c r="U78" s="4"/>
      <c r="V78" s="4"/>
      <c r="W78" s="4"/>
      <c r="X78" s="4"/>
      <c r="Y78" s="4"/>
      <c r="Z78" s="4"/>
      <c r="AA78" s="4"/>
      <c r="AB78" s="4"/>
      <c r="AC78" s="4"/>
      <c r="AD78" s="4"/>
      <c r="AE78" s="4"/>
      <c r="AF78" s="4"/>
      <c r="AG78" s="4"/>
      <c r="AH78" s="4"/>
    </row>
    <row r="79" spans="1:34" ht="60" customHeight="1" x14ac:dyDescent="0.2">
      <c r="A79" s="3"/>
      <c r="B79" s="4"/>
      <c r="C79" s="4"/>
      <c r="D79" s="4"/>
      <c r="E79" s="4"/>
      <c r="F79" s="4"/>
      <c r="G79" s="4"/>
      <c r="H79" s="4"/>
      <c r="I79" s="4"/>
      <c r="J79" s="4"/>
      <c r="K79" s="4"/>
      <c r="L79" s="4"/>
      <c r="M79" s="4"/>
      <c r="N79" s="4"/>
      <c r="O79" s="4"/>
      <c r="P79" s="4"/>
      <c r="Q79" s="10"/>
      <c r="R79" s="4"/>
      <c r="S79" s="4"/>
      <c r="T79" s="4"/>
      <c r="U79" s="4"/>
      <c r="V79" s="4"/>
      <c r="W79" s="4"/>
      <c r="X79" s="4"/>
      <c r="Y79" s="4"/>
      <c r="Z79" s="4"/>
      <c r="AA79" s="4"/>
      <c r="AB79" s="4"/>
      <c r="AC79" s="4"/>
      <c r="AD79" s="4"/>
      <c r="AE79" s="4"/>
      <c r="AF79" s="4"/>
      <c r="AG79" s="4"/>
      <c r="AH79" s="4"/>
    </row>
    <row r="80" spans="1:34" ht="60" customHeight="1" x14ac:dyDescent="0.2">
      <c r="A80" s="3"/>
      <c r="B80" s="4"/>
      <c r="C80" s="4"/>
      <c r="D80" s="4"/>
      <c r="E80" s="4"/>
      <c r="F80" s="4"/>
      <c r="G80" s="4"/>
      <c r="H80" s="4"/>
      <c r="I80" s="4"/>
      <c r="J80" s="4"/>
      <c r="K80" s="4"/>
      <c r="L80" s="4"/>
      <c r="M80" s="4"/>
      <c r="N80" s="4"/>
      <c r="O80" s="4"/>
      <c r="P80" s="4"/>
      <c r="Q80" s="7"/>
      <c r="R80" s="7"/>
      <c r="S80" s="4"/>
      <c r="T80" s="4"/>
      <c r="U80" s="4"/>
      <c r="V80" s="4"/>
      <c r="W80" s="4"/>
      <c r="X80" s="4"/>
      <c r="Y80" s="4"/>
      <c r="Z80" s="4"/>
      <c r="AA80" s="4"/>
      <c r="AB80" s="4"/>
      <c r="AC80" s="4"/>
      <c r="AD80" s="4"/>
      <c r="AE80" s="4"/>
      <c r="AF80" s="4"/>
      <c r="AG80" s="4"/>
      <c r="AH80" s="4"/>
    </row>
    <row r="81" spans="1:34" ht="60" customHeight="1" x14ac:dyDescent="0.2">
      <c r="A81" s="3"/>
      <c r="B81" s="4"/>
      <c r="C81" s="4"/>
      <c r="D81" s="4"/>
      <c r="E81" s="4"/>
      <c r="F81" s="4"/>
      <c r="G81" s="4"/>
      <c r="H81" s="4"/>
      <c r="I81" s="4"/>
      <c r="J81" s="4"/>
      <c r="K81" s="4"/>
      <c r="L81" s="4"/>
      <c r="M81" s="4"/>
      <c r="N81" s="4"/>
      <c r="O81" s="4"/>
      <c r="P81" s="4"/>
      <c r="Q81" s="10"/>
      <c r="R81" s="4"/>
      <c r="S81" s="4"/>
      <c r="T81" s="4"/>
      <c r="U81" s="4"/>
      <c r="V81" s="4"/>
      <c r="W81" s="4"/>
      <c r="X81" s="4"/>
      <c r="Y81" s="4"/>
      <c r="Z81" s="4"/>
      <c r="AA81" s="4"/>
      <c r="AB81" s="4"/>
      <c r="AC81" s="4"/>
      <c r="AD81" s="4"/>
      <c r="AE81" s="4"/>
      <c r="AF81" s="4"/>
      <c r="AG81" s="4"/>
      <c r="AH81" s="4"/>
    </row>
    <row r="82" spans="1:34" ht="60" customHeight="1" x14ac:dyDescent="0.2">
      <c r="A82" s="3"/>
      <c r="B82" s="4"/>
      <c r="C82" s="4"/>
      <c r="D82" s="4"/>
      <c r="E82" s="4"/>
      <c r="F82" s="4"/>
      <c r="G82" s="4"/>
      <c r="H82" s="4"/>
      <c r="I82" s="4"/>
      <c r="J82" s="4"/>
      <c r="K82" s="4"/>
      <c r="L82" s="4"/>
      <c r="M82" s="4"/>
      <c r="N82" s="4"/>
      <c r="O82" s="4"/>
      <c r="P82" s="4"/>
      <c r="Q82" s="10"/>
      <c r="R82" s="8"/>
      <c r="S82" s="8"/>
      <c r="T82" s="8"/>
      <c r="U82" s="8"/>
      <c r="V82" s="4"/>
      <c r="W82" s="4"/>
      <c r="X82" s="4"/>
      <c r="Y82" s="4"/>
      <c r="Z82" s="4"/>
      <c r="AA82" s="4"/>
      <c r="AB82" s="4"/>
      <c r="AC82" s="4"/>
      <c r="AD82" s="4"/>
      <c r="AE82" s="4"/>
      <c r="AF82" s="4"/>
      <c r="AG82" s="4"/>
      <c r="AH82" s="4"/>
    </row>
    <row r="83" spans="1:34" ht="60" customHeight="1" x14ac:dyDescent="0.2">
      <c r="A83" s="3"/>
      <c r="B83" s="4"/>
      <c r="C83" s="4"/>
      <c r="D83" s="4"/>
      <c r="E83" s="4"/>
      <c r="F83" s="4"/>
      <c r="G83" s="4"/>
      <c r="H83" s="4"/>
      <c r="I83" s="4"/>
      <c r="J83" s="4"/>
      <c r="K83" s="4"/>
      <c r="L83" s="4"/>
      <c r="M83" s="4"/>
      <c r="N83" s="4"/>
      <c r="O83" s="4"/>
      <c r="P83" s="4"/>
      <c r="Q83" s="10"/>
      <c r="R83" s="4"/>
      <c r="S83" s="4"/>
      <c r="T83" s="4"/>
      <c r="U83" s="4"/>
      <c r="V83" s="4"/>
      <c r="W83" s="4"/>
      <c r="X83" s="4"/>
      <c r="Y83" s="4"/>
      <c r="Z83" s="4"/>
      <c r="AA83" s="4"/>
      <c r="AB83" s="4"/>
      <c r="AC83" s="4"/>
      <c r="AD83" s="4"/>
      <c r="AE83" s="4"/>
      <c r="AF83" s="4"/>
      <c r="AG83" s="4"/>
      <c r="AH83" s="4"/>
    </row>
    <row r="84" spans="1:34" ht="60" customHeight="1" x14ac:dyDescent="0.2">
      <c r="A84" s="3"/>
      <c r="B84" s="4"/>
      <c r="C84" s="4"/>
      <c r="D84" s="4"/>
      <c r="E84" s="4"/>
      <c r="F84" s="4"/>
      <c r="G84" s="4"/>
      <c r="H84" s="4"/>
      <c r="I84" s="4"/>
      <c r="J84" s="4"/>
      <c r="K84" s="4"/>
      <c r="L84" s="4"/>
      <c r="M84" s="4"/>
      <c r="N84" s="4"/>
      <c r="O84" s="4"/>
      <c r="P84" s="4"/>
      <c r="Q84" s="10"/>
      <c r="R84" s="10"/>
      <c r="S84" s="19"/>
      <c r="T84" s="4"/>
      <c r="U84" s="4"/>
      <c r="V84" s="4"/>
      <c r="W84" s="4"/>
      <c r="X84" s="4"/>
      <c r="Y84" s="4"/>
      <c r="Z84" s="4"/>
      <c r="AA84" s="4"/>
      <c r="AB84" s="4"/>
      <c r="AC84" s="4"/>
      <c r="AD84" s="4"/>
      <c r="AE84" s="4"/>
      <c r="AF84" s="4"/>
      <c r="AG84" s="4"/>
      <c r="AH84" s="4"/>
    </row>
    <row r="85" spans="1:34" ht="60" customHeight="1" x14ac:dyDescent="0.2">
      <c r="A85" s="3"/>
      <c r="B85" s="4"/>
      <c r="C85" s="4"/>
      <c r="D85" s="4"/>
      <c r="E85" s="4"/>
      <c r="F85" s="4"/>
      <c r="G85" s="4"/>
      <c r="H85" s="4"/>
      <c r="I85" s="4"/>
      <c r="J85" s="4"/>
      <c r="K85" s="4"/>
      <c r="L85" s="4"/>
      <c r="M85" s="4"/>
      <c r="N85" s="4"/>
      <c r="O85" s="4"/>
      <c r="P85" s="4"/>
      <c r="Q85" s="10"/>
      <c r="R85" s="10"/>
      <c r="S85" s="19"/>
      <c r="T85" s="4"/>
      <c r="U85" s="4"/>
      <c r="V85" s="4"/>
      <c r="W85" s="4"/>
      <c r="X85" s="4"/>
      <c r="Y85" s="4"/>
      <c r="Z85" s="4"/>
      <c r="AA85" s="4"/>
      <c r="AB85" s="4"/>
      <c r="AC85" s="4"/>
      <c r="AD85" s="4"/>
      <c r="AE85" s="4"/>
      <c r="AF85" s="4"/>
      <c r="AG85" s="4"/>
      <c r="AH85" s="4"/>
    </row>
    <row r="86" spans="1:34" ht="60" customHeight="1" x14ac:dyDescent="0.2">
      <c r="A86" s="3"/>
      <c r="B86" s="4"/>
      <c r="C86" s="4"/>
      <c r="D86" s="4"/>
      <c r="E86" s="4"/>
      <c r="F86" s="4"/>
      <c r="G86" s="4"/>
      <c r="H86" s="4"/>
      <c r="I86" s="4"/>
      <c r="J86" s="4"/>
      <c r="K86" s="4"/>
      <c r="L86" s="4"/>
      <c r="M86" s="4"/>
      <c r="N86" s="4"/>
      <c r="O86" s="4"/>
      <c r="P86" s="4"/>
      <c r="Q86" s="10"/>
      <c r="R86" s="4"/>
      <c r="S86" s="4"/>
      <c r="T86" s="4"/>
      <c r="U86" s="4"/>
      <c r="V86" s="4"/>
      <c r="W86" s="4"/>
      <c r="X86" s="4"/>
      <c r="Y86" s="4"/>
      <c r="Z86" s="4"/>
      <c r="AA86" s="4"/>
      <c r="AB86" s="4"/>
      <c r="AC86" s="4"/>
      <c r="AD86" s="4"/>
      <c r="AE86" s="4"/>
      <c r="AF86" s="4"/>
      <c r="AG86" s="4"/>
      <c r="AH86" s="4"/>
    </row>
    <row r="87" spans="1:34" ht="60" customHeight="1" x14ac:dyDescent="0.2">
      <c r="A87" s="3"/>
      <c r="B87" s="4"/>
      <c r="C87" s="4"/>
      <c r="D87" s="4"/>
      <c r="E87" s="4"/>
      <c r="F87" s="4"/>
      <c r="G87" s="4"/>
      <c r="H87" s="4"/>
      <c r="I87" s="4"/>
      <c r="J87" s="4"/>
      <c r="K87" s="4"/>
      <c r="L87" s="4"/>
      <c r="M87" s="4"/>
      <c r="N87" s="4"/>
      <c r="O87" s="4"/>
      <c r="P87" s="4"/>
      <c r="Q87" s="10"/>
      <c r="R87" s="19"/>
      <c r="S87" s="10"/>
      <c r="T87" s="10"/>
      <c r="U87" s="4"/>
      <c r="V87" s="4"/>
      <c r="W87" s="4"/>
      <c r="X87" s="4"/>
      <c r="Y87" s="4"/>
      <c r="Z87" s="4"/>
      <c r="AA87" s="4"/>
      <c r="AB87" s="4"/>
      <c r="AC87" s="4"/>
      <c r="AD87" s="4"/>
      <c r="AE87" s="4"/>
      <c r="AF87" s="4"/>
      <c r="AG87" s="4"/>
      <c r="AH87" s="4"/>
    </row>
    <row r="88" spans="1:34" ht="60" customHeight="1" x14ac:dyDescent="0.2">
      <c r="A88" s="3"/>
      <c r="B88" s="4"/>
      <c r="C88" s="4"/>
      <c r="D88" s="4"/>
      <c r="E88" s="4"/>
      <c r="F88" s="4"/>
      <c r="G88" s="4"/>
      <c r="H88" s="4"/>
      <c r="I88" s="4"/>
      <c r="J88" s="4"/>
      <c r="K88" s="4"/>
      <c r="L88" s="4"/>
      <c r="M88" s="4"/>
      <c r="N88" s="4"/>
      <c r="O88" s="4"/>
      <c r="P88" s="4"/>
      <c r="Q88" s="10"/>
      <c r="R88" s="10"/>
      <c r="S88" s="4"/>
      <c r="T88" s="4"/>
      <c r="U88" s="4"/>
      <c r="V88" s="4"/>
      <c r="W88" s="4"/>
      <c r="X88" s="4"/>
      <c r="Y88" s="4"/>
      <c r="Z88" s="4"/>
      <c r="AA88" s="4"/>
      <c r="AB88" s="4"/>
      <c r="AC88" s="4"/>
      <c r="AD88" s="4"/>
      <c r="AE88" s="4"/>
      <c r="AF88" s="4"/>
      <c r="AG88" s="4"/>
      <c r="AH88" s="4"/>
    </row>
    <row r="89" spans="1:34" ht="60" customHeight="1" x14ac:dyDescent="0.2">
      <c r="A89" s="3"/>
      <c r="B89" s="4"/>
      <c r="C89" s="4"/>
      <c r="D89" s="4"/>
      <c r="E89" s="4"/>
      <c r="F89" s="4"/>
      <c r="G89" s="4"/>
      <c r="H89" s="4"/>
      <c r="I89" s="4"/>
      <c r="J89" s="4"/>
      <c r="K89" s="4"/>
      <c r="L89" s="4"/>
      <c r="M89" s="4"/>
      <c r="N89" s="4"/>
      <c r="O89" s="4"/>
      <c r="P89" s="4"/>
      <c r="Q89" s="10"/>
      <c r="R89" s="10"/>
      <c r="S89" s="4"/>
      <c r="T89" s="4"/>
      <c r="U89" s="4"/>
      <c r="V89" s="4"/>
      <c r="W89" s="4"/>
      <c r="X89" s="4"/>
      <c r="Y89" s="4"/>
      <c r="Z89" s="4"/>
      <c r="AA89" s="4"/>
      <c r="AB89" s="4"/>
      <c r="AC89" s="4"/>
      <c r="AD89" s="4"/>
      <c r="AE89" s="4"/>
      <c r="AF89" s="4"/>
      <c r="AG89" s="4"/>
      <c r="AH89" s="4"/>
    </row>
    <row r="90" spans="1:34" ht="60" customHeight="1" x14ac:dyDescent="0.2">
      <c r="A90" s="3"/>
      <c r="B90" s="4"/>
      <c r="C90" s="4"/>
      <c r="D90" s="4"/>
      <c r="E90" s="4"/>
      <c r="F90" s="4"/>
      <c r="G90" s="4"/>
      <c r="H90" s="4"/>
      <c r="I90" s="4"/>
      <c r="J90" s="4"/>
      <c r="K90" s="4"/>
      <c r="L90" s="4"/>
      <c r="M90" s="4"/>
      <c r="N90" s="4"/>
      <c r="O90" s="4"/>
      <c r="P90" s="4"/>
      <c r="Q90" s="10"/>
      <c r="R90" s="4"/>
      <c r="S90" s="4"/>
      <c r="T90" s="4"/>
      <c r="U90" s="4"/>
      <c r="V90" s="4"/>
      <c r="W90" s="4"/>
      <c r="X90" s="4"/>
      <c r="Y90" s="4"/>
      <c r="Z90" s="4"/>
      <c r="AA90" s="4"/>
      <c r="AB90" s="4"/>
      <c r="AC90" s="4"/>
      <c r="AD90" s="4"/>
      <c r="AE90" s="4"/>
      <c r="AF90" s="4"/>
      <c r="AG90" s="4"/>
      <c r="AH90" s="4"/>
    </row>
    <row r="91" spans="1:34" ht="60" customHeight="1" x14ac:dyDescent="0.2">
      <c r="A91" s="3"/>
      <c r="B91" s="4"/>
      <c r="C91" s="4"/>
      <c r="D91" s="4"/>
      <c r="E91" s="4"/>
      <c r="F91" s="4"/>
      <c r="G91" s="4"/>
      <c r="H91" s="4"/>
      <c r="I91" s="4"/>
      <c r="J91" s="4"/>
      <c r="K91" s="4"/>
      <c r="L91" s="4"/>
      <c r="M91" s="4"/>
      <c r="N91" s="4"/>
      <c r="O91" s="38"/>
      <c r="P91" s="4"/>
      <c r="Q91" s="10"/>
      <c r="R91" s="10"/>
      <c r="S91" s="8"/>
      <c r="T91" s="4"/>
      <c r="U91" s="4"/>
      <c r="V91" s="4"/>
      <c r="W91" s="4"/>
      <c r="X91" s="4"/>
      <c r="Y91" s="4"/>
      <c r="Z91" s="4"/>
      <c r="AA91" s="4"/>
      <c r="AB91" s="4"/>
      <c r="AC91" s="4"/>
      <c r="AD91" s="4"/>
      <c r="AE91" s="4"/>
      <c r="AF91" s="4"/>
      <c r="AG91" s="4"/>
      <c r="AH91" s="4"/>
    </row>
    <row r="92" spans="1:34" ht="60" customHeight="1" x14ac:dyDescent="0.2">
      <c r="A92" s="3"/>
      <c r="B92" s="4"/>
      <c r="C92" s="4"/>
      <c r="D92" s="4"/>
      <c r="E92" s="4"/>
      <c r="F92" s="4"/>
      <c r="G92" s="4"/>
      <c r="H92" s="4"/>
      <c r="I92" s="4"/>
      <c r="J92" s="4"/>
      <c r="K92" s="4"/>
      <c r="L92" s="4"/>
      <c r="M92" s="4"/>
      <c r="N92" s="4"/>
      <c r="O92" s="4"/>
      <c r="P92" s="4"/>
      <c r="Q92" s="7"/>
      <c r="R92" s="4"/>
      <c r="S92" s="4"/>
      <c r="T92" s="4"/>
      <c r="U92" s="4"/>
      <c r="V92" s="4"/>
      <c r="W92" s="4"/>
      <c r="X92" s="4"/>
      <c r="Y92" s="4"/>
      <c r="Z92" s="4"/>
      <c r="AA92" s="4"/>
      <c r="AB92" s="4"/>
      <c r="AC92" s="4"/>
      <c r="AD92" s="4"/>
      <c r="AE92" s="4"/>
      <c r="AF92" s="4"/>
      <c r="AG92" s="4"/>
      <c r="AH92" s="4"/>
    </row>
    <row r="93" spans="1:34" ht="60" customHeight="1" x14ac:dyDescent="0.2">
      <c r="A93" s="3"/>
      <c r="B93" s="4"/>
      <c r="C93" s="4"/>
      <c r="D93" s="4"/>
      <c r="E93" s="4"/>
      <c r="F93" s="4"/>
      <c r="G93" s="4"/>
      <c r="H93" s="4"/>
      <c r="I93" s="4"/>
      <c r="J93" s="4"/>
      <c r="K93" s="4"/>
      <c r="L93" s="4"/>
      <c r="M93" s="4"/>
      <c r="N93" s="4"/>
      <c r="O93" s="4"/>
      <c r="P93" s="4"/>
      <c r="Q93" s="10"/>
      <c r="R93" s="7"/>
      <c r="S93" s="4"/>
      <c r="T93" s="4"/>
      <c r="U93" s="4"/>
      <c r="V93" s="4"/>
      <c r="W93" s="4"/>
      <c r="X93" s="4"/>
      <c r="Y93" s="4"/>
      <c r="Z93" s="4"/>
      <c r="AA93" s="4"/>
      <c r="AB93" s="4"/>
      <c r="AC93" s="4"/>
      <c r="AD93" s="4"/>
      <c r="AE93" s="4"/>
      <c r="AF93" s="4"/>
      <c r="AG93" s="4"/>
      <c r="AH93" s="4"/>
    </row>
    <row r="94" spans="1:34" ht="60" customHeight="1" x14ac:dyDescent="0.2">
      <c r="A94" s="3"/>
      <c r="B94" s="4"/>
      <c r="C94" s="4"/>
      <c r="D94" s="4"/>
      <c r="E94" s="4"/>
      <c r="F94" s="4"/>
      <c r="G94" s="4"/>
      <c r="H94" s="4"/>
      <c r="I94" s="4"/>
      <c r="J94" s="4"/>
      <c r="K94" s="4"/>
      <c r="L94" s="4"/>
      <c r="M94" s="4"/>
      <c r="N94" s="4"/>
      <c r="O94" s="4"/>
      <c r="P94" s="4"/>
      <c r="Q94" s="10"/>
      <c r="R94" s="10"/>
      <c r="S94" s="4"/>
      <c r="T94" s="4"/>
      <c r="U94" s="4"/>
      <c r="V94" s="4"/>
      <c r="W94" s="4"/>
      <c r="X94" s="4"/>
      <c r="Y94" s="4"/>
      <c r="Z94" s="4"/>
      <c r="AA94" s="4"/>
      <c r="AB94" s="4"/>
      <c r="AC94" s="4"/>
      <c r="AD94" s="4"/>
      <c r="AE94" s="4"/>
      <c r="AF94" s="4"/>
      <c r="AG94" s="4"/>
      <c r="AH94" s="4"/>
    </row>
    <row r="95" spans="1:34" ht="60" customHeight="1" x14ac:dyDescent="0.2">
      <c r="A95" s="3"/>
      <c r="B95" s="4"/>
      <c r="C95" s="4"/>
      <c r="D95" s="4"/>
      <c r="E95" s="4"/>
      <c r="F95" s="4"/>
      <c r="G95" s="4"/>
      <c r="H95" s="4"/>
      <c r="I95" s="4"/>
      <c r="J95" s="4"/>
      <c r="K95" s="4"/>
      <c r="L95" s="4"/>
      <c r="M95" s="4"/>
      <c r="N95" s="4"/>
      <c r="O95" s="4"/>
      <c r="P95" s="4"/>
      <c r="Q95" s="7"/>
      <c r="R95" s="7"/>
      <c r="S95" s="7"/>
      <c r="T95" s="7"/>
      <c r="U95" s="4"/>
      <c r="V95" s="4"/>
      <c r="W95" s="4"/>
      <c r="X95" s="4"/>
      <c r="Y95" s="4"/>
      <c r="Z95" s="4"/>
      <c r="AA95" s="4"/>
      <c r="AB95" s="4"/>
      <c r="AC95" s="4"/>
      <c r="AD95" s="4"/>
      <c r="AE95" s="4"/>
      <c r="AF95" s="4"/>
      <c r="AG95" s="4"/>
      <c r="AH95" s="4"/>
    </row>
    <row r="96" spans="1:34" ht="60" customHeight="1" x14ac:dyDescent="0.2">
      <c r="A96" s="3"/>
      <c r="B96" s="4"/>
      <c r="C96" s="4"/>
      <c r="D96" s="4"/>
      <c r="E96" s="4"/>
      <c r="F96" s="4"/>
      <c r="G96" s="4"/>
      <c r="H96" s="4"/>
      <c r="I96" s="4"/>
      <c r="J96" s="4"/>
      <c r="K96" s="4"/>
      <c r="L96" s="4"/>
      <c r="M96" s="4"/>
      <c r="N96" s="4"/>
      <c r="O96" s="4"/>
      <c r="P96" s="4"/>
      <c r="Q96" s="7"/>
      <c r="R96" s="7"/>
      <c r="S96" s="4"/>
      <c r="T96" s="4"/>
      <c r="U96" s="4"/>
      <c r="V96" s="4"/>
      <c r="W96" s="4"/>
      <c r="X96" s="4"/>
      <c r="Y96" s="4"/>
      <c r="Z96" s="4"/>
      <c r="AA96" s="4"/>
      <c r="AB96" s="4"/>
      <c r="AC96" s="4"/>
      <c r="AD96" s="4"/>
      <c r="AE96" s="4"/>
      <c r="AF96" s="4"/>
      <c r="AG96" s="4"/>
      <c r="AH96" s="4"/>
    </row>
    <row r="97" spans="1:34" ht="60" customHeight="1" x14ac:dyDescent="0.2">
      <c r="A97" s="3"/>
      <c r="B97" s="4"/>
      <c r="C97" s="4"/>
      <c r="D97" s="4"/>
      <c r="E97" s="4"/>
      <c r="F97" s="4"/>
      <c r="G97" s="4"/>
      <c r="H97" s="4"/>
      <c r="I97" s="4"/>
      <c r="J97" s="4"/>
      <c r="K97" s="4"/>
      <c r="L97" s="4"/>
      <c r="M97" s="4"/>
      <c r="N97" s="4"/>
      <c r="O97" s="4"/>
      <c r="P97" s="4"/>
      <c r="Q97" s="7"/>
      <c r="R97" s="7"/>
      <c r="S97" s="4"/>
      <c r="T97" s="4"/>
      <c r="U97" s="4"/>
      <c r="V97" s="4"/>
      <c r="W97" s="4"/>
      <c r="X97" s="4"/>
      <c r="Y97" s="4"/>
      <c r="Z97" s="4"/>
      <c r="AA97" s="4"/>
      <c r="AB97" s="4"/>
      <c r="AC97" s="4"/>
      <c r="AD97" s="4"/>
      <c r="AE97" s="4"/>
      <c r="AF97" s="4"/>
      <c r="AG97" s="4"/>
      <c r="AH97" s="4"/>
    </row>
    <row r="98" spans="1:34" ht="60" customHeight="1" x14ac:dyDescent="0.2">
      <c r="A98" s="3"/>
      <c r="B98" s="4"/>
      <c r="C98" s="4"/>
      <c r="D98" s="4"/>
      <c r="E98" s="4"/>
      <c r="F98" s="4"/>
      <c r="G98" s="4"/>
      <c r="H98" s="4"/>
      <c r="I98" s="4"/>
      <c r="J98" s="4"/>
      <c r="K98" s="4"/>
      <c r="L98" s="4"/>
      <c r="M98" s="4"/>
      <c r="N98" s="4"/>
      <c r="O98" s="4"/>
      <c r="P98" s="4"/>
      <c r="Q98" s="7"/>
      <c r="R98" s="4"/>
      <c r="S98" s="4"/>
      <c r="T98" s="4"/>
      <c r="U98" s="4"/>
      <c r="V98" s="4"/>
      <c r="W98" s="4"/>
      <c r="X98" s="4"/>
      <c r="Y98" s="4"/>
      <c r="Z98" s="4"/>
      <c r="AA98" s="4"/>
      <c r="AB98" s="4"/>
      <c r="AC98" s="4"/>
      <c r="AD98" s="4"/>
      <c r="AE98" s="4"/>
      <c r="AF98" s="4"/>
      <c r="AG98" s="4"/>
      <c r="AH98" s="4"/>
    </row>
    <row r="99" spans="1:34" ht="60" customHeight="1" x14ac:dyDescent="0.2">
      <c r="A99" s="3"/>
      <c r="B99" s="4"/>
      <c r="C99" s="4"/>
      <c r="D99" s="4"/>
      <c r="E99" s="4"/>
      <c r="F99" s="4"/>
      <c r="G99" s="4"/>
      <c r="H99" s="4"/>
      <c r="I99" s="4"/>
      <c r="J99" s="4"/>
      <c r="K99" s="4"/>
      <c r="L99" s="4"/>
      <c r="M99" s="4"/>
      <c r="N99" s="4"/>
      <c r="O99" s="4"/>
      <c r="P99" s="4"/>
      <c r="Q99" s="7"/>
      <c r="R99" s="4"/>
      <c r="S99" s="4"/>
      <c r="T99" s="4"/>
      <c r="U99" s="4"/>
      <c r="V99" s="4"/>
      <c r="W99" s="4"/>
      <c r="X99" s="4"/>
      <c r="Y99" s="4"/>
      <c r="Z99" s="4"/>
      <c r="AA99" s="4"/>
      <c r="AB99" s="4"/>
      <c r="AC99" s="4"/>
      <c r="AD99" s="4"/>
      <c r="AE99" s="4"/>
      <c r="AF99" s="4"/>
      <c r="AG99" s="4"/>
      <c r="AH99" s="4"/>
    </row>
    <row r="100" spans="1:34" ht="60" customHeight="1" x14ac:dyDescent="0.2">
      <c r="A100" s="3"/>
      <c r="B100" s="4"/>
      <c r="C100" s="4"/>
      <c r="D100" s="4"/>
      <c r="E100" s="4"/>
      <c r="F100" s="4"/>
      <c r="G100" s="4"/>
      <c r="H100" s="4"/>
      <c r="I100" s="4"/>
      <c r="J100" s="4"/>
      <c r="K100" s="4"/>
      <c r="L100" s="4"/>
      <c r="M100" s="4"/>
      <c r="N100" s="4"/>
      <c r="O100" s="38"/>
      <c r="P100" s="4"/>
      <c r="Q100" s="7"/>
      <c r="R100" s="4"/>
      <c r="S100" s="8"/>
      <c r="T100" s="8"/>
      <c r="U100" s="4"/>
      <c r="V100" s="4"/>
      <c r="W100" s="4"/>
      <c r="X100" s="4"/>
      <c r="Y100" s="4"/>
      <c r="Z100" s="4"/>
      <c r="AA100" s="4"/>
      <c r="AB100" s="4"/>
      <c r="AC100" s="4"/>
      <c r="AD100" s="4"/>
      <c r="AE100" s="4"/>
      <c r="AF100" s="4"/>
      <c r="AG100" s="4"/>
      <c r="AH100" s="4"/>
    </row>
    <row r="101" spans="1:34" ht="60" customHeight="1" x14ac:dyDescent="0.2">
      <c r="A101" s="3"/>
      <c r="B101" s="4"/>
      <c r="C101" s="4"/>
      <c r="D101" s="4"/>
      <c r="E101" s="4"/>
      <c r="F101" s="4"/>
      <c r="G101" s="4"/>
      <c r="H101" s="4"/>
      <c r="I101" s="4"/>
      <c r="J101" s="4"/>
      <c r="K101" s="4"/>
      <c r="L101" s="4"/>
      <c r="M101" s="4"/>
      <c r="N101" s="4"/>
      <c r="O101" s="4"/>
      <c r="P101" s="4"/>
      <c r="Q101" s="7"/>
      <c r="R101" s="8"/>
      <c r="S101" s="8"/>
      <c r="T101" s="8"/>
      <c r="U101" s="4"/>
      <c r="V101" s="4"/>
      <c r="W101" s="4"/>
      <c r="X101" s="4"/>
      <c r="Y101" s="4"/>
      <c r="Z101" s="4"/>
      <c r="AA101" s="4"/>
      <c r="AB101" s="4"/>
      <c r="AC101" s="4"/>
      <c r="AD101" s="4"/>
      <c r="AE101" s="4"/>
      <c r="AF101" s="4"/>
      <c r="AG101" s="4"/>
      <c r="AH101" s="4"/>
    </row>
    <row r="102" spans="1:34" ht="60" customHeight="1" x14ac:dyDescent="0.2">
      <c r="A102" s="3"/>
      <c r="B102" s="4"/>
      <c r="C102" s="9"/>
      <c r="D102" s="9"/>
      <c r="E102" s="4"/>
      <c r="F102" s="4"/>
      <c r="G102" s="4"/>
      <c r="H102" s="4"/>
      <c r="I102" s="4"/>
      <c r="J102" s="4"/>
      <c r="K102" s="4"/>
      <c r="L102" s="4"/>
      <c r="M102" s="4"/>
      <c r="N102" s="4"/>
      <c r="O102" s="4"/>
      <c r="P102" s="4"/>
      <c r="Q102" s="7"/>
      <c r="R102" s="7"/>
      <c r="S102" s="7"/>
      <c r="T102" s="4"/>
      <c r="U102" s="4"/>
      <c r="V102" s="4"/>
      <c r="W102" s="4"/>
      <c r="X102" s="4"/>
      <c r="Y102" s="4"/>
      <c r="Z102" s="4"/>
      <c r="AA102" s="4"/>
      <c r="AB102" s="4"/>
      <c r="AC102" s="4"/>
      <c r="AD102" s="4"/>
      <c r="AE102" s="4"/>
      <c r="AF102" s="4"/>
      <c r="AG102" s="4"/>
      <c r="AH102" s="4"/>
    </row>
    <row r="103" spans="1:34" ht="60" customHeight="1" x14ac:dyDescent="0.2">
      <c r="A103" s="3"/>
      <c r="B103" s="4"/>
      <c r="C103" s="4"/>
      <c r="D103" s="4"/>
      <c r="E103" s="4"/>
      <c r="F103" s="4"/>
      <c r="G103" s="4"/>
      <c r="H103" s="4"/>
      <c r="I103" s="4"/>
      <c r="J103" s="4"/>
      <c r="K103" s="4"/>
      <c r="L103" s="4"/>
      <c r="M103" s="4"/>
      <c r="N103" s="4"/>
      <c r="O103" s="4"/>
      <c r="P103" s="4"/>
      <c r="Q103" s="10"/>
      <c r="R103" s="10"/>
      <c r="S103" s="4"/>
      <c r="T103" s="4"/>
      <c r="U103" s="4"/>
      <c r="V103" s="4"/>
      <c r="W103" s="4"/>
      <c r="X103" s="4"/>
      <c r="Y103" s="4"/>
      <c r="Z103" s="4"/>
      <c r="AA103" s="4"/>
      <c r="AB103" s="4"/>
      <c r="AC103" s="4"/>
      <c r="AD103" s="4"/>
      <c r="AE103" s="4"/>
      <c r="AF103" s="4"/>
      <c r="AG103" s="4"/>
      <c r="AH103" s="4"/>
    </row>
    <row r="104" spans="1:34" ht="60" customHeight="1" x14ac:dyDescent="0.2">
      <c r="A104" s="3"/>
      <c r="B104" s="4"/>
      <c r="C104" s="4"/>
      <c r="D104" s="4"/>
      <c r="E104" s="4"/>
      <c r="F104" s="4"/>
      <c r="G104" s="4"/>
      <c r="H104" s="4"/>
      <c r="I104" s="4"/>
      <c r="J104" s="4"/>
      <c r="K104" s="4"/>
      <c r="L104" s="4"/>
      <c r="M104" s="4"/>
      <c r="N104" s="4"/>
      <c r="O104" s="4"/>
      <c r="P104" s="4"/>
      <c r="Q104" s="10"/>
      <c r="R104" s="4"/>
      <c r="S104" s="4"/>
      <c r="T104" s="4"/>
      <c r="U104" s="4"/>
      <c r="V104" s="4"/>
      <c r="W104" s="4"/>
      <c r="X104" s="4"/>
      <c r="Y104" s="4"/>
      <c r="Z104" s="4"/>
      <c r="AA104" s="4"/>
      <c r="AB104" s="4"/>
      <c r="AC104" s="4"/>
      <c r="AD104" s="4"/>
      <c r="AE104" s="4"/>
      <c r="AF104" s="4"/>
      <c r="AG104" s="4"/>
      <c r="AH104" s="4"/>
    </row>
    <row r="105" spans="1:34" ht="60" customHeight="1" x14ac:dyDescent="0.2">
      <c r="A105" s="3"/>
      <c r="B105" s="4"/>
      <c r="C105" s="4"/>
      <c r="D105" s="4"/>
      <c r="E105" s="4"/>
      <c r="F105" s="4"/>
      <c r="G105" s="4"/>
      <c r="H105" s="4"/>
      <c r="I105" s="4"/>
      <c r="J105" s="4"/>
      <c r="K105" s="4"/>
      <c r="L105" s="4"/>
      <c r="M105" s="4"/>
      <c r="N105" s="4"/>
      <c r="O105" s="4"/>
      <c r="P105" s="4"/>
      <c r="Q105" s="7"/>
      <c r="R105" s="4"/>
      <c r="S105" s="4"/>
      <c r="T105" s="4"/>
      <c r="U105" s="4"/>
      <c r="V105" s="4"/>
      <c r="W105" s="4"/>
      <c r="X105" s="4"/>
      <c r="Y105" s="4"/>
      <c r="Z105" s="4"/>
      <c r="AA105" s="4"/>
      <c r="AB105" s="4"/>
      <c r="AC105" s="4"/>
      <c r="AD105" s="4"/>
      <c r="AE105" s="4"/>
      <c r="AF105" s="4"/>
      <c r="AG105" s="4"/>
      <c r="AH105" s="4"/>
    </row>
    <row r="106" spans="1:34" ht="60" customHeight="1" x14ac:dyDescent="0.2">
      <c r="A106" s="3"/>
      <c r="B106" s="4"/>
      <c r="C106" s="4"/>
      <c r="D106" s="4"/>
      <c r="E106" s="4"/>
      <c r="F106" s="4"/>
      <c r="G106" s="4"/>
      <c r="H106" s="4"/>
      <c r="I106" s="4"/>
      <c r="J106" s="4"/>
      <c r="K106" s="4"/>
      <c r="L106" s="4"/>
      <c r="M106" s="4"/>
      <c r="N106" s="4"/>
      <c r="O106" s="4"/>
      <c r="P106" s="4"/>
      <c r="Q106" s="7"/>
      <c r="R106" s="7"/>
      <c r="S106" s="4"/>
      <c r="T106" s="4"/>
      <c r="U106" s="4"/>
      <c r="V106" s="4"/>
      <c r="W106" s="4"/>
      <c r="X106" s="4"/>
      <c r="Y106" s="4"/>
      <c r="Z106" s="4"/>
      <c r="AA106" s="4"/>
      <c r="AB106" s="4"/>
      <c r="AC106" s="4"/>
      <c r="AD106" s="4"/>
      <c r="AE106" s="4"/>
      <c r="AF106" s="4"/>
      <c r="AG106" s="4"/>
      <c r="AH106" s="4"/>
    </row>
    <row r="107" spans="1:34" ht="60" customHeight="1" x14ac:dyDescent="0.2">
      <c r="A107" s="3"/>
      <c r="B107" s="4"/>
      <c r="C107" s="4"/>
      <c r="D107" s="4"/>
      <c r="E107" s="4"/>
      <c r="F107" s="4"/>
      <c r="G107" s="4"/>
      <c r="H107" s="4"/>
      <c r="I107" s="4"/>
      <c r="J107" s="4"/>
      <c r="K107" s="4"/>
      <c r="L107" s="4"/>
      <c r="M107" s="4"/>
      <c r="N107" s="4"/>
      <c r="O107" s="4"/>
      <c r="P107" s="4"/>
      <c r="Q107" s="7"/>
      <c r="R107" s="7"/>
      <c r="S107" s="4"/>
      <c r="T107" s="4"/>
      <c r="U107" s="4"/>
      <c r="V107" s="4"/>
      <c r="W107" s="4"/>
      <c r="X107" s="4"/>
      <c r="Y107" s="4"/>
      <c r="Z107" s="4"/>
      <c r="AA107" s="4"/>
      <c r="AB107" s="4"/>
      <c r="AC107" s="4"/>
      <c r="AD107" s="4"/>
      <c r="AE107" s="4"/>
      <c r="AF107" s="4"/>
      <c r="AG107" s="4"/>
      <c r="AH107" s="4"/>
    </row>
    <row r="108" spans="1:34" ht="60" customHeight="1" x14ac:dyDescent="0.2">
      <c r="A108" s="3"/>
      <c r="B108" s="4"/>
      <c r="C108" s="4"/>
      <c r="D108" s="4"/>
      <c r="E108" s="4"/>
      <c r="F108" s="4"/>
      <c r="G108" s="4"/>
      <c r="H108" s="4"/>
      <c r="I108" s="4"/>
      <c r="J108" s="4"/>
      <c r="K108" s="4"/>
      <c r="L108" s="4"/>
      <c r="M108" s="4"/>
      <c r="N108" s="4"/>
      <c r="O108" s="4"/>
      <c r="P108" s="4"/>
      <c r="Q108" s="7"/>
      <c r="R108" s="10"/>
      <c r="S108" s="10"/>
      <c r="T108" s="4"/>
      <c r="U108" s="4"/>
      <c r="V108" s="4"/>
      <c r="W108" s="4"/>
      <c r="X108" s="4"/>
      <c r="Y108" s="4"/>
      <c r="Z108" s="4"/>
      <c r="AA108" s="4"/>
      <c r="AB108" s="4"/>
      <c r="AC108" s="4"/>
      <c r="AD108" s="4"/>
      <c r="AE108" s="4"/>
      <c r="AF108" s="4"/>
      <c r="AG108" s="4"/>
      <c r="AH108" s="4"/>
    </row>
    <row r="109" spans="1:34" ht="60" customHeight="1" x14ac:dyDescent="0.2">
      <c r="A109" s="3"/>
      <c r="B109" s="4"/>
      <c r="C109" s="4"/>
      <c r="D109" s="4"/>
      <c r="E109" s="4"/>
      <c r="F109" s="4"/>
      <c r="G109" s="4"/>
      <c r="H109" s="4"/>
      <c r="I109" s="4"/>
      <c r="J109" s="4"/>
      <c r="K109" s="4"/>
      <c r="L109" s="4"/>
      <c r="M109" s="4"/>
      <c r="N109" s="4"/>
      <c r="O109" s="4"/>
      <c r="P109" s="4"/>
      <c r="Q109" s="7"/>
      <c r="R109" s="4"/>
      <c r="S109" s="4"/>
      <c r="T109" s="4"/>
      <c r="U109" s="4"/>
      <c r="V109" s="4"/>
      <c r="W109" s="7"/>
      <c r="X109" s="4"/>
      <c r="Y109" s="4"/>
      <c r="Z109" s="4"/>
      <c r="AA109" s="4"/>
      <c r="AB109" s="4"/>
      <c r="AC109" s="4"/>
      <c r="AD109" s="4"/>
      <c r="AE109" s="4"/>
      <c r="AF109" s="4"/>
      <c r="AG109" s="4"/>
      <c r="AH109" s="4"/>
    </row>
    <row r="110" spans="1:34" ht="60" customHeight="1" x14ac:dyDescent="0.2">
      <c r="A110" s="3"/>
      <c r="B110" s="4"/>
      <c r="C110" s="4"/>
      <c r="D110" s="4"/>
      <c r="E110" s="4"/>
      <c r="F110" s="4"/>
      <c r="G110" s="4"/>
      <c r="H110" s="4"/>
      <c r="I110" s="4"/>
      <c r="J110" s="4"/>
      <c r="K110" s="4"/>
      <c r="L110" s="4"/>
      <c r="M110" s="4"/>
      <c r="N110" s="4"/>
      <c r="O110" s="4"/>
      <c r="P110" s="4"/>
      <c r="Q110" s="10"/>
      <c r="R110" s="10"/>
      <c r="S110" s="4"/>
      <c r="T110" s="4"/>
      <c r="U110" s="4"/>
      <c r="V110" s="4"/>
      <c r="W110" s="4"/>
      <c r="X110" s="4"/>
      <c r="Y110" s="4"/>
      <c r="Z110" s="4"/>
      <c r="AA110" s="4"/>
      <c r="AB110" s="4"/>
      <c r="AC110" s="4"/>
      <c r="AD110" s="4"/>
      <c r="AE110" s="4"/>
      <c r="AF110" s="4"/>
      <c r="AG110" s="4"/>
      <c r="AH110" s="4"/>
    </row>
    <row r="111" spans="1:34" ht="60" customHeight="1" x14ac:dyDescent="0.2">
      <c r="A111" s="3"/>
      <c r="B111" s="4"/>
      <c r="C111" s="4"/>
      <c r="D111" s="4"/>
      <c r="E111" s="4"/>
      <c r="F111" s="4"/>
      <c r="G111" s="4"/>
      <c r="H111" s="4"/>
      <c r="I111" s="4"/>
      <c r="J111" s="4"/>
      <c r="K111" s="4"/>
      <c r="L111" s="4"/>
      <c r="M111" s="4"/>
      <c r="N111" s="4"/>
      <c r="O111" s="4"/>
      <c r="P111" s="4"/>
      <c r="Q111" s="7"/>
      <c r="R111" s="10"/>
      <c r="S111" s="4"/>
      <c r="T111" s="4"/>
      <c r="U111" s="4"/>
      <c r="V111" s="4"/>
      <c r="W111" s="4"/>
      <c r="X111" s="4"/>
      <c r="Y111" s="4"/>
      <c r="Z111" s="4"/>
      <c r="AA111" s="4"/>
      <c r="AB111" s="4"/>
      <c r="AC111" s="4"/>
      <c r="AD111" s="4"/>
      <c r="AE111" s="4"/>
      <c r="AF111" s="4"/>
      <c r="AG111" s="4"/>
      <c r="AH111" s="4"/>
    </row>
    <row r="112" spans="1:34" ht="60" customHeight="1" x14ac:dyDescent="0.2">
      <c r="A112" s="3"/>
      <c r="B112" s="4"/>
      <c r="C112" s="4"/>
      <c r="D112" s="4"/>
      <c r="E112" s="4"/>
      <c r="F112" s="4"/>
      <c r="G112" s="4"/>
      <c r="H112" s="4"/>
      <c r="I112" s="4"/>
      <c r="J112" s="4"/>
      <c r="K112" s="4"/>
      <c r="L112" s="4"/>
      <c r="M112" s="4"/>
      <c r="N112" s="4"/>
      <c r="O112" s="4"/>
      <c r="P112" s="4"/>
      <c r="Q112" s="7"/>
      <c r="R112" s="4"/>
      <c r="S112" s="4"/>
      <c r="T112" s="4"/>
      <c r="U112" s="4"/>
      <c r="V112" s="4"/>
      <c r="W112" s="4"/>
      <c r="X112" s="4"/>
      <c r="Y112" s="4"/>
      <c r="Z112" s="4"/>
      <c r="AA112" s="4"/>
      <c r="AB112" s="4"/>
      <c r="AC112" s="4"/>
      <c r="AD112" s="4"/>
      <c r="AE112" s="4"/>
      <c r="AF112" s="4"/>
      <c r="AG112" s="4"/>
      <c r="AH112" s="4"/>
    </row>
    <row r="113" spans="1:34" ht="60" customHeight="1" x14ac:dyDescent="0.2">
      <c r="A113" s="3"/>
      <c r="B113" s="4"/>
      <c r="C113" s="4"/>
      <c r="D113" s="4"/>
      <c r="E113" s="4"/>
      <c r="F113" s="4"/>
      <c r="G113" s="4"/>
      <c r="H113" s="4"/>
      <c r="I113" s="4"/>
      <c r="J113" s="4"/>
      <c r="K113" s="4"/>
      <c r="L113" s="4"/>
      <c r="M113" s="4"/>
      <c r="N113" s="4"/>
      <c r="O113" s="4"/>
      <c r="P113" s="4"/>
      <c r="Q113" s="7"/>
      <c r="R113" s="7"/>
      <c r="S113" s="4"/>
      <c r="T113" s="4"/>
      <c r="U113" s="4"/>
      <c r="V113" s="4"/>
      <c r="W113" s="4"/>
      <c r="X113" s="4"/>
      <c r="Y113" s="4"/>
      <c r="Z113" s="4"/>
      <c r="AA113" s="4"/>
      <c r="AB113" s="4"/>
      <c r="AC113" s="4"/>
      <c r="AD113" s="4"/>
      <c r="AE113" s="4"/>
      <c r="AF113" s="4"/>
      <c r="AG113" s="4"/>
      <c r="AH113" s="4"/>
    </row>
    <row r="114" spans="1:34" ht="60" customHeight="1" x14ac:dyDescent="0.2">
      <c r="A114" s="3"/>
      <c r="B114" s="4"/>
      <c r="C114" s="4"/>
      <c r="D114" s="4"/>
      <c r="E114" s="4"/>
      <c r="F114" s="4"/>
      <c r="G114" s="4"/>
      <c r="H114" s="4"/>
      <c r="I114" s="4"/>
      <c r="J114" s="4"/>
      <c r="K114" s="4"/>
      <c r="L114" s="4"/>
      <c r="M114" s="4"/>
      <c r="N114" s="4"/>
      <c r="O114" s="4"/>
      <c r="P114" s="4"/>
      <c r="Q114" s="19"/>
      <c r="R114" s="7"/>
      <c r="S114" s="4"/>
      <c r="T114" s="4"/>
      <c r="U114" s="4"/>
      <c r="V114" s="4"/>
      <c r="W114" s="4"/>
      <c r="X114" s="4"/>
      <c r="Y114" s="4"/>
      <c r="Z114" s="4"/>
      <c r="AA114" s="4"/>
      <c r="AB114" s="4"/>
      <c r="AC114" s="4"/>
      <c r="AD114" s="4"/>
      <c r="AE114" s="4"/>
      <c r="AF114" s="4"/>
      <c r="AG114" s="4"/>
      <c r="AH114" s="4"/>
    </row>
    <row r="115" spans="1:34" ht="60" customHeight="1" x14ac:dyDescent="0.2">
      <c r="A115" s="3"/>
      <c r="B115" s="4"/>
      <c r="C115" s="4"/>
      <c r="D115" s="4"/>
      <c r="E115" s="4"/>
      <c r="F115" s="4"/>
      <c r="G115" s="4"/>
      <c r="H115" s="4"/>
      <c r="I115" s="4"/>
      <c r="J115" s="4"/>
      <c r="K115" s="4"/>
      <c r="L115" s="4"/>
      <c r="M115" s="4"/>
      <c r="N115" s="4"/>
      <c r="O115" s="4"/>
      <c r="P115" s="4"/>
      <c r="Q115" s="7"/>
      <c r="R115" s="7"/>
      <c r="S115" s="4"/>
      <c r="T115" s="4"/>
      <c r="U115" s="4"/>
      <c r="V115" s="4"/>
      <c r="W115" s="4"/>
      <c r="X115" s="4"/>
      <c r="Y115" s="4"/>
      <c r="Z115" s="4"/>
      <c r="AA115" s="4"/>
      <c r="AB115" s="4"/>
      <c r="AC115" s="4"/>
      <c r="AD115" s="4"/>
      <c r="AE115" s="4"/>
      <c r="AF115" s="4"/>
      <c r="AG115" s="4"/>
      <c r="AH115" s="4"/>
    </row>
    <row r="116" spans="1:34" ht="60" customHeight="1" x14ac:dyDescent="0.2">
      <c r="A116" s="3"/>
      <c r="B116" s="4"/>
      <c r="C116" s="4"/>
      <c r="D116" s="4"/>
      <c r="E116" s="9"/>
      <c r="F116" s="9"/>
      <c r="G116" s="4"/>
      <c r="H116" s="4"/>
      <c r="I116" s="4"/>
      <c r="J116" s="4"/>
      <c r="K116" s="4"/>
      <c r="L116" s="4"/>
      <c r="M116" s="4"/>
      <c r="N116" s="4"/>
      <c r="O116" s="4"/>
      <c r="P116" s="4"/>
      <c r="Q116" s="10"/>
      <c r="R116" s="10"/>
      <c r="S116" s="18"/>
      <c r="T116" s="4"/>
      <c r="U116" s="4"/>
      <c r="V116" s="4"/>
      <c r="W116" s="4"/>
      <c r="X116" s="4"/>
      <c r="Y116" s="4"/>
      <c r="Z116" s="4"/>
      <c r="AA116" s="4"/>
      <c r="AB116" s="4"/>
      <c r="AC116" s="4"/>
      <c r="AD116" s="4"/>
      <c r="AE116" s="4"/>
      <c r="AF116" s="4"/>
      <c r="AG116" s="4"/>
      <c r="AH116" s="4"/>
    </row>
    <row r="117" spans="1:34" ht="60" customHeight="1" x14ac:dyDescent="0.2">
      <c r="A117" s="3"/>
      <c r="B117" s="4"/>
      <c r="C117" s="4"/>
      <c r="D117" s="4"/>
      <c r="E117" s="4"/>
      <c r="F117" s="4"/>
      <c r="G117" s="4"/>
      <c r="H117" s="4"/>
      <c r="I117" s="4"/>
      <c r="J117" s="4"/>
      <c r="K117" s="4"/>
      <c r="L117" s="4"/>
      <c r="M117" s="4"/>
      <c r="N117" s="4"/>
      <c r="O117" s="4"/>
      <c r="P117" s="4"/>
      <c r="Q117" s="10"/>
      <c r="R117" s="4"/>
      <c r="S117" s="4"/>
      <c r="T117" s="4"/>
      <c r="U117" s="4"/>
      <c r="V117" s="4"/>
      <c r="W117" s="4"/>
      <c r="X117" s="4"/>
      <c r="Y117" s="4"/>
      <c r="Z117" s="4"/>
      <c r="AA117" s="4"/>
      <c r="AB117" s="4"/>
      <c r="AC117" s="4"/>
      <c r="AD117" s="4"/>
      <c r="AE117" s="4"/>
      <c r="AF117" s="4"/>
      <c r="AG117" s="4"/>
      <c r="AH117" s="4"/>
    </row>
    <row r="118" spans="1:34" ht="60" customHeight="1" x14ac:dyDescent="0.2">
      <c r="A118" s="3"/>
      <c r="B118" s="4"/>
      <c r="C118" s="4"/>
      <c r="D118" s="4"/>
      <c r="E118" s="4"/>
      <c r="F118" s="4"/>
      <c r="G118" s="4"/>
      <c r="H118" s="4"/>
      <c r="I118" s="4"/>
      <c r="J118" s="4"/>
      <c r="K118" s="4"/>
      <c r="L118" s="4"/>
      <c r="M118" s="4"/>
      <c r="N118" s="4"/>
      <c r="O118" s="39"/>
      <c r="P118" s="4"/>
      <c r="Q118" s="10"/>
      <c r="R118" s="4"/>
      <c r="S118" s="4"/>
      <c r="T118" s="4"/>
      <c r="U118" s="4"/>
      <c r="V118" s="4"/>
      <c r="W118" s="4"/>
      <c r="X118" s="4"/>
      <c r="Y118" s="4"/>
      <c r="Z118" s="4"/>
      <c r="AA118" s="4"/>
      <c r="AB118" s="4"/>
      <c r="AC118" s="4"/>
      <c r="AD118" s="4"/>
      <c r="AE118" s="4"/>
      <c r="AF118" s="4"/>
      <c r="AG118" s="4"/>
      <c r="AH118" s="4"/>
    </row>
    <row r="119" spans="1:34" ht="60" customHeight="1" x14ac:dyDescent="0.2">
      <c r="A119" s="3"/>
      <c r="B119" s="4"/>
      <c r="C119" s="4"/>
      <c r="D119" s="4"/>
      <c r="E119" s="4"/>
      <c r="F119" s="4"/>
      <c r="G119" s="4"/>
      <c r="H119" s="4"/>
      <c r="I119" s="4"/>
      <c r="J119" s="4"/>
      <c r="K119" s="4"/>
      <c r="L119" s="4"/>
      <c r="M119" s="4"/>
      <c r="N119" s="4"/>
      <c r="O119" s="4"/>
      <c r="P119" s="4"/>
      <c r="Q119" s="7"/>
      <c r="R119" s="7"/>
      <c r="S119" s="7"/>
      <c r="T119" s="7"/>
      <c r="U119" s="4"/>
      <c r="V119" s="4"/>
      <c r="W119" s="4"/>
      <c r="X119" s="4"/>
      <c r="Y119" s="4"/>
      <c r="Z119" s="4"/>
      <c r="AA119" s="4"/>
      <c r="AB119" s="4"/>
      <c r="AC119" s="4"/>
      <c r="AD119" s="4"/>
      <c r="AE119" s="4"/>
      <c r="AF119" s="4"/>
      <c r="AG119" s="4"/>
      <c r="AH119" s="4"/>
    </row>
    <row r="120" spans="1:34" ht="60" customHeight="1" x14ac:dyDescent="0.2">
      <c r="A120" s="3"/>
      <c r="B120" s="4"/>
      <c r="C120" s="4"/>
      <c r="D120" s="4"/>
      <c r="E120" s="4"/>
      <c r="F120" s="4"/>
      <c r="G120" s="4"/>
      <c r="H120" s="4"/>
      <c r="I120" s="4"/>
      <c r="J120" s="4"/>
      <c r="K120" s="4"/>
      <c r="L120" s="4"/>
      <c r="M120" s="4"/>
      <c r="N120" s="4"/>
      <c r="O120" s="4"/>
      <c r="P120" s="4"/>
      <c r="Q120" s="7"/>
      <c r="R120" s="4"/>
      <c r="S120" s="4"/>
      <c r="T120" s="4"/>
      <c r="U120" s="4"/>
      <c r="V120" s="4"/>
      <c r="W120" s="4"/>
      <c r="X120" s="4"/>
      <c r="Y120" s="4"/>
      <c r="Z120" s="4"/>
      <c r="AA120" s="4"/>
      <c r="AB120" s="4"/>
      <c r="AC120" s="4"/>
      <c r="AD120" s="4"/>
      <c r="AE120" s="4"/>
      <c r="AF120" s="4"/>
      <c r="AG120" s="4"/>
      <c r="AH120" s="4"/>
    </row>
    <row r="121" spans="1:34" ht="60" customHeight="1" x14ac:dyDescent="0.2">
      <c r="A121" s="3"/>
      <c r="B121" s="4"/>
      <c r="C121" s="4"/>
      <c r="D121" s="4"/>
      <c r="E121" s="4"/>
      <c r="F121" s="4"/>
      <c r="G121" s="4"/>
      <c r="H121" s="4"/>
      <c r="I121" s="4"/>
      <c r="J121" s="4"/>
      <c r="K121" s="4"/>
      <c r="L121" s="4"/>
      <c r="M121" s="4"/>
      <c r="N121" s="4"/>
      <c r="O121" s="4"/>
      <c r="P121" s="4"/>
      <c r="Q121" s="7"/>
      <c r="R121" s="4"/>
      <c r="S121" s="4"/>
      <c r="T121" s="4"/>
      <c r="U121" s="4"/>
      <c r="V121" s="4"/>
      <c r="W121" s="4"/>
      <c r="X121" s="4"/>
      <c r="Y121" s="4"/>
      <c r="Z121" s="4"/>
      <c r="AA121" s="4"/>
      <c r="AB121" s="4"/>
      <c r="AC121" s="4"/>
      <c r="AD121" s="4"/>
      <c r="AE121" s="4"/>
      <c r="AF121" s="4"/>
      <c r="AG121" s="4"/>
      <c r="AH121" s="4"/>
    </row>
    <row r="122" spans="1:34" ht="60" customHeight="1" x14ac:dyDescent="0.2">
      <c r="A122" s="3"/>
      <c r="B122" s="4"/>
      <c r="C122" s="4"/>
      <c r="D122" s="4"/>
      <c r="E122" s="4"/>
      <c r="F122" s="4"/>
      <c r="G122" s="4"/>
      <c r="H122" s="4"/>
      <c r="I122" s="4"/>
      <c r="J122" s="4"/>
      <c r="K122" s="4"/>
      <c r="L122" s="4"/>
      <c r="M122" s="4"/>
      <c r="N122" s="4"/>
      <c r="O122" s="4"/>
      <c r="P122" s="4"/>
      <c r="Q122" s="7"/>
      <c r="R122" s="4"/>
      <c r="S122" s="4"/>
      <c r="T122" s="4"/>
      <c r="U122" s="4"/>
      <c r="V122" s="4"/>
      <c r="W122" s="4"/>
      <c r="X122" s="4"/>
      <c r="Y122" s="4"/>
      <c r="Z122" s="4"/>
      <c r="AA122" s="4"/>
      <c r="AB122" s="4"/>
      <c r="AC122" s="4"/>
      <c r="AD122" s="4"/>
      <c r="AE122" s="4"/>
      <c r="AF122" s="4"/>
      <c r="AG122" s="4"/>
      <c r="AH122" s="4"/>
    </row>
    <row r="123" spans="1:34" ht="60" customHeight="1" x14ac:dyDescent="0.2">
      <c r="A123" s="3"/>
      <c r="B123" s="4"/>
      <c r="C123" s="4"/>
      <c r="D123" s="4"/>
      <c r="E123" s="4"/>
      <c r="F123" s="4"/>
      <c r="G123" s="4"/>
      <c r="H123" s="4"/>
      <c r="I123" s="4"/>
      <c r="J123" s="4"/>
      <c r="K123" s="4"/>
      <c r="L123" s="4"/>
      <c r="M123" s="4"/>
      <c r="N123" s="4"/>
      <c r="O123" s="4"/>
      <c r="P123" s="4"/>
      <c r="Q123" s="7"/>
      <c r="R123" s="7"/>
      <c r="S123" s="4"/>
      <c r="T123" s="4"/>
      <c r="U123" s="4"/>
      <c r="V123" s="4"/>
      <c r="W123" s="4"/>
      <c r="X123" s="4"/>
      <c r="Y123" s="4"/>
      <c r="Z123" s="4"/>
      <c r="AA123" s="4"/>
      <c r="AB123" s="4"/>
      <c r="AC123" s="4"/>
      <c r="AD123" s="4"/>
      <c r="AE123" s="4"/>
      <c r="AF123" s="4"/>
      <c r="AG123" s="4"/>
      <c r="AH123" s="4"/>
    </row>
    <row r="124" spans="1:34" ht="60" customHeight="1" x14ac:dyDescent="0.2">
      <c r="A124" s="3"/>
      <c r="B124" s="4"/>
      <c r="C124" s="4"/>
      <c r="D124" s="4"/>
      <c r="E124" s="4"/>
      <c r="F124" s="4"/>
      <c r="G124" s="4"/>
      <c r="H124" s="4"/>
      <c r="I124" s="4"/>
      <c r="J124" s="4"/>
      <c r="K124" s="4"/>
      <c r="L124" s="4"/>
      <c r="M124" s="4"/>
      <c r="N124" s="4"/>
      <c r="O124" s="4"/>
      <c r="P124" s="4"/>
      <c r="Q124" s="7"/>
      <c r="R124" s="7"/>
      <c r="S124" s="7"/>
      <c r="T124" s="7"/>
      <c r="U124" s="4"/>
      <c r="V124" s="4"/>
      <c r="W124" s="4"/>
      <c r="X124" s="4"/>
      <c r="Y124" s="4"/>
      <c r="Z124" s="4"/>
      <c r="AA124" s="4"/>
      <c r="AB124" s="4"/>
      <c r="AC124" s="4"/>
      <c r="AD124" s="4"/>
      <c r="AE124" s="4"/>
      <c r="AF124" s="4"/>
      <c r="AG124" s="4"/>
      <c r="AH124" s="4"/>
    </row>
    <row r="125" spans="1:34" ht="60" customHeight="1" x14ac:dyDescent="0.2">
      <c r="A125" s="3"/>
      <c r="B125" s="4"/>
      <c r="C125" s="4"/>
      <c r="D125" s="4"/>
      <c r="E125" s="4"/>
      <c r="F125" s="4"/>
      <c r="G125" s="4"/>
      <c r="H125" s="4"/>
      <c r="I125" s="4"/>
      <c r="J125" s="4"/>
      <c r="K125" s="4"/>
      <c r="L125" s="4"/>
      <c r="M125" s="4"/>
      <c r="N125" s="4"/>
      <c r="O125" s="4"/>
      <c r="P125" s="4"/>
      <c r="Q125" s="7"/>
      <c r="R125" s="7"/>
      <c r="S125" s="4"/>
      <c r="T125" s="4"/>
      <c r="U125" s="4"/>
      <c r="V125" s="4"/>
      <c r="W125" s="4"/>
      <c r="X125" s="4"/>
      <c r="Y125" s="4"/>
      <c r="Z125" s="4"/>
      <c r="AA125" s="4"/>
      <c r="AB125" s="4"/>
      <c r="AC125" s="4"/>
      <c r="AD125" s="4"/>
      <c r="AE125" s="4"/>
      <c r="AF125" s="4"/>
      <c r="AG125" s="4"/>
      <c r="AH125" s="4"/>
    </row>
    <row r="126" spans="1:34" ht="60" customHeight="1" x14ac:dyDescent="0.2">
      <c r="A126" s="3"/>
      <c r="B126" s="4"/>
      <c r="C126" s="4"/>
      <c r="D126" s="4"/>
      <c r="E126" s="4"/>
      <c r="F126" s="4"/>
      <c r="G126" s="4"/>
      <c r="H126" s="4"/>
      <c r="I126" s="4"/>
      <c r="J126" s="4"/>
      <c r="K126" s="4"/>
      <c r="L126" s="4"/>
      <c r="M126" s="4"/>
      <c r="N126" s="4"/>
      <c r="O126" s="4"/>
      <c r="P126" s="4"/>
      <c r="Q126" s="7"/>
      <c r="R126" s="7"/>
      <c r="S126" s="7"/>
      <c r="T126" s="7"/>
      <c r="U126" s="4"/>
      <c r="V126" s="4"/>
      <c r="W126" s="4"/>
      <c r="X126" s="4"/>
      <c r="Y126" s="4"/>
      <c r="Z126" s="4"/>
      <c r="AA126" s="4"/>
      <c r="AB126" s="4"/>
      <c r="AC126" s="4"/>
      <c r="AD126" s="4"/>
      <c r="AE126" s="4"/>
      <c r="AF126" s="4"/>
      <c r="AG126" s="4"/>
      <c r="AH126" s="4"/>
    </row>
    <row r="127" spans="1:34" ht="60" customHeight="1" x14ac:dyDescent="0.2">
      <c r="A127" s="3"/>
      <c r="B127" s="4"/>
      <c r="C127" s="4"/>
      <c r="D127" s="4"/>
      <c r="E127" s="4"/>
      <c r="F127" s="4"/>
      <c r="G127" s="4"/>
      <c r="H127" s="4"/>
      <c r="I127" s="4"/>
      <c r="J127" s="4"/>
      <c r="K127" s="4"/>
      <c r="L127" s="4"/>
      <c r="M127" s="4"/>
      <c r="N127" s="4"/>
      <c r="O127" s="7"/>
      <c r="P127" s="7"/>
      <c r="Q127" s="7"/>
      <c r="R127" s="7"/>
      <c r="S127" s="7"/>
      <c r="T127" s="7"/>
      <c r="U127" s="7"/>
      <c r="V127" s="4"/>
      <c r="W127" s="4"/>
      <c r="X127" s="4"/>
      <c r="Y127" s="4"/>
      <c r="Z127" s="4"/>
      <c r="AA127" s="4"/>
      <c r="AB127" s="4"/>
      <c r="AC127" s="4"/>
      <c r="AD127" s="4"/>
      <c r="AE127" s="4"/>
      <c r="AF127" s="4"/>
      <c r="AG127" s="4"/>
      <c r="AH127" s="4"/>
    </row>
    <row r="128" spans="1:34" ht="60" customHeight="1" x14ac:dyDescent="0.2">
      <c r="A128" s="3"/>
      <c r="B128" s="4"/>
      <c r="C128" s="4"/>
      <c r="D128" s="4"/>
      <c r="E128" s="9"/>
      <c r="F128" s="9"/>
      <c r="G128" s="4"/>
      <c r="H128" s="4"/>
      <c r="I128" s="4"/>
      <c r="J128" s="4"/>
      <c r="K128" s="4"/>
      <c r="L128" s="4"/>
      <c r="M128" s="4"/>
      <c r="N128" s="4"/>
      <c r="O128" s="4"/>
      <c r="P128" s="4"/>
      <c r="Q128" s="7"/>
      <c r="R128" s="7"/>
      <c r="S128" s="7"/>
      <c r="T128" s="7"/>
      <c r="U128" s="10"/>
      <c r="V128" s="4"/>
      <c r="W128" s="8"/>
      <c r="X128" s="4"/>
      <c r="Y128" s="4"/>
      <c r="Z128" s="4"/>
      <c r="AA128" s="4"/>
      <c r="AB128" s="4"/>
      <c r="AC128" s="4"/>
      <c r="AD128" s="4"/>
      <c r="AE128" s="4"/>
      <c r="AF128" s="4"/>
      <c r="AG128" s="4"/>
      <c r="AH128" s="4"/>
    </row>
    <row r="129" spans="1:34" ht="60" customHeight="1" x14ac:dyDescent="0.2">
      <c r="A129" s="3"/>
      <c r="B129" s="4"/>
      <c r="C129" s="4"/>
      <c r="D129" s="4"/>
      <c r="E129" s="9"/>
      <c r="F129" s="9"/>
      <c r="G129" s="4"/>
      <c r="H129" s="4"/>
      <c r="I129" s="4"/>
      <c r="J129" s="4"/>
      <c r="K129" s="4"/>
      <c r="L129" s="4"/>
      <c r="M129" s="4"/>
      <c r="N129" s="4"/>
      <c r="O129" s="4"/>
      <c r="P129" s="8"/>
      <c r="Q129" s="7"/>
      <c r="R129" s="7"/>
      <c r="S129" s="7"/>
      <c r="T129" s="7"/>
      <c r="U129" s="7"/>
      <c r="V129" s="4"/>
      <c r="W129" s="4"/>
      <c r="X129" s="4"/>
      <c r="Y129" s="4"/>
      <c r="Z129" s="4"/>
      <c r="AA129" s="4"/>
      <c r="AB129" s="4"/>
      <c r="AC129" s="4"/>
      <c r="AD129" s="4"/>
      <c r="AE129" s="4"/>
      <c r="AF129" s="4"/>
      <c r="AG129" s="4"/>
      <c r="AH129" s="4"/>
    </row>
    <row r="130" spans="1:34" ht="60" customHeight="1" x14ac:dyDescent="0.2">
      <c r="A130" s="3"/>
      <c r="B130" s="4"/>
      <c r="C130" s="4"/>
      <c r="D130" s="4"/>
      <c r="E130" s="9"/>
      <c r="F130" s="9"/>
      <c r="G130" s="4"/>
      <c r="H130" s="4"/>
      <c r="I130" s="4"/>
      <c r="J130" s="4"/>
      <c r="K130" s="4"/>
      <c r="L130" s="4"/>
      <c r="M130" s="4"/>
      <c r="N130" s="4"/>
      <c r="O130" s="4"/>
      <c r="P130" s="4"/>
      <c r="Q130" s="7"/>
      <c r="R130" s="7"/>
      <c r="S130" s="7"/>
      <c r="T130" s="7"/>
      <c r="U130" s="7"/>
      <c r="V130" s="4"/>
      <c r="W130" s="4"/>
      <c r="X130" s="4"/>
      <c r="Y130" s="4"/>
      <c r="Z130" s="4"/>
      <c r="AA130" s="4"/>
      <c r="AB130" s="4"/>
      <c r="AC130" s="4"/>
      <c r="AD130" s="4"/>
      <c r="AE130" s="4"/>
      <c r="AF130" s="4"/>
      <c r="AG130" s="4"/>
      <c r="AH130" s="4"/>
    </row>
    <row r="131" spans="1:34" ht="60" customHeight="1" x14ac:dyDescent="0.2">
      <c r="A131" s="3"/>
      <c r="B131" s="4"/>
      <c r="C131" s="4"/>
      <c r="D131" s="4"/>
      <c r="E131" s="4"/>
      <c r="F131" s="4"/>
      <c r="G131" s="4"/>
      <c r="H131" s="4"/>
      <c r="I131" s="4"/>
      <c r="J131" s="4"/>
      <c r="K131" s="4"/>
      <c r="L131" s="4"/>
      <c r="M131" s="4"/>
      <c r="N131" s="4"/>
      <c r="O131" s="4"/>
      <c r="P131" s="4"/>
      <c r="Q131" s="7"/>
      <c r="R131" s="7"/>
      <c r="S131" s="7"/>
      <c r="T131" s="7"/>
      <c r="U131" s="4"/>
      <c r="V131" s="4"/>
      <c r="W131" s="4"/>
      <c r="X131" s="4"/>
      <c r="Y131" s="4"/>
      <c r="Z131" s="4"/>
      <c r="AA131" s="4"/>
      <c r="AB131" s="4"/>
      <c r="AC131" s="4"/>
      <c r="AD131" s="4"/>
      <c r="AE131" s="4"/>
      <c r="AF131" s="4"/>
      <c r="AG131" s="4"/>
      <c r="AH131" s="4"/>
    </row>
    <row r="132" spans="1:34" ht="60" customHeight="1" x14ac:dyDescent="0.2">
      <c r="A132" s="3"/>
      <c r="B132" s="4"/>
      <c r="C132" s="4"/>
      <c r="D132" s="4"/>
      <c r="E132" s="4"/>
      <c r="F132" s="4"/>
      <c r="G132" s="4"/>
      <c r="H132" s="4"/>
      <c r="I132" s="4"/>
      <c r="J132" s="4"/>
      <c r="K132" s="4"/>
      <c r="L132" s="4"/>
      <c r="M132" s="4"/>
      <c r="N132" s="4"/>
      <c r="O132" s="4"/>
      <c r="P132" s="4"/>
      <c r="Q132" s="7"/>
      <c r="R132" s="7"/>
      <c r="S132" s="7"/>
      <c r="T132" s="4"/>
      <c r="U132" s="4"/>
      <c r="V132" s="4"/>
      <c r="W132" s="4"/>
      <c r="X132" s="4"/>
      <c r="Y132" s="4"/>
      <c r="Z132" s="4"/>
      <c r="AA132" s="4"/>
      <c r="AB132" s="4"/>
      <c r="AC132" s="4"/>
      <c r="AD132" s="4"/>
      <c r="AE132" s="4"/>
      <c r="AF132" s="4"/>
      <c r="AG132" s="4"/>
      <c r="AH132" s="4"/>
    </row>
    <row r="133" spans="1:34" ht="60" customHeight="1" x14ac:dyDescent="0.2">
      <c r="A133" s="3"/>
      <c r="B133" s="4"/>
      <c r="C133" s="4"/>
      <c r="D133" s="4"/>
      <c r="E133" s="4"/>
      <c r="F133" s="4"/>
      <c r="G133" s="4"/>
      <c r="H133" s="4"/>
      <c r="I133" s="4"/>
      <c r="J133" s="4"/>
      <c r="K133" s="4"/>
      <c r="L133" s="4"/>
      <c r="M133" s="4"/>
      <c r="N133" s="4"/>
      <c r="O133" s="4"/>
      <c r="P133" s="4"/>
      <c r="Q133" s="10"/>
      <c r="R133" s="7"/>
      <c r="S133" s="4"/>
      <c r="T133" s="4"/>
      <c r="U133" s="4"/>
      <c r="V133" s="4"/>
      <c r="W133" s="4"/>
      <c r="X133" s="4"/>
      <c r="Y133" s="4"/>
      <c r="Z133" s="4"/>
      <c r="AA133" s="4"/>
      <c r="AB133" s="4"/>
      <c r="AC133" s="4"/>
      <c r="AD133" s="4"/>
      <c r="AE133" s="4"/>
      <c r="AF133" s="4"/>
      <c r="AG133" s="4"/>
      <c r="AH133" s="4"/>
    </row>
    <row r="134" spans="1:34" ht="60" customHeight="1" x14ac:dyDescent="0.2">
      <c r="A134" s="3"/>
      <c r="B134" s="4"/>
      <c r="C134" s="4"/>
      <c r="D134" s="4"/>
      <c r="E134" s="4"/>
      <c r="F134" s="4"/>
      <c r="G134" s="4"/>
      <c r="H134" s="4"/>
      <c r="I134" s="4"/>
      <c r="J134" s="4"/>
      <c r="K134" s="4"/>
      <c r="L134" s="4"/>
      <c r="M134" s="4"/>
      <c r="N134" s="4"/>
      <c r="O134" s="4"/>
      <c r="P134" s="4"/>
      <c r="Q134" s="10"/>
      <c r="R134" s="10"/>
      <c r="S134" s="10"/>
      <c r="T134" s="10"/>
      <c r="U134" s="10"/>
      <c r="V134" s="4"/>
      <c r="W134" s="4"/>
      <c r="X134" s="4"/>
      <c r="Y134" s="4"/>
      <c r="Z134" s="4"/>
      <c r="AA134" s="4"/>
      <c r="AB134" s="4"/>
      <c r="AC134" s="4"/>
      <c r="AD134" s="4"/>
      <c r="AE134" s="4"/>
      <c r="AF134" s="4"/>
      <c r="AG134" s="4"/>
      <c r="AH134" s="4"/>
    </row>
    <row r="135" spans="1:34" ht="60" customHeight="1" x14ac:dyDescent="0.2">
      <c r="A135" s="3"/>
      <c r="B135" s="4"/>
      <c r="C135" s="4"/>
      <c r="D135" s="4"/>
      <c r="E135" s="4"/>
      <c r="F135" s="4"/>
      <c r="G135" s="4"/>
      <c r="H135" s="4"/>
      <c r="I135" s="4"/>
      <c r="J135" s="4"/>
      <c r="K135" s="4"/>
      <c r="L135" s="4"/>
      <c r="M135" s="4"/>
      <c r="N135" s="4"/>
      <c r="O135" s="4"/>
      <c r="P135" s="4"/>
      <c r="Q135" s="10"/>
      <c r="R135" s="8"/>
      <c r="S135" s="4"/>
      <c r="T135" s="4"/>
      <c r="U135" s="4"/>
      <c r="V135" s="4"/>
      <c r="W135" s="4"/>
      <c r="X135" s="4"/>
      <c r="Y135" s="4"/>
      <c r="Z135" s="4"/>
      <c r="AA135" s="4"/>
      <c r="AB135" s="4"/>
      <c r="AC135" s="4"/>
      <c r="AD135" s="4"/>
      <c r="AE135" s="4"/>
      <c r="AF135" s="4"/>
      <c r="AG135" s="4"/>
      <c r="AH135" s="4"/>
    </row>
    <row r="136" spans="1:34" ht="60" customHeight="1" x14ac:dyDescent="0.2">
      <c r="A136" s="3"/>
      <c r="B136" s="4"/>
      <c r="C136" s="4"/>
      <c r="D136" s="4"/>
      <c r="E136" s="4"/>
      <c r="F136" s="4"/>
      <c r="G136" s="4"/>
      <c r="H136" s="4"/>
      <c r="I136" s="4"/>
      <c r="J136" s="4"/>
      <c r="K136" s="4"/>
      <c r="L136" s="4"/>
      <c r="M136" s="4"/>
      <c r="N136" s="4"/>
      <c r="O136" s="4"/>
      <c r="P136" s="4"/>
      <c r="Q136" s="10"/>
      <c r="R136" s="10"/>
      <c r="S136" s="4"/>
      <c r="T136" s="8"/>
      <c r="U136" s="4"/>
      <c r="V136" s="4"/>
      <c r="W136" s="4"/>
      <c r="X136" s="4"/>
      <c r="Y136" s="4"/>
      <c r="Z136" s="4"/>
      <c r="AA136" s="4"/>
      <c r="AB136" s="4"/>
      <c r="AC136" s="4"/>
      <c r="AD136" s="4"/>
      <c r="AE136" s="4"/>
      <c r="AF136" s="4"/>
      <c r="AG136" s="4"/>
      <c r="AH136" s="4"/>
    </row>
    <row r="137" spans="1:34" ht="60" customHeight="1" x14ac:dyDescent="0.2">
      <c r="A137" s="3"/>
      <c r="B137" s="4"/>
      <c r="C137" s="4"/>
      <c r="D137" s="4"/>
      <c r="E137" s="4"/>
      <c r="F137" s="4"/>
      <c r="G137" s="4"/>
      <c r="H137" s="4"/>
      <c r="I137" s="4"/>
      <c r="J137" s="4"/>
      <c r="K137" s="4"/>
      <c r="L137" s="4"/>
      <c r="M137" s="4"/>
      <c r="N137" s="4"/>
      <c r="O137" s="4"/>
      <c r="P137" s="4"/>
      <c r="Q137" s="10"/>
      <c r="R137" s="10"/>
      <c r="S137" s="4"/>
      <c r="T137" s="4"/>
      <c r="U137" s="4"/>
      <c r="V137" s="4"/>
      <c r="W137" s="4"/>
      <c r="X137" s="4"/>
      <c r="Y137" s="4"/>
      <c r="Z137" s="4"/>
      <c r="AA137" s="4"/>
      <c r="AB137" s="4"/>
      <c r="AC137" s="4"/>
      <c r="AD137" s="4"/>
      <c r="AE137" s="4"/>
      <c r="AF137" s="4"/>
      <c r="AG137" s="4"/>
      <c r="AH137" s="4"/>
    </row>
    <row r="138" spans="1:34" ht="60" customHeight="1" x14ac:dyDescent="0.2">
      <c r="A138" s="3"/>
      <c r="B138" s="4"/>
      <c r="C138" s="4"/>
      <c r="D138" s="4"/>
      <c r="E138" s="4"/>
      <c r="F138" s="4"/>
      <c r="G138" s="4"/>
      <c r="H138" s="4"/>
      <c r="I138" s="4"/>
      <c r="J138" s="4"/>
      <c r="K138" s="4"/>
      <c r="L138" s="4"/>
      <c r="M138" s="4"/>
      <c r="N138" s="4"/>
      <c r="O138" s="4"/>
      <c r="P138" s="4"/>
      <c r="Q138" s="10"/>
      <c r="R138" s="10"/>
      <c r="S138" s="10"/>
      <c r="T138" s="4"/>
      <c r="U138" s="4"/>
      <c r="V138" s="4"/>
      <c r="W138" s="4"/>
      <c r="X138" s="4"/>
      <c r="Y138" s="4"/>
      <c r="Z138" s="4"/>
      <c r="AA138" s="4"/>
      <c r="AB138" s="4"/>
      <c r="AC138" s="4"/>
      <c r="AD138" s="4"/>
      <c r="AE138" s="4"/>
      <c r="AF138" s="4"/>
      <c r="AG138" s="4"/>
      <c r="AH138" s="4"/>
    </row>
    <row r="139" spans="1:34" ht="60" customHeight="1" x14ac:dyDescent="0.2">
      <c r="A139" s="3"/>
      <c r="B139" s="4"/>
      <c r="C139" s="4"/>
      <c r="D139" s="4"/>
      <c r="E139" s="4"/>
      <c r="F139" s="4"/>
      <c r="G139" s="4"/>
      <c r="H139" s="4"/>
      <c r="I139" s="4"/>
      <c r="J139" s="4"/>
      <c r="K139" s="4"/>
      <c r="L139" s="4"/>
      <c r="M139" s="4"/>
      <c r="N139" s="4"/>
      <c r="O139" s="40"/>
      <c r="P139" s="4"/>
      <c r="Q139" s="10"/>
      <c r="R139" s="10"/>
      <c r="S139" s="10"/>
      <c r="T139" s="4"/>
      <c r="U139" s="4"/>
      <c r="V139" s="4"/>
      <c r="W139" s="4"/>
      <c r="X139" s="4"/>
      <c r="Y139" s="4"/>
      <c r="Z139" s="4"/>
      <c r="AA139" s="4"/>
      <c r="AB139" s="4"/>
      <c r="AC139" s="4"/>
      <c r="AD139" s="4"/>
      <c r="AE139" s="4"/>
      <c r="AF139" s="4"/>
      <c r="AG139" s="4"/>
      <c r="AH139" s="4"/>
    </row>
    <row r="140" spans="1:34" ht="60" customHeight="1" x14ac:dyDescent="0.2">
      <c r="A140" s="3"/>
      <c r="B140" s="4"/>
      <c r="C140" s="4"/>
      <c r="D140" s="4"/>
      <c r="E140" s="4"/>
      <c r="F140" s="4"/>
      <c r="G140" s="4"/>
      <c r="H140" s="4"/>
      <c r="I140" s="4"/>
      <c r="J140" s="4"/>
      <c r="K140" s="4"/>
      <c r="L140" s="4"/>
      <c r="M140" s="4"/>
      <c r="N140" s="4"/>
      <c r="O140" s="4"/>
      <c r="P140" s="4"/>
      <c r="Q140" s="7"/>
      <c r="R140" s="4"/>
      <c r="S140" s="4"/>
      <c r="T140" s="4"/>
      <c r="U140" s="4"/>
      <c r="V140" s="4"/>
      <c r="W140" s="4"/>
      <c r="X140" s="4"/>
      <c r="Y140" s="4"/>
      <c r="Z140" s="4"/>
      <c r="AA140" s="4"/>
      <c r="AB140" s="4"/>
      <c r="AC140" s="4"/>
      <c r="AD140" s="4"/>
      <c r="AE140" s="4"/>
      <c r="AF140" s="4"/>
      <c r="AG140" s="4"/>
      <c r="AH140" s="4"/>
    </row>
    <row r="141" spans="1:34" ht="60" customHeight="1" x14ac:dyDescent="0.2">
      <c r="A141" s="3"/>
      <c r="B141" s="4"/>
      <c r="C141" s="4"/>
      <c r="D141" s="4"/>
      <c r="E141" s="4"/>
      <c r="F141" s="4"/>
      <c r="G141" s="4"/>
      <c r="H141" s="4"/>
      <c r="I141" s="4"/>
      <c r="J141" s="4"/>
      <c r="K141" s="4"/>
      <c r="L141" s="4"/>
      <c r="M141" s="4"/>
      <c r="N141" s="4"/>
      <c r="O141" s="4"/>
      <c r="P141" s="4"/>
      <c r="Q141" s="10"/>
      <c r="R141" s="10"/>
      <c r="S141" s="4"/>
      <c r="T141" s="4"/>
      <c r="U141" s="4"/>
      <c r="V141" s="4"/>
      <c r="W141" s="4"/>
      <c r="X141" s="4"/>
      <c r="Y141" s="4"/>
      <c r="Z141" s="4"/>
      <c r="AA141" s="4"/>
      <c r="AB141" s="4"/>
      <c r="AC141" s="4"/>
      <c r="AD141" s="4"/>
      <c r="AE141" s="4"/>
      <c r="AF141" s="4"/>
      <c r="AG141" s="4"/>
      <c r="AH141" s="4"/>
    </row>
    <row r="142" spans="1:34" ht="60" customHeight="1" x14ac:dyDescent="0.2">
      <c r="A142" s="3"/>
      <c r="B142" s="4"/>
      <c r="C142" s="4"/>
      <c r="D142" s="4"/>
      <c r="E142" s="4"/>
      <c r="F142" s="4"/>
      <c r="G142" s="4"/>
      <c r="H142" s="4"/>
      <c r="I142" s="9"/>
      <c r="J142" s="4"/>
      <c r="K142" s="4"/>
      <c r="L142" s="4"/>
      <c r="M142" s="4"/>
      <c r="N142" s="4"/>
      <c r="O142" s="4"/>
      <c r="P142" s="4"/>
      <c r="Q142" s="10"/>
      <c r="R142" s="10"/>
      <c r="S142" s="4"/>
      <c r="T142" s="4"/>
      <c r="U142" s="4"/>
      <c r="V142" s="4"/>
      <c r="W142" s="4"/>
      <c r="X142" s="4"/>
      <c r="Y142" s="4"/>
      <c r="Z142" s="4"/>
      <c r="AA142" s="4"/>
      <c r="AB142" s="4"/>
      <c r="AC142" s="4"/>
      <c r="AD142" s="4"/>
      <c r="AE142" s="4"/>
      <c r="AF142" s="4"/>
      <c r="AG142" s="4"/>
      <c r="AH142" s="4"/>
    </row>
    <row r="143" spans="1:34" ht="60" customHeight="1" x14ac:dyDescent="0.2">
      <c r="A143" s="3"/>
      <c r="B143" s="4"/>
      <c r="C143" s="4"/>
      <c r="D143" s="4"/>
      <c r="E143" s="4"/>
      <c r="F143" s="4"/>
      <c r="G143" s="4"/>
      <c r="H143" s="4"/>
      <c r="I143" s="9"/>
      <c r="J143" s="4"/>
      <c r="K143" s="4"/>
      <c r="L143" s="4"/>
      <c r="M143" s="4"/>
      <c r="N143" s="4"/>
      <c r="O143" s="4"/>
      <c r="P143" s="4"/>
      <c r="Q143" s="7"/>
      <c r="R143" s="10"/>
      <c r="S143" s="4"/>
      <c r="T143" s="4"/>
      <c r="U143" s="4"/>
      <c r="V143" s="4"/>
      <c r="W143" s="4"/>
      <c r="X143" s="4"/>
      <c r="Y143" s="4"/>
      <c r="Z143" s="4"/>
      <c r="AA143" s="4"/>
      <c r="AB143" s="4"/>
      <c r="AC143" s="4"/>
      <c r="AD143" s="4"/>
      <c r="AE143" s="4"/>
      <c r="AF143" s="4"/>
      <c r="AG143" s="4"/>
      <c r="AH143" s="4"/>
    </row>
    <row r="144" spans="1:34" ht="60" customHeight="1" x14ac:dyDescent="0.2">
      <c r="A144" s="3"/>
      <c r="B144" s="4"/>
      <c r="C144" s="4"/>
      <c r="D144" s="4"/>
      <c r="E144" s="4"/>
      <c r="F144" s="4"/>
      <c r="G144" s="4"/>
      <c r="H144" s="4"/>
      <c r="I144" s="4"/>
      <c r="J144" s="4"/>
      <c r="K144" s="4"/>
      <c r="L144" s="4"/>
      <c r="M144" s="4"/>
      <c r="N144" s="4"/>
      <c r="O144" s="4"/>
      <c r="P144" s="4"/>
      <c r="Q144" s="7"/>
      <c r="R144" s="7"/>
      <c r="S144" s="4"/>
      <c r="T144" s="4"/>
      <c r="U144" s="4"/>
      <c r="V144" s="4"/>
      <c r="W144" s="4"/>
      <c r="X144" s="4"/>
      <c r="Y144" s="4"/>
      <c r="Z144" s="4"/>
      <c r="AA144" s="4"/>
      <c r="AB144" s="4"/>
      <c r="AC144" s="4"/>
      <c r="AD144" s="4"/>
      <c r="AE144" s="4"/>
      <c r="AF144" s="4"/>
      <c r="AG144" s="4"/>
      <c r="AH144" s="4"/>
    </row>
    <row r="145" spans="1:34" ht="60" customHeight="1" x14ac:dyDescent="0.2">
      <c r="A145" s="3"/>
      <c r="B145" s="4"/>
      <c r="C145" s="4"/>
      <c r="D145" s="4"/>
      <c r="E145" s="4"/>
      <c r="F145" s="4"/>
      <c r="G145" s="4"/>
      <c r="H145" s="4"/>
      <c r="I145" s="4"/>
      <c r="J145" s="4"/>
      <c r="K145" s="4"/>
      <c r="L145" s="4"/>
      <c r="M145" s="4"/>
      <c r="N145" s="4"/>
      <c r="O145" s="38"/>
      <c r="P145" s="4"/>
      <c r="Q145" s="10"/>
      <c r="R145" s="10"/>
      <c r="S145" s="10"/>
      <c r="T145" s="10"/>
      <c r="U145" s="4"/>
      <c r="V145" s="4"/>
      <c r="W145" s="4"/>
      <c r="X145" s="4"/>
      <c r="Y145" s="4"/>
      <c r="Z145" s="4"/>
      <c r="AA145" s="4"/>
      <c r="AB145" s="4"/>
      <c r="AC145" s="4"/>
      <c r="AD145" s="4"/>
      <c r="AE145" s="4"/>
      <c r="AF145" s="4"/>
      <c r="AG145" s="4"/>
      <c r="AH145" s="4"/>
    </row>
    <row r="146" spans="1:34" ht="60" customHeight="1" x14ac:dyDescent="0.2">
      <c r="A146" s="3"/>
      <c r="B146" s="4"/>
      <c r="C146" s="4"/>
      <c r="D146" s="4"/>
      <c r="E146" s="4"/>
      <c r="F146" s="4"/>
      <c r="G146" s="4"/>
      <c r="H146" s="4"/>
      <c r="I146" s="4"/>
      <c r="J146" s="4"/>
      <c r="K146" s="4"/>
      <c r="L146" s="4"/>
      <c r="M146" s="4"/>
      <c r="N146" s="4"/>
      <c r="O146" s="4"/>
      <c r="P146" s="4"/>
      <c r="Q146" s="10"/>
      <c r="R146" s="4"/>
      <c r="S146" s="4"/>
      <c r="T146" s="4"/>
      <c r="U146" s="4"/>
      <c r="V146" s="4"/>
      <c r="W146" s="4"/>
      <c r="X146" s="4"/>
      <c r="Y146" s="4"/>
      <c r="Z146" s="4"/>
      <c r="AA146" s="4"/>
      <c r="AB146" s="4"/>
      <c r="AC146" s="4"/>
      <c r="AD146" s="4"/>
      <c r="AE146" s="4"/>
      <c r="AF146" s="4"/>
      <c r="AG146" s="4"/>
      <c r="AH146" s="4"/>
    </row>
    <row r="147" spans="1:34" ht="60" customHeight="1" x14ac:dyDescent="0.2">
      <c r="A147" s="3"/>
      <c r="B147" s="4"/>
      <c r="C147" s="4"/>
      <c r="D147" s="4"/>
      <c r="E147" s="4"/>
      <c r="F147" s="4"/>
      <c r="G147" s="4"/>
      <c r="H147" s="4"/>
      <c r="I147" s="4"/>
      <c r="J147" s="4"/>
      <c r="K147" s="4"/>
      <c r="L147" s="4"/>
      <c r="M147" s="4"/>
      <c r="N147" s="4"/>
      <c r="O147" s="4"/>
      <c r="P147" s="4"/>
      <c r="Q147" s="10"/>
      <c r="R147" s="4"/>
      <c r="S147" s="4"/>
      <c r="T147" s="4"/>
      <c r="U147" s="4"/>
      <c r="V147" s="4"/>
      <c r="W147" s="4"/>
      <c r="X147" s="4"/>
      <c r="Y147" s="4"/>
      <c r="Z147" s="4"/>
      <c r="AA147" s="4"/>
      <c r="AB147" s="4"/>
      <c r="AC147" s="4"/>
      <c r="AD147" s="4"/>
      <c r="AE147" s="4"/>
      <c r="AF147" s="4"/>
      <c r="AG147" s="4"/>
      <c r="AH147" s="4"/>
    </row>
    <row r="148" spans="1:34" ht="60" customHeight="1" x14ac:dyDescent="0.2">
      <c r="A148" s="3"/>
      <c r="B148" s="4"/>
      <c r="C148" s="4"/>
      <c r="D148" s="4"/>
      <c r="E148" s="4"/>
      <c r="F148" s="4"/>
      <c r="G148" s="4"/>
      <c r="H148" s="4"/>
      <c r="I148" s="4"/>
      <c r="J148" s="4"/>
      <c r="K148" s="4"/>
      <c r="L148" s="4"/>
      <c r="M148" s="4"/>
      <c r="N148" s="4"/>
      <c r="O148" s="4"/>
      <c r="P148" s="4"/>
      <c r="Q148" s="10"/>
      <c r="R148" s="10"/>
      <c r="S148" s="4"/>
      <c r="T148" s="4"/>
      <c r="U148" s="4"/>
      <c r="V148" s="4"/>
      <c r="W148" s="4"/>
      <c r="X148" s="4"/>
      <c r="Y148" s="4"/>
      <c r="Z148" s="4"/>
      <c r="AA148" s="4"/>
      <c r="AB148" s="4"/>
      <c r="AC148" s="4"/>
      <c r="AD148" s="4"/>
      <c r="AE148" s="4"/>
      <c r="AF148" s="4"/>
      <c r="AG148" s="4"/>
      <c r="AH148" s="4"/>
    </row>
    <row r="149" spans="1:34" ht="60" customHeight="1" x14ac:dyDescent="0.2">
      <c r="A149" s="3"/>
      <c r="B149" s="4"/>
      <c r="C149" s="4"/>
      <c r="D149" s="4"/>
      <c r="E149" s="4"/>
      <c r="F149" s="4"/>
      <c r="G149" s="4"/>
      <c r="H149" s="4"/>
      <c r="I149" s="4"/>
      <c r="J149" s="4"/>
      <c r="K149" s="4"/>
      <c r="L149" s="4"/>
      <c r="M149" s="4"/>
      <c r="N149" s="4"/>
      <c r="O149" s="4"/>
      <c r="P149" s="4"/>
      <c r="Q149" s="10"/>
      <c r="R149" s="10"/>
      <c r="S149" s="4"/>
      <c r="T149" s="4"/>
      <c r="U149" s="4"/>
      <c r="V149" s="4"/>
      <c r="W149" s="4"/>
      <c r="X149" s="4"/>
      <c r="Y149" s="4"/>
      <c r="Z149" s="4"/>
      <c r="AA149" s="4"/>
      <c r="AB149" s="4"/>
      <c r="AC149" s="4"/>
      <c r="AD149" s="4"/>
      <c r="AE149" s="4"/>
      <c r="AF149" s="4"/>
      <c r="AG149" s="4"/>
      <c r="AH149" s="4"/>
    </row>
    <row r="150" spans="1:34" ht="60" customHeight="1" x14ac:dyDescent="0.2">
      <c r="A150" s="3"/>
      <c r="B150" s="4"/>
      <c r="C150" s="4"/>
      <c r="D150" s="4"/>
      <c r="E150" s="4"/>
      <c r="F150" s="4"/>
      <c r="G150" s="4"/>
      <c r="H150" s="4"/>
      <c r="I150" s="4"/>
      <c r="J150" s="4"/>
      <c r="K150" s="4"/>
      <c r="L150" s="4"/>
      <c r="M150" s="4"/>
      <c r="N150" s="4"/>
      <c r="O150" s="4"/>
      <c r="P150" s="4"/>
      <c r="Q150" s="10"/>
      <c r="R150" s="4"/>
      <c r="S150" s="4"/>
      <c r="T150" s="4"/>
      <c r="U150" s="4"/>
      <c r="V150" s="4"/>
      <c r="W150" s="4"/>
      <c r="X150" s="4"/>
      <c r="Y150" s="4"/>
      <c r="Z150" s="4"/>
      <c r="AA150" s="4"/>
      <c r="AB150" s="4"/>
      <c r="AC150" s="4"/>
      <c r="AD150" s="4"/>
      <c r="AE150" s="4"/>
      <c r="AF150" s="4"/>
      <c r="AG150" s="4"/>
      <c r="AH150" s="4"/>
    </row>
    <row r="151" spans="1:34" ht="60" customHeight="1" x14ac:dyDescent="0.2">
      <c r="A151" s="3"/>
      <c r="B151" s="4"/>
      <c r="C151" s="4"/>
      <c r="D151" s="4"/>
      <c r="E151" s="4"/>
      <c r="F151" s="4"/>
      <c r="G151" s="4"/>
      <c r="H151" s="4"/>
      <c r="I151" s="4"/>
      <c r="J151" s="4"/>
      <c r="K151" s="4"/>
      <c r="L151" s="4"/>
      <c r="M151" s="4"/>
      <c r="N151" s="4"/>
      <c r="O151" s="4"/>
      <c r="P151" s="4"/>
      <c r="Q151" s="10"/>
      <c r="R151" s="10"/>
      <c r="S151" s="4"/>
      <c r="T151" s="4"/>
      <c r="U151" s="4"/>
      <c r="V151" s="4"/>
      <c r="W151" s="4"/>
      <c r="X151" s="4"/>
      <c r="Y151" s="4"/>
      <c r="Z151" s="4"/>
      <c r="AA151" s="4"/>
      <c r="AB151" s="4"/>
      <c r="AC151" s="4"/>
      <c r="AD151" s="4"/>
      <c r="AE151" s="4"/>
      <c r="AF151" s="4"/>
      <c r="AG151" s="4"/>
      <c r="AH151" s="4"/>
    </row>
    <row r="152" spans="1:34" ht="60" customHeight="1" x14ac:dyDescent="0.2">
      <c r="A152" s="3"/>
      <c r="B152" s="4"/>
      <c r="C152" s="4"/>
      <c r="D152" s="4"/>
      <c r="E152" s="4"/>
      <c r="F152" s="4"/>
      <c r="G152" s="4"/>
      <c r="H152" s="4"/>
      <c r="I152" s="4"/>
      <c r="J152" s="4"/>
      <c r="K152" s="4"/>
      <c r="L152" s="4"/>
      <c r="M152" s="4"/>
      <c r="N152" s="4"/>
      <c r="O152" s="4"/>
      <c r="P152" s="4"/>
      <c r="Q152" s="10"/>
      <c r="R152" s="4"/>
      <c r="S152" s="4"/>
      <c r="T152" s="4"/>
      <c r="U152" s="4"/>
      <c r="V152" s="4"/>
      <c r="W152" s="4"/>
      <c r="X152" s="4"/>
      <c r="Y152" s="4"/>
      <c r="Z152" s="4"/>
      <c r="AA152" s="4"/>
      <c r="AB152" s="4"/>
      <c r="AC152" s="4"/>
      <c r="AD152" s="4"/>
      <c r="AE152" s="4"/>
      <c r="AF152" s="4"/>
      <c r="AG152" s="4"/>
      <c r="AH152" s="4"/>
    </row>
    <row r="153" spans="1:34" ht="60" customHeight="1" x14ac:dyDescent="0.2">
      <c r="A153" s="3"/>
      <c r="B153" s="4"/>
      <c r="C153" s="4"/>
      <c r="D153" s="4"/>
      <c r="E153" s="4"/>
      <c r="F153" s="4"/>
      <c r="G153" s="4"/>
      <c r="H153" s="4"/>
      <c r="I153" s="4"/>
      <c r="J153" s="4"/>
      <c r="K153" s="4"/>
      <c r="L153" s="4"/>
      <c r="M153" s="4"/>
      <c r="N153" s="4"/>
      <c r="O153" s="38"/>
      <c r="P153" s="4"/>
      <c r="Q153" s="10"/>
      <c r="R153" s="4"/>
      <c r="S153" s="4"/>
      <c r="T153" s="4"/>
      <c r="U153" s="4"/>
      <c r="V153" s="4"/>
      <c r="W153" s="4"/>
      <c r="X153" s="4"/>
      <c r="Y153" s="4"/>
      <c r="Z153" s="4"/>
      <c r="AA153" s="4"/>
      <c r="AB153" s="4"/>
      <c r="AC153" s="4"/>
      <c r="AD153" s="4"/>
      <c r="AE153" s="4"/>
      <c r="AF153" s="4"/>
      <c r="AG153" s="4"/>
      <c r="AH153" s="4"/>
    </row>
    <row r="154" spans="1:34" ht="60" customHeight="1" x14ac:dyDescent="0.2">
      <c r="A154" s="3"/>
      <c r="B154" s="4"/>
      <c r="C154" s="4"/>
      <c r="D154" s="4"/>
      <c r="E154" s="4"/>
      <c r="F154" s="4"/>
      <c r="G154" s="4"/>
      <c r="H154" s="4"/>
      <c r="I154" s="4"/>
      <c r="J154" s="4"/>
      <c r="K154" s="4"/>
      <c r="L154" s="4"/>
      <c r="M154" s="4"/>
      <c r="N154" s="4"/>
      <c r="O154" s="4"/>
      <c r="P154" s="4"/>
      <c r="Q154" s="10"/>
      <c r="R154" s="10"/>
      <c r="S154" s="4"/>
      <c r="T154" s="4"/>
      <c r="U154" s="4"/>
      <c r="V154" s="4"/>
      <c r="W154" s="4"/>
      <c r="X154" s="4"/>
      <c r="Y154" s="4"/>
      <c r="Z154" s="4"/>
      <c r="AA154" s="4"/>
      <c r="AB154" s="4"/>
      <c r="AC154" s="4"/>
      <c r="AD154" s="4"/>
      <c r="AE154" s="4"/>
      <c r="AF154" s="4"/>
      <c r="AG154" s="4"/>
      <c r="AH154" s="4"/>
    </row>
    <row r="155" spans="1:34" ht="60" customHeight="1" x14ac:dyDescent="0.2">
      <c r="A155" s="3"/>
      <c r="B155" s="4"/>
      <c r="C155" s="4"/>
      <c r="D155" s="4"/>
      <c r="E155" s="4"/>
      <c r="F155" s="4"/>
      <c r="G155" s="4"/>
      <c r="H155" s="4"/>
      <c r="I155" s="4"/>
      <c r="J155" s="4"/>
      <c r="K155" s="4"/>
      <c r="L155" s="4"/>
      <c r="M155" s="4"/>
      <c r="N155" s="4"/>
      <c r="O155" s="4"/>
      <c r="P155" s="4"/>
      <c r="Q155" s="10"/>
      <c r="R155" s="4"/>
      <c r="S155" s="4"/>
      <c r="T155" s="4"/>
      <c r="U155" s="4"/>
      <c r="V155" s="4"/>
      <c r="W155" s="4"/>
      <c r="X155" s="4"/>
      <c r="Y155" s="4"/>
      <c r="Z155" s="4"/>
      <c r="AA155" s="4"/>
      <c r="AB155" s="4"/>
      <c r="AC155" s="4"/>
      <c r="AD155" s="4"/>
      <c r="AE155" s="4"/>
      <c r="AF155" s="4"/>
      <c r="AG155" s="4"/>
      <c r="AH155" s="4"/>
    </row>
    <row r="156" spans="1:34" ht="60" customHeight="1" x14ac:dyDescent="0.2">
      <c r="A156" s="3"/>
      <c r="B156" s="4"/>
      <c r="C156" s="4"/>
      <c r="D156" s="4"/>
      <c r="E156" s="4"/>
      <c r="F156" s="4"/>
      <c r="G156" s="4"/>
      <c r="H156" s="4"/>
      <c r="I156" s="4"/>
      <c r="J156" s="4"/>
      <c r="K156" s="4"/>
      <c r="L156" s="4"/>
      <c r="M156" s="4"/>
      <c r="N156" s="4"/>
      <c r="O156" s="4"/>
      <c r="P156" s="4"/>
      <c r="Q156" s="10"/>
      <c r="R156" s="10"/>
      <c r="S156" s="4"/>
      <c r="T156" s="4"/>
      <c r="U156" s="4"/>
      <c r="V156" s="4"/>
      <c r="W156" s="4"/>
      <c r="X156" s="4"/>
      <c r="Y156" s="4"/>
      <c r="Z156" s="4"/>
      <c r="AA156" s="4"/>
      <c r="AB156" s="4"/>
      <c r="AC156" s="4"/>
      <c r="AD156" s="4"/>
      <c r="AE156" s="4"/>
      <c r="AF156" s="4"/>
      <c r="AG156" s="4"/>
      <c r="AH156" s="4"/>
    </row>
    <row r="157" spans="1:34" ht="60" customHeight="1" x14ac:dyDescent="0.2">
      <c r="A157" s="3"/>
      <c r="B157" s="4"/>
      <c r="C157" s="4"/>
      <c r="D157" s="4"/>
      <c r="E157" s="4"/>
      <c r="F157" s="4"/>
      <c r="G157" s="4"/>
      <c r="H157" s="4"/>
      <c r="I157" s="4"/>
      <c r="J157" s="4"/>
      <c r="K157" s="4"/>
      <c r="L157" s="4"/>
      <c r="M157" s="4"/>
      <c r="N157" s="4"/>
      <c r="O157" s="4"/>
      <c r="P157" s="4"/>
      <c r="Q157" s="10"/>
      <c r="R157" s="10"/>
      <c r="S157" s="4"/>
      <c r="T157" s="4"/>
      <c r="U157" s="4"/>
      <c r="V157" s="4"/>
      <c r="W157" s="4"/>
      <c r="X157" s="4"/>
      <c r="Y157" s="4"/>
      <c r="Z157" s="4"/>
      <c r="AA157" s="4"/>
      <c r="AB157" s="4"/>
      <c r="AC157" s="4"/>
      <c r="AD157" s="4"/>
      <c r="AE157" s="4"/>
      <c r="AF157" s="4"/>
      <c r="AG157" s="4"/>
      <c r="AH157" s="4"/>
    </row>
    <row r="158" spans="1:34" ht="60" customHeight="1" x14ac:dyDescent="0.2">
      <c r="A158" s="3"/>
      <c r="B158" s="4"/>
      <c r="C158" s="4"/>
      <c r="D158" s="4"/>
      <c r="E158" s="4"/>
      <c r="F158" s="4"/>
      <c r="G158" s="4"/>
      <c r="H158" s="4"/>
      <c r="I158" s="4"/>
      <c r="J158" s="4"/>
      <c r="K158" s="4"/>
      <c r="L158" s="4"/>
      <c r="M158" s="4"/>
      <c r="N158" s="4"/>
      <c r="O158" s="4"/>
      <c r="P158" s="4"/>
      <c r="Q158" s="10"/>
      <c r="R158" s="4"/>
      <c r="S158" s="4"/>
      <c r="T158" s="4"/>
      <c r="U158" s="4"/>
      <c r="V158" s="4"/>
      <c r="W158" s="4"/>
      <c r="X158" s="4"/>
      <c r="Y158" s="4"/>
      <c r="Z158" s="4"/>
      <c r="AA158" s="4"/>
      <c r="AB158" s="4"/>
      <c r="AC158" s="4"/>
      <c r="AD158" s="4"/>
      <c r="AE158" s="4"/>
      <c r="AF158" s="4"/>
      <c r="AG158" s="4"/>
      <c r="AH158" s="4"/>
    </row>
    <row r="159" spans="1:34" ht="60" customHeight="1" x14ac:dyDescent="0.2">
      <c r="A159" s="3"/>
      <c r="B159" s="4"/>
      <c r="C159" s="4"/>
      <c r="D159" s="4"/>
      <c r="E159" s="4"/>
      <c r="F159" s="4"/>
      <c r="G159" s="4"/>
      <c r="H159" s="4"/>
      <c r="I159" s="4"/>
      <c r="J159" s="4"/>
      <c r="K159" s="4"/>
      <c r="L159" s="4"/>
      <c r="M159" s="4"/>
      <c r="N159" s="4"/>
      <c r="O159" s="4"/>
      <c r="P159" s="4"/>
      <c r="Q159" s="10"/>
      <c r="R159" s="4"/>
      <c r="S159" s="4"/>
      <c r="T159" s="4"/>
      <c r="U159" s="4"/>
      <c r="V159" s="4"/>
      <c r="W159" s="4"/>
      <c r="X159" s="4"/>
      <c r="Y159" s="4"/>
      <c r="Z159" s="4"/>
      <c r="AA159" s="4"/>
      <c r="AB159" s="4"/>
      <c r="AC159" s="4"/>
      <c r="AD159" s="4"/>
      <c r="AE159" s="4"/>
      <c r="AF159" s="4"/>
      <c r="AG159" s="4"/>
      <c r="AH159" s="4"/>
    </row>
    <row r="160" spans="1:34" ht="60" customHeight="1" x14ac:dyDescent="0.2">
      <c r="A160" s="3"/>
      <c r="B160" s="4"/>
      <c r="C160" s="4"/>
      <c r="D160" s="4"/>
      <c r="E160" s="4"/>
      <c r="F160" s="4"/>
      <c r="G160" s="4"/>
      <c r="H160" s="4"/>
      <c r="I160" s="4"/>
      <c r="J160" s="4"/>
      <c r="K160" s="4"/>
      <c r="L160" s="4"/>
      <c r="M160" s="4"/>
      <c r="N160" s="4"/>
      <c r="O160" s="4"/>
      <c r="P160" s="4"/>
      <c r="Q160" s="10"/>
      <c r="R160" s="10"/>
      <c r="S160" s="4"/>
      <c r="T160" s="4"/>
      <c r="U160" s="4"/>
      <c r="V160" s="4"/>
      <c r="W160" s="4"/>
      <c r="X160" s="4"/>
      <c r="Y160" s="4"/>
      <c r="Z160" s="4"/>
      <c r="AA160" s="4"/>
      <c r="AB160" s="4"/>
      <c r="AC160" s="4"/>
      <c r="AD160" s="4"/>
      <c r="AE160" s="4"/>
      <c r="AF160" s="4"/>
      <c r="AG160" s="4"/>
      <c r="AH160" s="4"/>
    </row>
    <row r="161" spans="1:34" ht="60" customHeight="1" x14ac:dyDescent="0.2">
      <c r="A161" s="3"/>
      <c r="B161" s="4"/>
      <c r="C161" s="4"/>
      <c r="D161" s="4"/>
      <c r="E161" s="4"/>
      <c r="F161" s="4"/>
      <c r="G161" s="4"/>
      <c r="H161" s="4"/>
      <c r="I161" s="4"/>
      <c r="J161" s="4"/>
      <c r="K161" s="4"/>
      <c r="L161" s="4"/>
      <c r="M161" s="4"/>
      <c r="N161" s="4"/>
      <c r="O161" s="38"/>
      <c r="P161" s="4"/>
      <c r="Q161" s="10"/>
      <c r="R161" s="8"/>
      <c r="S161" s="8"/>
      <c r="T161" s="4"/>
      <c r="U161" s="4"/>
      <c r="V161" s="4"/>
      <c r="W161" s="4"/>
      <c r="X161" s="4"/>
      <c r="Y161" s="4"/>
      <c r="Z161" s="4"/>
      <c r="AA161" s="4"/>
      <c r="AB161" s="4"/>
      <c r="AC161" s="4"/>
      <c r="AD161" s="4"/>
      <c r="AE161" s="4"/>
      <c r="AF161" s="4"/>
      <c r="AG161" s="4"/>
      <c r="AH161" s="4"/>
    </row>
    <row r="162" spans="1:34" ht="60" customHeight="1" x14ac:dyDescent="0.2">
      <c r="A162" s="3"/>
      <c r="B162" s="4"/>
      <c r="C162" s="4"/>
      <c r="D162" s="4"/>
      <c r="E162" s="4"/>
      <c r="F162" s="4"/>
      <c r="G162" s="4"/>
      <c r="H162" s="4"/>
      <c r="I162" s="4"/>
      <c r="J162" s="4"/>
      <c r="K162" s="4"/>
      <c r="L162" s="4"/>
      <c r="M162" s="4"/>
      <c r="N162" s="4"/>
      <c r="O162" s="4"/>
      <c r="P162" s="4"/>
      <c r="Q162" s="10"/>
      <c r="R162" s="4"/>
      <c r="S162" s="4"/>
      <c r="T162" s="4"/>
      <c r="U162" s="4"/>
      <c r="V162" s="4"/>
      <c r="W162" s="4"/>
      <c r="X162" s="4"/>
      <c r="Y162" s="4"/>
      <c r="Z162" s="4"/>
      <c r="AA162" s="4"/>
      <c r="AB162" s="4"/>
      <c r="AC162" s="4"/>
      <c r="AD162" s="4"/>
      <c r="AE162" s="4"/>
      <c r="AF162" s="4"/>
      <c r="AG162" s="4"/>
      <c r="AH162" s="4"/>
    </row>
    <row r="163" spans="1:34" ht="60" customHeight="1" x14ac:dyDescent="0.2">
      <c r="A163" s="3"/>
      <c r="B163" s="4"/>
      <c r="C163" s="4"/>
      <c r="D163" s="4"/>
      <c r="E163" s="4"/>
      <c r="F163" s="4"/>
      <c r="G163" s="4"/>
      <c r="H163" s="4"/>
      <c r="I163" s="4"/>
      <c r="J163" s="4"/>
      <c r="K163" s="4"/>
      <c r="L163" s="4"/>
      <c r="M163" s="4"/>
      <c r="N163" s="4"/>
      <c r="O163" s="38"/>
      <c r="P163" s="4"/>
      <c r="Q163" s="10"/>
      <c r="R163" s="7"/>
      <c r="S163" s="4"/>
      <c r="T163" s="4"/>
      <c r="U163" s="4"/>
      <c r="V163" s="4"/>
      <c r="W163" s="4"/>
      <c r="X163" s="4"/>
      <c r="Y163" s="4"/>
      <c r="Z163" s="4"/>
      <c r="AA163" s="4"/>
      <c r="AB163" s="4"/>
      <c r="AC163" s="4"/>
      <c r="AD163" s="4"/>
      <c r="AE163" s="4"/>
      <c r="AF163" s="4"/>
      <c r="AG163" s="4"/>
      <c r="AH163" s="4"/>
    </row>
    <row r="164" spans="1:34" ht="60" customHeight="1" x14ac:dyDescent="0.2">
      <c r="A164" s="3"/>
      <c r="B164" s="4"/>
      <c r="C164" s="4"/>
      <c r="D164" s="4"/>
      <c r="E164" s="4"/>
      <c r="F164" s="4"/>
      <c r="G164" s="4"/>
      <c r="H164" s="4"/>
      <c r="I164" s="4"/>
      <c r="J164" s="4"/>
      <c r="K164" s="4"/>
      <c r="L164" s="4"/>
      <c r="M164" s="4"/>
      <c r="N164" s="4"/>
      <c r="O164" s="4"/>
      <c r="P164" s="4"/>
      <c r="Q164" s="10"/>
      <c r="R164" s="19"/>
      <c r="S164" s="4"/>
      <c r="T164" s="4"/>
      <c r="U164" s="4"/>
      <c r="V164" s="4"/>
      <c r="W164" s="4"/>
      <c r="X164" s="4"/>
      <c r="Y164" s="4"/>
      <c r="Z164" s="4"/>
      <c r="AA164" s="4"/>
      <c r="AB164" s="4"/>
      <c r="AC164" s="4"/>
      <c r="AD164" s="4"/>
      <c r="AE164" s="4"/>
      <c r="AF164" s="4"/>
      <c r="AG164" s="4"/>
      <c r="AH164" s="4"/>
    </row>
    <row r="165" spans="1:34" ht="60" customHeight="1" x14ac:dyDescent="0.2">
      <c r="A165" s="3"/>
      <c r="B165" s="4"/>
      <c r="C165" s="4"/>
      <c r="D165" s="4"/>
      <c r="E165" s="4"/>
      <c r="F165" s="4"/>
      <c r="G165" s="4"/>
      <c r="H165" s="4"/>
      <c r="I165" s="4"/>
      <c r="J165" s="4"/>
      <c r="K165" s="4"/>
      <c r="L165" s="4"/>
      <c r="M165" s="4"/>
      <c r="N165" s="4"/>
      <c r="O165" s="4"/>
      <c r="P165" s="4"/>
      <c r="Q165" s="10"/>
      <c r="R165" s="10"/>
      <c r="S165" s="4"/>
      <c r="T165" s="4"/>
      <c r="U165" s="4"/>
      <c r="V165" s="4"/>
      <c r="W165" s="4"/>
      <c r="X165" s="4"/>
      <c r="Y165" s="4"/>
      <c r="Z165" s="4"/>
      <c r="AA165" s="4"/>
      <c r="AB165" s="4"/>
      <c r="AC165" s="4"/>
      <c r="AD165" s="4"/>
      <c r="AE165" s="4"/>
      <c r="AF165" s="4"/>
      <c r="AG165" s="4"/>
      <c r="AH165" s="4"/>
    </row>
    <row r="166" spans="1:34" ht="60" customHeight="1" x14ac:dyDescent="0.2">
      <c r="A166" s="3"/>
      <c r="B166" s="4"/>
      <c r="C166" s="4"/>
      <c r="D166" s="4"/>
      <c r="E166" s="4"/>
      <c r="F166" s="4"/>
      <c r="G166" s="4"/>
      <c r="H166" s="4"/>
      <c r="I166" s="4"/>
      <c r="J166" s="4"/>
      <c r="K166" s="4"/>
      <c r="L166" s="4"/>
      <c r="M166" s="4"/>
      <c r="N166" s="4"/>
      <c r="O166" s="4"/>
      <c r="P166" s="4"/>
      <c r="Q166" s="10"/>
      <c r="R166" s="10"/>
      <c r="S166" s="4"/>
      <c r="T166" s="4"/>
      <c r="U166" s="4"/>
      <c r="V166" s="4"/>
      <c r="W166" s="4"/>
      <c r="X166" s="4"/>
      <c r="Y166" s="4"/>
      <c r="Z166" s="4"/>
      <c r="AA166" s="4"/>
      <c r="AB166" s="4"/>
      <c r="AC166" s="4"/>
      <c r="AD166" s="4"/>
      <c r="AE166" s="4"/>
      <c r="AF166" s="4"/>
      <c r="AG166" s="4"/>
      <c r="AH166" s="4"/>
    </row>
    <row r="167" spans="1:34" ht="60" customHeight="1" x14ac:dyDescent="0.2">
      <c r="A167" s="3"/>
      <c r="B167" s="4"/>
      <c r="C167" s="4"/>
      <c r="D167" s="4"/>
      <c r="E167" s="4"/>
      <c r="F167" s="4"/>
      <c r="G167" s="4"/>
      <c r="H167" s="4"/>
      <c r="I167" s="4"/>
      <c r="J167" s="4"/>
      <c r="K167" s="4"/>
      <c r="L167" s="4"/>
      <c r="M167" s="4"/>
      <c r="N167" s="4"/>
      <c r="O167" s="4"/>
      <c r="P167" s="4"/>
      <c r="Q167" s="10"/>
      <c r="R167" s="10"/>
      <c r="S167" s="4"/>
      <c r="T167" s="4"/>
      <c r="U167" s="4"/>
      <c r="V167" s="4"/>
      <c r="W167" s="4"/>
      <c r="X167" s="4"/>
      <c r="Y167" s="4"/>
      <c r="Z167" s="4"/>
      <c r="AA167" s="4"/>
      <c r="AB167" s="4"/>
      <c r="AC167" s="4"/>
      <c r="AD167" s="4"/>
      <c r="AE167" s="4"/>
      <c r="AF167" s="4"/>
      <c r="AG167" s="4"/>
      <c r="AH167" s="4"/>
    </row>
    <row r="168" spans="1:34" ht="60" customHeight="1" x14ac:dyDescent="0.2">
      <c r="A168" s="3"/>
      <c r="B168" s="4"/>
      <c r="C168" s="4"/>
      <c r="D168" s="4"/>
      <c r="E168" s="4"/>
      <c r="F168" s="4"/>
      <c r="G168" s="4"/>
      <c r="H168" s="4"/>
      <c r="I168" s="4"/>
      <c r="J168" s="4"/>
      <c r="K168" s="4"/>
      <c r="L168" s="4"/>
      <c r="M168" s="4"/>
      <c r="N168" s="4"/>
      <c r="O168" s="35"/>
      <c r="P168" s="4"/>
      <c r="Q168" s="10"/>
      <c r="R168" s="4"/>
      <c r="S168" s="4"/>
      <c r="T168" s="4"/>
      <c r="U168" s="4"/>
      <c r="V168" s="4"/>
      <c r="W168" s="4"/>
      <c r="X168" s="4"/>
      <c r="Y168" s="4"/>
      <c r="Z168" s="4"/>
      <c r="AA168" s="4"/>
      <c r="AB168" s="4"/>
      <c r="AC168" s="4"/>
      <c r="AD168" s="4"/>
      <c r="AE168" s="4"/>
      <c r="AF168" s="4"/>
      <c r="AG168" s="4"/>
      <c r="AH168" s="4"/>
    </row>
    <row r="169" spans="1:34" ht="60" customHeight="1" x14ac:dyDescent="0.2">
      <c r="A169" s="3"/>
      <c r="B169" s="4"/>
      <c r="C169" s="4"/>
      <c r="D169" s="4"/>
      <c r="E169" s="4"/>
      <c r="F169" s="4"/>
      <c r="G169" s="4"/>
      <c r="H169" s="4"/>
      <c r="I169" s="4"/>
      <c r="J169" s="4"/>
      <c r="K169" s="4"/>
      <c r="L169" s="4"/>
      <c r="M169" s="4"/>
      <c r="N169" s="4"/>
      <c r="O169" s="4"/>
      <c r="P169" s="4"/>
      <c r="Q169" s="10"/>
      <c r="R169" s="10"/>
      <c r="S169" s="4"/>
      <c r="T169" s="4"/>
      <c r="U169" s="4"/>
      <c r="V169" s="4"/>
      <c r="W169" s="4"/>
      <c r="X169" s="4"/>
      <c r="Y169" s="4"/>
      <c r="Z169" s="4"/>
      <c r="AA169" s="4"/>
      <c r="AB169" s="4"/>
      <c r="AC169" s="4"/>
      <c r="AD169" s="4"/>
      <c r="AE169" s="4"/>
      <c r="AF169" s="4"/>
      <c r="AG169" s="4"/>
      <c r="AH169" s="4"/>
    </row>
    <row r="170" spans="1:34" ht="60" customHeight="1" x14ac:dyDescent="0.2">
      <c r="A170" s="3"/>
      <c r="B170" s="4"/>
      <c r="C170" s="4"/>
      <c r="D170" s="4"/>
      <c r="E170" s="4"/>
      <c r="F170" s="4"/>
      <c r="G170" s="4"/>
      <c r="H170" s="4"/>
      <c r="I170" s="4"/>
      <c r="J170" s="4"/>
      <c r="K170" s="4"/>
      <c r="L170" s="4"/>
      <c r="M170" s="4"/>
      <c r="N170" s="4"/>
      <c r="O170" s="4"/>
      <c r="P170" s="4"/>
      <c r="Q170" s="10"/>
      <c r="R170" s="10"/>
      <c r="S170" s="10"/>
      <c r="T170" s="4"/>
      <c r="U170" s="4"/>
      <c r="V170" s="4"/>
      <c r="W170" s="4"/>
      <c r="X170" s="4"/>
      <c r="Y170" s="4"/>
      <c r="Z170" s="4"/>
      <c r="AA170" s="4"/>
      <c r="AB170" s="4"/>
      <c r="AC170" s="4"/>
      <c r="AD170" s="4"/>
      <c r="AE170" s="4"/>
      <c r="AF170" s="4"/>
      <c r="AG170" s="4"/>
      <c r="AH170" s="4"/>
    </row>
    <row r="171" spans="1:34" ht="60" customHeight="1" x14ac:dyDescent="0.2">
      <c r="A171" s="3"/>
      <c r="B171" s="4"/>
      <c r="C171" s="4"/>
      <c r="D171" s="4"/>
      <c r="E171" s="4"/>
      <c r="F171" s="4"/>
      <c r="G171" s="4"/>
      <c r="H171" s="4"/>
      <c r="I171" s="4"/>
      <c r="J171" s="4"/>
      <c r="K171" s="4"/>
      <c r="L171" s="4"/>
      <c r="M171" s="4"/>
      <c r="N171" s="4"/>
      <c r="O171" s="4"/>
      <c r="P171" s="4"/>
      <c r="Q171" s="10"/>
      <c r="R171" s="10"/>
      <c r="S171" s="4"/>
      <c r="T171" s="4"/>
      <c r="U171" s="4"/>
      <c r="V171" s="4"/>
      <c r="W171" s="4"/>
      <c r="X171" s="4"/>
      <c r="Y171" s="4"/>
      <c r="Z171" s="4"/>
      <c r="AA171" s="4"/>
      <c r="AB171" s="4"/>
      <c r="AC171" s="4"/>
      <c r="AD171" s="4"/>
      <c r="AE171" s="4"/>
      <c r="AF171" s="4"/>
      <c r="AG171" s="4"/>
      <c r="AH171" s="4"/>
    </row>
    <row r="172" spans="1:34" ht="60" customHeight="1" x14ac:dyDescent="0.2">
      <c r="A172" s="3"/>
      <c r="B172" s="4"/>
      <c r="C172" s="4"/>
      <c r="D172" s="4"/>
      <c r="E172" s="4"/>
      <c r="F172" s="4"/>
      <c r="G172" s="4"/>
      <c r="H172" s="4"/>
      <c r="I172" s="4"/>
      <c r="J172" s="4"/>
      <c r="K172" s="4"/>
      <c r="L172" s="4"/>
      <c r="M172" s="4"/>
      <c r="N172" s="4"/>
      <c r="O172" s="4"/>
      <c r="P172" s="4"/>
      <c r="Q172" s="10"/>
      <c r="R172" s="4"/>
      <c r="S172" s="4"/>
      <c r="T172" s="4"/>
      <c r="U172" s="4"/>
      <c r="V172" s="4"/>
      <c r="W172" s="4"/>
      <c r="X172" s="4"/>
      <c r="Y172" s="4"/>
      <c r="Z172" s="4"/>
      <c r="AA172" s="4"/>
      <c r="AB172" s="4"/>
      <c r="AC172" s="4"/>
      <c r="AD172" s="4"/>
      <c r="AE172" s="4"/>
      <c r="AF172" s="4"/>
      <c r="AG172" s="4"/>
      <c r="AH172" s="4"/>
    </row>
    <row r="173" spans="1:34" ht="60" customHeight="1" x14ac:dyDescent="0.2">
      <c r="A173" s="3"/>
      <c r="B173" s="4"/>
      <c r="C173" s="4"/>
      <c r="D173" s="4"/>
      <c r="E173" s="4"/>
      <c r="F173" s="4"/>
      <c r="G173" s="4"/>
      <c r="H173" s="4"/>
      <c r="I173" s="4"/>
      <c r="J173" s="4"/>
      <c r="K173" s="4"/>
      <c r="L173" s="4"/>
      <c r="M173" s="4"/>
      <c r="N173" s="4"/>
      <c r="O173" s="4"/>
      <c r="P173" s="4"/>
      <c r="Q173" s="10"/>
      <c r="R173" s="4"/>
      <c r="S173" s="4"/>
      <c r="T173" s="4"/>
      <c r="U173" s="4"/>
      <c r="V173" s="4"/>
      <c r="W173" s="4"/>
      <c r="X173" s="4"/>
      <c r="Y173" s="4"/>
      <c r="Z173" s="4"/>
      <c r="AA173" s="4"/>
      <c r="AB173" s="4"/>
      <c r="AC173" s="4"/>
      <c r="AD173" s="4"/>
      <c r="AE173" s="4"/>
      <c r="AF173" s="4"/>
      <c r="AG173" s="4"/>
      <c r="AH173" s="4"/>
    </row>
    <row r="174" spans="1:34" ht="60" customHeight="1" x14ac:dyDescent="0.2">
      <c r="A174" s="3"/>
      <c r="B174" s="4"/>
      <c r="C174" s="4"/>
      <c r="D174" s="4"/>
      <c r="E174" s="4"/>
      <c r="F174" s="4"/>
      <c r="G174" s="4"/>
      <c r="H174" s="4"/>
      <c r="I174" s="4"/>
      <c r="J174" s="4"/>
      <c r="K174" s="4"/>
      <c r="L174" s="4"/>
      <c r="M174" s="4"/>
      <c r="N174" s="4"/>
      <c r="O174" s="4"/>
      <c r="P174" s="4"/>
      <c r="Q174" s="10"/>
      <c r="R174" s="4"/>
      <c r="S174" s="4"/>
      <c r="T174" s="4"/>
      <c r="U174" s="4"/>
      <c r="V174" s="4"/>
      <c r="W174" s="4"/>
      <c r="X174" s="4"/>
      <c r="Y174" s="4"/>
      <c r="Z174" s="4"/>
      <c r="AA174" s="4"/>
      <c r="AB174" s="4"/>
      <c r="AC174" s="4"/>
      <c r="AD174" s="4"/>
      <c r="AE174" s="4"/>
      <c r="AF174" s="4"/>
      <c r="AG174" s="4"/>
      <c r="AH174" s="4"/>
    </row>
    <row r="175" spans="1:34" ht="60" customHeight="1" x14ac:dyDescent="0.2">
      <c r="A175" s="3"/>
      <c r="B175" s="4"/>
      <c r="C175" s="4"/>
      <c r="D175" s="4"/>
      <c r="E175" s="4"/>
      <c r="F175" s="4"/>
      <c r="G175" s="4"/>
      <c r="H175" s="4"/>
      <c r="I175" s="4"/>
      <c r="J175" s="4"/>
      <c r="K175" s="4"/>
      <c r="L175" s="4"/>
      <c r="M175" s="4"/>
      <c r="N175" s="4"/>
      <c r="O175" s="4"/>
      <c r="P175" s="4"/>
      <c r="Q175" s="10"/>
      <c r="R175" s="4"/>
      <c r="S175" s="4"/>
      <c r="T175" s="4"/>
      <c r="U175" s="4"/>
      <c r="V175" s="4"/>
      <c r="W175" s="4"/>
      <c r="X175" s="4"/>
      <c r="Y175" s="4"/>
      <c r="Z175" s="4"/>
      <c r="AA175" s="4"/>
      <c r="AB175" s="4"/>
      <c r="AC175" s="4"/>
      <c r="AD175" s="4"/>
      <c r="AE175" s="4"/>
      <c r="AF175" s="4"/>
      <c r="AG175" s="4"/>
      <c r="AH175" s="4"/>
    </row>
    <row r="176" spans="1:34" ht="60" customHeight="1" x14ac:dyDescent="0.2">
      <c r="A176" s="3"/>
      <c r="B176" s="4"/>
      <c r="C176" s="4"/>
      <c r="D176" s="4"/>
      <c r="E176" s="4"/>
      <c r="F176" s="4"/>
      <c r="G176" s="4"/>
      <c r="H176" s="4"/>
      <c r="I176" s="4"/>
      <c r="J176" s="4"/>
      <c r="K176" s="4"/>
      <c r="L176" s="4"/>
      <c r="M176" s="4"/>
      <c r="N176" s="4"/>
      <c r="O176" s="4"/>
      <c r="P176" s="4"/>
      <c r="Q176" s="10"/>
      <c r="R176" s="10"/>
      <c r="S176" s="4"/>
      <c r="T176" s="4"/>
      <c r="U176" s="4"/>
      <c r="V176" s="4"/>
      <c r="W176" s="4"/>
      <c r="X176" s="4"/>
      <c r="Y176" s="4"/>
      <c r="Z176" s="4"/>
      <c r="AA176" s="4"/>
      <c r="AB176" s="4"/>
      <c r="AC176" s="4"/>
      <c r="AD176" s="4"/>
      <c r="AE176" s="4"/>
      <c r="AF176" s="4"/>
      <c r="AG176" s="4"/>
      <c r="AH176" s="4"/>
    </row>
    <row r="177" spans="1:34" ht="60" customHeight="1" x14ac:dyDescent="0.2">
      <c r="A177" s="3"/>
      <c r="B177" s="4"/>
      <c r="C177" s="4"/>
      <c r="D177" s="4"/>
      <c r="E177" s="4"/>
      <c r="F177" s="4"/>
      <c r="G177" s="4"/>
      <c r="H177" s="4"/>
      <c r="I177" s="4"/>
      <c r="J177" s="4"/>
      <c r="K177" s="4"/>
      <c r="L177" s="4"/>
      <c r="M177" s="4"/>
      <c r="N177" s="4"/>
      <c r="O177" s="4"/>
      <c r="P177" s="4"/>
      <c r="Q177" s="10"/>
      <c r="R177" s="10"/>
      <c r="S177" s="4"/>
      <c r="T177" s="4"/>
      <c r="U177" s="4"/>
      <c r="V177" s="4"/>
      <c r="W177" s="4"/>
      <c r="X177" s="4"/>
      <c r="Y177" s="4"/>
      <c r="Z177" s="4"/>
      <c r="AA177" s="4"/>
      <c r="AB177" s="4"/>
      <c r="AC177" s="4"/>
      <c r="AD177" s="4"/>
      <c r="AE177" s="4"/>
      <c r="AF177" s="4"/>
      <c r="AG177" s="4"/>
      <c r="AH177" s="4"/>
    </row>
    <row r="178" spans="1:34" ht="60" customHeight="1" x14ac:dyDescent="0.2">
      <c r="A178" s="3"/>
      <c r="B178" s="4"/>
      <c r="C178" s="4"/>
      <c r="D178" s="4"/>
      <c r="E178" s="4"/>
      <c r="F178" s="4"/>
      <c r="G178" s="4"/>
      <c r="H178" s="4"/>
      <c r="I178" s="4"/>
      <c r="J178" s="4"/>
      <c r="K178" s="4"/>
      <c r="L178" s="4"/>
      <c r="M178" s="4"/>
      <c r="N178" s="4"/>
      <c r="O178" s="4"/>
      <c r="P178" s="4"/>
      <c r="Q178" s="10"/>
      <c r="R178" s="10"/>
      <c r="S178" s="4"/>
      <c r="T178" s="4"/>
      <c r="U178" s="4"/>
      <c r="V178" s="4"/>
      <c r="W178" s="4"/>
      <c r="X178" s="4"/>
      <c r="Y178" s="4"/>
      <c r="Z178" s="4"/>
      <c r="AA178" s="4"/>
      <c r="AB178" s="4"/>
      <c r="AC178" s="4"/>
      <c r="AD178" s="4"/>
      <c r="AE178" s="4"/>
      <c r="AF178" s="4"/>
      <c r="AG178" s="4"/>
      <c r="AH178" s="4"/>
    </row>
    <row r="179" spans="1:34" ht="60" customHeight="1" x14ac:dyDescent="0.2">
      <c r="A179" s="3"/>
      <c r="B179" s="4"/>
      <c r="C179" s="4"/>
      <c r="D179" s="4"/>
      <c r="E179" s="4"/>
      <c r="F179" s="4"/>
      <c r="G179" s="4"/>
      <c r="H179" s="4"/>
      <c r="I179" s="4"/>
      <c r="J179" s="4"/>
      <c r="K179" s="4"/>
      <c r="L179" s="4"/>
      <c r="M179" s="4"/>
      <c r="N179" s="4"/>
      <c r="O179" s="4"/>
      <c r="P179" s="4"/>
      <c r="Q179" s="10"/>
      <c r="R179" s="4"/>
      <c r="S179" s="4"/>
      <c r="T179" s="4"/>
      <c r="U179" s="4"/>
      <c r="V179" s="4"/>
      <c r="W179" s="4"/>
      <c r="X179" s="4"/>
      <c r="Y179" s="4"/>
      <c r="Z179" s="4"/>
      <c r="AA179" s="4"/>
      <c r="AB179" s="4"/>
      <c r="AC179" s="4"/>
      <c r="AD179" s="4"/>
      <c r="AE179" s="4"/>
      <c r="AF179" s="4"/>
      <c r="AG179" s="4"/>
      <c r="AH179" s="4"/>
    </row>
    <row r="180" spans="1:34" ht="60" customHeight="1" x14ac:dyDescent="0.2">
      <c r="A180" s="3"/>
      <c r="B180" s="4"/>
      <c r="C180" s="4"/>
      <c r="D180" s="4"/>
      <c r="E180" s="4"/>
      <c r="F180" s="4"/>
      <c r="G180" s="4"/>
      <c r="H180" s="4"/>
      <c r="I180" s="4"/>
      <c r="J180" s="4"/>
      <c r="K180" s="4"/>
      <c r="L180" s="4"/>
      <c r="M180" s="4"/>
      <c r="N180" s="4"/>
      <c r="O180" s="4"/>
      <c r="P180" s="4"/>
      <c r="Q180" s="7"/>
      <c r="R180" s="7"/>
      <c r="S180" s="4"/>
      <c r="T180" s="4"/>
      <c r="U180" s="4"/>
      <c r="V180" s="4"/>
      <c r="W180" s="4"/>
      <c r="X180" s="4"/>
      <c r="Y180" s="4"/>
      <c r="Z180" s="4"/>
      <c r="AA180" s="4"/>
      <c r="AB180" s="4"/>
      <c r="AC180" s="4"/>
      <c r="AD180" s="4"/>
      <c r="AE180" s="4"/>
      <c r="AF180" s="4"/>
      <c r="AG180" s="4"/>
      <c r="AH180" s="4"/>
    </row>
    <row r="181" spans="1:34" ht="60" customHeight="1" x14ac:dyDescent="0.2">
      <c r="A181" s="3"/>
      <c r="B181" s="4"/>
      <c r="C181" s="4"/>
      <c r="D181" s="4"/>
      <c r="E181" s="4"/>
      <c r="F181" s="4"/>
      <c r="G181" s="4"/>
      <c r="H181" s="4"/>
      <c r="I181" s="4"/>
      <c r="J181" s="4"/>
      <c r="K181" s="4"/>
      <c r="L181" s="4"/>
      <c r="M181" s="4"/>
      <c r="N181" s="4"/>
      <c r="O181" s="9"/>
      <c r="P181" s="4"/>
      <c r="Q181" s="10"/>
      <c r="R181" s="10"/>
      <c r="S181" s="4"/>
      <c r="T181" s="4"/>
      <c r="U181" s="4"/>
      <c r="V181" s="4"/>
      <c r="W181" s="4"/>
      <c r="X181" s="4"/>
      <c r="Y181" s="4"/>
      <c r="Z181" s="4"/>
      <c r="AA181" s="4"/>
      <c r="AB181" s="4"/>
      <c r="AC181" s="4"/>
      <c r="AD181" s="4"/>
      <c r="AE181" s="4"/>
      <c r="AF181" s="4"/>
      <c r="AG181" s="4"/>
      <c r="AH181" s="4"/>
    </row>
    <row r="182" spans="1:34" ht="60" customHeight="1" x14ac:dyDescent="0.2">
      <c r="A182" s="3"/>
      <c r="B182" s="4"/>
      <c r="C182" s="4"/>
      <c r="D182" s="4"/>
      <c r="E182" s="4"/>
      <c r="F182" s="4"/>
      <c r="G182" s="4"/>
      <c r="H182" s="4"/>
      <c r="I182" s="4"/>
      <c r="J182" s="4"/>
      <c r="K182" s="4"/>
      <c r="L182" s="4"/>
      <c r="M182" s="4"/>
      <c r="N182" s="4"/>
      <c r="O182" s="9"/>
      <c r="P182" s="4"/>
      <c r="Q182" s="10"/>
      <c r="R182" s="7"/>
      <c r="S182" s="4"/>
      <c r="T182" s="4"/>
      <c r="U182" s="4"/>
      <c r="V182" s="4"/>
      <c r="W182" s="4"/>
      <c r="X182" s="4"/>
      <c r="Y182" s="4"/>
      <c r="Z182" s="4"/>
      <c r="AA182" s="4"/>
      <c r="AB182" s="4"/>
      <c r="AC182" s="4"/>
      <c r="AD182" s="4"/>
      <c r="AE182" s="4"/>
      <c r="AF182" s="4"/>
      <c r="AG182" s="4"/>
      <c r="AH182" s="4"/>
    </row>
    <row r="183" spans="1:34" ht="60" customHeight="1" x14ac:dyDescent="0.2">
      <c r="A183" s="3"/>
      <c r="B183" s="4"/>
      <c r="C183" s="4"/>
      <c r="D183" s="4"/>
      <c r="E183" s="4"/>
      <c r="F183" s="4"/>
      <c r="G183" s="4"/>
      <c r="H183" s="4"/>
      <c r="I183" s="4"/>
      <c r="J183" s="4"/>
      <c r="K183" s="4"/>
      <c r="L183" s="4"/>
      <c r="M183" s="4"/>
      <c r="N183" s="4"/>
      <c r="O183" s="4"/>
      <c r="P183" s="4"/>
      <c r="Q183" s="10"/>
      <c r="R183" s="10"/>
      <c r="S183" s="4"/>
      <c r="T183" s="4"/>
      <c r="U183" s="4"/>
      <c r="V183" s="4"/>
      <c r="W183" s="4"/>
      <c r="X183" s="4"/>
      <c r="Y183" s="4"/>
      <c r="Z183" s="4"/>
      <c r="AA183" s="4"/>
      <c r="AB183" s="4"/>
      <c r="AC183" s="4"/>
      <c r="AD183" s="4"/>
      <c r="AE183" s="4"/>
      <c r="AF183" s="4"/>
      <c r="AG183" s="4"/>
      <c r="AH183" s="4"/>
    </row>
    <row r="184" spans="1:34" ht="60" customHeight="1" x14ac:dyDescent="0.2">
      <c r="A184" s="3"/>
      <c r="B184" s="4"/>
      <c r="C184" s="4"/>
      <c r="D184" s="4"/>
      <c r="E184" s="4"/>
      <c r="F184" s="4"/>
      <c r="G184" s="4"/>
      <c r="H184" s="4"/>
      <c r="I184" s="4"/>
      <c r="J184" s="4"/>
      <c r="K184" s="4"/>
      <c r="L184" s="4"/>
      <c r="M184" s="4"/>
      <c r="N184" s="4"/>
      <c r="O184" s="4"/>
      <c r="P184" s="4"/>
      <c r="Q184" s="10"/>
      <c r="R184" s="4"/>
      <c r="S184" s="4"/>
      <c r="T184" s="4"/>
      <c r="U184" s="4"/>
      <c r="V184" s="4"/>
      <c r="W184" s="4"/>
      <c r="X184" s="4"/>
      <c r="Y184" s="4"/>
      <c r="Z184" s="4"/>
      <c r="AA184" s="4"/>
      <c r="AB184" s="4"/>
      <c r="AC184" s="4"/>
      <c r="AD184" s="4"/>
      <c r="AE184" s="4"/>
      <c r="AF184" s="4"/>
      <c r="AG184" s="4"/>
      <c r="AH184" s="4"/>
    </row>
    <row r="185" spans="1:34" ht="60" customHeight="1" x14ac:dyDescent="0.2">
      <c r="A185" s="3"/>
      <c r="B185" s="4"/>
      <c r="C185" s="4"/>
      <c r="D185" s="4"/>
      <c r="E185" s="4"/>
      <c r="F185" s="4"/>
      <c r="G185" s="4"/>
      <c r="H185" s="4"/>
      <c r="I185" s="4"/>
      <c r="J185" s="4"/>
      <c r="K185" s="4"/>
      <c r="L185" s="4"/>
      <c r="M185" s="4"/>
      <c r="N185" s="4"/>
      <c r="O185" s="4"/>
      <c r="P185" s="4"/>
      <c r="Q185" s="10"/>
      <c r="R185" s="4"/>
      <c r="S185" s="4"/>
      <c r="T185" s="4"/>
      <c r="U185" s="4"/>
      <c r="V185" s="4"/>
      <c r="W185" s="4"/>
      <c r="X185" s="4"/>
      <c r="Y185" s="4"/>
      <c r="Z185" s="4"/>
      <c r="AA185" s="4"/>
      <c r="AB185" s="4"/>
      <c r="AC185" s="4"/>
      <c r="AD185" s="4"/>
      <c r="AE185" s="4"/>
      <c r="AF185" s="4"/>
      <c r="AG185" s="4"/>
      <c r="AH185" s="4"/>
    </row>
    <row r="186" spans="1:34" ht="60" customHeight="1" x14ac:dyDescent="0.2">
      <c r="A186" s="3"/>
      <c r="B186" s="4"/>
      <c r="C186" s="4"/>
      <c r="D186" s="4"/>
      <c r="E186" s="4"/>
      <c r="F186" s="4"/>
      <c r="G186" s="4"/>
      <c r="H186" s="4"/>
      <c r="I186" s="4"/>
      <c r="J186" s="4"/>
      <c r="K186" s="4"/>
      <c r="L186" s="4"/>
      <c r="M186" s="4"/>
      <c r="N186" s="4"/>
      <c r="O186" s="4"/>
      <c r="P186" s="4"/>
      <c r="Q186" s="10"/>
      <c r="R186" s="10"/>
      <c r="S186" s="4"/>
      <c r="T186" s="4"/>
      <c r="U186" s="4"/>
      <c r="V186" s="4"/>
      <c r="W186" s="4"/>
      <c r="X186" s="4"/>
      <c r="Y186" s="4"/>
      <c r="Z186" s="4"/>
      <c r="AA186" s="4"/>
      <c r="AB186" s="4"/>
      <c r="AC186" s="4"/>
      <c r="AD186" s="4"/>
      <c r="AE186" s="4"/>
      <c r="AF186" s="4"/>
      <c r="AG186" s="4"/>
      <c r="AH186" s="4"/>
    </row>
    <row r="187" spans="1:34" ht="60" customHeight="1" x14ac:dyDescent="0.2">
      <c r="A187" s="3"/>
      <c r="B187" s="4"/>
      <c r="C187" s="4"/>
      <c r="D187" s="4"/>
      <c r="E187" s="4"/>
      <c r="F187" s="4"/>
      <c r="G187" s="4"/>
      <c r="H187" s="4"/>
      <c r="I187" s="4"/>
      <c r="J187" s="4"/>
      <c r="K187" s="4"/>
      <c r="L187" s="4"/>
      <c r="M187" s="4"/>
      <c r="N187" s="4"/>
      <c r="O187" s="4"/>
      <c r="P187" s="4"/>
      <c r="Q187" s="10"/>
      <c r="R187" s="4"/>
      <c r="S187" s="4"/>
      <c r="T187" s="4"/>
      <c r="U187" s="4"/>
      <c r="V187" s="4"/>
      <c r="W187" s="4"/>
      <c r="X187" s="4"/>
      <c r="Y187" s="4"/>
      <c r="Z187" s="4"/>
      <c r="AA187" s="4"/>
      <c r="AB187" s="4"/>
      <c r="AC187" s="4"/>
      <c r="AD187" s="4"/>
      <c r="AE187" s="4"/>
      <c r="AF187" s="4"/>
      <c r="AG187" s="4"/>
      <c r="AH187" s="4"/>
    </row>
    <row r="188" spans="1:34" ht="60" customHeight="1" x14ac:dyDescent="0.2">
      <c r="A188" s="3"/>
      <c r="B188" s="4"/>
      <c r="C188" s="4"/>
      <c r="D188" s="4"/>
      <c r="E188" s="4"/>
      <c r="F188" s="4"/>
      <c r="G188" s="4"/>
      <c r="H188" s="4"/>
      <c r="I188" s="4"/>
      <c r="J188" s="4"/>
      <c r="K188" s="4"/>
      <c r="L188" s="4"/>
      <c r="M188" s="4"/>
      <c r="N188" s="4"/>
      <c r="O188" s="4"/>
      <c r="P188" s="4"/>
      <c r="Q188" s="19"/>
      <c r="R188" s="10"/>
      <c r="S188" s="10"/>
      <c r="T188" s="4"/>
      <c r="U188" s="4"/>
      <c r="V188" s="4"/>
      <c r="W188" s="4"/>
      <c r="X188" s="4"/>
      <c r="Y188" s="4"/>
      <c r="Z188" s="4"/>
      <c r="AA188" s="4"/>
      <c r="AB188" s="4"/>
      <c r="AC188" s="4"/>
      <c r="AD188" s="4"/>
      <c r="AE188" s="4"/>
      <c r="AF188" s="4"/>
      <c r="AG188" s="4"/>
      <c r="AH188" s="4"/>
    </row>
    <row r="189" spans="1:34" ht="60" customHeight="1" x14ac:dyDescent="0.2">
      <c r="A189" s="3"/>
      <c r="B189" s="4"/>
      <c r="C189" s="4"/>
      <c r="D189" s="4"/>
      <c r="E189" s="4"/>
      <c r="F189" s="4"/>
      <c r="G189" s="4"/>
      <c r="H189" s="4"/>
      <c r="I189" s="4"/>
      <c r="J189" s="4"/>
      <c r="K189" s="4"/>
      <c r="L189" s="4"/>
      <c r="M189" s="4"/>
      <c r="N189" s="4"/>
      <c r="O189" s="4"/>
      <c r="P189" s="4"/>
      <c r="Q189" s="7"/>
      <c r="R189" s="4"/>
      <c r="S189" s="4"/>
      <c r="T189" s="4"/>
      <c r="U189" s="4"/>
      <c r="V189" s="4"/>
      <c r="W189" s="4"/>
      <c r="X189" s="4"/>
      <c r="Y189" s="4"/>
      <c r="Z189" s="4"/>
      <c r="AA189" s="4"/>
      <c r="AB189" s="4"/>
      <c r="AC189" s="4"/>
      <c r="AD189" s="4"/>
      <c r="AE189" s="4"/>
      <c r="AF189" s="4"/>
      <c r="AG189" s="4"/>
      <c r="AH189" s="4"/>
    </row>
    <row r="190" spans="1:34" ht="60" customHeight="1" x14ac:dyDescent="0.2">
      <c r="A190" s="3"/>
      <c r="B190" s="4"/>
      <c r="C190" s="4"/>
      <c r="D190" s="4"/>
      <c r="E190" s="4"/>
      <c r="F190" s="4"/>
      <c r="G190" s="4"/>
      <c r="H190" s="4"/>
      <c r="I190" s="4"/>
      <c r="J190" s="4"/>
      <c r="K190" s="4"/>
      <c r="L190" s="4"/>
      <c r="M190" s="4"/>
      <c r="N190" s="4"/>
      <c r="O190" s="4"/>
      <c r="P190" s="4"/>
      <c r="Q190" s="7"/>
      <c r="R190" s="4"/>
      <c r="S190" s="4"/>
      <c r="T190" s="4"/>
      <c r="U190" s="4"/>
      <c r="V190" s="4"/>
      <c r="W190" s="4"/>
      <c r="X190" s="4"/>
      <c r="Y190" s="4"/>
      <c r="Z190" s="4"/>
      <c r="AA190" s="4"/>
      <c r="AB190" s="4"/>
      <c r="AC190" s="4"/>
      <c r="AD190" s="4"/>
      <c r="AE190" s="4"/>
      <c r="AF190" s="4"/>
      <c r="AG190" s="4"/>
      <c r="AH190" s="4"/>
    </row>
    <row r="191" spans="1:34" ht="60" customHeight="1" x14ac:dyDescent="0.2">
      <c r="A191" s="3"/>
      <c r="B191" s="4"/>
      <c r="C191" s="4"/>
      <c r="D191" s="4"/>
      <c r="E191" s="4"/>
      <c r="F191" s="4"/>
      <c r="G191" s="4"/>
      <c r="H191" s="4"/>
      <c r="I191" s="4"/>
      <c r="J191" s="4"/>
      <c r="K191" s="4"/>
      <c r="L191" s="4"/>
      <c r="M191" s="4"/>
      <c r="N191" s="4"/>
      <c r="O191" s="4"/>
      <c r="P191" s="4"/>
      <c r="Q191" s="10"/>
      <c r="R191" s="10"/>
      <c r="S191" s="10"/>
      <c r="T191" s="10"/>
      <c r="U191" s="4"/>
      <c r="V191" s="4"/>
      <c r="W191" s="4"/>
      <c r="X191" s="4"/>
      <c r="Y191" s="4"/>
      <c r="Z191" s="4"/>
      <c r="AA191" s="4"/>
      <c r="AB191" s="4"/>
      <c r="AC191" s="4"/>
      <c r="AD191" s="4"/>
      <c r="AE191" s="4"/>
      <c r="AF191" s="4"/>
      <c r="AG191" s="4"/>
      <c r="AH191" s="4"/>
    </row>
    <row r="192" spans="1:34" ht="60" customHeight="1" x14ac:dyDescent="0.2">
      <c r="A192" s="3"/>
      <c r="B192" s="4"/>
      <c r="C192" s="4"/>
      <c r="D192" s="4"/>
      <c r="E192" s="4"/>
      <c r="F192" s="4"/>
      <c r="G192" s="4"/>
      <c r="H192" s="4"/>
      <c r="I192" s="4"/>
      <c r="J192" s="4"/>
      <c r="K192" s="4"/>
      <c r="L192" s="4"/>
      <c r="M192" s="4"/>
      <c r="N192" s="4"/>
      <c r="O192" s="4"/>
      <c r="P192" s="4"/>
      <c r="Q192" s="10"/>
      <c r="R192" s="4"/>
      <c r="S192" s="4"/>
      <c r="T192" s="4"/>
      <c r="U192" s="4"/>
      <c r="V192" s="4"/>
      <c r="W192" s="4"/>
      <c r="X192" s="4"/>
      <c r="Y192" s="4"/>
      <c r="Z192" s="4"/>
      <c r="AA192" s="4"/>
      <c r="AB192" s="4"/>
      <c r="AC192" s="4"/>
      <c r="AD192" s="4"/>
      <c r="AE192" s="4"/>
      <c r="AF192" s="4"/>
      <c r="AG192" s="4"/>
      <c r="AH192" s="4"/>
    </row>
    <row r="193" spans="1:34" ht="60" customHeight="1" x14ac:dyDescent="0.2">
      <c r="A193" s="3"/>
      <c r="B193" s="4"/>
      <c r="C193" s="4"/>
      <c r="D193" s="4"/>
      <c r="E193" s="4"/>
      <c r="F193" s="4"/>
      <c r="G193" s="4"/>
      <c r="H193" s="4"/>
      <c r="I193" s="4"/>
      <c r="J193" s="4"/>
      <c r="K193" s="4"/>
      <c r="L193" s="4"/>
      <c r="M193" s="4"/>
      <c r="N193" s="4"/>
      <c r="O193" s="4"/>
      <c r="P193" s="4"/>
      <c r="Q193" s="10"/>
      <c r="R193" s="4"/>
      <c r="S193" s="4"/>
      <c r="T193" s="4"/>
      <c r="U193" s="4"/>
      <c r="V193" s="4"/>
      <c r="W193" s="4"/>
      <c r="X193" s="4"/>
      <c r="Y193" s="4"/>
      <c r="Z193" s="4"/>
      <c r="AA193" s="4"/>
      <c r="AB193" s="4"/>
      <c r="AC193" s="4"/>
      <c r="AD193" s="4"/>
      <c r="AE193" s="4"/>
      <c r="AF193" s="4"/>
      <c r="AG193" s="4"/>
      <c r="AH193" s="4"/>
    </row>
    <row r="194" spans="1:34" ht="60" customHeight="1" x14ac:dyDescent="0.2">
      <c r="A194" s="3"/>
      <c r="B194" s="4"/>
      <c r="C194" s="4"/>
      <c r="D194" s="4"/>
      <c r="E194" s="4"/>
      <c r="F194" s="4"/>
      <c r="G194" s="4"/>
      <c r="H194" s="4"/>
      <c r="I194" s="4"/>
      <c r="J194" s="4"/>
      <c r="K194" s="4"/>
      <c r="L194" s="4"/>
      <c r="M194" s="4"/>
      <c r="N194" s="4"/>
      <c r="O194" s="4"/>
      <c r="P194" s="4"/>
      <c r="Q194" s="7"/>
      <c r="R194" s="4"/>
      <c r="S194" s="4"/>
      <c r="T194" s="4"/>
      <c r="U194" s="4"/>
      <c r="V194" s="4"/>
      <c r="W194" s="4"/>
      <c r="X194" s="4"/>
      <c r="Y194" s="4"/>
      <c r="Z194" s="4"/>
      <c r="AA194" s="4"/>
      <c r="AB194" s="4"/>
      <c r="AC194" s="4"/>
      <c r="AD194" s="4"/>
      <c r="AE194" s="4"/>
      <c r="AF194" s="4"/>
      <c r="AG194" s="4"/>
      <c r="AH194" s="4"/>
    </row>
    <row r="195" spans="1:34" ht="60" customHeight="1" x14ac:dyDescent="0.2">
      <c r="A195" s="3"/>
      <c r="B195" s="4"/>
      <c r="C195" s="4"/>
      <c r="D195" s="4"/>
      <c r="E195" s="4"/>
      <c r="F195" s="4"/>
      <c r="G195" s="4"/>
      <c r="H195" s="4"/>
      <c r="I195" s="4"/>
      <c r="J195" s="4"/>
      <c r="K195" s="4"/>
      <c r="L195" s="4"/>
      <c r="M195" s="4"/>
      <c r="N195" s="4"/>
      <c r="O195" s="4"/>
      <c r="P195" s="4"/>
      <c r="Q195" s="7"/>
      <c r="R195" s="7"/>
      <c r="S195" s="7"/>
      <c r="T195" s="4"/>
      <c r="U195" s="4"/>
      <c r="V195" s="4"/>
      <c r="W195" s="4"/>
      <c r="X195" s="4"/>
      <c r="Y195" s="4"/>
      <c r="Z195" s="4"/>
      <c r="AA195" s="4"/>
      <c r="AB195" s="4"/>
      <c r="AC195" s="4"/>
      <c r="AD195" s="4"/>
      <c r="AE195" s="4"/>
      <c r="AF195" s="4"/>
      <c r="AG195" s="4"/>
      <c r="AH195" s="4"/>
    </row>
    <row r="196" spans="1:34" ht="60" customHeight="1" x14ac:dyDescent="0.2">
      <c r="A196" s="3"/>
      <c r="B196" s="4"/>
      <c r="C196" s="4"/>
      <c r="D196" s="4"/>
      <c r="E196" s="4"/>
      <c r="F196" s="4"/>
      <c r="G196" s="4"/>
      <c r="H196" s="4"/>
      <c r="I196" s="4"/>
      <c r="J196" s="4"/>
      <c r="K196" s="4"/>
      <c r="L196" s="4"/>
      <c r="M196" s="4"/>
      <c r="N196" s="4"/>
      <c r="O196" s="4"/>
      <c r="P196" s="4"/>
      <c r="Q196" s="7"/>
      <c r="R196" s="7"/>
      <c r="S196" s="4"/>
      <c r="T196" s="4"/>
      <c r="U196" s="4"/>
      <c r="V196" s="4"/>
      <c r="W196" s="4"/>
      <c r="X196" s="4"/>
      <c r="Y196" s="4"/>
      <c r="Z196" s="4"/>
      <c r="AA196" s="4"/>
      <c r="AB196" s="4"/>
      <c r="AC196" s="4"/>
      <c r="AD196" s="4"/>
      <c r="AE196" s="4"/>
      <c r="AF196" s="4"/>
      <c r="AG196" s="4"/>
      <c r="AH196" s="4"/>
    </row>
    <row r="197" spans="1:34" ht="60" customHeight="1" x14ac:dyDescent="0.2">
      <c r="A197" s="3"/>
      <c r="B197" s="4"/>
      <c r="C197" s="4"/>
      <c r="D197" s="4"/>
      <c r="E197" s="4"/>
      <c r="F197" s="4"/>
      <c r="G197" s="4"/>
      <c r="H197" s="4"/>
      <c r="I197" s="4"/>
      <c r="J197" s="4"/>
      <c r="K197" s="4"/>
      <c r="L197" s="4"/>
      <c r="M197" s="4"/>
      <c r="N197" s="4"/>
      <c r="O197" s="4"/>
      <c r="P197" s="4"/>
      <c r="Q197" s="10"/>
      <c r="R197" s="10"/>
      <c r="S197" s="4"/>
      <c r="T197" s="4"/>
      <c r="U197" s="4"/>
      <c r="V197" s="4"/>
      <c r="W197" s="4"/>
      <c r="X197" s="4"/>
      <c r="Y197" s="4"/>
      <c r="Z197" s="4"/>
      <c r="AA197" s="4"/>
      <c r="AB197" s="4"/>
      <c r="AC197" s="4"/>
      <c r="AD197" s="4"/>
      <c r="AE197" s="4"/>
      <c r="AF197" s="4"/>
      <c r="AG197" s="4"/>
      <c r="AH197" s="4"/>
    </row>
    <row r="198" spans="1:34" ht="60" customHeight="1" x14ac:dyDescent="0.2">
      <c r="A198" s="3"/>
      <c r="B198" s="4"/>
      <c r="C198" s="4"/>
      <c r="D198" s="4"/>
      <c r="E198" s="4"/>
      <c r="F198" s="4"/>
      <c r="G198" s="4"/>
      <c r="H198" s="4"/>
      <c r="I198" s="4"/>
      <c r="J198" s="4"/>
      <c r="K198" s="4"/>
      <c r="L198" s="4"/>
      <c r="M198" s="4"/>
      <c r="N198" s="4"/>
      <c r="O198" s="4"/>
      <c r="P198" s="4"/>
      <c r="Q198" s="10"/>
      <c r="R198" s="4"/>
      <c r="S198" s="4"/>
      <c r="T198" s="4"/>
      <c r="U198" s="4"/>
      <c r="V198" s="4"/>
      <c r="W198" s="4"/>
      <c r="X198" s="4"/>
      <c r="Y198" s="4"/>
      <c r="Z198" s="4"/>
      <c r="AA198" s="4"/>
      <c r="AB198" s="4"/>
      <c r="AC198" s="4"/>
      <c r="AD198" s="4"/>
      <c r="AE198" s="4"/>
      <c r="AF198" s="4"/>
      <c r="AG198" s="4"/>
      <c r="AH198" s="4"/>
    </row>
    <row r="199" spans="1:34" ht="60" customHeight="1" x14ac:dyDescent="0.2">
      <c r="A199" s="3"/>
      <c r="B199" s="4"/>
      <c r="C199" s="4"/>
      <c r="D199" s="4"/>
      <c r="E199" s="4"/>
      <c r="F199" s="4"/>
      <c r="G199" s="4"/>
      <c r="H199" s="4"/>
      <c r="I199" s="4"/>
      <c r="J199" s="4"/>
      <c r="K199" s="4"/>
      <c r="L199" s="4"/>
      <c r="M199" s="4"/>
      <c r="N199" s="4"/>
      <c r="O199" s="38"/>
      <c r="P199" s="4"/>
      <c r="Q199" s="7"/>
      <c r="R199" s="4"/>
      <c r="S199" s="10"/>
      <c r="T199" s="4"/>
      <c r="U199" s="4"/>
      <c r="V199" s="4"/>
      <c r="W199" s="4"/>
      <c r="X199" s="4"/>
      <c r="Y199" s="4"/>
      <c r="Z199" s="4"/>
      <c r="AA199" s="4"/>
      <c r="AB199" s="4"/>
      <c r="AC199" s="4"/>
      <c r="AD199" s="4"/>
      <c r="AE199" s="4"/>
      <c r="AF199" s="4"/>
      <c r="AG199" s="4"/>
      <c r="AH199" s="4"/>
    </row>
    <row r="200" spans="1:34" ht="60" customHeight="1" x14ac:dyDescent="0.2">
      <c r="A200" s="3"/>
      <c r="B200" s="4"/>
      <c r="C200" s="4"/>
      <c r="D200" s="4"/>
      <c r="E200" s="4"/>
      <c r="F200" s="4"/>
      <c r="G200" s="4"/>
      <c r="H200" s="4"/>
      <c r="I200" s="4"/>
      <c r="J200" s="4"/>
      <c r="K200" s="4"/>
      <c r="L200" s="4"/>
      <c r="M200" s="4"/>
      <c r="N200" s="4"/>
      <c r="O200" s="4"/>
      <c r="P200" s="4"/>
      <c r="Q200" s="7"/>
      <c r="R200" s="10"/>
      <c r="S200" s="4"/>
      <c r="T200" s="4"/>
      <c r="U200" s="4"/>
      <c r="V200" s="4"/>
      <c r="W200" s="4"/>
      <c r="X200" s="4"/>
      <c r="Y200" s="4"/>
      <c r="Z200" s="4"/>
      <c r="AA200" s="4"/>
      <c r="AB200" s="4"/>
      <c r="AC200" s="4"/>
      <c r="AD200" s="4"/>
      <c r="AE200" s="4"/>
      <c r="AF200" s="4"/>
      <c r="AG200" s="4"/>
      <c r="AH200" s="4"/>
    </row>
    <row r="201" spans="1:34" ht="60" customHeight="1" x14ac:dyDescent="0.2">
      <c r="A201" s="3"/>
      <c r="B201" s="4"/>
      <c r="C201" s="4"/>
      <c r="D201" s="4"/>
      <c r="E201" s="4"/>
      <c r="F201" s="4"/>
      <c r="G201" s="4"/>
      <c r="H201" s="4"/>
      <c r="I201" s="4"/>
      <c r="J201" s="4"/>
      <c r="K201" s="4"/>
      <c r="L201" s="4"/>
      <c r="M201" s="4"/>
      <c r="N201" s="4"/>
      <c r="O201" s="4"/>
      <c r="P201" s="4"/>
      <c r="Q201" s="7"/>
      <c r="R201" s="10"/>
      <c r="S201" s="4"/>
      <c r="T201" s="4"/>
      <c r="U201" s="4"/>
      <c r="V201" s="4"/>
      <c r="W201" s="4"/>
      <c r="X201" s="4"/>
      <c r="Y201" s="4"/>
      <c r="Z201" s="4"/>
      <c r="AA201" s="4"/>
      <c r="AB201" s="4"/>
      <c r="AC201" s="4"/>
      <c r="AD201" s="4"/>
      <c r="AE201" s="4"/>
      <c r="AF201" s="4"/>
      <c r="AG201" s="4"/>
      <c r="AH201" s="4"/>
    </row>
    <row r="202" spans="1:34" ht="60" customHeight="1" x14ac:dyDescent="0.2">
      <c r="A202" s="3"/>
      <c r="B202" s="4"/>
      <c r="C202" s="4"/>
      <c r="D202" s="4"/>
      <c r="E202" s="4"/>
      <c r="F202" s="4"/>
      <c r="G202" s="4"/>
      <c r="H202" s="4"/>
      <c r="I202" s="4"/>
      <c r="J202" s="4"/>
      <c r="K202" s="4"/>
      <c r="L202" s="4"/>
      <c r="M202" s="4"/>
      <c r="N202" s="4"/>
      <c r="O202" s="4"/>
      <c r="P202" s="4"/>
      <c r="Q202" s="10"/>
      <c r="R202" s="10"/>
      <c r="S202" s="4"/>
      <c r="T202" s="4"/>
      <c r="U202" s="4"/>
      <c r="V202" s="4"/>
      <c r="W202" s="4"/>
      <c r="X202" s="4"/>
      <c r="Y202" s="4"/>
      <c r="Z202" s="4"/>
      <c r="AA202" s="4"/>
      <c r="AB202" s="4"/>
      <c r="AC202" s="4"/>
      <c r="AD202" s="4"/>
      <c r="AE202" s="4"/>
      <c r="AF202" s="4"/>
      <c r="AG202" s="4"/>
      <c r="AH202" s="4"/>
    </row>
    <row r="203" spans="1:34" ht="60" customHeight="1" x14ac:dyDescent="0.2">
      <c r="A203" s="3"/>
      <c r="B203" s="4"/>
      <c r="C203" s="4"/>
      <c r="D203" s="4"/>
      <c r="E203" s="4"/>
      <c r="F203" s="4"/>
      <c r="G203" s="4"/>
      <c r="H203" s="4"/>
      <c r="I203" s="4"/>
      <c r="J203" s="4"/>
      <c r="K203" s="4"/>
      <c r="L203" s="4"/>
      <c r="M203" s="4"/>
      <c r="N203" s="4"/>
      <c r="O203" s="4"/>
      <c r="P203" s="4"/>
      <c r="Q203" s="10"/>
      <c r="R203" s="4"/>
      <c r="S203" s="4"/>
      <c r="T203" s="4"/>
      <c r="U203" s="4"/>
      <c r="V203" s="4"/>
      <c r="W203" s="4"/>
      <c r="X203" s="4"/>
      <c r="Y203" s="4"/>
      <c r="Z203" s="4"/>
      <c r="AA203" s="4"/>
      <c r="AB203" s="4"/>
      <c r="AC203" s="4"/>
      <c r="AD203" s="4"/>
      <c r="AE203" s="4"/>
      <c r="AF203" s="4"/>
      <c r="AG203" s="4"/>
      <c r="AH203" s="4"/>
    </row>
    <row r="204" spans="1:34" ht="60" customHeight="1" x14ac:dyDescent="0.2">
      <c r="A204" s="3"/>
      <c r="B204" s="4"/>
      <c r="C204" s="4"/>
      <c r="D204" s="4"/>
      <c r="E204" s="4"/>
      <c r="F204" s="4"/>
      <c r="G204" s="4"/>
      <c r="H204" s="4"/>
      <c r="I204" s="4"/>
      <c r="J204" s="4"/>
      <c r="K204" s="4"/>
      <c r="L204" s="4"/>
      <c r="M204" s="4"/>
      <c r="N204" s="4"/>
      <c r="O204" s="4"/>
      <c r="P204" s="4"/>
      <c r="Q204" s="10"/>
      <c r="R204" s="4"/>
      <c r="S204" s="4"/>
      <c r="T204" s="4"/>
      <c r="U204" s="4"/>
      <c r="V204" s="4"/>
      <c r="W204" s="4"/>
      <c r="X204" s="4"/>
      <c r="Y204" s="4"/>
      <c r="Z204" s="4"/>
      <c r="AA204" s="4"/>
      <c r="AB204" s="4"/>
      <c r="AC204" s="4"/>
      <c r="AD204" s="4"/>
      <c r="AE204" s="4"/>
      <c r="AF204" s="4"/>
      <c r="AG204" s="4"/>
      <c r="AH204" s="4"/>
    </row>
    <row r="205" spans="1:34" ht="60" customHeight="1" x14ac:dyDescent="0.2">
      <c r="A205" s="3"/>
      <c r="B205" s="4"/>
      <c r="C205" s="4"/>
      <c r="D205" s="4"/>
      <c r="E205" s="4"/>
      <c r="F205" s="4"/>
      <c r="G205" s="4"/>
      <c r="H205" s="4"/>
      <c r="I205" s="4"/>
      <c r="J205" s="4"/>
      <c r="K205" s="4"/>
      <c r="L205" s="4"/>
      <c r="M205" s="4"/>
      <c r="N205" s="4"/>
      <c r="O205" s="4"/>
      <c r="P205" s="4"/>
      <c r="Q205" s="10"/>
      <c r="R205" s="4"/>
      <c r="S205" s="4"/>
      <c r="T205" s="4"/>
      <c r="U205" s="4"/>
      <c r="V205" s="4"/>
      <c r="W205" s="4"/>
      <c r="X205" s="4"/>
      <c r="Y205" s="4"/>
      <c r="Z205" s="4"/>
      <c r="AA205" s="4"/>
      <c r="AB205" s="4"/>
      <c r="AC205" s="4"/>
      <c r="AD205" s="4"/>
      <c r="AE205" s="4"/>
      <c r="AF205" s="4"/>
      <c r="AG205" s="4"/>
      <c r="AH205" s="4"/>
    </row>
    <row r="206" spans="1:34" ht="60" customHeight="1" x14ac:dyDescent="0.2">
      <c r="A206" s="3"/>
      <c r="B206" s="4"/>
      <c r="C206" s="4"/>
      <c r="D206" s="4"/>
      <c r="E206" s="4"/>
      <c r="F206" s="4"/>
      <c r="G206" s="4"/>
      <c r="H206" s="4"/>
      <c r="I206" s="4"/>
      <c r="J206" s="4"/>
      <c r="K206" s="4"/>
      <c r="L206" s="4"/>
      <c r="M206" s="4"/>
      <c r="N206" s="4"/>
      <c r="O206" s="4"/>
      <c r="P206" s="4"/>
      <c r="Q206" s="7"/>
      <c r="R206" s="4"/>
      <c r="S206" s="4"/>
      <c r="T206" s="4"/>
      <c r="U206" s="4"/>
      <c r="V206" s="4"/>
      <c r="W206" s="4"/>
      <c r="X206" s="4"/>
      <c r="Y206" s="4"/>
      <c r="Z206" s="4"/>
      <c r="AA206" s="4"/>
      <c r="AB206" s="4"/>
      <c r="AC206" s="4"/>
      <c r="AD206" s="4"/>
      <c r="AE206" s="4"/>
      <c r="AF206" s="4"/>
      <c r="AG206" s="4"/>
      <c r="AH206" s="4"/>
    </row>
    <row r="207" spans="1:34" ht="60" customHeight="1" x14ac:dyDescent="0.2">
      <c r="A207" s="3"/>
      <c r="B207" s="4"/>
      <c r="C207" s="4"/>
      <c r="D207" s="4"/>
      <c r="E207" s="4"/>
      <c r="F207" s="4"/>
      <c r="G207" s="4"/>
      <c r="H207" s="4"/>
      <c r="I207" s="4"/>
      <c r="J207" s="4"/>
      <c r="K207" s="4"/>
      <c r="L207" s="4"/>
      <c r="M207" s="4"/>
      <c r="N207" s="4"/>
      <c r="O207" s="4"/>
      <c r="P207" s="4"/>
      <c r="Q207" s="7"/>
      <c r="R207" s="7"/>
      <c r="S207" s="7"/>
      <c r="T207" s="4"/>
      <c r="U207" s="4"/>
      <c r="V207" s="4"/>
      <c r="W207" s="4"/>
      <c r="X207" s="4"/>
      <c r="Y207" s="4"/>
      <c r="Z207" s="4"/>
      <c r="AA207" s="4"/>
      <c r="AB207" s="4"/>
      <c r="AC207" s="4"/>
      <c r="AD207" s="4"/>
      <c r="AE207" s="4"/>
      <c r="AF207" s="4"/>
      <c r="AG207" s="4"/>
      <c r="AH207" s="4"/>
    </row>
    <row r="208" spans="1:34" ht="60" customHeight="1" x14ac:dyDescent="0.2">
      <c r="A208" s="3"/>
      <c r="B208" s="4"/>
      <c r="C208" s="4"/>
      <c r="D208" s="4"/>
      <c r="E208" s="4"/>
      <c r="F208" s="4"/>
      <c r="G208" s="4"/>
      <c r="H208" s="4"/>
      <c r="I208" s="4"/>
      <c r="J208" s="4"/>
      <c r="K208" s="4"/>
      <c r="L208" s="4"/>
      <c r="M208" s="4"/>
      <c r="N208" s="4"/>
      <c r="O208" s="4"/>
      <c r="P208" s="4"/>
      <c r="Q208" s="10"/>
      <c r="R208" s="10"/>
      <c r="S208" s="4"/>
      <c r="T208" s="4"/>
      <c r="U208" s="4"/>
      <c r="V208" s="4"/>
      <c r="W208" s="4"/>
      <c r="X208" s="4"/>
      <c r="Y208" s="4"/>
      <c r="Z208" s="4"/>
      <c r="AA208" s="4"/>
      <c r="AB208" s="4"/>
      <c r="AC208" s="4"/>
      <c r="AD208" s="4"/>
      <c r="AE208" s="4"/>
      <c r="AF208" s="4"/>
      <c r="AG208" s="4"/>
      <c r="AH208" s="4"/>
    </row>
    <row r="209" spans="1:34" ht="60" customHeight="1" x14ac:dyDescent="0.2">
      <c r="A209" s="3"/>
      <c r="B209" s="4"/>
      <c r="C209" s="4"/>
      <c r="D209" s="4"/>
      <c r="E209" s="4"/>
      <c r="F209" s="4"/>
      <c r="G209" s="4"/>
      <c r="H209" s="4"/>
      <c r="I209" s="4"/>
      <c r="J209" s="4"/>
      <c r="K209" s="4"/>
      <c r="L209" s="4"/>
      <c r="M209" s="4"/>
      <c r="N209" s="4"/>
      <c r="O209" s="4"/>
      <c r="P209" s="4"/>
      <c r="Q209" s="7"/>
      <c r="R209" s="10"/>
      <c r="S209" s="4"/>
      <c r="T209" s="4"/>
      <c r="U209" s="4"/>
      <c r="V209" s="4"/>
      <c r="W209" s="4"/>
      <c r="X209" s="4"/>
      <c r="Y209" s="4"/>
      <c r="Z209" s="4"/>
      <c r="AA209" s="4"/>
      <c r="AB209" s="4"/>
      <c r="AC209" s="4"/>
      <c r="AD209" s="4"/>
      <c r="AE209" s="4"/>
      <c r="AF209" s="4"/>
      <c r="AG209" s="4"/>
      <c r="AH209" s="4"/>
    </row>
    <row r="210" spans="1:34" ht="60" customHeight="1" x14ac:dyDescent="0.2">
      <c r="A210" s="3"/>
      <c r="B210" s="4"/>
      <c r="C210" s="4"/>
      <c r="D210" s="4"/>
      <c r="E210" s="4"/>
      <c r="F210" s="4"/>
      <c r="G210" s="4"/>
      <c r="H210" s="4"/>
      <c r="I210" s="4"/>
      <c r="J210" s="4"/>
      <c r="K210" s="4"/>
      <c r="L210" s="4"/>
      <c r="M210" s="4"/>
      <c r="N210" s="4"/>
      <c r="O210" s="4"/>
      <c r="P210" s="4"/>
      <c r="Q210" s="10"/>
      <c r="R210" s="4"/>
      <c r="S210" s="4"/>
      <c r="T210" s="4"/>
      <c r="U210" s="4"/>
      <c r="V210" s="4"/>
      <c r="W210" s="4"/>
      <c r="X210" s="4"/>
      <c r="Y210" s="4"/>
      <c r="Z210" s="4"/>
      <c r="AA210" s="4"/>
      <c r="AB210" s="4"/>
      <c r="AC210" s="4"/>
      <c r="AD210" s="4"/>
      <c r="AE210" s="4"/>
      <c r="AF210" s="4"/>
      <c r="AG210" s="4"/>
      <c r="AH210" s="4"/>
    </row>
    <row r="211" spans="1:34" ht="60" customHeight="1" x14ac:dyDescent="0.2">
      <c r="A211" s="3"/>
      <c r="B211" s="4"/>
      <c r="C211" s="4"/>
      <c r="D211" s="4"/>
      <c r="E211" s="4"/>
      <c r="F211" s="4"/>
      <c r="G211" s="4"/>
      <c r="H211" s="4"/>
      <c r="I211" s="4"/>
      <c r="J211" s="4"/>
      <c r="K211" s="4"/>
      <c r="L211" s="4"/>
      <c r="M211" s="4"/>
      <c r="N211" s="4"/>
      <c r="O211" s="4"/>
      <c r="P211" s="4"/>
      <c r="Q211" s="10"/>
      <c r="R211" s="4"/>
      <c r="S211" s="4"/>
      <c r="T211" s="4"/>
      <c r="U211" s="4"/>
      <c r="V211" s="4"/>
      <c r="W211" s="4"/>
      <c r="X211" s="4"/>
      <c r="Y211" s="4"/>
      <c r="Z211" s="4"/>
      <c r="AA211" s="4"/>
      <c r="AB211" s="4"/>
      <c r="AC211" s="4"/>
      <c r="AD211" s="4"/>
      <c r="AE211" s="4"/>
      <c r="AF211" s="4"/>
      <c r="AG211" s="4"/>
      <c r="AH211" s="4"/>
    </row>
    <row r="212" spans="1:34" ht="60" customHeight="1" x14ac:dyDescent="0.2">
      <c r="A212" s="3"/>
      <c r="B212" s="4"/>
      <c r="C212" s="4"/>
      <c r="D212" s="4"/>
      <c r="E212" s="4"/>
      <c r="F212" s="4"/>
      <c r="G212" s="4"/>
      <c r="H212" s="4"/>
      <c r="I212" s="4"/>
      <c r="J212" s="4"/>
      <c r="K212" s="4"/>
      <c r="L212" s="4"/>
      <c r="M212" s="4"/>
      <c r="N212" s="4"/>
      <c r="O212" s="4"/>
      <c r="P212" s="4"/>
      <c r="Q212" s="10"/>
      <c r="R212" s="4"/>
      <c r="S212" s="4"/>
      <c r="T212" s="4"/>
      <c r="U212" s="4"/>
      <c r="V212" s="4"/>
      <c r="W212" s="4"/>
      <c r="X212" s="4"/>
      <c r="Y212" s="4"/>
      <c r="Z212" s="4"/>
      <c r="AA212" s="4"/>
      <c r="AB212" s="4"/>
      <c r="AC212" s="4"/>
      <c r="AD212" s="4"/>
      <c r="AE212" s="4"/>
      <c r="AF212" s="4"/>
      <c r="AG212" s="4"/>
      <c r="AH212" s="4"/>
    </row>
    <row r="213" spans="1:34" ht="60" customHeight="1" x14ac:dyDescent="0.2">
      <c r="A213" s="3"/>
      <c r="B213" s="4"/>
      <c r="C213" s="4"/>
      <c r="D213" s="4"/>
      <c r="E213" s="4"/>
      <c r="F213" s="4"/>
      <c r="G213" s="4"/>
      <c r="H213" s="4"/>
      <c r="I213" s="4"/>
      <c r="J213" s="4"/>
      <c r="K213" s="4"/>
      <c r="L213" s="4"/>
      <c r="M213" s="4"/>
      <c r="N213" s="4"/>
      <c r="O213" s="4"/>
      <c r="P213" s="4"/>
      <c r="Q213" s="10"/>
      <c r="R213" s="4"/>
      <c r="S213" s="4"/>
      <c r="T213" s="4"/>
      <c r="U213" s="4"/>
      <c r="V213" s="4"/>
      <c r="W213" s="4"/>
      <c r="X213" s="4"/>
      <c r="Y213" s="4"/>
      <c r="Z213" s="4"/>
      <c r="AA213" s="4"/>
      <c r="AB213" s="4"/>
      <c r="AC213" s="4"/>
      <c r="AD213" s="4"/>
      <c r="AE213" s="4"/>
      <c r="AF213" s="4"/>
      <c r="AG213" s="4"/>
      <c r="AH213" s="4"/>
    </row>
    <row r="214" spans="1:34" ht="60" customHeight="1" x14ac:dyDescent="0.2">
      <c r="A214" s="3"/>
      <c r="B214" s="4"/>
      <c r="C214" s="4"/>
      <c r="D214" s="4"/>
      <c r="E214" s="4"/>
      <c r="F214" s="4"/>
      <c r="G214" s="4"/>
      <c r="H214" s="4"/>
      <c r="I214" s="4"/>
      <c r="J214" s="4"/>
      <c r="K214" s="4"/>
      <c r="L214" s="4"/>
      <c r="M214" s="4"/>
      <c r="N214" s="4"/>
      <c r="O214" s="4"/>
      <c r="P214" s="4"/>
      <c r="Q214" s="10"/>
      <c r="R214" s="10"/>
      <c r="S214" s="4"/>
      <c r="T214" s="4"/>
      <c r="U214" s="4"/>
      <c r="V214" s="4"/>
      <c r="W214" s="4"/>
      <c r="X214" s="4"/>
      <c r="Y214" s="4"/>
      <c r="Z214" s="4"/>
      <c r="AA214" s="4"/>
      <c r="AB214" s="4"/>
      <c r="AC214" s="4"/>
      <c r="AD214" s="4"/>
      <c r="AE214" s="4"/>
      <c r="AF214" s="4"/>
      <c r="AG214" s="4"/>
      <c r="AH214" s="4"/>
    </row>
    <row r="215" spans="1:34" ht="60" customHeight="1" x14ac:dyDescent="0.2">
      <c r="A215" s="3"/>
      <c r="B215" s="4"/>
      <c r="C215" s="4"/>
      <c r="D215" s="4"/>
      <c r="E215" s="4"/>
      <c r="F215" s="4"/>
      <c r="G215" s="4"/>
      <c r="H215" s="4"/>
      <c r="I215" s="4"/>
      <c r="J215" s="4"/>
      <c r="K215" s="4"/>
      <c r="L215" s="4"/>
      <c r="M215" s="4"/>
      <c r="N215" s="4"/>
      <c r="O215" s="4"/>
      <c r="P215" s="4"/>
      <c r="Q215" s="10"/>
      <c r="R215" s="10"/>
      <c r="S215" s="4"/>
      <c r="T215" s="4"/>
      <c r="U215" s="4"/>
      <c r="V215" s="4"/>
      <c r="W215" s="4"/>
      <c r="X215" s="4"/>
      <c r="Y215" s="4"/>
      <c r="Z215" s="4"/>
      <c r="AA215" s="4"/>
      <c r="AB215" s="4"/>
      <c r="AC215" s="4"/>
      <c r="AD215" s="4"/>
      <c r="AE215" s="4"/>
      <c r="AF215" s="4"/>
      <c r="AG215" s="4"/>
      <c r="AH215" s="4"/>
    </row>
    <row r="216" spans="1:34" ht="60" customHeight="1" x14ac:dyDescent="0.2">
      <c r="A216" s="3"/>
      <c r="B216" s="4"/>
      <c r="C216" s="4"/>
      <c r="D216" s="4"/>
      <c r="E216" s="4"/>
      <c r="F216" s="4"/>
      <c r="G216" s="4"/>
      <c r="H216" s="4"/>
      <c r="I216" s="4"/>
      <c r="J216" s="4"/>
      <c r="K216" s="4"/>
      <c r="L216" s="4"/>
      <c r="M216" s="4"/>
      <c r="N216" s="4"/>
      <c r="O216" s="4"/>
      <c r="P216" s="4"/>
      <c r="Q216" s="10"/>
      <c r="R216" s="4"/>
      <c r="S216" s="4"/>
      <c r="T216" s="4"/>
      <c r="U216" s="4"/>
      <c r="V216" s="4"/>
      <c r="W216" s="4"/>
      <c r="X216" s="4"/>
      <c r="Y216" s="4"/>
      <c r="Z216" s="4"/>
      <c r="AA216" s="4"/>
      <c r="AB216" s="4"/>
      <c r="AC216" s="4"/>
      <c r="AD216" s="4"/>
      <c r="AE216" s="4"/>
      <c r="AF216" s="4"/>
      <c r="AG216" s="4"/>
      <c r="AH216" s="4"/>
    </row>
    <row r="217" spans="1:34" ht="60" customHeight="1" x14ac:dyDescent="0.2">
      <c r="A217" s="3"/>
      <c r="B217" s="4"/>
      <c r="C217" s="4"/>
      <c r="D217" s="4"/>
      <c r="E217" s="4"/>
      <c r="F217" s="4"/>
      <c r="G217" s="4"/>
      <c r="H217" s="4"/>
      <c r="I217" s="4"/>
      <c r="J217" s="4"/>
      <c r="K217" s="4"/>
      <c r="L217" s="4"/>
      <c r="M217" s="4"/>
      <c r="N217" s="4"/>
      <c r="O217" s="35"/>
      <c r="P217" s="4"/>
      <c r="Q217" s="10"/>
      <c r="R217" s="10"/>
      <c r="S217" s="4"/>
      <c r="T217" s="4"/>
      <c r="U217" s="4"/>
      <c r="V217" s="4"/>
      <c r="W217" s="4"/>
      <c r="X217" s="4"/>
      <c r="Y217" s="4"/>
      <c r="Z217" s="4"/>
      <c r="AA217" s="4"/>
      <c r="AB217" s="4"/>
      <c r="AC217" s="4"/>
      <c r="AD217" s="4"/>
      <c r="AE217" s="4"/>
      <c r="AF217" s="4"/>
      <c r="AG217" s="4"/>
      <c r="AH217" s="4"/>
    </row>
    <row r="218" spans="1:34" ht="60" customHeight="1" x14ac:dyDescent="0.2">
      <c r="A218" s="3"/>
      <c r="B218" s="4"/>
      <c r="C218" s="4"/>
      <c r="D218" s="4"/>
      <c r="E218" s="4"/>
      <c r="F218" s="4"/>
      <c r="G218" s="4"/>
      <c r="H218" s="4"/>
      <c r="I218" s="4"/>
      <c r="J218" s="4"/>
      <c r="K218" s="4"/>
      <c r="L218" s="4"/>
      <c r="M218" s="4"/>
      <c r="N218" s="4"/>
      <c r="O218" s="4"/>
      <c r="P218" s="4"/>
      <c r="Q218" s="10"/>
      <c r="R218" s="10"/>
      <c r="S218" s="4"/>
      <c r="T218" s="4"/>
      <c r="U218" s="4"/>
      <c r="V218" s="4"/>
      <c r="W218" s="4"/>
      <c r="X218" s="4"/>
      <c r="Y218" s="4"/>
      <c r="Z218" s="4"/>
      <c r="AA218" s="4"/>
      <c r="AB218" s="4"/>
      <c r="AC218" s="4"/>
      <c r="AD218" s="4"/>
      <c r="AE218" s="4"/>
      <c r="AF218" s="4"/>
      <c r="AG218" s="4"/>
      <c r="AH218" s="4"/>
    </row>
    <row r="219" spans="1:34" ht="60" customHeight="1" x14ac:dyDescent="0.2">
      <c r="A219" s="3"/>
      <c r="B219" s="4"/>
      <c r="C219" s="4"/>
      <c r="D219" s="4"/>
      <c r="E219" s="4"/>
      <c r="F219" s="4"/>
      <c r="G219" s="4"/>
      <c r="H219" s="4"/>
      <c r="I219" s="4"/>
      <c r="J219" s="4"/>
      <c r="K219" s="4"/>
      <c r="L219" s="4"/>
      <c r="M219" s="4"/>
      <c r="N219" s="4"/>
      <c r="O219" s="4"/>
      <c r="P219" s="4"/>
      <c r="Q219" s="10"/>
      <c r="R219" s="10"/>
      <c r="S219" s="4"/>
      <c r="T219" s="4"/>
      <c r="U219" s="4"/>
      <c r="V219" s="4"/>
      <c r="W219" s="4"/>
      <c r="X219" s="4"/>
      <c r="Y219" s="4"/>
      <c r="Z219" s="4"/>
      <c r="AA219" s="4"/>
      <c r="AB219" s="4"/>
      <c r="AC219" s="4"/>
      <c r="AD219" s="4"/>
      <c r="AE219" s="4"/>
      <c r="AF219" s="4"/>
      <c r="AG219" s="4"/>
      <c r="AH219" s="4"/>
    </row>
    <row r="220" spans="1:34" ht="60" customHeight="1" x14ac:dyDescent="0.2">
      <c r="A220" s="3"/>
      <c r="B220" s="4"/>
      <c r="C220" s="4"/>
      <c r="D220" s="4"/>
      <c r="E220" s="4"/>
      <c r="F220" s="4"/>
      <c r="G220" s="4"/>
      <c r="H220" s="4"/>
      <c r="I220" s="4"/>
      <c r="J220" s="4"/>
      <c r="K220" s="4"/>
      <c r="L220" s="4"/>
      <c r="M220" s="4"/>
      <c r="N220" s="4"/>
      <c r="O220" s="4"/>
      <c r="P220" s="4"/>
      <c r="Q220" s="10"/>
      <c r="R220" s="4"/>
      <c r="S220" s="4"/>
      <c r="T220" s="4"/>
      <c r="U220" s="4"/>
      <c r="V220" s="4"/>
      <c r="W220" s="4"/>
      <c r="X220" s="4"/>
      <c r="Y220" s="4"/>
      <c r="Z220" s="4"/>
      <c r="AA220" s="4"/>
      <c r="AB220" s="4"/>
      <c r="AC220" s="4"/>
      <c r="AD220" s="4"/>
      <c r="AE220" s="4"/>
      <c r="AF220" s="4"/>
      <c r="AG220" s="4"/>
      <c r="AH220" s="4"/>
    </row>
    <row r="221" spans="1:34" ht="60" customHeight="1" x14ac:dyDescent="0.2">
      <c r="A221" s="3"/>
      <c r="B221" s="4"/>
      <c r="C221" s="4"/>
      <c r="D221" s="4"/>
      <c r="E221" s="4"/>
      <c r="F221" s="4"/>
      <c r="G221" s="4"/>
      <c r="H221" s="4"/>
      <c r="I221" s="4"/>
      <c r="J221" s="4"/>
      <c r="K221" s="4"/>
      <c r="L221" s="4"/>
      <c r="M221" s="4"/>
      <c r="N221" s="4"/>
      <c r="O221" s="4"/>
      <c r="P221" s="4"/>
      <c r="Q221" s="10"/>
      <c r="R221" s="10"/>
      <c r="S221" s="10"/>
      <c r="T221" s="4"/>
      <c r="U221" s="4"/>
      <c r="V221" s="4"/>
      <c r="W221" s="4"/>
      <c r="X221" s="4"/>
      <c r="Y221" s="4"/>
      <c r="Z221" s="4"/>
      <c r="AA221" s="4"/>
      <c r="AB221" s="4"/>
      <c r="AC221" s="4"/>
      <c r="AD221" s="4"/>
      <c r="AE221" s="4"/>
      <c r="AF221" s="4"/>
      <c r="AG221" s="4"/>
      <c r="AH221" s="4"/>
    </row>
    <row r="222" spans="1:34" ht="60" customHeight="1" x14ac:dyDescent="0.2">
      <c r="A222" s="3"/>
      <c r="B222" s="4"/>
      <c r="C222" s="4"/>
      <c r="D222" s="4"/>
      <c r="E222" s="4"/>
      <c r="F222" s="4"/>
      <c r="G222" s="4"/>
      <c r="H222" s="4"/>
      <c r="I222" s="4"/>
      <c r="J222" s="4"/>
      <c r="K222" s="4"/>
      <c r="L222" s="4"/>
      <c r="M222" s="4"/>
      <c r="N222" s="4"/>
      <c r="O222" s="35"/>
      <c r="P222" s="4"/>
      <c r="Q222" s="7"/>
      <c r="R222" s="4"/>
      <c r="S222" s="4"/>
      <c r="T222" s="4"/>
      <c r="U222" s="4"/>
      <c r="V222" s="4"/>
      <c r="W222" s="4"/>
      <c r="X222" s="4"/>
      <c r="Y222" s="4"/>
      <c r="Z222" s="4"/>
      <c r="AA222" s="4"/>
      <c r="AB222" s="4"/>
      <c r="AC222" s="4"/>
      <c r="AD222" s="4"/>
      <c r="AE222" s="4"/>
      <c r="AF222" s="4"/>
      <c r="AG222" s="4"/>
      <c r="AH222" s="4"/>
    </row>
    <row r="223" spans="1:34" ht="60" customHeight="1" x14ac:dyDescent="0.2">
      <c r="A223" s="3"/>
      <c r="B223" s="4"/>
      <c r="C223" s="4"/>
      <c r="D223" s="4"/>
      <c r="E223" s="4"/>
      <c r="F223" s="4"/>
      <c r="G223" s="4"/>
      <c r="H223" s="4"/>
      <c r="I223" s="4"/>
      <c r="J223" s="4"/>
      <c r="K223" s="4"/>
      <c r="L223" s="4"/>
      <c r="M223" s="4"/>
      <c r="N223" s="4"/>
      <c r="O223" s="4"/>
      <c r="P223" s="4"/>
      <c r="Q223" s="10"/>
      <c r="R223" s="4"/>
      <c r="S223" s="4"/>
      <c r="T223" s="4"/>
      <c r="U223" s="4"/>
      <c r="V223" s="4"/>
      <c r="W223" s="4"/>
      <c r="X223" s="4"/>
      <c r="Y223" s="4"/>
      <c r="Z223" s="4"/>
      <c r="AA223" s="4"/>
      <c r="AB223" s="4"/>
      <c r="AC223" s="4"/>
      <c r="AD223" s="4"/>
      <c r="AE223" s="4"/>
      <c r="AF223" s="4"/>
      <c r="AG223" s="4"/>
      <c r="AH223" s="4"/>
    </row>
    <row r="224" spans="1:34" ht="60" customHeight="1" x14ac:dyDescent="0.2">
      <c r="A224" s="3"/>
      <c r="B224" s="4"/>
      <c r="C224" s="4"/>
      <c r="D224" s="4"/>
      <c r="E224" s="4"/>
      <c r="F224" s="4"/>
      <c r="G224" s="4"/>
      <c r="H224" s="4"/>
      <c r="I224" s="4"/>
      <c r="J224" s="4"/>
      <c r="K224" s="4"/>
      <c r="L224" s="4"/>
      <c r="M224" s="4"/>
      <c r="N224" s="4"/>
      <c r="O224" s="4"/>
      <c r="P224" s="4"/>
      <c r="Q224" s="10"/>
      <c r="R224" s="4"/>
      <c r="S224" s="4"/>
      <c r="T224" s="4"/>
      <c r="U224" s="4"/>
      <c r="V224" s="4"/>
      <c r="W224" s="4"/>
      <c r="X224" s="4"/>
      <c r="Y224" s="4"/>
      <c r="Z224" s="4"/>
      <c r="AA224" s="4"/>
      <c r="AB224" s="4"/>
      <c r="AC224" s="4"/>
      <c r="AD224" s="4"/>
      <c r="AE224" s="4"/>
      <c r="AF224" s="4"/>
      <c r="AG224" s="4"/>
      <c r="AH224" s="4"/>
    </row>
    <row r="225" spans="1:34" ht="60" customHeight="1" x14ac:dyDescent="0.2">
      <c r="A225" s="3"/>
      <c r="B225" s="4"/>
      <c r="C225" s="4"/>
      <c r="D225" s="4"/>
      <c r="E225" s="4"/>
      <c r="F225" s="4"/>
      <c r="G225" s="4"/>
      <c r="H225" s="4"/>
      <c r="I225" s="4"/>
      <c r="J225" s="4"/>
      <c r="K225" s="4"/>
      <c r="L225" s="4"/>
      <c r="M225" s="4"/>
      <c r="N225" s="4"/>
      <c r="O225" s="4"/>
      <c r="P225" s="4"/>
      <c r="Q225" s="10"/>
      <c r="R225" s="4"/>
      <c r="S225" s="4"/>
      <c r="T225" s="4"/>
      <c r="U225" s="4"/>
      <c r="V225" s="4"/>
      <c r="W225" s="4"/>
      <c r="X225" s="4"/>
      <c r="Y225" s="4"/>
      <c r="Z225" s="4"/>
      <c r="AA225" s="4"/>
      <c r="AB225" s="4"/>
      <c r="AC225" s="4"/>
      <c r="AD225" s="4"/>
      <c r="AE225" s="4"/>
      <c r="AF225" s="4"/>
      <c r="AG225" s="4"/>
      <c r="AH225" s="4"/>
    </row>
    <row r="226" spans="1:34" ht="60" customHeight="1" x14ac:dyDescent="0.2">
      <c r="A226" s="3"/>
      <c r="B226" s="4"/>
      <c r="C226" s="9"/>
      <c r="D226" s="9"/>
      <c r="E226" s="4"/>
      <c r="F226" s="4"/>
      <c r="G226" s="4"/>
      <c r="H226" s="4"/>
      <c r="I226" s="4"/>
      <c r="J226" s="4"/>
      <c r="K226" s="4"/>
      <c r="L226" s="4"/>
      <c r="M226" s="4"/>
      <c r="N226" s="4"/>
      <c r="O226" s="4"/>
      <c r="P226" s="4"/>
      <c r="Q226" s="10"/>
      <c r="R226" s="4"/>
      <c r="S226" s="4"/>
      <c r="T226" s="4"/>
      <c r="U226" s="4"/>
      <c r="V226" s="4"/>
      <c r="W226" s="4"/>
      <c r="X226" s="4"/>
      <c r="Y226" s="4"/>
      <c r="Z226" s="4"/>
      <c r="AA226" s="4"/>
      <c r="AB226" s="4"/>
      <c r="AC226" s="4"/>
      <c r="AD226" s="4"/>
      <c r="AE226" s="4"/>
      <c r="AF226" s="4"/>
      <c r="AG226" s="4"/>
      <c r="AH226" s="4"/>
    </row>
    <row r="227" spans="1:34" ht="60" customHeight="1" x14ac:dyDescent="0.2">
      <c r="A227" s="3"/>
      <c r="B227" s="4"/>
      <c r="C227" s="4"/>
      <c r="D227" s="4"/>
      <c r="E227" s="4"/>
      <c r="F227" s="4"/>
      <c r="G227" s="4"/>
      <c r="H227" s="4"/>
      <c r="I227" s="4"/>
      <c r="J227" s="4"/>
      <c r="K227" s="4"/>
      <c r="L227" s="4"/>
      <c r="M227" s="4"/>
      <c r="N227" s="4"/>
      <c r="O227" s="4"/>
      <c r="P227" s="4"/>
      <c r="Q227" s="7"/>
      <c r="R227" s="4"/>
      <c r="S227" s="4"/>
      <c r="T227" s="4"/>
      <c r="U227" s="4"/>
      <c r="V227" s="4"/>
      <c r="W227" s="4"/>
      <c r="X227" s="4"/>
      <c r="Y227" s="4"/>
      <c r="Z227" s="4"/>
      <c r="AA227" s="4"/>
      <c r="AB227" s="4"/>
      <c r="AC227" s="4"/>
      <c r="AD227" s="4"/>
      <c r="AE227" s="4"/>
      <c r="AF227" s="4"/>
      <c r="AG227" s="4"/>
      <c r="AH227" s="4"/>
    </row>
    <row r="228" spans="1:34" ht="60" customHeight="1" x14ac:dyDescent="0.2">
      <c r="A228" s="3"/>
      <c r="B228" s="4"/>
      <c r="C228" s="4"/>
      <c r="D228" s="4"/>
      <c r="E228" s="4"/>
      <c r="F228" s="4"/>
      <c r="G228" s="4"/>
      <c r="H228" s="4"/>
      <c r="I228" s="4"/>
      <c r="J228" s="4"/>
      <c r="K228" s="4"/>
      <c r="L228" s="4"/>
      <c r="M228" s="4"/>
      <c r="N228" s="4"/>
      <c r="O228" s="4"/>
      <c r="P228" s="4"/>
      <c r="Q228" s="7"/>
      <c r="R228" s="4"/>
      <c r="S228" s="4"/>
      <c r="T228" s="4"/>
      <c r="U228" s="4"/>
      <c r="V228" s="4"/>
      <c r="W228" s="4"/>
      <c r="X228" s="4"/>
      <c r="Y228" s="4"/>
      <c r="Z228" s="4"/>
      <c r="AA228" s="4"/>
      <c r="AB228" s="4"/>
      <c r="AC228" s="4"/>
      <c r="AD228" s="4"/>
      <c r="AE228" s="4"/>
      <c r="AF228" s="4"/>
      <c r="AG228" s="4"/>
      <c r="AH228" s="4"/>
    </row>
    <row r="229" spans="1:34" ht="60" customHeight="1" x14ac:dyDescent="0.2">
      <c r="A229" s="3"/>
      <c r="B229" s="4"/>
      <c r="C229" s="4"/>
      <c r="D229" s="4"/>
      <c r="E229" s="4"/>
      <c r="F229" s="4"/>
      <c r="G229" s="4"/>
      <c r="H229" s="4"/>
      <c r="I229" s="4"/>
      <c r="J229" s="4"/>
      <c r="K229" s="4"/>
      <c r="L229" s="4"/>
      <c r="M229" s="4"/>
      <c r="N229" s="4"/>
      <c r="O229" s="4"/>
      <c r="P229" s="4"/>
      <c r="Q229" s="10"/>
      <c r="R229" s="4"/>
      <c r="S229" s="4"/>
      <c r="T229" s="4"/>
      <c r="U229" s="4"/>
      <c r="V229" s="4"/>
      <c r="W229" s="4"/>
      <c r="X229" s="4"/>
      <c r="Y229" s="4"/>
      <c r="Z229" s="4"/>
      <c r="AA229" s="4"/>
      <c r="AB229" s="4"/>
      <c r="AC229" s="4"/>
      <c r="AD229" s="4"/>
      <c r="AE229" s="4"/>
      <c r="AF229" s="4"/>
      <c r="AG229" s="4"/>
      <c r="AH229" s="4"/>
    </row>
    <row r="230" spans="1:34" ht="60" customHeight="1" x14ac:dyDescent="0.2">
      <c r="A230" s="3"/>
      <c r="B230" s="4"/>
      <c r="C230" s="4"/>
      <c r="D230" s="4"/>
      <c r="E230" s="4"/>
      <c r="F230" s="4"/>
      <c r="G230" s="4"/>
      <c r="H230" s="4"/>
      <c r="I230" s="4"/>
      <c r="J230" s="4"/>
      <c r="K230" s="4"/>
      <c r="L230" s="4"/>
      <c r="M230" s="4"/>
      <c r="N230" s="4"/>
      <c r="O230" s="4"/>
      <c r="P230" s="4"/>
      <c r="Q230" s="7"/>
      <c r="R230" s="4"/>
      <c r="S230" s="4"/>
      <c r="T230" s="4"/>
      <c r="U230" s="4"/>
      <c r="V230" s="4"/>
      <c r="W230" s="4"/>
      <c r="X230" s="4"/>
      <c r="Y230" s="4"/>
      <c r="Z230" s="4"/>
      <c r="AA230" s="4"/>
      <c r="AB230" s="4"/>
      <c r="AC230" s="4"/>
      <c r="AD230" s="4"/>
      <c r="AE230" s="4"/>
      <c r="AF230" s="4"/>
      <c r="AG230" s="4"/>
      <c r="AH230" s="4"/>
    </row>
    <row r="231" spans="1:34" ht="60" customHeight="1" x14ac:dyDescent="0.2">
      <c r="A231" s="3"/>
      <c r="B231" s="4"/>
      <c r="C231" s="4"/>
      <c r="D231" s="4"/>
      <c r="E231" s="4"/>
      <c r="F231" s="4"/>
      <c r="G231" s="4"/>
      <c r="H231" s="4"/>
      <c r="I231" s="4"/>
      <c r="J231" s="4"/>
      <c r="K231" s="4"/>
      <c r="L231" s="4"/>
      <c r="M231" s="4"/>
      <c r="N231" s="4"/>
      <c r="O231" s="35"/>
      <c r="P231" s="4"/>
      <c r="Q231" s="10"/>
      <c r="R231" s="10"/>
      <c r="S231" s="4"/>
      <c r="T231" s="4"/>
      <c r="U231" s="4"/>
      <c r="V231" s="4"/>
      <c r="W231" s="4"/>
      <c r="X231" s="4"/>
      <c r="Y231" s="4"/>
      <c r="Z231" s="4"/>
      <c r="AA231" s="4"/>
      <c r="AB231" s="4"/>
      <c r="AC231" s="4"/>
      <c r="AD231" s="4"/>
      <c r="AE231" s="4"/>
      <c r="AF231" s="4"/>
      <c r="AG231" s="4"/>
      <c r="AH231" s="4"/>
    </row>
    <row r="232" spans="1:34" ht="60" customHeight="1" x14ac:dyDescent="0.2">
      <c r="A232" s="3"/>
      <c r="B232" s="4"/>
      <c r="C232" s="4"/>
      <c r="D232" s="4"/>
      <c r="E232" s="4"/>
      <c r="F232" s="4"/>
      <c r="G232" s="4"/>
      <c r="H232" s="4"/>
      <c r="I232" s="4"/>
      <c r="J232" s="4"/>
      <c r="K232" s="4"/>
      <c r="L232" s="4"/>
      <c r="M232" s="4"/>
      <c r="N232" s="4"/>
      <c r="O232" s="4"/>
      <c r="P232" s="4"/>
      <c r="Q232" s="10"/>
      <c r="R232" s="4"/>
      <c r="S232" s="4"/>
      <c r="T232" s="4"/>
      <c r="U232" s="4"/>
      <c r="V232" s="4"/>
      <c r="W232" s="4"/>
      <c r="X232" s="4"/>
      <c r="Y232" s="4"/>
      <c r="Z232" s="4"/>
      <c r="AA232" s="4"/>
      <c r="AB232" s="4"/>
      <c r="AC232" s="4"/>
      <c r="AD232" s="4"/>
      <c r="AE232" s="4"/>
      <c r="AF232" s="4"/>
      <c r="AG232" s="4"/>
      <c r="AH232" s="4"/>
    </row>
    <row r="233" spans="1:34" ht="60" customHeight="1" x14ac:dyDescent="0.2">
      <c r="A233" s="3"/>
      <c r="B233" s="4"/>
      <c r="C233" s="4"/>
      <c r="D233" s="4"/>
      <c r="E233" s="4"/>
      <c r="F233" s="4"/>
      <c r="G233" s="4"/>
      <c r="H233" s="4"/>
      <c r="I233" s="4"/>
      <c r="J233" s="4"/>
      <c r="K233" s="4"/>
      <c r="L233" s="4"/>
      <c r="M233" s="4"/>
      <c r="N233" s="4"/>
      <c r="O233" s="4"/>
      <c r="P233" s="4"/>
      <c r="Q233" s="7"/>
      <c r="R233" s="4"/>
      <c r="S233" s="4"/>
      <c r="T233" s="4"/>
      <c r="U233" s="4"/>
      <c r="V233" s="4"/>
      <c r="W233" s="4"/>
      <c r="X233" s="4"/>
      <c r="Y233" s="4"/>
      <c r="Z233" s="4"/>
      <c r="AA233" s="4"/>
      <c r="AB233" s="4"/>
      <c r="AC233" s="4"/>
      <c r="AD233" s="4"/>
      <c r="AE233" s="4"/>
      <c r="AF233" s="4"/>
      <c r="AG233" s="4"/>
      <c r="AH233" s="4"/>
    </row>
    <row r="234" spans="1:34" ht="60" customHeight="1" x14ac:dyDescent="0.2">
      <c r="A234" s="3"/>
      <c r="B234" s="4"/>
      <c r="C234" s="4"/>
      <c r="D234" s="4"/>
      <c r="E234" s="4"/>
      <c r="F234" s="4"/>
      <c r="G234" s="4"/>
      <c r="H234" s="4"/>
      <c r="I234" s="4"/>
      <c r="J234" s="4"/>
      <c r="K234" s="4"/>
      <c r="L234" s="4"/>
      <c r="M234" s="4"/>
      <c r="N234" s="4"/>
      <c r="O234" s="4"/>
      <c r="P234" s="4"/>
      <c r="Q234" s="7"/>
      <c r="R234" s="4"/>
      <c r="S234" s="4"/>
      <c r="T234" s="4"/>
      <c r="U234" s="4"/>
      <c r="V234" s="4"/>
      <c r="W234" s="4"/>
      <c r="X234" s="4"/>
      <c r="Y234" s="4"/>
      <c r="Z234" s="4"/>
      <c r="AA234" s="4"/>
      <c r="AB234" s="4"/>
      <c r="AC234" s="4"/>
      <c r="AD234" s="4"/>
      <c r="AE234" s="4"/>
      <c r="AF234" s="4"/>
      <c r="AG234" s="4"/>
      <c r="AH234" s="4"/>
    </row>
    <row r="235" spans="1:34" ht="60" customHeight="1" x14ac:dyDescent="0.2">
      <c r="A235" s="3"/>
      <c r="B235" s="4"/>
      <c r="C235" s="4"/>
      <c r="D235" s="4"/>
      <c r="E235" s="4"/>
      <c r="F235" s="4"/>
      <c r="G235" s="4"/>
      <c r="H235" s="4"/>
      <c r="I235" s="4"/>
      <c r="J235" s="4"/>
      <c r="K235" s="4"/>
      <c r="L235" s="4"/>
      <c r="M235" s="4"/>
      <c r="N235" s="4"/>
      <c r="O235" s="4"/>
      <c r="P235" s="4"/>
      <c r="Q235" s="10"/>
      <c r="R235" s="4"/>
      <c r="S235" s="4"/>
      <c r="T235" s="4"/>
      <c r="U235" s="4"/>
      <c r="V235" s="4"/>
      <c r="W235" s="4"/>
      <c r="X235" s="4"/>
      <c r="Y235" s="4"/>
      <c r="Z235" s="4"/>
      <c r="AA235" s="4"/>
      <c r="AB235" s="4"/>
      <c r="AC235" s="4"/>
      <c r="AD235" s="4"/>
      <c r="AE235" s="4"/>
      <c r="AF235" s="4"/>
      <c r="AG235" s="4"/>
      <c r="AH235" s="4"/>
    </row>
    <row r="236" spans="1:34" ht="60" customHeight="1" x14ac:dyDescent="0.2">
      <c r="A236" s="3"/>
      <c r="B236" s="4"/>
      <c r="C236" s="4"/>
      <c r="D236" s="4"/>
      <c r="E236" s="4"/>
      <c r="F236" s="4"/>
      <c r="G236" s="4"/>
      <c r="H236" s="4"/>
      <c r="I236" s="4"/>
      <c r="J236" s="4"/>
      <c r="K236" s="4"/>
      <c r="L236" s="4"/>
      <c r="M236" s="4"/>
      <c r="N236" s="4"/>
      <c r="O236" s="4"/>
      <c r="P236" s="4"/>
      <c r="Q236" s="10"/>
      <c r="R236" s="10"/>
      <c r="S236" s="4"/>
      <c r="T236" s="4"/>
      <c r="U236" s="4"/>
      <c r="V236" s="4"/>
      <c r="W236" s="4"/>
      <c r="X236" s="4"/>
      <c r="Y236" s="4"/>
      <c r="Z236" s="4"/>
      <c r="AA236" s="4"/>
      <c r="AB236" s="4"/>
      <c r="AC236" s="4"/>
      <c r="AD236" s="4"/>
      <c r="AE236" s="4"/>
      <c r="AF236" s="4"/>
      <c r="AG236" s="4"/>
      <c r="AH236" s="4"/>
    </row>
    <row r="237" spans="1:34" ht="60" customHeight="1" x14ac:dyDescent="0.2">
      <c r="A237" s="3"/>
      <c r="B237" s="4"/>
      <c r="C237" s="4"/>
      <c r="D237" s="4"/>
      <c r="E237" s="4"/>
      <c r="F237" s="4"/>
      <c r="G237" s="4"/>
      <c r="H237" s="4"/>
      <c r="I237" s="4"/>
      <c r="J237" s="4"/>
      <c r="K237" s="4"/>
      <c r="L237" s="4"/>
      <c r="M237" s="4"/>
      <c r="N237" s="4"/>
      <c r="O237" s="35"/>
      <c r="P237" s="4"/>
      <c r="Q237" s="7"/>
      <c r="R237" s="4"/>
      <c r="S237" s="4"/>
      <c r="T237" s="4"/>
      <c r="U237" s="4"/>
      <c r="V237" s="4"/>
      <c r="W237" s="4"/>
      <c r="X237" s="4"/>
      <c r="Y237" s="4"/>
      <c r="Z237" s="4"/>
      <c r="AA237" s="4"/>
      <c r="AB237" s="4"/>
      <c r="AC237" s="4"/>
      <c r="AD237" s="4"/>
      <c r="AE237" s="4"/>
      <c r="AF237" s="4"/>
      <c r="AG237" s="4"/>
      <c r="AH237" s="4"/>
    </row>
    <row r="238" spans="1:34" ht="60" customHeight="1" x14ac:dyDescent="0.2">
      <c r="A238" s="3"/>
      <c r="B238" s="4"/>
      <c r="C238" s="4"/>
      <c r="D238" s="4"/>
      <c r="E238" s="4"/>
      <c r="F238" s="4"/>
      <c r="G238" s="4"/>
      <c r="H238" s="4"/>
      <c r="I238" s="4"/>
      <c r="J238" s="4"/>
      <c r="K238" s="4"/>
      <c r="L238" s="4"/>
      <c r="M238" s="4"/>
      <c r="N238" s="4"/>
      <c r="O238" s="4"/>
      <c r="P238" s="4"/>
      <c r="Q238" s="7"/>
      <c r="R238" s="4"/>
      <c r="S238" s="4"/>
      <c r="T238" s="4"/>
      <c r="U238" s="4"/>
      <c r="V238" s="4"/>
      <c r="W238" s="4"/>
      <c r="X238" s="4"/>
      <c r="Y238" s="4"/>
      <c r="Z238" s="4"/>
      <c r="AA238" s="4"/>
      <c r="AB238" s="4"/>
      <c r="AC238" s="4"/>
      <c r="AD238" s="4"/>
      <c r="AE238" s="4"/>
      <c r="AF238" s="4"/>
      <c r="AG238" s="4"/>
      <c r="AH238" s="4"/>
    </row>
    <row r="239" spans="1:34" ht="60" customHeight="1" x14ac:dyDescent="0.2">
      <c r="A239" s="3"/>
      <c r="B239" s="4"/>
      <c r="C239" s="4"/>
      <c r="D239" s="4"/>
      <c r="E239" s="4"/>
      <c r="F239" s="4"/>
      <c r="G239" s="4"/>
      <c r="H239" s="4"/>
      <c r="I239" s="4"/>
      <c r="J239" s="4"/>
      <c r="K239" s="4"/>
      <c r="L239" s="4"/>
      <c r="M239" s="4"/>
      <c r="N239" s="4"/>
      <c r="O239" s="4"/>
      <c r="P239" s="4"/>
      <c r="Q239" s="7"/>
      <c r="R239" s="10"/>
      <c r="S239" s="10"/>
      <c r="T239" s="4"/>
      <c r="U239" s="4"/>
      <c r="V239" s="4"/>
      <c r="W239" s="4"/>
      <c r="X239" s="4"/>
      <c r="Y239" s="4"/>
      <c r="Z239" s="4"/>
      <c r="AA239" s="4"/>
      <c r="AB239" s="4"/>
      <c r="AC239" s="4"/>
      <c r="AD239" s="4"/>
      <c r="AE239" s="4"/>
      <c r="AF239" s="4"/>
      <c r="AG239" s="4"/>
      <c r="AH239" s="4"/>
    </row>
    <row r="240" spans="1:34" ht="60" customHeight="1" x14ac:dyDescent="0.2">
      <c r="A240" s="3"/>
      <c r="B240" s="4"/>
      <c r="C240" s="4"/>
      <c r="D240" s="4"/>
      <c r="E240" s="4"/>
      <c r="F240" s="4"/>
      <c r="G240" s="4"/>
      <c r="H240" s="4"/>
      <c r="I240" s="4"/>
      <c r="J240" s="4"/>
      <c r="K240" s="4"/>
      <c r="L240" s="4"/>
      <c r="M240" s="4"/>
      <c r="N240" s="4"/>
      <c r="O240" s="4"/>
      <c r="P240" s="4"/>
      <c r="Q240" s="10"/>
      <c r="R240" s="4"/>
      <c r="S240" s="4"/>
      <c r="T240" s="4"/>
      <c r="U240" s="4"/>
      <c r="V240" s="4"/>
      <c r="W240" s="4"/>
      <c r="X240" s="4"/>
      <c r="Y240" s="4"/>
      <c r="Z240" s="4"/>
      <c r="AA240" s="4"/>
      <c r="AB240" s="4"/>
      <c r="AC240" s="4"/>
      <c r="AD240" s="4"/>
      <c r="AE240" s="4"/>
      <c r="AF240" s="4"/>
      <c r="AG240" s="4"/>
      <c r="AH240" s="4"/>
    </row>
    <row r="241" spans="1:34" ht="60" customHeight="1" x14ac:dyDescent="0.2">
      <c r="A241" s="3"/>
      <c r="B241" s="4"/>
      <c r="C241" s="4"/>
      <c r="D241" s="4"/>
      <c r="E241" s="4"/>
      <c r="F241" s="4"/>
      <c r="G241" s="4"/>
      <c r="H241" s="4"/>
      <c r="I241" s="4"/>
      <c r="J241" s="4"/>
      <c r="K241" s="4"/>
      <c r="L241" s="4"/>
      <c r="M241" s="4"/>
      <c r="N241" s="4"/>
      <c r="O241" s="4"/>
      <c r="P241" s="4"/>
      <c r="Q241" s="10"/>
      <c r="R241" s="4"/>
      <c r="S241" s="4"/>
      <c r="T241" s="4"/>
      <c r="U241" s="4"/>
      <c r="V241" s="4"/>
      <c r="W241" s="4"/>
      <c r="X241" s="4"/>
      <c r="Y241" s="4"/>
      <c r="Z241" s="4"/>
      <c r="AA241" s="4"/>
      <c r="AB241" s="4"/>
      <c r="AC241" s="4"/>
      <c r="AD241" s="4"/>
      <c r="AE241" s="4"/>
      <c r="AF241" s="4"/>
      <c r="AG241" s="4"/>
      <c r="AH241" s="4"/>
    </row>
    <row r="242" spans="1:34" ht="60" customHeight="1" x14ac:dyDescent="0.2">
      <c r="A242" s="3"/>
      <c r="B242" s="4"/>
      <c r="C242" s="4"/>
      <c r="D242" s="4"/>
      <c r="E242" s="4"/>
      <c r="F242" s="4"/>
      <c r="G242" s="4"/>
      <c r="H242" s="4"/>
      <c r="I242" s="4"/>
      <c r="J242" s="4"/>
      <c r="K242" s="4"/>
      <c r="L242" s="4"/>
      <c r="M242" s="4"/>
      <c r="N242" s="4"/>
      <c r="O242" s="4"/>
      <c r="P242" s="4"/>
      <c r="Q242" s="7"/>
      <c r="R242" s="4"/>
      <c r="S242" s="4"/>
      <c r="T242" s="4"/>
      <c r="U242" s="4"/>
      <c r="V242" s="4"/>
      <c r="W242" s="4"/>
      <c r="X242" s="4"/>
      <c r="Y242" s="4"/>
      <c r="Z242" s="4"/>
      <c r="AA242" s="4"/>
      <c r="AB242" s="4"/>
      <c r="AC242" s="4"/>
      <c r="AD242" s="4"/>
      <c r="AE242" s="4"/>
      <c r="AF242" s="4"/>
      <c r="AG242" s="4"/>
      <c r="AH242" s="4"/>
    </row>
    <row r="243" spans="1:34" ht="60" customHeight="1" x14ac:dyDescent="0.2">
      <c r="A243" s="3"/>
      <c r="B243" s="4"/>
      <c r="C243" s="4"/>
      <c r="D243" s="4"/>
      <c r="E243" s="4"/>
      <c r="F243" s="4"/>
      <c r="G243" s="4"/>
      <c r="H243" s="4"/>
      <c r="I243" s="4"/>
      <c r="J243" s="4"/>
      <c r="K243" s="4"/>
      <c r="L243" s="4"/>
      <c r="M243" s="4"/>
      <c r="N243" s="4"/>
      <c r="O243" s="4"/>
      <c r="P243" s="4"/>
      <c r="Q243" s="7"/>
      <c r="R243" s="4"/>
      <c r="S243" s="4"/>
      <c r="T243" s="4"/>
      <c r="U243" s="4"/>
      <c r="V243" s="4"/>
      <c r="W243" s="4"/>
      <c r="X243" s="4"/>
      <c r="Y243" s="4"/>
      <c r="Z243" s="4"/>
      <c r="AA243" s="4"/>
      <c r="AB243" s="4"/>
      <c r="AC243" s="4"/>
      <c r="AD243" s="4"/>
      <c r="AE243" s="4"/>
      <c r="AF243" s="4"/>
      <c r="AG243" s="4"/>
      <c r="AH243" s="4"/>
    </row>
    <row r="244" spans="1:34" ht="60" customHeight="1" x14ac:dyDescent="0.2">
      <c r="A244" s="3"/>
      <c r="B244" s="4"/>
      <c r="C244" s="4"/>
      <c r="D244" s="4"/>
      <c r="E244" s="4"/>
      <c r="F244" s="4"/>
      <c r="G244" s="4"/>
      <c r="H244" s="4"/>
      <c r="I244" s="4"/>
      <c r="J244" s="4"/>
      <c r="K244" s="4"/>
      <c r="L244" s="4"/>
      <c r="M244" s="4"/>
      <c r="N244" s="4"/>
      <c r="O244" s="4"/>
      <c r="P244" s="4"/>
      <c r="Q244" s="7"/>
      <c r="R244" s="4"/>
      <c r="S244" s="4"/>
      <c r="T244" s="4"/>
      <c r="U244" s="4"/>
      <c r="V244" s="4"/>
      <c r="W244" s="4"/>
      <c r="X244" s="4"/>
      <c r="Y244" s="4"/>
      <c r="Z244" s="4"/>
      <c r="AA244" s="4"/>
      <c r="AB244" s="4"/>
      <c r="AC244" s="4"/>
      <c r="AD244" s="4"/>
      <c r="AE244" s="4"/>
      <c r="AF244" s="4"/>
      <c r="AG244" s="4"/>
      <c r="AH244" s="4"/>
    </row>
    <row r="245" spans="1:34" ht="60" customHeight="1" x14ac:dyDescent="0.2">
      <c r="A245" s="3"/>
      <c r="B245" s="4"/>
      <c r="C245" s="4"/>
      <c r="D245" s="4"/>
      <c r="E245" s="4"/>
      <c r="F245" s="4"/>
      <c r="G245" s="4"/>
      <c r="H245" s="4"/>
      <c r="I245" s="4"/>
      <c r="J245" s="4"/>
      <c r="K245" s="4"/>
      <c r="L245" s="4"/>
      <c r="M245" s="4"/>
      <c r="N245" s="4"/>
      <c r="O245" s="4"/>
      <c r="P245" s="4"/>
      <c r="Q245" s="7"/>
      <c r="R245" s="4"/>
      <c r="S245" s="4"/>
      <c r="T245" s="4"/>
      <c r="U245" s="4"/>
      <c r="V245" s="4"/>
      <c r="W245" s="4"/>
      <c r="X245" s="4"/>
      <c r="Y245" s="4"/>
      <c r="Z245" s="4"/>
      <c r="AA245" s="4"/>
      <c r="AB245" s="4"/>
      <c r="AC245" s="4"/>
      <c r="AD245" s="4"/>
      <c r="AE245" s="4"/>
      <c r="AF245" s="4"/>
      <c r="AG245" s="4"/>
      <c r="AH245" s="4"/>
    </row>
    <row r="246" spans="1:34" ht="60" customHeight="1" x14ac:dyDescent="0.2">
      <c r="A246" s="3"/>
      <c r="B246" s="4"/>
      <c r="C246" s="4"/>
      <c r="D246" s="4"/>
      <c r="E246" s="4"/>
      <c r="F246" s="4"/>
      <c r="G246" s="4"/>
      <c r="H246" s="4"/>
      <c r="I246" s="4"/>
      <c r="J246" s="4"/>
      <c r="K246" s="4"/>
      <c r="L246" s="4"/>
      <c r="M246" s="4"/>
      <c r="N246" s="4"/>
      <c r="O246" s="4"/>
      <c r="P246" s="4"/>
      <c r="Q246" s="10"/>
      <c r="R246" s="10"/>
      <c r="S246" s="4"/>
      <c r="T246" s="4"/>
      <c r="U246" s="4"/>
      <c r="V246" s="4"/>
      <c r="W246" s="4"/>
      <c r="X246" s="4"/>
      <c r="Y246" s="4"/>
      <c r="Z246" s="4"/>
      <c r="AA246" s="4"/>
      <c r="AB246" s="4"/>
      <c r="AC246" s="4"/>
      <c r="AD246" s="4"/>
      <c r="AE246" s="4"/>
      <c r="AF246" s="4"/>
      <c r="AG246" s="4"/>
      <c r="AH246" s="4"/>
    </row>
    <row r="247" spans="1:34" ht="60" customHeight="1" x14ac:dyDescent="0.2">
      <c r="A247" s="3"/>
      <c r="B247" s="4"/>
      <c r="C247" s="4"/>
      <c r="D247" s="4"/>
      <c r="E247" s="4"/>
      <c r="F247" s="4"/>
      <c r="G247" s="4"/>
      <c r="H247" s="4"/>
      <c r="I247" s="4"/>
      <c r="J247" s="4"/>
      <c r="K247" s="4"/>
      <c r="L247" s="4"/>
      <c r="M247" s="4"/>
      <c r="N247" s="4"/>
      <c r="O247" s="4"/>
      <c r="P247" s="4"/>
      <c r="Q247" s="7"/>
      <c r="R247" s="4"/>
      <c r="S247" s="4"/>
      <c r="T247" s="4"/>
      <c r="U247" s="4"/>
      <c r="V247" s="4"/>
      <c r="W247" s="4"/>
      <c r="X247" s="4"/>
      <c r="Y247" s="4"/>
      <c r="Z247" s="4"/>
      <c r="AA247" s="4"/>
      <c r="AB247" s="4"/>
      <c r="AC247" s="4"/>
      <c r="AD247" s="4"/>
      <c r="AE247" s="4"/>
      <c r="AF247" s="4"/>
      <c r="AG247" s="4"/>
      <c r="AH247" s="4"/>
    </row>
    <row r="248" spans="1:34" ht="60" customHeight="1" x14ac:dyDescent="0.2">
      <c r="A248" s="3"/>
      <c r="B248" s="4"/>
      <c r="C248" s="4"/>
      <c r="D248" s="4"/>
      <c r="E248" s="4"/>
      <c r="F248" s="4"/>
      <c r="G248" s="4"/>
      <c r="H248" s="4"/>
      <c r="I248" s="4"/>
      <c r="J248" s="4"/>
      <c r="K248" s="4"/>
      <c r="L248" s="4"/>
      <c r="M248" s="4"/>
      <c r="N248" s="4"/>
      <c r="O248" s="4"/>
      <c r="P248" s="4"/>
      <c r="Q248" s="10"/>
      <c r="R248" s="10"/>
      <c r="S248" s="10"/>
      <c r="T248" s="10"/>
      <c r="U248" s="4"/>
      <c r="V248" s="4"/>
      <c r="W248" s="4"/>
      <c r="X248" s="4"/>
      <c r="Y248" s="4"/>
      <c r="Z248" s="4"/>
      <c r="AA248" s="4"/>
      <c r="AB248" s="4"/>
      <c r="AC248" s="4"/>
      <c r="AD248" s="4"/>
      <c r="AE248" s="4"/>
      <c r="AF248" s="4"/>
      <c r="AG248" s="4"/>
      <c r="AH248" s="4"/>
    </row>
    <row r="249" spans="1:34" ht="60" customHeight="1" x14ac:dyDescent="0.2">
      <c r="A249" s="3"/>
      <c r="B249" s="4"/>
      <c r="C249" s="4"/>
      <c r="D249" s="4"/>
      <c r="E249" s="4"/>
      <c r="F249" s="4"/>
      <c r="G249" s="4"/>
      <c r="H249" s="4"/>
      <c r="I249" s="4"/>
      <c r="J249" s="4"/>
      <c r="K249" s="4"/>
      <c r="L249" s="4"/>
      <c r="M249" s="4"/>
      <c r="N249" s="4"/>
      <c r="O249" s="4"/>
      <c r="P249" s="4"/>
      <c r="Q249" s="10"/>
      <c r="R249" s="4"/>
      <c r="S249" s="4"/>
      <c r="T249" s="4"/>
      <c r="U249" s="4"/>
      <c r="V249" s="4"/>
      <c r="W249" s="4"/>
      <c r="X249" s="4"/>
      <c r="Y249" s="4"/>
      <c r="Z249" s="4"/>
      <c r="AA249" s="4"/>
      <c r="AB249" s="4"/>
      <c r="AC249" s="4"/>
      <c r="AD249" s="4"/>
      <c r="AE249" s="4"/>
      <c r="AF249" s="4"/>
      <c r="AG249" s="4"/>
      <c r="AH249" s="4"/>
    </row>
    <row r="250" spans="1:34" ht="60" customHeight="1" x14ac:dyDescent="0.2">
      <c r="A250" s="3"/>
      <c r="B250" s="4"/>
      <c r="C250" s="4"/>
      <c r="D250" s="4"/>
      <c r="E250" s="4"/>
      <c r="F250" s="4"/>
      <c r="G250" s="4"/>
      <c r="H250" s="4"/>
      <c r="I250" s="4"/>
      <c r="J250" s="4"/>
      <c r="K250" s="4"/>
      <c r="L250" s="4"/>
      <c r="M250" s="4"/>
      <c r="N250" s="4"/>
      <c r="O250" s="4"/>
      <c r="P250" s="4"/>
      <c r="Q250" s="10"/>
      <c r="R250" s="4"/>
      <c r="S250" s="4"/>
      <c r="T250" s="4"/>
      <c r="U250" s="4"/>
      <c r="V250" s="4"/>
      <c r="W250" s="4"/>
      <c r="X250" s="4"/>
      <c r="Y250" s="4"/>
      <c r="Z250" s="4"/>
      <c r="AA250" s="4"/>
      <c r="AB250" s="4"/>
      <c r="AC250" s="4"/>
      <c r="AD250" s="4"/>
      <c r="AE250" s="4"/>
      <c r="AF250" s="4"/>
      <c r="AG250" s="4"/>
      <c r="AH250" s="4"/>
    </row>
    <row r="251" spans="1:34" ht="60" customHeight="1" x14ac:dyDescent="0.2">
      <c r="A251" s="3"/>
      <c r="B251" s="4"/>
      <c r="C251" s="4"/>
      <c r="D251" s="4"/>
      <c r="E251" s="4"/>
      <c r="F251" s="4"/>
      <c r="G251" s="4"/>
      <c r="H251" s="4"/>
      <c r="I251" s="4"/>
      <c r="J251" s="4"/>
      <c r="K251" s="4"/>
      <c r="L251" s="4"/>
      <c r="M251" s="4"/>
      <c r="N251" s="4"/>
      <c r="O251" s="4"/>
      <c r="P251" s="4"/>
      <c r="Q251" s="7"/>
      <c r="R251" s="7"/>
      <c r="S251" s="10"/>
      <c r="T251" s="4"/>
      <c r="U251" s="4"/>
      <c r="V251" s="4"/>
      <c r="W251" s="4"/>
      <c r="X251" s="4"/>
      <c r="Y251" s="4"/>
      <c r="Z251" s="4"/>
      <c r="AA251" s="4"/>
      <c r="AB251" s="4"/>
      <c r="AC251" s="4"/>
      <c r="AD251" s="4"/>
      <c r="AE251" s="4"/>
      <c r="AF251" s="4"/>
      <c r="AG251" s="4"/>
      <c r="AH251" s="4"/>
    </row>
    <row r="252" spans="1:34" ht="60" customHeight="1" x14ac:dyDescent="0.2">
      <c r="A252" s="3"/>
      <c r="B252" s="4"/>
      <c r="C252" s="4"/>
      <c r="D252" s="4"/>
      <c r="E252" s="4"/>
      <c r="F252" s="4"/>
      <c r="G252" s="4"/>
      <c r="H252" s="4"/>
      <c r="I252" s="4"/>
      <c r="J252" s="4"/>
      <c r="K252" s="4"/>
      <c r="L252" s="4"/>
      <c r="M252" s="4"/>
      <c r="N252" s="4"/>
      <c r="O252" s="4"/>
      <c r="P252" s="4"/>
      <c r="Q252" s="10"/>
      <c r="R252" s="4"/>
      <c r="S252" s="4"/>
      <c r="T252" s="4"/>
      <c r="U252" s="4"/>
      <c r="V252" s="4"/>
      <c r="W252" s="4"/>
      <c r="X252" s="4"/>
      <c r="Y252" s="4"/>
      <c r="Z252" s="4"/>
      <c r="AA252" s="4"/>
      <c r="AB252" s="4"/>
      <c r="AC252" s="4"/>
      <c r="AD252" s="4"/>
      <c r="AE252" s="4"/>
      <c r="AF252" s="4"/>
      <c r="AG252" s="4"/>
      <c r="AH252" s="4"/>
    </row>
    <row r="253" spans="1:34" ht="60" customHeight="1" x14ac:dyDescent="0.2">
      <c r="A253" s="3"/>
      <c r="B253" s="4"/>
      <c r="C253" s="4"/>
      <c r="D253" s="4"/>
      <c r="E253" s="4"/>
      <c r="F253" s="4"/>
      <c r="G253" s="4"/>
      <c r="H253" s="4"/>
      <c r="I253" s="4"/>
      <c r="J253" s="4"/>
      <c r="K253" s="4"/>
      <c r="L253" s="4"/>
      <c r="M253" s="4"/>
      <c r="N253" s="4"/>
      <c r="O253" s="4"/>
      <c r="P253" s="4"/>
      <c r="Q253" s="10"/>
      <c r="R253" s="4"/>
      <c r="S253" s="4"/>
      <c r="T253" s="4"/>
      <c r="U253" s="4"/>
      <c r="V253" s="4"/>
      <c r="W253" s="4"/>
      <c r="X253" s="4"/>
      <c r="Y253" s="4"/>
      <c r="Z253" s="4"/>
      <c r="AA253" s="4"/>
      <c r="AB253" s="4"/>
      <c r="AC253" s="4"/>
      <c r="AD253" s="4"/>
      <c r="AE253" s="4"/>
      <c r="AF253" s="4"/>
      <c r="AG253" s="4"/>
      <c r="AH253" s="4"/>
    </row>
    <row r="254" spans="1:34" ht="60" customHeight="1" x14ac:dyDescent="0.2">
      <c r="A254" s="3"/>
      <c r="B254" s="4"/>
      <c r="C254" s="4"/>
      <c r="D254" s="4"/>
      <c r="E254" s="4"/>
      <c r="F254" s="4"/>
      <c r="G254" s="4"/>
      <c r="H254" s="4"/>
      <c r="I254" s="4"/>
      <c r="J254" s="4"/>
      <c r="K254" s="4"/>
      <c r="L254" s="4"/>
      <c r="M254" s="4"/>
      <c r="N254" s="4"/>
      <c r="O254" s="4"/>
      <c r="P254" s="4"/>
      <c r="Q254" s="19"/>
      <c r="R254" s="10"/>
      <c r="S254" s="4"/>
      <c r="T254" s="4"/>
      <c r="U254" s="4"/>
      <c r="V254" s="4"/>
      <c r="W254" s="4"/>
      <c r="X254" s="4"/>
      <c r="Y254" s="4"/>
      <c r="Z254" s="4"/>
      <c r="AA254" s="4"/>
      <c r="AB254" s="4"/>
      <c r="AC254" s="4"/>
      <c r="AD254" s="4"/>
      <c r="AE254" s="4"/>
      <c r="AF254" s="4"/>
      <c r="AG254" s="4"/>
      <c r="AH254" s="4"/>
    </row>
    <row r="255" spans="1:34" ht="60" customHeight="1" x14ac:dyDescent="0.2">
      <c r="A255" s="3"/>
      <c r="B255" s="4"/>
      <c r="C255" s="4"/>
      <c r="D255" s="4"/>
      <c r="E255" s="4"/>
      <c r="F255" s="4"/>
      <c r="G255" s="4"/>
      <c r="H255" s="4"/>
      <c r="I255" s="4"/>
      <c r="J255" s="4"/>
      <c r="K255" s="4"/>
      <c r="L255" s="4"/>
      <c r="M255" s="4"/>
      <c r="N255" s="4"/>
      <c r="O255" s="4"/>
      <c r="P255" s="4"/>
      <c r="Q255" s="10"/>
      <c r="R255" s="10"/>
      <c r="S255" s="4"/>
      <c r="T255" s="4"/>
      <c r="U255" s="4"/>
      <c r="V255" s="4"/>
      <c r="W255" s="4"/>
      <c r="X255" s="4"/>
      <c r="Y255" s="4"/>
      <c r="Z255" s="4"/>
      <c r="AA255" s="4"/>
      <c r="AB255" s="4"/>
      <c r="AC255" s="4"/>
      <c r="AD255" s="4"/>
      <c r="AE255" s="4"/>
      <c r="AF255" s="4"/>
      <c r="AG255" s="4"/>
      <c r="AH255" s="4"/>
    </row>
    <row r="256" spans="1:34" ht="60" customHeight="1" x14ac:dyDescent="0.2">
      <c r="A256" s="3"/>
      <c r="B256" s="4"/>
      <c r="C256" s="4"/>
      <c r="D256" s="4"/>
      <c r="E256" s="4"/>
      <c r="F256" s="4"/>
      <c r="G256" s="4"/>
      <c r="H256" s="4"/>
      <c r="I256" s="4"/>
      <c r="J256" s="4"/>
      <c r="K256" s="4"/>
      <c r="L256" s="4"/>
      <c r="M256" s="4"/>
      <c r="N256" s="4"/>
      <c r="O256" s="4"/>
      <c r="P256" s="4"/>
      <c r="Q256" s="7"/>
      <c r="R256" s="4"/>
      <c r="S256" s="10"/>
      <c r="T256" s="4"/>
      <c r="U256" s="4"/>
      <c r="V256" s="4"/>
      <c r="W256" s="4"/>
      <c r="X256" s="4"/>
      <c r="Y256" s="4"/>
      <c r="Z256" s="4"/>
      <c r="AA256" s="4"/>
      <c r="AB256" s="4"/>
      <c r="AC256" s="4"/>
      <c r="AD256" s="4"/>
      <c r="AE256" s="4"/>
      <c r="AF256" s="4"/>
      <c r="AG256" s="4"/>
      <c r="AH256" s="4"/>
    </row>
    <row r="257" spans="1:34" ht="60" customHeight="1" x14ac:dyDescent="0.2">
      <c r="A257" s="3"/>
      <c r="B257" s="4"/>
      <c r="C257" s="4"/>
      <c r="D257" s="4"/>
      <c r="E257" s="4"/>
      <c r="F257" s="4"/>
      <c r="G257" s="4"/>
      <c r="H257" s="4"/>
      <c r="I257" s="4"/>
      <c r="J257" s="4"/>
      <c r="K257" s="4"/>
      <c r="L257" s="4"/>
      <c r="M257" s="4"/>
      <c r="N257" s="4"/>
      <c r="O257" s="4"/>
      <c r="P257" s="4"/>
      <c r="Q257" s="10"/>
      <c r="R257" s="4"/>
      <c r="S257" s="4"/>
      <c r="T257" s="4"/>
      <c r="U257" s="4"/>
      <c r="V257" s="4"/>
      <c r="W257" s="4"/>
      <c r="X257" s="4"/>
      <c r="Y257" s="4"/>
      <c r="Z257" s="4"/>
      <c r="AA257" s="4"/>
      <c r="AB257" s="4"/>
      <c r="AC257" s="4"/>
      <c r="AD257" s="4"/>
      <c r="AE257" s="4"/>
      <c r="AF257" s="4"/>
      <c r="AG257" s="4"/>
      <c r="AH257" s="4"/>
    </row>
    <row r="258" spans="1:34" ht="60" customHeight="1" x14ac:dyDescent="0.2">
      <c r="A258" s="3"/>
      <c r="B258" s="4"/>
      <c r="C258" s="4"/>
      <c r="D258" s="4"/>
      <c r="E258" s="4"/>
      <c r="F258" s="4"/>
      <c r="G258" s="4"/>
      <c r="H258" s="4"/>
      <c r="I258" s="4"/>
      <c r="J258" s="4"/>
      <c r="K258" s="4"/>
      <c r="L258" s="4"/>
      <c r="M258" s="4"/>
      <c r="N258" s="4"/>
      <c r="O258" s="4"/>
      <c r="P258" s="4"/>
      <c r="Q258" s="10"/>
      <c r="R258" s="10"/>
      <c r="S258" s="10"/>
      <c r="T258" s="4"/>
      <c r="U258" s="7"/>
      <c r="V258" s="4"/>
      <c r="W258" s="4"/>
      <c r="X258" s="4"/>
      <c r="Y258" s="4"/>
      <c r="Z258" s="4"/>
      <c r="AA258" s="4"/>
      <c r="AB258" s="4"/>
      <c r="AC258" s="4"/>
      <c r="AD258" s="4"/>
      <c r="AE258" s="4"/>
      <c r="AF258" s="4"/>
      <c r="AG258" s="4"/>
      <c r="AH258" s="4"/>
    </row>
    <row r="259" spans="1:34" ht="60" customHeight="1" x14ac:dyDescent="0.2">
      <c r="A259" s="3"/>
      <c r="B259" s="4"/>
      <c r="C259" s="36"/>
      <c r="D259" s="36"/>
      <c r="E259" s="4"/>
      <c r="F259" s="4"/>
      <c r="G259" s="4"/>
      <c r="H259" s="4"/>
      <c r="I259" s="4"/>
      <c r="J259" s="4"/>
      <c r="K259" s="4"/>
      <c r="L259" s="4"/>
      <c r="M259" s="4"/>
      <c r="N259" s="4"/>
      <c r="O259" s="38"/>
      <c r="P259" s="4"/>
      <c r="Q259" s="10"/>
      <c r="R259" s="10"/>
      <c r="S259" s="7"/>
      <c r="T259" s="4"/>
      <c r="U259" s="4"/>
      <c r="V259" s="4"/>
      <c r="W259" s="4"/>
      <c r="X259" s="4"/>
      <c r="Y259" s="4"/>
      <c r="Z259" s="4"/>
      <c r="AA259" s="4"/>
      <c r="AB259" s="4"/>
      <c r="AC259" s="4"/>
      <c r="AD259" s="4"/>
      <c r="AE259" s="4"/>
      <c r="AF259" s="4"/>
      <c r="AG259" s="4"/>
      <c r="AH259" s="4"/>
    </row>
    <row r="260" spans="1:34" ht="60" customHeight="1" x14ac:dyDescent="0.2">
      <c r="A260" s="3"/>
      <c r="B260" s="4"/>
      <c r="C260" s="4"/>
      <c r="D260" s="4"/>
      <c r="E260" s="4"/>
      <c r="F260" s="4"/>
      <c r="G260" s="4"/>
      <c r="H260" s="4"/>
      <c r="I260" s="4"/>
      <c r="J260" s="4"/>
      <c r="K260" s="4"/>
      <c r="L260" s="4"/>
      <c r="M260" s="4"/>
      <c r="N260" s="4"/>
      <c r="O260" s="4"/>
      <c r="P260" s="4"/>
      <c r="Q260" s="10"/>
      <c r="R260" s="4"/>
      <c r="S260" s="4"/>
      <c r="T260" s="4"/>
      <c r="U260" s="4"/>
      <c r="V260" s="4"/>
      <c r="W260" s="4"/>
      <c r="X260" s="4"/>
      <c r="Y260" s="4"/>
      <c r="Z260" s="4"/>
      <c r="AA260" s="4"/>
      <c r="AB260" s="4"/>
      <c r="AC260" s="4"/>
      <c r="AD260" s="4"/>
      <c r="AE260" s="4"/>
      <c r="AF260" s="4"/>
      <c r="AG260" s="4"/>
      <c r="AH260" s="4"/>
    </row>
    <row r="261" spans="1:34" ht="60" customHeight="1" x14ac:dyDescent="0.2">
      <c r="A261" s="3"/>
      <c r="B261" s="4"/>
      <c r="C261" s="4"/>
      <c r="D261" s="4"/>
      <c r="E261" s="4"/>
      <c r="F261" s="4"/>
      <c r="G261" s="4"/>
      <c r="H261" s="4"/>
      <c r="I261" s="4"/>
      <c r="J261" s="4"/>
      <c r="K261" s="4"/>
      <c r="L261" s="4"/>
      <c r="M261" s="4"/>
      <c r="N261" s="4"/>
      <c r="O261" s="4"/>
      <c r="P261" s="4"/>
      <c r="Q261" s="10"/>
      <c r="R261" s="10"/>
      <c r="S261" s="7"/>
      <c r="T261" s="4"/>
      <c r="U261" s="4"/>
      <c r="V261" s="4"/>
      <c r="W261" s="4"/>
      <c r="X261" s="4"/>
      <c r="Y261" s="4"/>
      <c r="Z261" s="4"/>
      <c r="AA261" s="4"/>
      <c r="AB261" s="4"/>
      <c r="AC261" s="4"/>
      <c r="AD261" s="4"/>
      <c r="AE261" s="4"/>
      <c r="AF261" s="4"/>
      <c r="AG261" s="4"/>
      <c r="AH261" s="4"/>
    </row>
    <row r="262" spans="1:34" ht="60" customHeight="1" x14ac:dyDescent="0.2">
      <c r="A262" s="3"/>
      <c r="B262" s="4"/>
      <c r="C262" s="4"/>
      <c r="D262" s="4"/>
      <c r="E262" s="4"/>
      <c r="F262" s="4"/>
      <c r="G262" s="4"/>
      <c r="H262" s="4"/>
      <c r="I262" s="4"/>
      <c r="J262" s="4"/>
      <c r="K262" s="4"/>
      <c r="L262" s="4"/>
      <c r="M262" s="4"/>
      <c r="N262" s="4"/>
      <c r="O262" s="4"/>
      <c r="P262" s="4"/>
      <c r="Q262" s="7"/>
      <c r="R262" s="7"/>
      <c r="S262" s="7"/>
      <c r="T262" s="4"/>
      <c r="U262" s="4"/>
      <c r="V262" s="4"/>
      <c r="W262" s="4"/>
      <c r="X262" s="4"/>
      <c r="Y262" s="4"/>
      <c r="Z262" s="4"/>
      <c r="AA262" s="4"/>
      <c r="AB262" s="4"/>
      <c r="AC262" s="4"/>
      <c r="AD262" s="4"/>
      <c r="AE262" s="4"/>
      <c r="AF262" s="4"/>
      <c r="AG262" s="4"/>
      <c r="AH262" s="4"/>
    </row>
    <row r="263" spans="1:34" ht="60" customHeight="1" x14ac:dyDescent="0.2">
      <c r="A263" s="3"/>
      <c r="B263" s="4"/>
      <c r="C263" s="4"/>
      <c r="D263" s="4"/>
      <c r="E263" s="4"/>
      <c r="F263" s="4"/>
      <c r="G263" s="4"/>
      <c r="H263" s="4"/>
      <c r="I263" s="4"/>
      <c r="J263" s="4"/>
      <c r="K263" s="4"/>
      <c r="L263" s="4"/>
      <c r="M263" s="4"/>
      <c r="N263" s="4"/>
      <c r="O263" s="35"/>
      <c r="P263" s="4"/>
      <c r="Q263" s="10"/>
      <c r="R263" s="4"/>
      <c r="S263" s="4"/>
      <c r="T263" s="4"/>
      <c r="U263" s="4"/>
      <c r="V263" s="4"/>
      <c r="W263" s="4"/>
      <c r="X263" s="4"/>
      <c r="Y263" s="4"/>
      <c r="Z263" s="4"/>
      <c r="AA263" s="4"/>
      <c r="AB263" s="4"/>
      <c r="AC263" s="4"/>
      <c r="AD263" s="4"/>
      <c r="AE263" s="4"/>
      <c r="AF263" s="4"/>
      <c r="AG263" s="4"/>
      <c r="AH263" s="4"/>
    </row>
    <row r="264" spans="1:34" ht="60" customHeight="1" x14ac:dyDescent="0.2">
      <c r="A264" s="3"/>
      <c r="B264" s="4"/>
      <c r="C264" s="4"/>
      <c r="D264" s="4"/>
      <c r="E264" s="4"/>
      <c r="F264" s="4"/>
      <c r="G264" s="4"/>
      <c r="H264" s="4"/>
      <c r="I264" s="4"/>
      <c r="J264" s="4"/>
      <c r="K264" s="4"/>
      <c r="L264" s="4"/>
      <c r="M264" s="4"/>
      <c r="N264" s="4"/>
      <c r="O264" s="4"/>
      <c r="P264" s="4"/>
      <c r="Q264" s="10"/>
      <c r="R264" s="4"/>
      <c r="S264" s="4"/>
      <c r="T264" s="4"/>
      <c r="U264" s="4"/>
      <c r="V264" s="4"/>
      <c r="W264" s="4"/>
      <c r="X264" s="4"/>
      <c r="Y264" s="4"/>
      <c r="Z264" s="4"/>
      <c r="AA264" s="4"/>
      <c r="AB264" s="4"/>
      <c r="AC264" s="4"/>
      <c r="AD264" s="4"/>
      <c r="AE264" s="4"/>
      <c r="AF264" s="4"/>
      <c r="AG264" s="4"/>
      <c r="AH264" s="4"/>
    </row>
    <row r="265" spans="1:34" ht="60" customHeight="1" x14ac:dyDescent="0.2">
      <c r="A265" s="3"/>
      <c r="B265" s="4"/>
      <c r="C265" s="4"/>
      <c r="D265" s="4"/>
      <c r="E265" s="4"/>
      <c r="F265" s="4"/>
      <c r="G265" s="4"/>
      <c r="H265" s="4"/>
      <c r="I265" s="4"/>
      <c r="J265" s="4"/>
      <c r="K265" s="4"/>
      <c r="L265" s="4"/>
      <c r="M265" s="4"/>
      <c r="N265" s="4"/>
      <c r="O265" s="9"/>
      <c r="P265" s="4"/>
      <c r="Q265" s="10"/>
      <c r="R265" s="10"/>
      <c r="S265" s="10"/>
      <c r="T265" s="7"/>
      <c r="U265" s="4"/>
      <c r="V265" s="4"/>
      <c r="W265" s="4"/>
      <c r="X265" s="4"/>
      <c r="Y265" s="4"/>
      <c r="Z265" s="4"/>
      <c r="AA265" s="4"/>
      <c r="AB265" s="4"/>
      <c r="AC265" s="4"/>
      <c r="AD265" s="4"/>
      <c r="AE265" s="4"/>
      <c r="AF265" s="4"/>
      <c r="AG265" s="4"/>
      <c r="AH265" s="4"/>
    </row>
    <row r="266" spans="1:34" ht="60" customHeight="1" x14ac:dyDescent="0.2">
      <c r="A266" s="3"/>
      <c r="B266" s="4"/>
      <c r="C266" s="4"/>
      <c r="D266" s="4"/>
      <c r="E266" s="4"/>
      <c r="F266" s="4"/>
      <c r="G266" s="4"/>
      <c r="H266" s="4"/>
      <c r="I266" s="4"/>
      <c r="J266" s="4"/>
      <c r="K266" s="4"/>
      <c r="L266" s="4"/>
      <c r="M266" s="4"/>
      <c r="N266" s="4"/>
      <c r="O266" s="9"/>
      <c r="P266" s="4"/>
      <c r="Q266" s="10"/>
      <c r="R266" s="10"/>
      <c r="S266" s="10"/>
      <c r="T266" s="7"/>
      <c r="U266" s="4"/>
      <c r="V266" s="4"/>
      <c r="W266" s="4"/>
      <c r="X266" s="4"/>
      <c r="Y266" s="4"/>
      <c r="Z266" s="4"/>
      <c r="AA266" s="4"/>
      <c r="AB266" s="4"/>
      <c r="AC266" s="4"/>
      <c r="AD266" s="4"/>
      <c r="AE266" s="4"/>
      <c r="AF266" s="4"/>
      <c r="AG266" s="4"/>
      <c r="AH266" s="4"/>
    </row>
    <row r="267" spans="1:34" ht="60" customHeight="1" x14ac:dyDescent="0.2">
      <c r="A267" s="3"/>
      <c r="B267" s="4"/>
      <c r="C267" s="4"/>
      <c r="D267" s="4"/>
      <c r="E267" s="4"/>
      <c r="F267" s="4"/>
      <c r="G267" s="4"/>
      <c r="H267" s="4"/>
      <c r="I267" s="4"/>
      <c r="J267" s="4"/>
      <c r="K267" s="4"/>
      <c r="L267" s="4"/>
      <c r="M267" s="4"/>
      <c r="N267" s="4"/>
      <c r="O267" s="38"/>
      <c r="P267" s="4"/>
      <c r="Q267" s="10"/>
      <c r="R267" s="10"/>
      <c r="S267" s="10"/>
      <c r="T267" s="4"/>
      <c r="U267" s="4"/>
      <c r="V267" s="4"/>
      <c r="W267" s="4"/>
      <c r="X267" s="4"/>
      <c r="Y267" s="4"/>
      <c r="Z267" s="4"/>
      <c r="AA267" s="4"/>
      <c r="AB267" s="4"/>
      <c r="AC267" s="4"/>
      <c r="AD267" s="4"/>
      <c r="AE267" s="4"/>
      <c r="AF267" s="4"/>
      <c r="AG267" s="4"/>
      <c r="AH267" s="4"/>
    </row>
    <row r="268" spans="1:34" ht="60" customHeight="1" x14ac:dyDescent="0.2">
      <c r="A268" s="3"/>
      <c r="B268" s="4"/>
      <c r="C268" s="4"/>
      <c r="D268" s="4"/>
      <c r="E268" s="4"/>
      <c r="F268" s="4"/>
      <c r="G268" s="4"/>
      <c r="H268" s="4"/>
      <c r="I268" s="4"/>
      <c r="J268" s="4"/>
      <c r="K268" s="4"/>
      <c r="L268" s="4"/>
      <c r="M268" s="4"/>
      <c r="N268" s="4"/>
      <c r="O268" s="4"/>
      <c r="P268" s="4"/>
      <c r="Q268" s="10"/>
      <c r="R268" s="7"/>
      <c r="S268" s="10"/>
      <c r="T268" s="4"/>
      <c r="U268" s="4"/>
      <c r="V268" s="4"/>
      <c r="W268" s="4"/>
      <c r="X268" s="4"/>
      <c r="Y268" s="4"/>
      <c r="Z268" s="4"/>
      <c r="AA268" s="4"/>
      <c r="AB268" s="4"/>
      <c r="AC268" s="4"/>
      <c r="AD268" s="4"/>
      <c r="AE268" s="4"/>
      <c r="AF268" s="4"/>
      <c r="AG268" s="4"/>
      <c r="AH268" s="4"/>
    </row>
    <row r="269" spans="1:34" ht="60" customHeight="1" x14ac:dyDescent="0.2">
      <c r="A269" s="3"/>
      <c r="B269" s="4"/>
      <c r="C269" s="4"/>
      <c r="D269" s="4"/>
      <c r="E269" s="4"/>
      <c r="F269" s="4"/>
      <c r="G269" s="4"/>
      <c r="H269" s="4"/>
      <c r="I269" s="4"/>
      <c r="J269" s="4"/>
      <c r="K269" s="4"/>
      <c r="L269" s="4"/>
      <c r="M269" s="4"/>
      <c r="N269" s="4"/>
      <c r="O269" s="4"/>
      <c r="P269" s="4"/>
      <c r="Q269" s="10"/>
      <c r="R269" s="10"/>
      <c r="S269" s="4"/>
      <c r="T269" s="4"/>
      <c r="U269" s="4"/>
      <c r="V269" s="4"/>
      <c r="W269" s="4"/>
      <c r="X269" s="4"/>
      <c r="Y269" s="4"/>
      <c r="Z269" s="4"/>
      <c r="AA269" s="4"/>
      <c r="AB269" s="4"/>
      <c r="AC269" s="4"/>
      <c r="AD269" s="4"/>
      <c r="AE269" s="4"/>
      <c r="AF269" s="4"/>
      <c r="AG269" s="4"/>
      <c r="AH269" s="4"/>
    </row>
    <row r="270" spans="1:34" ht="60" customHeight="1" x14ac:dyDescent="0.2">
      <c r="A270" s="3"/>
      <c r="B270" s="4"/>
      <c r="C270" s="4"/>
      <c r="D270" s="4"/>
      <c r="E270" s="4"/>
      <c r="F270" s="4"/>
      <c r="G270" s="4"/>
      <c r="H270" s="4"/>
      <c r="I270" s="4"/>
      <c r="J270" s="4"/>
      <c r="K270" s="4"/>
      <c r="L270" s="4"/>
      <c r="M270" s="4"/>
      <c r="N270" s="4"/>
      <c r="O270" s="35"/>
      <c r="P270" s="4"/>
      <c r="Q270" s="10"/>
      <c r="R270" s="4"/>
      <c r="S270" s="4"/>
      <c r="T270" s="4"/>
      <c r="U270" s="4"/>
      <c r="V270" s="4"/>
      <c r="W270" s="4"/>
      <c r="X270" s="4"/>
      <c r="Y270" s="4"/>
      <c r="Z270" s="4"/>
      <c r="AA270" s="4"/>
      <c r="AB270" s="4"/>
      <c r="AC270" s="4"/>
      <c r="AD270" s="4"/>
      <c r="AE270" s="4"/>
      <c r="AF270" s="4"/>
      <c r="AG270" s="4"/>
      <c r="AH270" s="4"/>
    </row>
    <row r="271" spans="1:34" ht="60" customHeight="1" x14ac:dyDescent="0.2">
      <c r="A271" s="3"/>
      <c r="B271" s="4"/>
      <c r="C271" s="4"/>
      <c r="D271" s="4"/>
      <c r="E271" s="4"/>
      <c r="F271" s="4"/>
      <c r="G271" s="4"/>
      <c r="H271" s="4"/>
      <c r="I271" s="4"/>
      <c r="J271" s="4"/>
      <c r="K271" s="4"/>
      <c r="L271" s="4"/>
      <c r="M271" s="4"/>
      <c r="N271" s="4"/>
      <c r="O271" s="35"/>
      <c r="P271" s="4"/>
      <c r="Q271" s="10"/>
      <c r="R271" s="10"/>
      <c r="S271" s="4"/>
      <c r="T271" s="4"/>
      <c r="U271" s="4"/>
      <c r="V271" s="4"/>
      <c r="W271" s="4"/>
      <c r="X271" s="4"/>
      <c r="Y271" s="4"/>
      <c r="Z271" s="4"/>
      <c r="AA271" s="4"/>
      <c r="AB271" s="4"/>
      <c r="AC271" s="4"/>
      <c r="AD271" s="4"/>
      <c r="AE271" s="4"/>
      <c r="AF271" s="4"/>
      <c r="AG271" s="4"/>
      <c r="AH271" s="4"/>
    </row>
    <row r="272" spans="1:34" ht="60" customHeight="1" x14ac:dyDescent="0.2">
      <c r="A272" s="3"/>
      <c r="B272" s="4"/>
      <c r="C272" s="4"/>
      <c r="D272" s="4"/>
      <c r="E272" s="4"/>
      <c r="F272" s="4"/>
      <c r="G272" s="4"/>
      <c r="H272" s="4"/>
      <c r="I272" s="4"/>
      <c r="J272" s="4"/>
      <c r="K272" s="4"/>
      <c r="L272" s="4"/>
      <c r="M272" s="4"/>
      <c r="N272" s="4"/>
      <c r="O272" s="35"/>
      <c r="P272" s="4"/>
      <c r="Q272" s="7"/>
      <c r="R272" s="4"/>
      <c r="S272" s="4"/>
      <c r="T272" s="4"/>
      <c r="U272" s="4"/>
      <c r="V272" s="4"/>
      <c r="W272" s="4"/>
      <c r="X272" s="4"/>
      <c r="Y272" s="4"/>
      <c r="Z272" s="4"/>
      <c r="AA272" s="4"/>
      <c r="AB272" s="4"/>
      <c r="AC272" s="4"/>
      <c r="AD272" s="4"/>
      <c r="AE272" s="4"/>
      <c r="AF272" s="4"/>
      <c r="AG272" s="4"/>
      <c r="AH272" s="4"/>
    </row>
    <row r="273" spans="1:34" ht="60" customHeight="1" x14ac:dyDescent="0.2">
      <c r="A273" s="3"/>
      <c r="B273" s="4"/>
      <c r="C273" s="4"/>
      <c r="D273" s="4"/>
      <c r="E273" s="4"/>
      <c r="F273" s="4"/>
      <c r="G273" s="4"/>
      <c r="H273" s="4"/>
      <c r="I273" s="4"/>
      <c r="J273" s="4"/>
      <c r="K273" s="4"/>
      <c r="L273" s="4"/>
      <c r="M273" s="4"/>
      <c r="N273" s="4"/>
      <c r="O273" s="35"/>
      <c r="P273" s="4"/>
      <c r="Q273" s="7"/>
      <c r="R273" s="4"/>
      <c r="S273" s="4"/>
      <c r="T273" s="4"/>
      <c r="U273" s="4"/>
      <c r="V273" s="4"/>
      <c r="W273" s="4"/>
      <c r="X273" s="4"/>
      <c r="Y273" s="4"/>
      <c r="Z273" s="4"/>
      <c r="AA273" s="4"/>
      <c r="AB273" s="4"/>
      <c r="AC273" s="4"/>
      <c r="AD273" s="4"/>
      <c r="AE273" s="4"/>
      <c r="AF273" s="4"/>
      <c r="AG273" s="4"/>
      <c r="AH273" s="4"/>
    </row>
    <row r="274" spans="1:34" ht="60" customHeight="1" x14ac:dyDescent="0.2">
      <c r="A274" s="3"/>
      <c r="B274" s="4"/>
      <c r="C274" s="4"/>
      <c r="D274" s="4"/>
      <c r="E274" s="4"/>
      <c r="F274" s="4"/>
      <c r="G274" s="4"/>
      <c r="H274" s="4"/>
      <c r="I274" s="4"/>
      <c r="J274" s="4"/>
      <c r="K274" s="4"/>
      <c r="L274" s="4"/>
      <c r="M274" s="4"/>
      <c r="N274" s="4"/>
      <c r="O274" s="35"/>
      <c r="P274" s="4"/>
      <c r="Q274" s="7"/>
      <c r="R274" s="4"/>
      <c r="S274" s="4"/>
      <c r="T274" s="4"/>
      <c r="U274" s="4"/>
      <c r="V274" s="4"/>
      <c r="W274" s="4"/>
      <c r="X274" s="4"/>
      <c r="Y274" s="4"/>
      <c r="Z274" s="4"/>
      <c r="AA274" s="4"/>
      <c r="AB274" s="4"/>
      <c r="AC274" s="4"/>
      <c r="AD274" s="4"/>
      <c r="AE274" s="4"/>
      <c r="AF274" s="4"/>
      <c r="AG274" s="4"/>
      <c r="AH274" s="4"/>
    </row>
    <row r="275" spans="1:34" ht="60" customHeight="1" x14ac:dyDescent="0.2">
      <c r="A275" s="3"/>
      <c r="B275" s="4"/>
      <c r="C275" s="4"/>
      <c r="D275" s="4"/>
      <c r="E275" s="4"/>
      <c r="F275" s="4"/>
      <c r="G275" s="4"/>
      <c r="H275" s="4"/>
      <c r="I275" s="4"/>
      <c r="J275" s="4"/>
      <c r="K275" s="4"/>
      <c r="L275" s="4"/>
      <c r="M275" s="4"/>
      <c r="N275" s="4"/>
      <c r="O275" s="35"/>
      <c r="P275" s="4"/>
      <c r="Q275" s="7"/>
      <c r="R275" s="4"/>
      <c r="S275" s="4"/>
      <c r="T275" s="4"/>
      <c r="U275" s="4"/>
      <c r="V275" s="4"/>
      <c r="W275" s="4"/>
      <c r="X275" s="4"/>
      <c r="Y275" s="4"/>
      <c r="Z275" s="4"/>
      <c r="AA275" s="4"/>
      <c r="AB275" s="4"/>
      <c r="AC275" s="4"/>
      <c r="AD275" s="4"/>
      <c r="AE275" s="4"/>
      <c r="AF275" s="4"/>
      <c r="AG275" s="4"/>
      <c r="AH275" s="4"/>
    </row>
    <row r="276" spans="1:34" ht="60" customHeight="1" x14ac:dyDescent="0.2">
      <c r="A276" s="3"/>
      <c r="B276" s="4"/>
      <c r="C276" s="4"/>
      <c r="D276" s="4"/>
      <c r="E276" s="4"/>
      <c r="F276" s="4"/>
      <c r="G276" s="4"/>
      <c r="H276" s="4"/>
      <c r="I276" s="4"/>
      <c r="J276" s="4"/>
      <c r="K276" s="4"/>
      <c r="L276" s="4"/>
      <c r="M276" s="4"/>
      <c r="N276" s="4"/>
      <c r="O276" s="35"/>
      <c r="P276" s="4"/>
      <c r="Q276" s="7"/>
      <c r="R276" s="4"/>
      <c r="S276" s="4"/>
      <c r="T276" s="4"/>
      <c r="U276" s="4"/>
      <c r="V276" s="4"/>
      <c r="W276" s="4"/>
      <c r="X276" s="4"/>
      <c r="Y276" s="4"/>
      <c r="Z276" s="4"/>
      <c r="AA276" s="4"/>
      <c r="AB276" s="4"/>
      <c r="AC276" s="4"/>
      <c r="AD276" s="4"/>
      <c r="AE276" s="4"/>
      <c r="AF276" s="4"/>
      <c r="AG276" s="4"/>
      <c r="AH276" s="4"/>
    </row>
    <row r="277" spans="1:34" ht="60" customHeight="1" x14ac:dyDescent="0.2">
      <c r="A277" s="3"/>
      <c r="B277" s="4"/>
      <c r="C277" s="4"/>
      <c r="D277" s="4"/>
      <c r="E277" s="4"/>
      <c r="F277" s="4"/>
      <c r="G277" s="4"/>
      <c r="H277" s="4"/>
      <c r="I277" s="4"/>
      <c r="J277" s="4"/>
      <c r="K277" s="4"/>
      <c r="L277" s="4"/>
      <c r="M277" s="4"/>
      <c r="N277" s="4"/>
      <c r="O277" s="35"/>
      <c r="P277" s="4"/>
      <c r="Q277" s="7"/>
      <c r="R277" s="4"/>
      <c r="S277" s="4"/>
      <c r="T277" s="4"/>
      <c r="U277" s="4"/>
      <c r="V277" s="4"/>
      <c r="W277" s="4"/>
      <c r="X277" s="4"/>
      <c r="Y277" s="4"/>
      <c r="Z277" s="4"/>
      <c r="AA277" s="4"/>
      <c r="AB277" s="4"/>
      <c r="AC277" s="4"/>
      <c r="AD277" s="4"/>
      <c r="AE277" s="4"/>
      <c r="AF277" s="4"/>
      <c r="AG277" s="4"/>
      <c r="AH277" s="4"/>
    </row>
    <row r="278" spans="1:34" ht="60" customHeight="1" x14ac:dyDescent="0.2">
      <c r="A278" s="3"/>
      <c r="B278" s="4"/>
      <c r="C278" s="4"/>
      <c r="D278" s="4"/>
      <c r="E278" s="4"/>
      <c r="F278" s="4"/>
      <c r="G278" s="4"/>
      <c r="H278" s="4"/>
      <c r="I278" s="4"/>
      <c r="J278" s="4"/>
      <c r="K278" s="4"/>
      <c r="L278" s="4"/>
      <c r="M278" s="4"/>
      <c r="N278" s="4"/>
      <c r="O278" s="35"/>
      <c r="P278" s="4"/>
      <c r="Q278" s="7"/>
      <c r="R278" s="4"/>
      <c r="S278" s="4"/>
      <c r="T278" s="4"/>
      <c r="U278" s="4"/>
      <c r="V278" s="4"/>
      <c r="W278" s="4"/>
      <c r="X278" s="4"/>
      <c r="Y278" s="4"/>
      <c r="Z278" s="4"/>
      <c r="AA278" s="4"/>
      <c r="AB278" s="4"/>
      <c r="AC278" s="4"/>
      <c r="AD278" s="4"/>
      <c r="AE278" s="4"/>
      <c r="AF278" s="4"/>
      <c r="AG278" s="4"/>
      <c r="AH278" s="4"/>
    </row>
    <row r="279" spans="1:34" ht="60" customHeight="1" x14ac:dyDescent="0.2">
      <c r="A279" s="3"/>
      <c r="B279" s="4"/>
      <c r="C279" s="4"/>
      <c r="D279" s="4"/>
      <c r="E279" s="4"/>
      <c r="F279" s="4"/>
      <c r="G279" s="4"/>
      <c r="H279" s="4"/>
      <c r="I279" s="4"/>
      <c r="J279" s="4"/>
      <c r="K279" s="4"/>
      <c r="L279" s="4"/>
      <c r="M279" s="4"/>
      <c r="N279" s="4"/>
      <c r="O279" s="35"/>
      <c r="P279" s="4"/>
      <c r="Q279" s="7"/>
      <c r="R279" s="4"/>
      <c r="S279" s="4"/>
      <c r="T279" s="4"/>
      <c r="U279" s="4"/>
      <c r="V279" s="4"/>
      <c r="W279" s="4"/>
      <c r="X279" s="4"/>
      <c r="Y279" s="4"/>
      <c r="Z279" s="4"/>
      <c r="AA279" s="4"/>
      <c r="AB279" s="4"/>
      <c r="AC279" s="4"/>
      <c r="AD279" s="4"/>
      <c r="AE279" s="4"/>
      <c r="AF279" s="4"/>
      <c r="AG279" s="4"/>
      <c r="AH279" s="4"/>
    </row>
    <row r="280" spans="1:34" ht="60" customHeight="1" x14ac:dyDescent="0.2">
      <c r="A280" s="3"/>
      <c r="B280" s="4"/>
      <c r="C280" s="4"/>
      <c r="D280" s="4"/>
      <c r="E280" s="4"/>
      <c r="F280" s="4"/>
      <c r="G280" s="4"/>
      <c r="H280" s="4"/>
      <c r="I280" s="4"/>
      <c r="J280" s="4"/>
      <c r="K280" s="4"/>
      <c r="L280" s="4"/>
      <c r="M280" s="4"/>
      <c r="N280" s="4"/>
      <c r="O280" s="35"/>
      <c r="P280" s="4"/>
      <c r="Q280" s="7"/>
      <c r="R280" s="4"/>
      <c r="S280" s="4"/>
      <c r="T280" s="4"/>
      <c r="U280" s="4"/>
      <c r="V280" s="4"/>
      <c r="W280" s="4"/>
      <c r="X280" s="4"/>
      <c r="Y280" s="4"/>
      <c r="Z280" s="4"/>
      <c r="AA280" s="4"/>
      <c r="AB280" s="4"/>
      <c r="AC280" s="4"/>
      <c r="AD280" s="4"/>
      <c r="AE280" s="4"/>
      <c r="AF280" s="4"/>
      <c r="AG280" s="4"/>
      <c r="AH280" s="4"/>
    </row>
    <row r="281" spans="1:34" ht="60" customHeight="1" x14ac:dyDescent="0.2">
      <c r="A281" s="3"/>
      <c r="B281" s="4"/>
      <c r="C281" s="4"/>
      <c r="D281" s="4"/>
      <c r="E281" s="4"/>
      <c r="F281" s="4"/>
      <c r="G281" s="4"/>
      <c r="H281" s="4"/>
      <c r="I281" s="4"/>
      <c r="J281" s="4"/>
      <c r="K281" s="4"/>
      <c r="L281" s="4"/>
      <c r="M281" s="4"/>
      <c r="N281" s="4"/>
      <c r="O281" s="35"/>
      <c r="P281" s="4"/>
      <c r="Q281" s="7"/>
      <c r="R281" s="4"/>
      <c r="S281" s="4"/>
      <c r="T281" s="4"/>
      <c r="U281" s="4"/>
      <c r="V281" s="4"/>
      <c r="W281" s="4"/>
      <c r="X281" s="4"/>
      <c r="Y281" s="4"/>
      <c r="Z281" s="4"/>
      <c r="AA281" s="4"/>
      <c r="AB281" s="4"/>
      <c r="AC281" s="4"/>
      <c r="AD281" s="4"/>
      <c r="AE281" s="4"/>
      <c r="AF281" s="4"/>
      <c r="AG281" s="4"/>
      <c r="AH281" s="4"/>
    </row>
    <row r="282" spans="1:34" ht="60" customHeight="1" x14ac:dyDescent="0.2">
      <c r="A282" s="3"/>
      <c r="B282" s="4"/>
      <c r="C282" s="4"/>
      <c r="D282" s="4"/>
      <c r="E282" s="4"/>
      <c r="F282" s="4"/>
      <c r="G282" s="4"/>
      <c r="H282" s="4"/>
      <c r="I282" s="4"/>
      <c r="J282" s="4"/>
      <c r="K282" s="4"/>
      <c r="L282" s="4"/>
      <c r="M282" s="4"/>
      <c r="N282" s="4"/>
      <c r="O282" s="35"/>
      <c r="P282" s="4"/>
      <c r="Q282" s="7"/>
      <c r="R282" s="4"/>
      <c r="S282" s="4"/>
      <c r="T282" s="4"/>
      <c r="U282" s="4"/>
      <c r="V282" s="4"/>
      <c r="W282" s="4"/>
      <c r="X282" s="4"/>
      <c r="Y282" s="4"/>
      <c r="Z282" s="4"/>
      <c r="AA282" s="4"/>
      <c r="AB282" s="4"/>
      <c r="AC282" s="4"/>
      <c r="AD282" s="4"/>
      <c r="AE282" s="4"/>
      <c r="AF282" s="4"/>
      <c r="AG282" s="4"/>
      <c r="AH282" s="4"/>
    </row>
    <row r="283" spans="1:34" ht="60" customHeight="1" x14ac:dyDescent="0.2">
      <c r="A283" s="3"/>
      <c r="B283" s="4"/>
      <c r="C283" s="4"/>
      <c r="D283" s="4"/>
      <c r="E283" s="4"/>
      <c r="F283" s="4"/>
      <c r="G283" s="4"/>
      <c r="H283" s="4"/>
      <c r="I283" s="4"/>
      <c r="J283" s="4"/>
      <c r="K283" s="4"/>
      <c r="L283" s="4"/>
      <c r="M283" s="4"/>
      <c r="N283" s="4"/>
      <c r="O283" s="35"/>
      <c r="P283" s="4"/>
      <c r="Q283" s="7"/>
      <c r="R283" s="4"/>
      <c r="S283" s="4"/>
      <c r="T283" s="4"/>
      <c r="U283" s="4"/>
      <c r="V283" s="4"/>
      <c r="W283" s="4"/>
      <c r="X283" s="4"/>
      <c r="Y283" s="4"/>
      <c r="Z283" s="4"/>
      <c r="AA283" s="4"/>
      <c r="AB283" s="4"/>
      <c r="AC283" s="4"/>
      <c r="AD283" s="4"/>
      <c r="AE283" s="4"/>
      <c r="AF283" s="4"/>
      <c r="AG283" s="4"/>
      <c r="AH283" s="4"/>
    </row>
    <row r="284" spans="1:34" ht="60" customHeight="1" x14ac:dyDescent="0.2">
      <c r="A284" s="3"/>
      <c r="B284" s="4"/>
      <c r="C284" s="4"/>
      <c r="D284" s="4"/>
      <c r="E284" s="4"/>
      <c r="F284" s="4"/>
      <c r="G284" s="4"/>
      <c r="H284" s="4"/>
      <c r="I284" s="4"/>
      <c r="J284" s="4"/>
      <c r="K284" s="4"/>
      <c r="L284" s="4"/>
      <c r="M284" s="4"/>
      <c r="N284" s="4"/>
      <c r="O284" s="35"/>
      <c r="P284" s="4"/>
      <c r="Q284" s="7"/>
      <c r="R284" s="4"/>
      <c r="S284" s="4"/>
      <c r="T284" s="4"/>
      <c r="U284" s="4"/>
      <c r="V284" s="4"/>
      <c r="W284" s="4"/>
      <c r="X284" s="4"/>
      <c r="Y284" s="4"/>
      <c r="Z284" s="4"/>
      <c r="AA284" s="4"/>
      <c r="AB284" s="4"/>
      <c r="AC284" s="4"/>
      <c r="AD284" s="4"/>
      <c r="AE284" s="4"/>
      <c r="AF284" s="4"/>
      <c r="AG284" s="4"/>
      <c r="AH284" s="4"/>
    </row>
    <row r="285" spans="1:34" ht="60" customHeight="1" x14ac:dyDescent="0.2">
      <c r="A285" s="3"/>
      <c r="B285" s="4"/>
      <c r="C285" s="4"/>
      <c r="D285" s="4"/>
      <c r="E285" s="4"/>
      <c r="F285" s="4"/>
      <c r="G285" s="4"/>
      <c r="H285" s="4"/>
      <c r="I285" s="4"/>
      <c r="J285" s="4"/>
      <c r="K285" s="4"/>
      <c r="L285" s="4"/>
      <c r="M285" s="4"/>
      <c r="N285" s="4"/>
      <c r="O285" s="35"/>
      <c r="P285" s="4"/>
      <c r="Q285" s="7"/>
      <c r="R285" s="4"/>
      <c r="S285" s="4"/>
      <c r="T285" s="4"/>
      <c r="U285" s="4"/>
      <c r="V285" s="4"/>
      <c r="W285" s="4"/>
      <c r="X285" s="4"/>
      <c r="Y285" s="4"/>
      <c r="Z285" s="4"/>
      <c r="AA285" s="4"/>
      <c r="AB285" s="4"/>
      <c r="AC285" s="4"/>
      <c r="AD285" s="4"/>
      <c r="AE285" s="4"/>
      <c r="AF285" s="4"/>
      <c r="AG285" s="4"/>
      <c r="AH285" s="4"/>
    </row>
    <row r="286" spans="1:34" ht="60" customHeight="1" x14ac:dyDescent="0.2">
      <c r="A286" s="3"/>
      <c r="B286" s="4"/>
      <c r="C286" s="4"/>
      <c r="D286" s="4"/>
      <c r="E286" s="4"/>
      <c r="F286" s="4"/>
      <c r="G286" s="4"/>
      <c r="H286" s="4"/>
      <c r="I286" s="4"/>
      <c r="J286" s="4"/>
      <c r="K286" s="4"/>
      <c r="L286" s="4"/>
      <c r="M286" s="4"/>
      <c r="N286" s="4"/>
      <c r="O286" s="35"/>
      <c r="P286" s="4"/>
      <c r="Q286" s="7"/>
      <c r="R286" s="4"/>
      <c r="S286" s="4"/>
      <c r="T286" s="4"/>
      <c r="U286" s="4"/>
      <c r="V286" s="4"/>
      <c r="W286" s="4"/>
      <c r="X286" s="4"/>
      <c r="Y286" s="4"/>
      <c r="Z286" s="4"/>
      <c r="AA286" s="4"/>
      <c r="AB286" s="4"/>
      <c r="AC286" s="4"/>
      <c r="AD286" s="4"/>
      <c r="AE286" s="4"/>
      <c r="AF286" s="4"/>
      <c r="AG286" s="4"/>
      <c r="AH286" s="4"/>
    </row>
    <row r="287" spans="1:34" ht="60" customHeight="1" x14ac:dyDescent="0.2">
      <c r="A287" s="3"/>
      <c r="B287" s="4"/>
      <c r="C287" s="4"/>
      <c r="D287" s="4"/>
      <c r="E287" s="4"/>
      <c r="F287" s="4"/>
      <c r="G287" s="4"/>
      <c r="H287" s="4"/>
      <c r="I287" s="4"/>
      <c r="J287" s="4"/>
      <c r="K287" s="4"/>
      <c r="L287" s="4"/>
      <c r="M287" s="4"/>
      <c r="N287" s="4"/>
      <c r="O287" s="35"/>
      <c r="P287" s="4"/>
      <c r="Q287" s="7"/>
      <c r="R287" s="4"/>
      <c r="S287" s="4"/>
      <c r="T287" s="4"/>
      <c r="U287" s="4"/>
      <c r="V287" s="4"/>
      <c r="W287" s="4"/>
      <c r="X287" s="4"/>
      <c r="Y287" s="4"/>
      <c r="Z287" s="4"/>
      <c r="AA287" s="4"/>
      <c r="AB287" s="4"/>
      <c r="AC287" s="4"/>
      <c r="AD287" s="4"/>
      <c r="AE287" s="4"/>
      <c r="AF287" s="4"/>
      <c r="AG287" s="4"/>
      <c r="AH287" s="4"/>
    </row>
    <row r="288" spans="1:34" ht="60" customHeight="1" x14ac:dyDescent="0.2">
      <c r="A288" s="3"/>
      <c r="B288" s="4"/>
      <c r="C288" s="4"/>
      <c r="D288" s="4"/>
      <c r="E288" s="4"/>
      <c r="F288" s="4"/>
      <c r="G288" s="4"/>
      <c r="H288" s="4"/>
      <c r="I288" s="4"/>
      <c r="J288" s="4"/>
      <c r="K288" s="4"/>
      <c r="L288" s="4"/>
      <c r="M288" s="4"/>
      <c r="N288" s="4"/>
      <c r="O288" s="35"/>
      <c r="P288" s="4"/>
      <c r="Q288" s="7"/>
      <c r="R288" s="4"/>
      <c r="S288" s="4"/>
      <c r="T288" s="4"/>
      <c r="U288" s="4"/>
      <c r="V288" s="4"/>
      <c r="W288" s="4"/>
      <c r="X288" s="4"/>
      <c r="Y288" s="4"/>
      <c r="Z288" s="4"/>
      <c r="AA288" s="4"/>
      <c r="AB288" s="4"/>
      <c r="AC288" s="4"/>
      <c r="AD288" s="4"/>
      <c r="AE288" s="4"/>
      <c r="AF288" s="4"/>
      <c r="AG288" s="4"/>
      <c r="AH288" s="4"/>
    </row>
    <row r="289" spans="1:34" ht="60" customHeight="1" x14ac:dyDescent="0.2">
      <c r="A289" s="3"/>
      <c r="B289" s="4"/>
      <c r="C289" s="4"/>
      <c r="D289" s="4"/>
      <c r="E289" s="4"/>
      <c r="F289" s="4"/>
      <c r="G289" s="4"/>
      <c r="H289" s="4"/>
      <c r="I289" s="4"/>
      <c r="J289" s="4"/>
      <c r="K289" s="4"/>
      <c r="L289" s="4"/>
      <c r="M289" s="4"/>
      <c r="N289" s="4"/>
      <c r="O289" s="35"/>
      <c r="P289" s="4"/>
      <c r="Q289" s="7"/>
      <c r="R289" s="4"/>
      <c r="S289" s="4"/>
      <c r="T289" s="4"/>
      <c r="U289" s="4"/>
      <c r="V289" s="4"/>
      <c r="W289" s="4"/>
      <c r="X289" s="4"/>
      <c r="Y289" s="4"/>
      <c r="Z289" s="4"/>
      <c r="AA289" s="4"/>
      <c r="AB289" s="4"/>
      <c r="AC289" s="4"/>
      <c r="AD289" s="4"/>
      <c r="AE289" s="4"/>
      <c r="AF289" s="4"/>
      <c r="AG289" s="4"/>
      <c r="AH289" s="4"/>
    </row>
    <row r="290" spans="1:34" ht="60" customHeight="1" x14ac:dyDescent="0.2">
      <c r="A290" s="3"/>
      <c r="B290" s="4"/>
      <c r="C290" s="4"/>
      <c r="D290" s="4"/>
      <c r="E290" s="4"/>
      <c r="F290" s="4"/>
      <c r="G290" s="4"/>
      <c r="H290" s="4"/>
      <c r="I290" s="4"/>
      <c r="J290" s="4"/>
      <c r="K290" s="4"/>
      <c r="L290" s="4"/>
      <c r="M290" s="4"/>
      <c r="N290" s="4"/>
      <c r="O290" s="35"/>
      <c r="P290" s="4"/>
      <c r="Q290" s="7"/>
      <c r="R290" s="4"/>
      <c r="S290" s="4"/>
      <c r="T290" s="4"/>
      <c r="U290" s="4"/>
      <c r="V290" s="4"/>
      <c r="W290" s="4"/>
      <c r="X290" s="4"/>
      <c r="Y290" s="4"/>
      <c r="Z290" s="4"/>
      <c r="AA290" s="4"/>
      <c r="AB290" s="4"/>
      <c r="AC290" s="4"/>
      <c r="AD290" s="4"/>
      <c r="AE290" s="4"/>
      <c r="AF290" s="4"/>
      <c r="AG290" s="4"/>
      <c r="AH290" s="4"/>
    </row>
    <row r="291" spans="1:34" ht="60" customHeight="1" x14ac:dyDescent="0.2">
      <c r="A291" s="3"/>
      <c r="B291" s="4"/>
      <c r="C291" s="4"/>
      <c r="D291" s="4"/>
      <c r="E291" s="4"/>
      <c r="F291" s="4"/>
      <c r="G291" s="4"/>
      <c r="H291" s="4"/>
      <c r="I291" s="4"/>
      <c r="J291" s="4"/>
      <c r="K291" s="4"/>
      <c r="L291" s="4"/>
      <c r="M291" s="4"/>
      <c r="N291" s="4"/>
      <c r="O291" s="35"/>
      <c r="P291" s="4"/>
      <c r="Q291" s="7"/>
      <c r="R291" s="4"/>
      <c r="S291" s="4"/>
      <c r="T291" s="4"/>
      <c r="U291" s="4"/>
      <c r="V291" s="4"/>
      <c r="W291" s="4"/>
      <c r="X291" s="4"/>
      <c r="Y291" s="4"/>
      <c r="Z291" s="4"/>
      <c r="AA291" s="4"/>
      <c r="AB291" s="4"/>
      <c r="AC291" s="4"/>
      <c r="AD291" s="4"/>
      <c r="AE291" s="4"/>
      <c r="AF291" s="4"/>
      <c r="AG291" s="4"/>
      <c r="AH291" s="4"/>
    </row>
    <row r="292" spans="1:34" ht="60" customHeight="1" x14ac:dyDescent="0.2">
      <c r="A292" s="3"/>
      <c r="B292" s="4"/>
      <c r="C292" s="4"/>
      <c r="D292" s="4"/>
      <c r="E292" s="4"/>
      <c r="F292" s="4"/>
      <c r="G292" s="4"/>
      <c r="H292" s="4"/>
      <c r="I292" s="4"/>
      <c r="J292" s="4"/>
      <c r="K292" s="4"/>
      <c r="L292" s="4"/>
      <c r="M292" s="4"/>
      <c r="N292" s="4"/>
      <c r="O292" s="35"/>
      <c r="P292" s="4"/>
      <c r="Q292" s="7"/>
      <c r="R292" s="4"/>
      <c r="S292" s="4"/>
      <c r="T292" s="4"/>
      <c r="U292" s="4"/>
      <c r="V292" s="4"/>
      <c r="W292" s="4"/>
      <c r="X292" s="4"/>
      <c r="Y292" s="4"/>
      <c r="Z292" s="4"/>
      <c r="AA292" s="4"/>
      <c r="AB292" s="4"/>
      <c r="AC292" s="4"/>
      <c r="AD292" s="4"/>
      <c r="AE292" s="4"/>
      <c r="AF292" s="4"/>
      <c r="AG292" s="4"/>
      <c r="AH292" s="4"/>
    </row>
    <row r="293" spans="1:34" ht="60" customHeight="1" x14ac:dyDescent="0.2">
      <c r="A293" s="3"/>
      <c r="B293" s="4"/>
      <c r="C293" s="4"/>
      <c r="D293" s="4"/>
      <c r="E293" s="4"/>
      <c r="F293" s="4"/>
      <c r="G293" s="4"/>
      <c r="H293" s="4"/>
      <c r="I293" s="4"/>
      <c r="J293" s="4"/>
      <c r="K293" s="4"/>
      <c r="L293" s="4"/>
      <c r="M293" s="4"/>
      <c r="N293" s="4"/>
      <c r="O293" s="35"/>
      <c r="P293" s="4"/>
      <c r="Q293" s="7"/>
      <c r="R293" s="4"/>
      <c r="S293" s="4"/>
      <c r="T293" s="4"/>
      <c r="U293" s="4"/>
      <c r="V293" s="4"/>
      <c r="W293" s="4"/>
      <c r="X293" s="4"/>
      <c r="Y293" s="4"/>
      <c r="Z293" s="4"/>
      <c r="AA293" s="4"/>
      <c r="AB293" s="4"/>
      <c r="AC293" s="4"/>
      <c r="AD293" s="4"/>
      <c r="AE293" s="4"/>
      <c r="AF293" s="4"/>
      <c r="AG293" s="4"/>
      <c r="AH293" s="4"/>
    </row>
    <row r="294" spans="1:34" ht="60" customHeight="1" x14ac:dyDescent="0.2">
      <c r="A294" s="3"/>
      <c r="B294" s="4"/>
      <c r="C294" s="4"/>
      <c r="D294" s="4"/>
      <c r="E294" s="4"/>
      <c r="F294" s="4"/>
      <c r="G294" s="4"/>
      <c r="H294" s="4"/>
      <c r="I294" s="4"/>
      <c r="J294" s="4"/>
      <c r="K294" s="4"/>
      <c r="L294" s="4"/>
      <c r="M294" s="4"/>
      <c r="N294" s="4"/>
      <c r="O294" s="35"/>
      <c r="P294" s="4"/>
      <c r="Q294" s="7"/>
      <c r="R294" s="4"/>
      <c r="S294" s="4"/>
      <c r="T294" s="4"/>
      <c r="U294" s="4"/>
      <c r="V294" s="4"/>
      <c r="W294" s="4"/>
      <c r="X294" s="4"/>
      <c r="Y294" s="4"/>
      <c r="Z294" s="4"/>
      <c r="AA294" s="4"/>
      <c r="AB294" s="4"/>
      <c r="AC294" s="4"/>
      <c r="AD294" s="4"/>
      <c r="AE294" s="4"/>
      <c r="AF294" s="4"/>
      <c r="AG294" s="4"/>
      <c r="AH294" s="4"/>
    </row>
    <row r="295" spans="1:34" ht="60" customHeight="1" x14ac:dyDescent="0.2">
      <c r="A295" s="3"/>
      <c r="B295" s="4"/>
      <c r="C295" s="4"/>
      <c r="D295" s="4"/>
      <c r="E295" s="4"/>
      <c r="F295" s="4"/>
      <c r="G295" s="4"/>
      <c r="H295" s="4"/>
      <c r="I295" s="4"/>
      <c r="J295" s="4"/>
      <c r="K295" s="4"/>
      <c r="L295" s="4"/>
      <c r="M295" s="4"/>
      <c r="N295" s="4"/>
      <c r="O295" s="35"/>
      <c r="P295" s="4"/>
      <c r="Q295" s="7"/>
      <c r="R295" s="4"/>
      <c r="S295" s="4"/>
      <c r="T295" s="4"/>
      <c r="U295" s="4"/>
      <c r="V295" s="4"/>
      <c r="W295" s="4"/>
      <c r="X295" s="4"/>
      <c r="Y295" s="4"/>
      <c r="Z295" s="4"/>
      <c r="AA295" s="4"/>
      <c r="AB295" s="4"/>
      <c r="AC295" s="4"/>
      <c r="AD295" s="4"/>
      <c r="AE295" s="4"/>
      <c r="AF295" s="4"/>
      <c r="AG295" s="4"/>
      <c r="AH295" s="4"/>
    </row>
    <row r="296" spans="1:34" ht="60" customHeight="1" x14ac:dyDescent="0.2">
      <c r="A296" s="3"/>
      <c r="B296" s="4"/>
      <c r="C296" s="4"/>
      <c r="D296" s="4"/>
      <c r="E296" s="4"/>
      <c r="F296" s="4"/>
      <c r="G296" s="4"/>
      <c r="H296" s="4"/>
      <c r="I296" s="4"/>
      <c r="J296" s="4"/>
      <c r="K296" s="4"/>
      <c r="L296" s="4"/>
      <c r="M296" s="4"/>
      <c r="N296" s="4"/>
      <c r="O296" s="35"/>
      <c r="P296" s="4"/>
      <c r="Q296" s="7"/>
      <c r="R296" s="4"/>
      <c r="S296" s="4"/>
      <c r="T296" s="4"/>
      <c r="U296" s="4"/>
      <c r="V296" s="4"/>
      <c r="W296" s="4"/>
      <c r="X296" s="4"/>
      <c r="Y296" s="4"/>
      <c r="Z296" s="4"/>
      <c r="AA296" s="4"/>
      <c r="AB296" s="4"/>
      <c r="AC296" s="4"/>
      <c r="AD296" s="4"/>
      <c r="AE296" s="4"/>
      <c r="AF296" s="4"/>
      <c r="AG296" s="4"/>
      <c r="AH296" s="4"/>
    </row>
    <row r="297" spans="1:34" ht="60" customHeight="1" x14ac:dyDescent="0.2">
      <c r="A297" s="3"/>
      <c r="B297" s="4"/>
      <c r="C297" s="4"/>
      <c r="D297" s="4"/>
      <c r="E297" s="4"/>
      <c r="F297" s="4"/>
      <c r="G297" s="4"/>
      <c r="H297" s="4"/>
      <c r="I297" s="4"/>
      <c r="J297" s="4"/>
      <c r="K297" s="4"/>
      <c r="L297" s="4"/>
      <c r="M297" s="4"/>
      <c r="N297" s="4"/>
      <c r="O297" s="35"/>
      <c r="P297" s="4"/>
      <c r="Q297" s="7"/>
      <c r="R297" s="4"/>
      <c r="S297" s="4"/>
      <c r="T297" s="4"/>
      <c r="U297" s="4"/>
      <c r="V297" s="4"/>
      <c r="W297" s="4"/>
      <c r="X297" s="4"/>
      <c r="Y297" s="4"/>
      <c r="Z297" s="4"/>
      <c r="AA297" s="4"/>
      <c r="AB297" s="4"/>
      <c r="AC297" s="4"/>
      <c r="AD297" s="4"/>
      <c r="AE297" s="4"/>
      <c r="AF297" s="4"/>
      <c r="AG297" s="4"/>
      <c r="AH297" s="4"/>
    </row>
    <row r="298" spans="1:34" ht="60" customHeight="1" x14ac:dyDescent="0.2">
      <c r="A298" s="3"/>
      <c r="B298" s="4"/>
      <c r="C298" s="4"/>
      <c r="D298" s="4"/>
      <c r="E298" s="4"/>
      <c r="F298" s="4"/>
      <c r="G298" s="4"/>
      <c r="H298" s="4"/>
      <c r="I298" s="4"/>
      <c r="J298" s="4"/>
      <c r="K298" s="4"/>
      <c r="L298" s="4"/>
      <c r="M298" s="4"/>
      <c r="N298" s="4"/>
      <c r="O298" s="35"/>
      <c r="P298" s="4"/>
      <c r="Q298" s="7"/>
      <c r="R298" s="4"/>
      <c r="S298" s="4"/>
      <c r="T298" s="4"/>
      <c r="U298" s="4"/>
      <c r="V298" s="4"/>
      <c r="W298" s="4"/>
      <c r="X298" s="4"/>
      <c r="Y298" s="4"/>
      <c r="Z298" s="4"/>
      <c r="AA298" s="4"/>
      <c r="AB298" s="4"/>
      <c r="AC298" s="4"/>
      <c r="AD298" s="4"/>
      <c r="AE298" s="4"/>
      <c r="AF298" s="4"/>
      <c r="AG298" s="4"/>
      <c r="AH298" s="4"/>
    </row>
    <row r="299" spans="1:34" ht="60" customHeight="1" x14ac:dyDescent="0.2">
      <c r="A299" s="3"/>
      <c r="B299" s="4"/>
      <c r="C299" s="4"/>
      <c r="D299" s="4"/>
      <c r="E299" s="4"/>
      <c r="F299" s="4"/>
      <c r="G299" s="4"/>
      <c r="H299" s="4"/>
      <c r="I299" s="4"/>
      <c r="J299" s="4"/>
      <c r="K299" s="4"/>
      <c r="L299" s="4"/>
      <c r="M299" s="4"/>
      <c r="N299" s="4"/>
      <c r="O299" s="35"/>
      <c r="P299" s="4"/>
      <c r="Q299" s="7"/>
      <c r="R299" s="4"/>
      <c r="S299" s="4"/>
      <c r="T299" s="4"/>
      <c r="U299" s="4"/>
      <c r="V299" s="4"/>
      <c r="W299" s="4"/>
      <c r="X299" s="4"/>
      <c r="Y299" s="4"/>
      <c r="Z299" s="4"/>
      <c r="AA299" s="4"/>
      <c r="AB299" s="4"/>
      <c r="AC299" s="4"/>
      <c r="AD299" s="4"/>
      <c r="AE299" s="4"/>
      <c r="AF299" s="4"/>
      <c r="AG299" s="4"/>
      <c r="AH299" s="4"/>
    </row>
    <row r="300" spans="1:34" ht="60" customHeight="1" x14ac:dyDescent="0.2">
      <c r="A300" s="3"/>
      <c r="B300" s="4"/>
      <c r="C300" s="4"/>
      <c r="D300" s="4"/>
      <c r="E300" s="4"/>
      <c r="F300" s="4"/>
      <c r="G300" s="4"/>
      <c r="H300" s="4"/>
      <c r="I300" s="4"/>
      <c r="J300" s="4"/>
      <c r="K300" s="4"/>
      <c r="L300" s="4"/>
      <c r="M300" s="4"/>
      <c r="N300" s="4"/>
      <c r="O300" s="35"/>
      <c r="P300" s="4"/>
      <c r="Q300" s="7"/>
      <c r="R300" s="4"/>
      <c r="S300" s="4"/>
      <c r="T300" s="4"/>
      <c r="U300" s="4"/>
      <c r="V300" s="4"/>
      <c r="W300" s="4"/>
      <c r="X300" s="4"/>
      <c r="Y300" s="4"/>
      <c r="Z300" s="4"/>
      <c r="AA300" s="4"/>
      <c r="AB300" s="4"/>
      <c r="AC300" s="4"/>
      <c r="AD300" s="4"/>
      <c r="AE300" s="4"/>
      <c r="AF300" s="4"/>
      <c r="AG300" s="4"/>
      <c r="AH300" s="4"/>
    </row>
    <row r="301" spans="1:34" ht="60" customHeight="1" x14ac:dyDescent="0.2">
      <c r="A301" s="3"/>
      <c r="B301" s="4"/>
      <c r="C301" s="4"/>
      <c r="D301" s="4"/>
      <c r="E301" s="4"/>
      <c r="F301" s="4"/>
      <c r="G301" s="4"/>
      <c r="H301" s="4"/>
      <c r="I301" s="4"/>
      <c r="J301" s="4"/>
      <c r="K301" s="4"/>
      <c r="L301" s="4"/>
      <c r="M301" s="4"/>
      <c r="N301" s="4"/>
      <c r="O301" s="35"/>
      <c r="P301" s="4"/>
      <c r="Q301" s="7"/>
      <c r="R301" s="4"/>
      <c r="S301" s="4"/>
      <c r="T301" s="4"/>
      <c r="U301" s="4"/>
      <c r="V301" s="4"/>
      <c r="W301" s="4"/>
      <c r="X301" s="4"/>
      <c r="Y301" s="4"/>
      <c r="Z301" s="4"/>
      <c r="AA301" s="4"/>
      <c r="AB301" s="4"/>
      <c r="AC301" s="4"/>
      <c r="AD301" s="4"/>
      <c r="AE301" s="4"/>
      <c r="AF301" s="4"/>
      <c r="AG301" s="4"/>
      <c r="AH301" s="4"/>
    </row>
    <row r="302" spans="1:34" ht="60" customHeight="1" x14ac:dyDescent="0.2">
      <c r="A302" s="3"/>
      <c r="B302" s="4"/>
      <c r="C302" s="4"/>
      <c r="D302" s="4"/>
      <c r="E302" s="4"/>
      <c r="F302" s="4"/>
      <c r="G302" s="4"/>
      <c r="H302" s="4"/>
      <c r="I302" s="4"/>
      <c r="J302" s="4"/>
      <c r="K302" s="4"/>
      <c r="L302" s="4"/>
      <c r="M302" s="4"/>
      <c r="N302" s="4"/>
      <c r="O302" s="35"/>
      <c r="P302" s="4"/>
      <c r="Q302" s="7"/>
      <c r="R302" s="4"/>
      <c r="S302" s="4"/>
      <c r="T302" s="4"/>
      <c r="U302" s="4"/>
      <c r="V302" s="4"/>
      <c r="W302" s="4"/>
      <c r="X302" s="4"/>
      <c r="Y302" s="4"/>
      <c r="Z302" s="4"/>
      <c r="AA302" s="4"/>
      <c r="AB302" s="4"/>
      <c r="AC302" s="4"/>
      <c r="AD302" s="4"/>
      <c r="AE302" s="4"/>
      <c r="AF302" s="4"/>
      <c r="AG302" s="4"/>
      <c r="AH302" s="4"/>
    </row>
    <row r="303" spans="1:34" ht="60" customHeight="1" x14ac:dyDescent="0.2">
      <c r="A303" s="3"/>
      <c r="B303" s="4"/>
      <c r="C303" s="4"/>
      <c r="D303" s="4"/>
      <c r="E303" s="4"/>
      <c r="F303" s="4"/>
      <c r="G303" s="4"/>
      <c r="H303" s="4"/>
      <c r="I303" s="4"/>
      <c r="J303" s="4"/>
      <c r="K303" s="4"/>
      <c r="L303" s="4"/>
      <c r="M303" s="4"/>
      <c r="N303" s="4"/>
      <c r="O303" s="35"/>
      <c r="P303" s="4"/>
      <c r="Q303" s="7"/>
      <c r="R303" s="4"/>
      <c r="S303" s="4"/>
      <c r="T303" s="4"/>
      <c r="U303" s="4"/>
      <c r="V303" s="4"/>
      <c r="W303" s="4"/>
      <c r="X303" s="4"/>
      <c r="Y303" s="4"/>
      <c r="Z303" s="4"/>
      <c r="AA303" s="4"/>
      <c r="AB303" s="4"/>
      <c r="AC303" s="4"/>
      <c r="AD303" s="4"/>
      <c r="AE303" s="4"/>
      <c r="AF303" s="4"/>
      <c r="AG303" s="4"/>
      <c r="AH303" s="4"/>
    </row>
    <row r="304" spans="1:34" ht="15.75" customHeight="1" x14ac:dyDescent="0.2">
      <c r="A304" s="3"/>
      <c r="B304" s="4"/>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row>
    <row r="305" spans="1:34" ht="15.75" customHeight="1" x14ac:dyDescent="0.2">
      <c r="A305" s="3"/>
      <c r="B305" s="4"/>
      <c r="C305" s="4"/>
      <c r="D305" s="4"/>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row>
    <row r="306" spans="1:34" ht="15.75" customHeight="1" x14ac:dyDescent="0.2">
      <c r="A306" s="3"/>
      <c r="B306" s="4"/>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row>
    <row r="307" spans="1:34" ht="15.75" customHeight="1" x14ac:dyDescent="0.2">
      <c r="A307" s="3"/>
      <c r="B307" s="4"/>
      <c r="C307" s="4"/>
      <c r="D307" s="4"/>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4"/>
      <c r="AE307" s="4"/>
      <c r="AF307" s="4"/>
      <c r="AG307" s="4"/>
      <c r="AH307" s="4"/>
    </row>
    <row r="308" spans="1:34" ht="15.75" customHeight="1" x14ac:dyDescent="0.2">
      <c r="A308" s="3"/>
      <c r="B308" s="4"/>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row>
    <row r="309" spans="1:34" ht="15.75" customHeight="1" x14ac:dyDescent="0.2">
      <c r="A309" s="3"/>
      <c r="B309" s="4"/>
      <c r="C309" s="4"/>
      <c r="D309" s="4"/>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4"/>
      <c r="AE309" s="4"/>
      <c r="AF309" s="4"/>
      <c r="AG309" s="4"/>
      <c r="AH309" s="4"/>
    </row>
    <row r="310" spans="1:34" ht="15.75" customHeight="1" x14ac:dyDescent="0.2">
      <c r="A310" s="3"/>
      <c r="B310" s="4"/>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row>
    <row r="311" spans="1:34" ht="15.75" customHeight="1" x14ac:dyDescent="0.2">
      <c r="A311" s="3"/>
      <c r="B311" s="4"/>
      <c r="C311" s="4"/>
      <c r="D311" s="4"/>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row>
    <row r="312" spans="1:34" ht="15.75" customHeight="1" x14ac:dyDescent="0.2">
      <c r="A312" s="3"/>
      <c r="B312" s="4"/>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row>
    <row r="313" spans="1:34" ht="15.75" customHeight="1" x14ac:dyDescent="0.2">
      <c r="A313" s="3"/>
      <c r="B313" s="4"/>
      <c r="C313" s="4"/>
      <c r="D313" s="4"/>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4"/>
      <c r="AE313" s="4"/>
      <c r="AF313" s="4"/>
      <c r="AG313" s="4"/>
      <c r="AH313" s="4"/>
    </row>
    <row r="314" spans="1:34" ht="15.75" customHeight="1" x14ac:dyDescent="0.2">
      <c r="A314" s="3"/>
      <c r="B314" s="4"/>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row>
    <row r="315" spans="1:34" ht="15.75" customHeight="1" x14ac:dyDescent="0.2">
      <c r="A315" s="3"/>
      <c r="B315" s="4"/>
      <c r="C315" s="4"/>
      <c r="D315" s="4"/>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4"/>
      <c r="AE315" s="4"/>
      <c r="AF315" s="4"/>
      <c r="AG315" s="4"/>
      <c r="AH315" s="4"/>
    </row>
    <row r="316" spans="1:34" ht="15.75" customHeight="1" x14ac:dyDescent="0.2">
      <c r="A316" s="3"/>
      <c r="B316" s="4"/>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row>
    <row r="317" spans="1:34" ht="15.75" customHeight="1" x14ac:dyDescent="0.2">
      <c r="A317" s="3"/>
      <c r="B317" s="4"/>
      <c r="C317" s="4"/>
      <c r="D317" s="4"/>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row>
    <row r="318" spans="1:34" ht="15.75" customHeight="1" x14ac:dyDescent="0.2">
      <c r="A318" s="3"/>
      <c r="B318" s="4"/>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row>
    <row r="319" spans="1:34" ht="15.75" customHeight="1" x14ac:dyDescent="0.2">
      <c r="A319" s="3"/>
      <c r="B319" s="4"/>
      <c r="C319" s="4"/>
      <c r="D319" s="4"/>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4"/>
      <c r="AE319" s="4"/>
      <c r="AF319" s="4"/>
      <c r="AG319" s="4"/>
      <c r="AH319" s="4"/>
    </row>
    <row r="320" spans="1:34" ht="15.75" customHeight="1" x14ac:dyDescent="0.2">
      <c r="A320" s="3"/>
      <c r="B320" s="4"/>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row>
    <row r="321" spans="1:34" ht="15.75" customHeight="1" x14ac:dyDescent="0.2">
      <c r="A321" s="3"/>
      <c r="B321" s="4"/>
      <c r="C321" s="4"/>
      <c r="D321" s="4"/>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row>
    <row r="322" spans="1:34" ht="15.75" customHeight="1" x14ac:dyDescent="0.2">
      <c r="A322" s="3"/>
      <c r="B322" s="4"/>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row>
    <row r="323" spans="1:34" ht="15.75" customHeight="1" x14ac:dyDescent="0.2">
      <c r="A323" s="3"/>
      <c r="B323" s="4"/>
      <c r="C323" s="4"/>
      <c r="D323" s="4"/>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row>
    <row r="324" spans="1:34" ht="15.75" customHeight="1" x14ac:dyDescent="0.2">
      <c r="A324" s="3"/>
      <c r="B324" s="4"/>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row>
    <row r="325" spans="1:34" ht="15.75" customHeight="1" x14ac:dyDescent="0.2">
      <c r="A325" s="3"/>
      <c r="B325" s="4"/>
      <c r="C325" s="4"/>
      <c r="D325" s="4"/>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row>
    <row r="326" spans="1:34" ht="15.75" customHeight="1" x14ac:dyDescent="0.2">
      <c r="A326" s="3"/>
      <c r="B326" s="4"/>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row>
    <row r="327" spans="1:34" ht="15.75" customHeight="1" x14ac:dyDescent="0.2">
      <c r="A327" s="3"/>
      <c r="B327" s="4"/>
      <c r="C327" s="4"/>
      <c r="D327" s="4"/>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row>
    <row r="328" spans="1:34" ht="15.75" customHeight="1" x14ac:dyDescent="0.2">
      <c r="A328" s="3"/>
      <c r="B328" s="4"/>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row>
    <row r="329" spans="1:34" ht="15.75" customHeight="1" x14ac:dyDescent="0.2">
      <c r="A329" s="3"/>
      <c r="B329" s="4"/>
      <c r="C329" s="4"/>
      <c r="D329" s="4"/>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row>
    <row r="330" spans="1:34" ht="15.75" customHeight="1" x14ac:dyDescent="0.2">
      <c r="A330" s="3"/>
      <c r="B330" s="4"/>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row>
    <row r="331" spans="1:34" ht="15.75" customHeight="1" x14ac:dyDescent="0.2">
      <c r="A331" s="3"/>
      <c r="B331" s="4"/>
      <c r="C331" s="4"/>
      <c r="D331" s="4"/>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row>
    <row r="332" spans="1:34" ht="15.75" customHeight="1" x14ac:dyDescent="0.2">
      <c r="A332" s="3"/>
      <c r="B332" s="4"/>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row>
    <row r="333" spans="1:34" ht="15.75" customHeight="1" x14ac:dyDescent="0.2">
      <c r="A333" s="3"/>
      <c r="B333" s="4"/>
      <c r="C333" s="4"/>
      <c r="D333" s="4"/>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row>
    <row r="334" spans="1:34" ht="15.75" customHeight="1" x14ac:dyDescent="0.2">
      <c r="A334" s="3"/>
      <c r="B334" s="4"/>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row>
    <row r="335" spans="1:34" ht="15.75" customHeight="1" x14ac:dyDescent="0.2">
      <c r="A335" s="3"/>
      <c r="B335" s="4"/>
      <c r="C335" s="4"/>
      <c r="D335" s="4"/>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row>
    <row r="336" spans="1:34" ht="15.75" customHeight="1" x14ac:dyDescent="0.2">
      <c r="A336" s="3"/>
      <c r="B336" s="4"/>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row>
    <row r="337" spans="1:34" ht="15.75" customHeight="1" x14ac:dyDescent="0.2">
      <c r="A337" s="3"/>
      <c r="B337" s="4"/>
      <c r="C337" s="4"/>
      <c r="D337" s="4"/>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row>
    <row r="338" spans="1:34" ht="15.75" customHeight="1" x14ac:dyDescent="0.2">
      <c r="A338" s="3"/>
      <c r="B338" s="4"/>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row>
    <row r="339" spans="1:34" ht="15.75" customHeight="1" x14ac:dyDescent="0.2">
      <c r="A339" s="3"/>
      <c r="B339" s="4"/>
      <c r="C339" s="4"/>
      <c r="D339" s="4"/>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row>
    <row r="340" spans="1:34" ht="15.75" customHeight="1" x14ac:dyDescent="0.2">
      <c r="A340" s="3"/>
      <c r="B340" s="4"/>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row>
    <row r="341" spans="1:34" ht="15.75" customHeight="1" x14ac:dyDescent="0.2">
      <c r="A341" s="3"/>
      <c r="B341" s="4"/>
      <c r="C341" s="4"/>
      <c r="D341" s="4"/>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row>
    <row r="342" spans="1:34" ht="15.75" customHeight="1" x14ac:dyDescent="0.2">
      <c r="A342" s="3"/>
      <c r="B342" s="4"/>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row>
    <row r="343" spans="1:34" ht="15.75" customHeight="1" x14ac:dyDescent="0.2">
      <c r="A343" s="3"/>
      <c r="B343" s="4"/>
      <c r="C343" s="4"/>
      <c r="D343" s="4"/>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4"/>
      <c r="AE343" s="4"/>
      <c r="AF343" s="4"/>
      <c r="AG343" s="4"/>
      <c r="AH343" s="4"/>
    </row>
    <row r="344" spans="1:34" ht="15.75" customHeight="1" x14ac:dyDescent="0.2">
      <c r="A344" s="3"/>
      <c r="B344" s="4"/>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row>
    <row r="345" spans="1:34" ht="15.75" customHeight="1" x14ac:dyDescent="0.2">
      <c r="A345" s="3"/>
      <c r="B345" s="4"/>
      <c r="C345" s="4"/>
      <c r="D345" s="4"/>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row>
    <row r="346" spans="1:34" ht="15.75" customHeight="1" x14ac:dyDescent="0.2">
      <c r="A346" s="3"/>
      <c r="B346" s="4"/>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row>
    <row r="347" spans="1:34" ht="15.75" customHeight="1" x14ac:dyDescent="0.2">
      <c r="A347" s="3"/>
      <c r="B347" s="4"/>
      <c r="C347" s="4"/>
      <c r="D347" s="4"/>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row>
    <row r="348" spans="1:34" ht="15.75" customHeight="1" x14ac:dyDescent="0.2">
      <c r="A348" s="3"/>
      <c r="B348" s="4"/>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row>
    <row r="349" spans="1:34" ht="15.75" customHeight="1" x14ac:dyDescent="0.2">
      <c r="A349" s="3"/>
      <c r="B349" s="4"/>
      <c r="C349" s="4"/>
      <c r="D349" s="4"/>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4"/>
      <c r="AE349" s="4"/>
      <c r="AF349" s="4"/>
      <c r="AG349" s="4"/>
      <c r="AH349" s="4"/>
    </row>
    <row r="350" spans="1:34" ht="15.75" customHeight="1" x14ac:dyDescent="0.2">
      <c r="A350" s="3"/>
      <c r="B350" s="4"/>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row>
    <row r="351" spans="1:34" ht="15.75" customHeight="1" x14ac:dyDescent="0.2">
      <c r="A351" s="3"/>
      <c r="B351" s="4"/>
      <c r="C351" s="4"/>
      <c r="D351" s="4"/>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row>
    <row r="352" spans="1:34" ht="15.75" customHeight="1" x14ac:dyDescent="0.2">
      <c r="A352" s="3"/>
      <c r="B352" s="4"/>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row>
    <row r="353" spans="1:34" ht="15.75" customHeight="1" x14ac:dyDescent="0.2">
      <c r="A353" s="3"/>
      <c r="B353" s="4"/>
      <c r="C353" s="4"/>
      <c r="D353" s="4"/>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row>
    <row r="354" spans="1:34" ht="15.75" customHeight="1" x14ac:dyDescent="0.2">
      <c r="A354" s="3"/>
      <c r="B354" s="4"/>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row>
    <row r="355" spans="1:34" ht="15.75" customHeight="1" x14ac:dyDescent="0.2">
      <c r="A355" s="3"/>
      <c r="B355" s="4"/>
      <c r="C355" s="4"/>
      <c r="D355" s="4"/>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4"/>
      <c r="AE355" s="4"/>
      <c r="AF355" s="4"/>
      <c r="AG355" s="4"/>
      <c r="AH355" s="4"/>
    </row>
    <row r="356" spans="1:34" ht="15.75" customHeight="1" x14ac:dyDescent="0.2">
      <c r="A356" s="3"/>
      <c r="B356" s="4"/>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row>
    <row r="357" spans="1:34" ht="15.75" customHeight="1" x14ac:dyDescent="0.2">
      <c r="A357" s="3"/>
      <c r="B357" s="4"/>
      <c r="C357" s="4"/>
      <c r="D357" s="4"/>
      <c r="E357" s="4"/>
      <c r="F357" s="4"/>
      <c r="G357" s="4"/>
      <c r="H357" s="4"/>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row>
    <row r="358" spans="1:34" ht="15.75" customHeight="1" x14ac:dyDescent="0.2">
      <c r="A358" s="3"/>
      <c r="B358" s="4"/>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row>
    <row r="359" spans="1:34" ht="15.75" customHeight="1" x14ac:dyDescent="0.2">
      <c r="A359" s="3"/>
      <c r="B359" s="4"/>
      <c r="C359" s="4"/>
      <c r="D359" s="4"/>
      <c r="E359" s="4"/>
      <c r="F359" s="4"/>
      <c r="G359" s="4"/>
      <c r="H359" s="4"/>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row>
    <row r="360" spans="1:34" ht="15.75" customHeight="1" x14ac:dyDescent="0.2">
      <c r="A360" s="3"/>
      <c r="B360" s="4"/>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row>
    <row r="361" spans="1:34" ht="15.75" customHeight="1" x14ac:dyDescent="0.2">
      <c r="A361" s="3"/>
      <c r="B361" s="4"/>
      <c r="C361" s="4"/>
      <c r="D361" s="4"/>
      <c r="E361" s="4"/>
      <c r="F361" s="4"/>
      <c r="G361" s="4"/>
      <c r="H361" s="4"/>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row>
    <row r="362" spans="1:34" ht="15.75" customHeight="1" x14ac:dyDescent="0.2">
      <c r="A362" s="3"/>
      <c r="B362" s="4"/>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row>
    <row r="363" spans="1:34" ht="15.75" customHeight="1" x14ac:dyDescent="0.2">
      <c r="A363" s="3"/>
      <c r="B363" s="4"/>
      <c r="C363" s="4"/>
      <c r="D363" s="4"/>
      <c r="E363" s="4"/>
      <c r="F363" s="4"/>
      <c r="G363" s="4"/>
      <c r="H363" s="4"/>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row>
    <row r="364" spans="1:34" ht="15.75" customHeight="1" x14ac:dyDescent="0.2">
      <c r="A364" s="3"/>
      <c r="B364" s="4"/>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row>
    <row r="365" spans="1:34" ht="15.75" customHeight="1" x14ac:dyDescent="0.2">
      <c r="A365" s="3"/>
      <c r="B365" s="4"/>
      <c r="C365" s="4"/>
      <c r="D365" s="4"/>
      <c r="E365" s="4"/>
      <c r="F365" s="4"/>
      <c r="G365" s="4"/>
      <c r="H365" s="4"/>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row>
    <row r="366" spans="1:34" ht="15.75" customHeight="1" x14ac:dyDescent="0.2">
      <c r="A366" s="3"/>
      <c r="B366" s="4"/>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row>
    <row r="367" spans="1:34" ht="15.75" customHeight="1" x14ac:dyDescent="0.2">
      <c r="A367" s="3"/>
      <c r="B367" s="4"/>
      <c r="C367" s="4"/>
      <c r="D367" s="4"/>
      <c r="E367" s="4"/>
      <c r="F367" s="4"/>
      <c r="G367" s="4"/>
      <c r="H367" s="4"/>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row>
    <row r="368" spans="1:34" ht="15.75" customHeight="1" x14ac:dyDescent="0.2">
      <c r="A368" s="3"/>
      <c r="B368" s="4"/>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row>
    <row r="369" spans="1:34" ht="15.75" customHeight="1" x14ac:dyDescent="0.2">
      <c r="A369" s="3"/>
      <c r="B369" s="4"/>
      <c r="C369" s="4"/>
      <c r="D369" s="4"/>
      <c r="E369" s="4"/>
      <c r="F369" s="4"/>
      <c r="G369" s="4"/>
      <c r="H369" s="4"/>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row>
    <row r="370" spans="1:34" ht="15.75" customHeight="1" x14ac:dyDescent="0.2">
      <c r="A370" s="3"/>
      <c r="B370" s="4"/>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row>
    <row r="371" spans="1:34" ht="15.75" customHeight="1" x14ac:dyDescent="0.2">
      <c r="A371" s="3"/>
      <c r="B371" s="4"/>
      <c r="C371" s="4"/>
      <c r="D371" s="4"/>
      <c r="E371" s="4"/>
      <c r="F371" s="4"/>
      <c r="G371" s="4"/>
      <c r="H371" s="4"/>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row>
    <row r="372" spans="1:34" ht="15.75" customHeight="1" x14ac:dyDescent="0.2">
      <c r="A372" s="3"/>
      <c r="B372" s="4"/>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row>
    <row r="373" spans="1:34" ht="15.75" customHeight="1" x14ac:dyDescent="0.2">
      <c r="A373" s="3"/>
      <c r="B373" s="4"/>
      <c r="C373" s="4"/>
      <c r="D373" s="4"/>
      <c r="E373" s="4"/>
      <c r="F373" s="4"/>
      <c r="G373" s="4"/>
      <c r="H373" s="4"/>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row>
    <row r="374" spans="1:34" ht="15.75" customHeight="1" x14ac:dyDescent="0.2">
      <c r="A374" s="3"/>
      <c r="B374" s="4"/>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row>
    <row r="375" spans="1:34" ht="15.75" customHeight="1" x14ac:dyDescent="0.2">
      <c r="A375" s="3"/>
      <c r="B375" s="4"/>
      <c r="C375" s="4"/>
      <c r="D375" s="4"/>
      <c r="E375" s="4"/>
      <c r="F375" s="4"/>
      <c r="G375" s="4"/>
      <c r="H375" s="4"/>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row>
    <row r="376" spans="1:34" ht="15.75" customHeight="1" x14ac:dyDescent="0.2">
      <c r="A376" s="3"/>
      <c r="B376" s="4"/>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row>
    <row r="377" spans="1:34" ht="15.75" customHeight="1" x14ac:dyDescent="0.2">
      <c r="A377" s="3"/>
      <c r="B377" s="4"/>
      <c r="C377" s="4"/>
      <c r="D377" s="4"/>
      <c r="E377" s="4"/>
      <c r="F377" s="4"/>
      <c r="G377" s="4"/>
      <c r="H377" s="4"/>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row>
    <row r="378" spans="1:34" ht="15.75" customHeight="1" x14ac:dyDescent="0.2">
      <c r="A378" s="3"/>
      <c r="B378" s="4"/>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row>
    <row r="379" spans="1:34" ht="15.75" customHeight="1" x14ac:dyDescent="0.2">
      <c r="A379" s="3"/>
      <c r="B379" s="4"/>
      <c r="C379" s="4"/>
      <c r="D379" s="4"/>
      <c r="E379" s="4"/>
      <c r="F379" s="4"/>
      <c r="G379" s="4"/>
      <c r="H379" s="4"/>
      <c r="I379" s="4"/>
      <c r="J379" s="4"/>
      <c r="K379" s="4"/>
      <c r="L379" s="4"/>
      <c r="M379" s="4"/>
      <c r="N379" s="4"/>
      <c r="O379" s="4"/>
      <c r="P379" s="4"/>
      <c r="Q379" s="4"/>
      <c r="R379" s="4"/>
      <c r="S379" s="4"/>
      <c r="T379" s="4"/>
      <c r="U379" s="4"/>
      <c r="V379" s="4"/>
      <c r="W379" s="4"/>
      <c r="X379" s="4"/>
      <c r="Y379" s="4"/>
      <c r="Z379" s="4"/>
      <c r="AA379" s="4"/>
      <c r="AB379" s="4"/>
      <c r="AC379" s="4"/>
      <c r="AD379" s="4"/>
      <c r="AE379" s="4"/>
      <c r="AF379" s="4"/>
      <c r="AG379" s="4"/>
      <c r="AH379" s="4"/>
    </row>
    <row r="380" spans="1:34" ht="15.75" customHeight="1" x14ac:dyDescent="0.2">
      <c r="A380" s="3"/>
      <c r="B380" s="4"/>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row>
    <row r="381" spans="1:34" ht="15.75" customHeight="1" x14ac:dyDescent="0.2">
      <c r="A381" s="3"/>
      <c r="B381" s="4"/>
      <c r="C381" s="4"/>
      <c r="D381" s="4"/>
      <c r="E381" s="4"/>
      <c r="F381" s="4"/>
      <c r="G381" s="4"/>
      <c r="H381" s="4"/>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row>
    <row r="382" spans="1:34" ht="15.75" customHeight="1" x14ac:dyDescent="0.2">
      <c r="A382" s="3"/>
      <c r="B382" s="4"/>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row>
    <row r="383" spans="1:34" ht="15.75" customHeight="1" x14ac:dyDescent="0.2">
      <c r="A383" s="3"/>
      <c r="B383" s="4"/>
      <c r="C383" s="4"/>
      <c r="D383" s="4"/>
      <c r="E383" s="4"/>
      <c r="F383" s="4"/>
      <c r="G383" s="4"/>
      <c r="H383" s="4"/>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row>
    <row r="384" spans="1:34" ht="15.75" customHeight="1" x14ac:dyDescent="0.2">
      <c r="A384" s="3"/>
      <c r="B384" s="4"/>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row>
    <row r="385" spans="1:34" ht="15.75" customHeight="1" x14ac:dyDescent="0.2">
      <c r="A385" s="3"/>
      <c r="B385" s="4"/>
      <c r="C385" s="4"/>
      <c r="D385" s="4"/>
      <c r="E385" s="4"/>
      <c r="F385" s="4"/>
      <c r="G385" s="4"/>
      <c r="H385" s="4"/>
      <c r="I385" s="4"/>
      <c r="J385" s="4"/>
      <c r="K385" s="4"/>
      <c r="L385" s="4"/>
      <c r="M385" s="4"/>
      <c r="N385" s="4"/>
      <c r="O385" s="4"/>
      <c r="P385" s="4"/>
      <c r="Q385" s="4"/>
      <c r="R385" s="4"/>
      <c r="S385" s="4"/>
      <c r="T385" s="4"/>
      <c r="U385" s="4"/>
      <c r="V385" s="4"/>
      <c r="W385" s="4"/>
      <c r="X385" s="4"/>
      <c r="Y385" s="4"/>
      <c r="Z385" s="4"/>
      <c r="AA385" s="4"/>
      <c r="AB385" s="4"/>
      <c r="AC385" s="4"/>
      <c r="AD385" s="4"/>
      <c r="AE385" s="4"/>
      <c r="AF385" s="4"/>
      <c r="AG385" s="4"/>
      <c r="AH385" s="4"/>
    </row>
    <row r="386" spans="1:34" ht="15.75" customHeight="1" x14ac:dyDescent="0.2">
      <c r="A386" s="3"/>
      <c r="B386" s="4"/>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row>
    <row r="387" spans="1:34" ht="15.75" customHeight="1" x14ac:dyDescent="0.2">
      <c r="A387" s="3"/>
      <c r="B387" s="4"/>
      <c r="C387" s="4"/>
      <c r="D387" s="4"/>
      <c r="E387" s="4"/>
      <c r="F387" s="4"/>
      <c r="G387" s="4"/>
      <c r="H387" s="4"/>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row>
    <row r="388" spans="1:34" ht="15.75" customHeight="1" x14ac:dyDescent="0.2">
      <c r="A388" s="3"/>
      <c r="B388" s="4"/>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row>
    <row r="389" spans="1:34" ht="15.75" customHeight="1" x14ac:dyDescent="0.2">
      <c r="A389" s="3"/>
      <c r="B389" s="4"/>
      <c r="C389" s="4"/>
      <c r="D389" s="4"/>
      <c r="E389" s="4"/>
      <c r="F389" s="4"/>
      <c r="G389" s="4"/>
      <c r="H389" s="4"/>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row>
    <row r="390" spans="1:34" ht="15.75" customHeight="1" x14ac:dyDescent="0.2">
      <c r="A390" s="3"/>
      <c r="B390" s="4"/>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row>
    <row r="391" spans="1:34" ht="15.75" customHeight="1" x14ac:dyDescent="0.2">
      <c r="A391" s="3"/>
      <c r="B391" s="4"/>
      <c r="C391" s="4"/>
      <c r="D391" s="4"/>
      <c r="E391" s="4"/>
      <c r="F391" s="4"/>
      <c r="G391" s="4"/>
      <c r="H391" s="4"/>
      <c r="I391" s="4"/>
      <c r="J391" s="4"/>
      <c r="K391" s="4"/>
      <c r="L391" s="4"/>
      <c r="M391" s="4"/>
      <c r="N391" s="4"/>
      <c r="O391" s="4"/>
      <c r="P391" s="4"/>
      <c r="Q391" s="4"/>
      <c r="R391" s="4"/>
      <c r="S391" s="4"/>
      <c r="T391" s="4"/>
      <c r="U391" s="4"/>
      <c r="V391" s="4"/>
      <c r="W391" s="4"/>
      <c r="X391" s="4"/>
      <c r="Y391" s="4"/>
      <c r="Z391" s="4"/>
      <c r="AA391" s="4"/>
      <c r="AB391" s="4"/>
      <c r="AC391" s="4"/>
      <c r="AD391" s="4"/>
      <c r="AE391" s="4"/>
      <c r="AF391" s="4"/>
      <c r="AG391" s="4"/>
      <c r="AH391" s="4"/>
    </row>
    <row r="392" spans="1:34" ht="15.75" customHeight="1" x14ac:dyDescent="0.2">
      <c r="A392" s="3"/>
      <c r="B392" s="4"/>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row>
    <row r="393" spans="1:34" ht="15.75" customHeight="1" x14ac:dyDescent="0.2">
      <c r="A393" s="3"/>
      <c r="B393" s="4"/>
      <c r="C393" s="4"/>
      <c r="D393" s="4"/>
      <c r="E393" s="4"/>
      <c r="F393" s="4"/>
      <c r="G393" s="4"/>
      <c r="H393" s="4"/>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row>
    <row r="394" spans="1:34" ht="15.75" customHeight="1" x14ac:dyDescent="0.2">
      <c r="A394" s="3"/>
      <c r="B394" s="4"/>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row>
    <row r="395" spans="1:34" ht="15.75" customHeight="1" x14ac:dyDescent="0.2">
      <c r="A395" s="3"/>
      <c r="B395" s="4"/>
      <c r="C395" s="4"/>
      <c r="D395" s="4"/>
      <c r="E395" s="4"/>
      <c r="F395" s="4"/>
      <c r="G395" s="4"/>
      <c r="H395" s="4"/>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row>
    <row r="396" spans="1:34" ht="15.75" customHeight="1" x14ac:dyDescent="0.2">
      <c r="A396" s="3"/>
      <c r="B396" s="4"/>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row>
    <row r="397" spans="1:34" ht="15.75" customHeight="1" x14ac:dyDescent="0.2">
      <c r="A397" s="3"/>
      <c r="B397" s="4"/>
      <c r="C397" s="4"/>
      <c r="D397" s="4"/>
      <c r="E397" s="4"/>
      <c r="F397" s="4"/>
      <c r="G397" s="4"/>
      <c r="H397" s="4"/>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row>
    <row r="398" spans="1:34" ht="15.75" customHeight="1" x14ac:dyDescent="0.2">
      <c r="A398" s="3"/>
      <c r="B398" s="4"/>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row>
    <row r="399" spans="1:34" ht="15.75" customHeight="1" x14ac:dyDescent="0.2">
      <c r="A399" s="3"/>
      <c r="B399" s="4"/>
      <c r="C399" s="4"/>
      <c r="D399" s="4"/>
      <c r="E399" s="4"/>
      <c r="F399" s="4"/>
      <c r="G399" s="4"/>
      <c r="H399" s="4"/>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row>
    <row r="400" spans="1:34" ht="15.75" customHeight="1" x14ac:dyDescent="0.2">
      <c r="A400" s="3"/>
      <c r="B400" s="4"/>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row>
    <row r="401" spans="1:34" ht="15.75" customHeight="1" x14ac:dyDescent="0.2">
      <c r="A401" s="3"/>
      <c r="B401" s="4"/>
      <c r="C401" s="4"/>
      <c r="D401" s="4"/>
      <c r="E401" s="4"/>
      <c r="F401" s="4"/>
      <c r="G401" s="4"/>
      <c r="H401" s="4"/>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row>
    <row r="402" spans="1:34" ht="15.75" customHeight="1" x14ac:dyDescent="0.2">
      <c r="A402" s="3"/>
      <c r="B402" s="4"/>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row>
    <row r="403" spans="1:34" ht="15.75" customHeight="1" x14ac:dyDescent="0.2">
      <c r="A403" s="3"/>
      <c r="B403" s="4"/>
      <c r="C403" s="4"/>
      <c r="D403" s="4"/>
      <c r="E403" s="4"/>
      <c r="F403" s="4"/>
      <c r="G403" s="4"/>
      <c r="H403" s="4"/>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row>
    <row r="404" spans="1:34" ht="15.75" customHeight="1" x14ac:dyDescent="0.2">
      <c r="A404" s="3"/>
      <c r="B404" s="4"/>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row>
    <row r="405" spans="1:34" ht="15.75" customHeight="1" x14ac:dyDescent="0.2">
      <c r="A405" s="3"/>
      <c r="B405" s="4"/>
      <c r="C405" s="4"/>
      <c r="D405" s="4"/>
      <c r="E405" s="4"/>
      <c r="F405" s="4"/>
      <c r="G405" s="4"/>
      <c r="H405" s="4"/>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row>
    <row r="406" spans="1:34" ht="15.75" customHeight="1" x14ac:dyDescent="0.2">
      <c r="A406" s="3"/>
      <c r="B406" s="4"/>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row>
    <row r="407" spans="1:34" ht="15.75" customHeight="1" x14ac:dyDescent="0.2">
      <c r="A407" s="3"/>
      <c r="B407" s="4"/>
      <c r="C407" s="4"/>
      <c r="D407" s="4"/>
      <c r="E407" s="4"/>
      <c r="F407" s="4"/>
      <c r="G407" s="4"/>
      <c r="H407" s="4"/>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row>
    <row r="408" spans="1:34" ht="15.75" customHeight="1" x14ac:dyDescent="0.2">
      <c r="A408" s="3"/>
      <c r="B408" s="4"/>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row>
    <row r="409" spans="1:34" ht="15.75" customHeight="1" x14ac:dyDescent="0.2">
      <c r="A409" s="3"/>
      <c r="B409" s="4"/>
      <c r="C409" s="4"/>
      <c r="D409" s="4"/>
      <c r="E409" s="4"/>
      <c r="F409" s="4"/>
      <c r="G409" s="4"/>
      <c r="H409" s="4"/>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row>
    <row r="410" spans="1:34" ht="15.75" customHeight="1" x14ac:dyDescent="0.2">
      <c r="A410" s="3"/>
      <c r="B410" s="4"/>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row>
    <row r="411" spans="1:34" ht="15.75" customHeight="1" x14ac:dyDescent="0.2">
      <c r="A411" s="3"/>
      <c r="B411" s="4"/>
      <c r="C411" s="4"/>
      <c r="D411" s="4"/>
      <c r="E411" s="4"/>
      <c r="F411" s="4"/>
      <c r="G411" s="4"/>
      <c r="H411" s="4"/>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row>
    <row r="412" spans="1:34" ht="15.75" customHeight="1" x14ac:dyDescent="0.2">
      <c r="A412" s="3"/>
      <c r="B412" s="4"/>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row>
    <row r="413" spans="1:34" ht="15.75" customHeight="1" x14ac:dyDescent="0.2">
      <c r="A413" s="3"/>
      <c r="B413" s="4"/>
      <c r="C413" s="4"/>
      <c r="D413" s="4"/>
      <c r="E413" s="4"/>
      <c r="F413" s="4"/>
      <c r="G413" s="4"/>
      <c r="H413" s="4"/>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row>
    <row r="414" spans="1:34" ht="15.75" customHeight="1" x14ac:dyDescent="0.2">
      <c r="A414" s="3"/>
      <c r="B414" s="4"/>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row>
    <row r="415" spans="1:34" ht="15.75" customHeight="1" x14ac:dyDescent="0.2">
      <c r="A415" s="3"/>
      <c r="B415" s="4"/>
      <c r="C415" s="4"/>
      <c r="D415" s="4"/>
      <c r="E415" s="4"/>
      <c r="F415" s="4"/>
      <c r="G415" s="4"/>
      <c r="H415" s="4"/>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row>
    <row r="416" spans="1:34" ht="15.75" customHeight="1" x14ac:dyDescent="0.2">
      <c r="A416" s="3"/>
      <c r="B416" s="4"/>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row>
    <row r="417" spans="1:34" ht="15.75" customHeight="1" x14ac:dyDescent="0.2">
      <c r="A417" s="3"/>
      <c r="B417" s="4"/>
      <c r="C417" s="4"/>
      <c r="D417" s="4"/>
      <c r="E417" s="4"/>
      <c r="F417" s="4"/>
      <c r="G417" s="4"/>
      <c r="H417" s="4"/>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row>
    <row r="418" spans="1:34" ht="15.75" customHeight="1" x14ac:dyDescent="0.2">
      <c r="A418" s="3"/>
      <c r="B418" s="4"/>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row>
    <row r="419" spans="1:34" ht="15.75" customHeight="1" x14ac:dyDescent="0.2">
      <c r="A419" s="3"/>
      <c r="B419" s="4"/>
      <c r="C419" s="4"/>
      <c r="D419" s="4"/>
      <c r="E419" s="4"/>
      <c r="F419" s="4"/>
      <c r="G419" s="4"/>
      <c r="H419" s="4"/>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row>
    <row r="420" spans="1:34" ht="15.75" customHeight="1" x14ac:dyDescent="0.2">
      <c r="A420" s="3"/>
      <c r="B420" s="4"/>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row>
    <row r="421" spans="1:34" ht="15.75" customHeight="1" x14ac:dyDescent="0.2">
      <c r="A421" s="3"/>
      <c r="B421" s="4"/>
      <c r="C421" s="4"/>
      <c r="D421" s="4"/>
      <c r="E421" s="4"/>
      <c r="F421" s="4"/>
      <c r="G421" s="4"/>
      <c r="H421" s="4"/>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row>
    <row r="422" spans="1:34" ht="15.75" customHeight="1" x14ac:dyDescent="0.2">
      <c r="A422" s="3"/>
      <c r="B422" s="4"/>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row>
    <row r="423" spans="1:34" ht="15.75" customHeight="1" x14ac:dyDescent="0.2">
      <c r="A423" s="3"/>
      <c r="B423" s="4"/>
      <c r="C423" s="4"/>
      <c r="D423" s="4"/>
      <c r="E423" s="4"/>
      <c r="F423" s="4"/>
      <c r="G423" s="4"/>
      <c r="H423" s="4"/>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row>
    <row r="424" spans="1:34" ht="15.75" customHeight="1" x14ac:dyDescent="0.2">
      <c r="A424" s="3"/>
      <c r="B424" s="4"/>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row>
    <row r="425" spans="1:34" ht="15.75" customHeight="1" x14ac:dyDescent="0.2">
      <c r="A425" s="3"/>
      <c r="B425" s="4"/>
      <c r="C425" s="4"/>
      <c r="D425" s="4"/>
      <c r="E425" s="4"/>
      <c r="F425" s="4"/>
      <c r="G425" s="4"/>
      <c r="H425" s="4"/>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row>
    <row r="426" spans="1:34" ht="15.75" customHeight="1" x14ac:dyDescent="0.2">
      <c r="A426" s="3"/>
      <c r="B426" s="4"/>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row>
    <row r="427" spans="1:34" ht="15.75" customHeight="1" x14ac:dyDescent="0.2">
      <c r="A427" s="3"/>
      <c r="B427" s="4"/>
      <c r="C427" s="4"/>
      <c r="D427" s="4"/>
      <c r="E427" s="4"/>
      <c r="F427" s="4"/>
      <c r="G427" s="4"/>
      <c r="H427" s="4"/>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row>
    <row r="428" spans="1:34" ht="15.75" customHeight="1" x14ac:dyDescent="0.2">
      <c r="A428" s="3"/>
      <c r="B428" s="4"/>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row>
    <row r="429" spans="1:34" ht="15.75" customHeight="1" x14ac:dyDescent="0.2">
      <c r="A429" s="3"/>
      <c r="B429" s="4"/>
      <c r="C429" s="4"/>
      <c r="D429" s="4"/>
      <c r="E429" s="4"/>
      <c r="F429" s="4"/>
      <c r="G429" s="4"/>
      <c r="H429" s="4"/>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row>
    <row r="430" spans="1:34" ht="15.75" customHeight="1" x14ac:dyDescent="0.2">
      <c r="A430" s="3"/>
      <c r="B430" s="4"/>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row>
    <row r="431" spans="1:34" ht="15.75" customHeight="1" x14ac:dyDescent="0.2">
      <c r="A431" s="3"/>
      <c r="B431" s="4"/>
      <c r="C431" s="4"/>
      <c r="D431" s="4"/>
      <c r="E431" s="4"/>
      <c r="F431" s="4"/>
      <c r="G431" s="4"/>
      <c r="H431" s="4"/>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row>
    <row r="432" spans="1:34" ht="15.75" customHeight="1" x14ac:dyDescent="0.2">
      <c r="A432" s="3"/>
      <c r="B432" s="4"/>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row>
    <row r="433" spans="1:34" ht="15.75" customHeight="1" x14ac:dyDescent="0.2">
      <c r="A433" s="3"/>
      <c r="B433" s="4"/>
      <c r="C433" s="4"/>
      <c r="D433" s="4"/>
      <c r="E433" s="4"/>
      <c r="F433" s="4"/>
      <c r="G433" s="4"/>
      <c r="H433" s="4"/>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row>
    <row r="434" spans="1:34" ht="15.75" customHeight="1" x14ac:dyDescent="0.2">
      <c r="A434" s="3"/>
      <c r="B434" s="4"/>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row>
    <row r="435" spans="1:34" ht="15.75" customHeight="1" x14ac:dyDescent="0.2">
      <c r="A435" s="3"/>
      <c r="B435" s="4"/>
      <c r="C435" s="4"/>
      <c r="D435" s="4"/>
      <c r="E435" s="4"/>
      <c r="F435" s="4"/>
      <c r="G435" s="4"/>
      <c r="H435" s="4"/>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row>
    <row r="436" spans="1:34" ht="15.75" customHeight="1" x14ac:dyDescent="0.2">
      <c r="A436" s="3"/>
      <c r="B436" s="4"/>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row>
    <row r="437" spans="1:34" ht="15.75" customHeight="1" x14ac:dyDescent="0.2">
      <c r="A437" s="3"/>
      <c r="B437" s="4"/>
      <c r="C437" s="4"/>
      <c r="D437" s="4"/>
      <c r="E437" s="4"/>
      <c r="F437" s="4"/>
      <c r="G437" s="4"/>
      <c r="H437" s="4"/>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row>
    <row r="438" spans="1:34" ht="15.75" customHeight="1" x14ac:dyDescent="0.2">
      <c r="A438" s="3"/>
      <c r="B438" s="4"/>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row>
    <row r="439" spans="1:34" ht="15.75" customHeight="1" x14ac:dyDescent="0.2">
      <c r="A439" s="3"/>
      <c r="B439" s="4"/>
      <c r="C439" s="4"/>
      <c r="D439" s="4"/>
      <c r="E439" s="4"/>
      <c r="F439" s="4"/>
      <c r="G439" s="4"/>
      <c r="H439" s="4"/>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row>
    <row r="440" spans="1:34" ht="15.75" customHeight="1" x14ac:dyDescent="0.2">
      <c r="A440" s="3"/>
      <c r="B440" s="4"/>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row>
    <row r="441" spans="1:34" ht="15.75" customHeight="1" x14ac:dyDescent="0.2">
      <c r="A441" s="3"/>
      <c r="B441" s="4"/>
      <c r="C441" s="4"/>
      <c r="D441" s="4"/>
      <c r="E441" s="4"/>
      <c r="F441" s="4"/>
      <c r="G441" s="4"/>
      <c r="H441" s="4"/>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row>
    <row r="442" spans="1:34" ht="15.75" customHeight="1" x14ac:dyDescent="0.2">
      <c r="A442" s="3"/>
      <c r="B442" s="4"/>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row>
    <row r="443" spans="1:34" ht="15.75" customHeight="1" x14ac:dyDescent="0.2">
      <c r="A443" s="3"/>
      <c r="B443" s="4"/>
      <c r="C443" s="4"/>
      <c r="D443" s="4"/>
      <c r="E443" s="4"/>
      <c r="F443" s="4"/>
      <c r="G443" s="4"/>
      <c r="H443" s="4"/>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row>
    <row r="444" spans="1:34" ht="15.75" customHeight="1" x14ac:dyDescent="0.2">
      <c r="A444" s="3"/>
      <c r="B444" s="4"/>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row>
    <row r="445" spans="1:34" ht="15.75" customHeight="1" x14ac:dyDescent="0.2">
      <c r="A445" s="3"/>
      <c r="B445" s="4"/>
      <c r="C445" s="4"/>
      <c r="D445" s="4"/>
      <c r="E445" s="4"/>
      <c r="F445" s="4"/>
      <c r="G445" s="4"/>
      <c r="H445" s="4"/>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row>
    <row r="446" spans="1:34" ht="15.75" customHeight="1" x14ac:dyDescent="0.2">
      <c r="A446" s="3"/>
      <c r="B446" s="4"/>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row>
    <row r="447" spans="1:34" ht="15.75" customHeight="1" x14ac:dyDescent="0.2">
      <c r="A447" s="3"/>
      <c r="B447" s="4"/>
      <c r="C447" s="4"/>
      <c r="D447" s="4"/>
      <c r="E447" s="4"/>
      <c r="F447" s="4"/>
      <c r="G447" s="4"/>
      <c r="H447" s="4"/>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row>
    <row r="448" spans="1:34" ht="15.75" customHeight="1" x14ac:dyDescent="0.2">
      <c r="A448" s="3"/>
      <c r="B448" s="4"/>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row>
    <row r="449" spans="1:34" ht="15.75" customHeight="1" x14ac:dyDescent="0.2">
      <c r="A449" s="3"/>
      <c r="B449" s="4"/>
      <c r="C449" s="4"/>
      <c r="D449" s="4"/>
      <c r="E449" s="4"/>
      <c r="F449" s="4"/>
      <c r="G449" s="4"/>
      <c r="H449" s="4"/>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row>
    <row r="450" spans="1:34" ht="15.75" customHeight="1" x14ac:dyDescent="0.2">
      <c r="A450" s="3"/>
      <c r="B450" s="4"/>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row>
    <row r="451" spans="1:34" ht="15.75" customHeight="1" x14ac:dyDescent="0.2">
      <c r="A451" s="3"/>
      <c r="B451" s="4"/>
      <c r="C451" s="4"/>
      <c r="D451" s="4"/>
      <c r="E451" s="4"/>
      <c r="F451" s="4"/>
      <c r="G451" s="4"/>
      <c r="H451" s="4"/>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row>
    <row r="452" spans="1:34" ht="15.75" customHeight="1" x14ac:dyDescent="0.2">
      <c r="A452" s="3"/>
      <c r="B452" s="4"/>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row>
    <row r="453" spans="1:34" ht="15.75" customHeight="1" x14ac:dyDescent="0.2">
      <c r="A453" s="3"/>
      <c r="B453" s="4"/>
      <c r="C453" s="4"/>
      <c r="D453" s="4"/>
      <c r="E453" s="4"/>
      <c r="F453" s="4"/>
      <c r="G453" s="4"/>
      <c r="H453" s="4"/>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row>
    <row r="454" spans="1:34" ht="15.75" customHeight="1" x14ac:dyDescent="0.2">
      <c r="A454" s="3"/>
      <c r="B454" s="4"/>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row>
    <row r="455" spans="1:34" ht="15.75" customHeight="1" x14ac:dyDescent="0.2">
      <c r="A455" s="3"/>
      <c r="B455" s="4"/>
      <c r="C455" s="4"/>
      <c r="D455" s="4"/>
      <c r="E455" s="4"/>
      <c r="F455" s="4"/>
      <c r="G455" s="4"/>
      <c r="H455" s="4"/>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row>
    <row r="456" spans="1:34" ht="15.75" customHeight="1" x14ac:dyDescent="0.2">
      <c r="A456" s="3"/>
      <c r="B456" s="4"/>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row>
    <row r="457" spans="1:34" ht="15.75" customHeight="1" x14ac:dyDescent="0.2">
      <c r="A457" s="3"/>
      <c r="B457" s="4"/>
      <c r="C457" s="4"/>
      <c r="D457" s="4"/>
      <c r="E457" s="4"/>
      <c r="F457" s="4"/>
      <c r="G457" s="4"/>
      <c r="H457" s="4"/>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row>
    <row r="458" spans="1:34" ht="15.75" customHeight="1" x14ac:dyDescent="0.2">
      <c r="A458" s="3"/>
      <c r="B458" s="4"/>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row>
    <row r="459" spans="1:34" ht="15.75" customHeight="1" x14ac:dyDescent="0.2">
      <c r="A459" s="3"/>
      <c r="B459" s="4"/>
      <c r="C459" s="4"/>
      <c r="D459" s="4"/>
      <c r="E459" s="4"/>
      <c r="F459" s="4"/>
      <c r="G459" s="4"/>
      <c r="H459" s="4"/>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row>
    <row r="460" spans="1:34" ht="15.75" customHeight="1" x14ac:dyDescent="0.2">
      <c r="A460" s="3"/>
      <c r="B460" s="4"/>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row>
    <row r="461" spans="1:34" ht="15.75" customHeight="1" x14ac:dyDescent="0.2">
      <c r="A461" s="3"/>
      <c r="B461" s="4"/>
      <c r="C461" s="4"/>
      <c r="D461" s="4"/>
      <c r="E461" s="4"/>
      <c r="F461" s="4"/>
      <c r="G461" s="4"/>
      <c r="H461" s="4"/>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row>
    <row r="462" spans="1:34" ht="15.75" customHeight="1" x14ac:dyDescent="0.2">
      <c r="A462" s="3"/>
      <c r="B462" s="4"/>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row>
    <row r="463" spans="1:34" ht="15.75" customHeight="1" x14ac:dyDescent="0.2">
      <c r="A463" s="3"/>
      <c r="B463" s="4"/>
      <c r="C463" s="4"/>
      <c r="D463" s="4"/>
      <c r="E463" s="4"/>
      <c r="F463" s="4"/>
      <c r="G463" s="4"/>
      <c r="H463" s="4"/>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row>
    <row r="464" spans="1:34" ht="15.75" customHeight="1" x14ac:dyDescent="0.2">
      <c r="A464" s="3"/>
      <c r="B464" s="4"/>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row>
    <row r="465" spans="1:34" ht="15.75" customHeight="1" x14ac:dyDescent="0.2">
      <c r="A465" s="3"/>
      <c r="B465" s="4"/>
      <c r="C465" s="4"/>
      <c r="D465" s="4"/>
      <c r="E465" s="4"/>
      <c r="F465" s="4"/>
      <c r="G465" s="4"/>
      <c r="H465" s="4"/>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row>
    <row r="466" spans="1:34" ht="15.75" customHeight="1" x14ac:dyDescent="0.2">
      <c r="A466" s="3"/>
      <c r="B466" s="4"/>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row>
    <row r="467" spans="1:34" ht="15.75" customHeight="1" x14ac:dyDescent="0.2">
      <c r="A467" s="3"/>
      <c r="B467" s="4"/>
      <c r="C467" s="4"/>
      <c r="D467" s="4"/>
      <c r="E467" s="4"/>
      <c r="F467" s="4"/>
      <c r="G467" s="4"/>
      <c r="H467" s="4"/>
      <c r="I467" s="4"/>
      <c r="J467" s="4"/>
      <c r="K467" s="4"/>
      <c r="L467" s="4"/>
      <c r="M467" s="4"/>
      <c r="N467" s="4"/>
      <c r="O467" s="4"/>
      <c r="P467" s="4"/>
      <c r="Q467" s="4"/>
      <c r="R467" s="4"/>
      <c r="S467" s="4"/>
      <c r="T467" s="4"/>
      <c r="U467" s="4"/>
      <c r="V467" s="4"/>
      <c r="W467" s="4"/>
      <c r="X467" s="4"/>
      <c r="Y467" s="4"/>
      <c r="Z467" s="4"/>
      <c r="AA467" s="4"/>
      <c r="AB467" s="4"/>
      <c r="AC467" s="4"/>
      <c r="AD467" s="4"/>
      <c r="AE467" s="4"/>
      <c r="AF467" s="4"/>
      <c r="AG467" s="4"/>
      <c r="AH467" s="4"/>
    </row>
    <row r="468" spans="1:34" ht="15.75" customHeight="1" x14ac:dyDescent="0.2">
      <c r="A468" s="3"/>
      <c r="B468" s="4"/>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row>
    <row r="469" spans="1:34" ht="15.75" customHeight="1" x14ac:dyDescent="0.2">
      <c r="A469" s="3"/>
      <c r="B469" s="4"/>
      <c r="C469" s="4"/>
      <c r="D469" s="4"/>
      <c r="E469" s="4"/>
      <c r="F469" s="4"/>
      <c r="G469" s="4"/>
      <c r="H469" s="4"/>
      <c r="I469" s="4"/>
      <c r="J469" s="4"/>
      <c r="K469" s="4"/>
      <c r="L469" s="4"/>
      <c r="M469" s="4"/>
      <c r="N469" s="4"/>
      <c r="O469" s="4"/>
      <c r="P469" s="4"/>
      <c r="Q469" s="4"/>
      <c r="R469" s="4"/>
      <c r="S469" s="4"/>
      <c r="T469" s="4"/>
      <c r="U469" s="4"/>
      <c r="V469" s="4"/>
      <c r="W469" s="4"/>
      <c r="X469" s="4"/>
      <c r="Y469" s="4"/>
      <c r="Z469" s="4"/>
      <c r="AA469" s="4"/>
      <c r="AB469" s="4"/>
      <c r="AC469" s="4"/>
      <c r="AD469" s="4"/>
      <c r="AE469" s="4"/>
      <c r="AF469" s="4"/>
      <c r="AG469" s="4"/>
      <c r="AH469" s="4"/>
    </row>
    <row r="470" spans="1:34" ht="15.75" customHeight="1" x14ac:dyDescent="0.2">
      <c r="A470" s="3"/>
      <c r="B470" s="4"/>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row>
    <row r="471" spans="1:34" ht="15.75" customHeight="1" x14ac:dyDescent="0.2">
      <c r="A471" s="3"/>
      <c r="B471" s="4"/>
      <c r="C471" s="4"/>
      <c r="D471" s="4"/>
      <c r="E471" s="4"/>
      <c r="F471" s="4"/>
      <c r="G471" s="4"/>
      <c r="H471" s="4"/>
      <c r="I471" s="4"/>
      <c r="J471" s="4"/>
      <c r="K471" s="4"/>
      <c r="L471" s="4"/>
      <c r="M471" s="4"/>
      <c r="N471" s="4"/>
      <c r="O471" s="4"/>
      <c r="P471" s="4"/>
      <c r="Q471" s="4"/>
      <c r="R471" s="4"/>
      <c r="S471" s="4"/>
      <c r="T471" s="4"/>
      <c r="U471" s="4"/>
      <c r="V471" s="4"/>
      <c r="W471" s="4"/>
      <c r="X471" s="4"/>
      <c r="Y471" s="4"/>
      <c r="Z471" s="4"/>
      <c r="AA471" s="4"/>
      <c r="AB471" s="4"/>
      <c r="AC471" s="4"/>
      <c r="AD471" s="4"/>
      <c r="AE471" s="4"/>
      <c r="AF471" s="4"/>
      <c r="AG471" s="4"/>
      <c r="AH471" s="4"/>
    </row>
    <row r="472" spans="1:34" ht="15.75" customHeight="1" x14ac:dyDescent="0.2">
      <c r="A472" s="3"/>
      <c r="B472" s="4"/>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row>
    <row r="473" spans="1:34" ht="15.75" customHeight="1" x14ac:dyDescent="0.2">
      <c r="A473" s="3"/>
      <c r="B473" s="4"/>
      <c r="C473" s="4"/>
      <c r="D473" s="4"/>
      <c r="E473" s="4"/>
      <c r="F473" s="4"/>
      <c r="G473" s="4"/>
      <c r="H473" s="4"/>
      <c r="I473" s="4"/>
      <c r="J473" s="4"/>
      <c r="K473" s="4"/>
      <c r="L473" s="4"/>
      <c r="M473" s="4"/>
      <c r="N473" s="4"/>
      <c r="O473" s="4"/>
      <c r="P473" s="4"/>
      <c r="Q473" s="4"/>
      <c r="R473" s="4"/>
      <c r="S473" s="4"/>
      <c r="T473" s="4"/>
      <c r="U473" s="4"/>
      <c r="V473" s="4"/>
      <c r="W473" s="4"/>
      <c r="X473" s="4"/>
      <c r="Y473" s="4"/>
      <c r="Z473" s="4"/>
      <c r="AA473" s="4"/>
      <c r="AB473" s="4"/>
      <c r="AC473" s="4"/>
      <c r="AD473" s="4"/>
      <c r="AE473" s="4"/>
      <c r="AF473" s="4"/>
      <c r="AG473" s="4"/>
      <c r="AH473" s="4"/>
    </row>
    <row r="474" spans="1:34" ht="15.75" customHeight="1" x14ac:dyDescent="0.2">
      <c r="A474" s="3"/>
      <c r="B474" s="4"/>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row>
    <row r="475" spans="1:34" ht="15.75" customHeight="1" x14ac:dyDescent="0.2">
      <c r="A475" s="3"/>
      <c r="B475" s="4"/>
      <c r="C475" s="4"/>
      <c r="D475" s="4"/>
      <c r="E475" s="4"/>
      <c r="F475" s="4"/>
      <c r="G475" s="4"/>
      <c r="H475" s="4"/>
      <c r="I475" s="4"/>
      <c r="J475" s="4"/>
      <c r="K475" s="4"/>
      <c r="L475" s="4"/>
      <c r="M475" s="4"/>
      <c r="N475" s="4"/>
      <c r="O475" s="4"/>
      <c r="P475" s="4"/>
      <c r="Q475" s="4"/>
      <c r="R475" s="4"/>
      <c r="S475" s="4"/>
      <c r="T475" s="4"/>
      <c r="U475" s="4"/>
      <c r="V475" s="4"/>
      <c r="W475" s="4"/>
      <c r="X475" s="4"/>
      <c r="Y475" s="4"/>
      <c r="Z475" s="4"/>
      <c r="AA475" s="4"/>
      <c r="AB475" s="4"/>
      <c r="AC475" s="4"/>
      <c r="AD475" s="4"/>
      <c r="AE475" s="4"/>
      <c r="AF475" s="4"/>
      <c r="AG475" s="4"/>
      <c r="AH475" s="4"/>
    </row>
    <row r="476" spans="1:34" ht="15.75" customHeight="1" x14ac:dyDescent="0.2">
      <c r="A476" s="3"/>
      <c r="B476" s="4"/>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row>
    <row r="477" spans="1:34" ht="15.75" customHeight="1" x14ac:dyDescent="0.2">
      <c r="A477" s="3"/>
      <c r="B477" s="4"/>
      <c r="C477" s="4"/>
      <c r="D477" s="4"/>
      <c r="E477" s="4"/>
      <c r="F477" s="4"/>
      <c r="G477" s="4"/>
      <c r="H477" s="4"/>
      <c r="I477" s="4"/>
      <c r="J477" s="4"/>
      <c r="K477" s="4"/>
      <c r="L477" s="4"/>
      <c r="M477" s="4"/>
      <c r="N477" s="4"/>
      <c r="O477" s="4"/>
      <c r="P477" s="4"/>
      <c r="Q477" s="4"/>
      <c r="R477" s="4"/>
      <c r="S477" s="4"/>
      <c r="T477" s="4"/>
      <c r="U477" s="4"/>
      <c r="V477" s="4"/>
      <c r="W477" s="4"/>
      <c r="X477" s="4"/>
      <c r="Y477" s="4"/>
      <c r="Z477" s="4"/>
      <c r="AA477" s="4"/>
      <c r="AB477" s="4"/>
      <c r="AC477" s="4"/>
      <c r="AD477" s="4"/>
      <c r="AE477" s="4"/>
      <c r="AF477" s="4"/>
      <c r="AG477" s="4"/>
      <c r="AH477" s="4"/>
    </row>
    <row r="478" spans="1:34" ht="15.75" customHeight="1" x14ac:dyDescent="0.2">
      <c r="A478" s="3"/>
      <c r="B478" s="4"/>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row>
    <row r="479" spans="1:34" ht="15.75" customHeight="1" x14ac:dyDescent="0.2">
      <c r="A479" s="3"/>
      <c r="B479" s="4"/>
      <c r="C479" s="4"/>
      <c r="D479" s="4"/>
      <c r="E479" s="4"/>
      <c r="F479" s="4"/>
      <c r="G479" s="4"/>
      <c r="H479" s="4"/>
      <c r="I479" s="4"/>
      <c r="J479" s="4"/>
      <c r="K479" s="4"/>
      <c r="L479" s="4"/>
      <c r="M479" s="4"/>
      <c r="N479" s="4"/>
      <c r="O479" s="4"/>
      <c r="P479" s="4"/>
      <c r="Q479" s="4"/>
      <c r="R479" s="4"/>
      <c r="S479" s="4"/>
      <c r="T479" s="4"/>
      <c r="U479" s="4"/>
      <c r="V479" s="4"/>
      <c r="W479" s="4"/>
      <c r="X479" s="4"/>
      <c r="Y479" s="4"/>
      <c r="Z479" s="4"/>
      <c r="AA479" s="4"/>
      <c r="AB479" s="4"/>
      <c r="AC479" s="4"/>
      <c r="AD479" s="4"/>
      <c r="AE479" s="4"/>
      <c r="AF479" s="4"/>
      <c r="AG479" s="4"/>
      <c r="AH479" s="4"/>
    </row>
    <row r="480" spans="1:34" ht="15.75" customHeight="1" x14ac:dyDescent="0.2">
      <c r="A480" s="3"/>
      <c r="B480" s="4"/>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row>
    <row r="481" spans="1:34" ht="15.75" customHeight="1" x14ac:dyDescent="0.2">
      <c r="A481" s="3"/>
      <c r="B481" s="4"/>
      <c r="C481" s="4"/>
      <c r="D481" s="4"/>
      <c r="E481" s="4"/>
      <c r="F481" s="4"/>
      <c r="G481" s="4"/>
      <c r="H481" s="4"/>
      <c r="I481" s="4"/>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row>
    <row r="482" spans="1:34" ht="15.75" customHeight="1" x14ac:dyDescent="0.2">
      <c r="A482" s="3"/>
      <c r="B482" s="4"/>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row>
    <row r="483" spans="1:34" ht="15.75" customHeight="1" x14ac:dyDescent="0.2">
      <c r="A483" s="3"/>
      <c r="B483" s="4"/>
      <c r="C483" s="4"/>
      <c r="D483" s="4"/>
      <c r="E483" s="4"/>
      <c r="F483" s="4"/>
      <c r="G483" s="4"/>
      <c r="H483" s="4"/>
      <c r="I483" s="4"/>
      <c r="J483" s="4"/>
      <c r="K483" s="4"/>
      <c r="L483" s="4"/>
      <c r="M483" s="4"/>
      <c r="N483" s="4"/>
      <c r="O483" s="4"/>
      <c r="P483" s="4"/>
      <c r="Q483" s="4"/>
      <c r="R483" s="4"/>
      <c r="S483" s="4"/>
      <c r="T483" s="4"/>
      <c r="U483" s="4"/>
      <c r="V483" s="4"/>
      <c r="W483" s="4"/>
      <c r="X483" s="4"/>
      <c r="Y483" s="4"/>
      <c r="Z483" s="4"/>
      <c r="AA483" s="4"/>
      <c r="AB483" s="4"/>
      <c r="AC483" s="4"/>
      <c r="AD483" s="4"/>
      <c r="AE483" s="4"/>
      <c r="AF483" s="4"/>
      <c r="AG483" s="4"/>
      <c r="AH483" s="4"/>
    </row>
    <row r="484" spans="1:34" ht="15.75" customHeight="1" x14ac:dyDescent="0.2">
      <c r="A484" s="3"/>
      <c r="B484" s="4"/>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row>
    <row r="485" spans="1:34" ht="15.75" customHeight="1" x14ac:dyDescent="0.2">
      <c r="A485" s="3"/>
      <c r="B485" s="4"/>
      <c r="C485" s="4"/>
      <c r="D485" s="4"/>
      <c r="E485" s="4"/>
      <c r="F485" s="4"/>
      <c r="G485" s="4"/>
      <c r="H485" s="4"/>
      <c r="I485" s="4"/>
      <c r="J485" s="4"/>
      <c r="K485" s="4"/>
      <c r="L485" s="4"/>
      <c r="M485" s="4"/>
      <c r="N485" s="4"/>
      <c r="O485" s="4"/>
      <c r="P485" s="4"/>
      <c r="Q485" s="4"/>
      <c r="R485" s="4"/>
      <c r="S485" s="4"/>
      <c r="T485" s="4"/>
      <c r="U485" s="4"/>
      <c r="V485" s="4"/>
      <c r="W485" s="4"/>
      <c r="X485" s="4"/>
      <c r="Y485" s="4"/>
      <c r="Z485" s="4"/>
      <c r="AA485" s="4"/>
      <c r="AB485" s="4"/>
      <c r="AC485" s="4"/>
      <c r="AD485" s="4"/>
      <c r="AE485" s="4"/>
      <c r="AF485" s="4"/>
      <c r="AG485" s="4"/>
      <c r="AH485" s="4"/>
    </row>
    <row r="486" spans="1:34" ht="15.75" customHeight="1" x14ac:dyDescent="0.2">
      <c r="A486" s="3"/>
      <c r="B486" s="4"/>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row>
    <row r="487" spans="1:34" ht="15.75" customHeight="1" x14ac:dyDescent="0.2">
      <c r="A487" s="3"/>
      <c r="B487" s="4"/>
      <c r="C487" s="4"/>
      <c r="D487" s="4"/>
      <c r="E487" s="4"/>
      <c r="F487" s="4"/>
      <c r="G487" s="4"/>
      <c r="H487" s="4"/>
      <c r="I487" s="4"/>
      <c r="J487" s="4"/>
      <c r="K487" s="4"/>
      <c r="L487" s="4"/>
      <c r="M487" s="4"/>
      <c r="N487" s="4"/>
      <c r="O487" s="4"/>
      <c r="P487" s="4"/>
      <c r="Q487" s="4"/>
      <c r="R487" s="4"/>
      <c r="S487" s="4"/>
      <c r="T487" s="4"/>
      <c r="U487" s="4"/>
      <c r="V487" s="4"/>
      <c r="W487" s="4"/>
      <c r="X487" s="4"/>
      <c r="Y487" s="4"/>
      <c r="Z487" s="4"/>
      <c r="AA487" s="4"/>
      <c r="AB487" s="4"/>
      <c r="AC487" s="4"/>
      <c r="AD487" s="4"/>
      <c r="AE487" s="4"/>
      <c r="AF487" s="4"/>
      <c r="AG487" s="4"/>
      <c r="AH487" s="4"/>
    </row>
    <row r="488" spans="1:34" ht="15.75" customHeight="1" x14ac:dyDescent="0.2">
      <c r="A488" s="3"/>
      <c r="B488" s="4"/>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row>
    <row r="489" spans="1:34" ht="15.75" customHeight="1" x14ac:dyDescent="0.2">
      <c r="A489" s="3"/>
      <c r="B489" s="4"/>
      <c r="C489" s="4"/>
      <c r="D489" s="4"/>
      <c r="E489" s="4"/>
      <c r="F489" s="4"/>
      <c r="G489" s="4"/>
      <c r="H489" s="4"/>
      <c r="I489" s="4"/>
      <c r="J489" s="4"/>
      <c r="K489" s="4"/>
      <c r="L489" s="4"/>
      <c r="M489" s="4"/>
      <c r="N489" s="4"/>
      <c r="O489" s="4"/>
      <c r="P489" s="4"/>
      <c r="Q489" s="4"/>
      <c r="R489" s="4"/>
      <c r="S489" s="4"/>
      <c r="T489" s="4"/>
      <c r="U489" s="4"/>
      <c r="V489" s="4"/>
      <c r="W489" s="4"/>
      <c r="X489" s="4"/>
      <c r="Y489" s="4"/>
      <c r="Z489" s="4"/>
      <c r="AA489" s="4"/>
      <c r="AB489" s="4"/>
      <c r="AC489" s="4"/>
      <c r="AD489" s="4"/>
      <c r="AE489" s="4"/>
      <c r="AF489" s="4"/>
      <c r="AG489" s="4"/>
      <c r="AH489" s="4"/>
    </row>
    <row r="490" spans="1:34" ht="15.75" customHeight="1" x14ac:dyDescent="0.2">
      <c r="A490" s="3"/>
      <c r="B490" s="4"/>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row>
    <row r="491" spans="1:34" ht="15.75" customHeight="1" x14ac:dyDescent="0.2">
      <c r="A491" s="3"/>
      <c r="B491" s="4"/>
      <c r="C491" s="4"/>
      <c r="D491" s="4"/>
      <c r="E491" s="4"/>
      <c r="F491" s="4"/>
      <c r="G491" s="4"/>
      <c r="H491" s="4"/>
      <c r="I491" s="4"/>
      <c r="J491" s="4"/>
      <c r="K491" s="4"/>
      <c r="L491" s="4"/>
      <c r="M491" s="4"/>
      <c r="N491" s="4"/>
      <c r="O491" s="4"/>
      <c r="P491" s="4"/>
      <c r="Q491" s="4"/>
      <c r="R491" s="4"/>
      <c r="S491" s="4"/>
      <c r="T491" s="4"/>
      <c r="U491" s="4"/>
      <c r="V491" s="4"/>
      <c r="W491" s="4"/>
      <c r="X491" s="4"/>
      <c r="Y491" s="4"/>
      <c r="Z491" s="4"/>
      <c r="AA491" s="4"/>
      <c r="AB491" s="4"/>
      <c r="AC491" s="4"/>
      <c r="AD491" s="4"/>
      <c r="AE491" s="4"/>
      <c r="AF491" s="4"/>
      <c r="AG491" s="4"/>
      <c r="AH491" s="4"/>
    </row>
    <row r="492" spans="1:34" ht="15.75" customHeight="1" x14ac:dyDescent="0.2">
      <c r="A492" s="3"/>
      <c r="B492" s="4"/>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row>
    <row r="493" spans="1:34" ht="15.75" customHeight="1" x14ac:dyDescent="0.2">
      <c r="A493" s="3"/>
      <c r="B493" s="4"/>
      <c r="C493" s="4"/>
      <c r="D493" s="4"/>
      <c r="E493" s="4"/>
      <c r="F493" s="4"/>
      <c r="G493" s="4"/>
      <c r="H493" s="4"/>
      <c r="I493" s="4"/>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row>
    <row r="494" spans="1:34" ht="15.75" customHeight="1" x14ac:dyDescent="0.2">
      <c r="A494" s="3"/>
      <c r="B494" s="4"/>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row>
    <row r="495" spans="1:34" ht="15.75" customHeight="1" x14ac:dyDescent="0.2">
      <c r="A495" s="3"/>
      <c r="B495" s="4"/>
      <c r="C495" s="4"/>
      <c r="D495" s="4"/>
      <c r="E495" s="4"/>
      <c r="F495" s="4"/>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row>
    <row r="496" spans="1:34" ht="15.75" customHeight="1" x14ac:dyDescent="0.2">
      <c r="A496" s="3"/>
      <c r="B496" s="4"/>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row>
    <row r="497" spans="1:34" ht="15.75" customHeight="1" x14ac:dyDescent="0.2">
      <c r="A497" s="3"/>
      <c r="B497" s="4"/>
      <c r="C497" s="4"/>
      <c r="D497" s="4"/>
      <c r="E497" s="4"/>
      <c r="F497" s="4"/>
      <c r="G497" s="4"/>
      <c r="H497" s="4"/>
      <c r="I497" s="4"/>
      <c r="J497" s="4"/>
      <c r="K497" s="4"/>
      <c r="L497" s="4"/>
      <c r="M497" s="4"/>
      <c r="N497" s="4"/>
      <c r="O497" s="4"/>
      <c r="P497" s="4"/>
      <c r="Q497" s="4"/>
      <c r="R497" s="4"/>
      <c r="S497" s="4"/>
      <c r="T497" s="4"/>
      <c r="U497" s="4"/>
      <c r="V497" s="4"/>
      <c r="W497" s="4"/>
      <c r="X497" s="4"/>
      <c r="Y497" s="4"/>
      <c r="Z497" s="4"/>
      <c r="AA497" s="4"/>
      <c r="AB497" s="4"/>
      <c r="AC497" s="4"/>
      <c r="AD497" s="4"/>
      <c r="AE497" s="4"/>
      <c r="AF497" s="4"/>
      <c r="AG497" s="4"/>
      <c r="AH497" s="4"/>
    </row>
    <row r="498" spans="1:34" ht="15.75" customHeight="1" x14ac:dyDescent="0.2">
      <c r="A498" s="3"/>
      <c r="B498" s="4"/>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row>
    <row r="499" spans="1:34" ht="15.75" customHeight="1" x14ac:dyDescent="0.2">
      <c r="A499" s="3"/>
      <c r="B499" s="4"/>
      <c r="C499" s="4"/>
      <c r="D499" s="4"/>
      <c r="E499" s="4"/>
      <c r="F499" s="4"/>
      <c r="G499" s="4"/>
      <c r="H499" s="4"/>
      <c r="I499" s="4"/>
      <c r="J499" s="4"/>
      <c r="K499" s="4"/>
      <c r="L499" s="4"/>
      <c r="M499" s="4"/>
      <c r="N499" s="4"/>
      <c r="O499" s="4"/>
      <c r="P499" s="4"/>
      <c r="Q499" s="4"/>
      <c r="R499" s="4"/>
      <c r="S499" s="4"/>
      <c r="T499" s="4"/>
      <c r="U499" s="4"/>
      <c r="V499" s="4"/>
      <c r="W499" s="4"/>
      <c r="X499" s="4"/>
      <c r="Y499" s="4"/>
      <c r="Z499" s="4"/>
      <c r="AA499" s="4"/>
      <c r="AB499" s="4"/>
      <c r="AC499" s="4"/>
      <c r="AD499" s="4"/>
      <c r="AE499" s="4"/>
      <c r="AF499" s="4"/>
      <c r="AG499" s="4"/>
      <c r="AH499" s="4"/>
    </row>
    <row r="500" spans="1:34" ht="15.75" customHeight="1" x14ac:dyDescent="0.2">
      <c r="A500" s="3"/>
      <c r="B500" s="4"/>
      <c r="C500" s="4"/>
      <c r="D500" s="4"/>
      <c r="E500" s="4"/>
      <c r="F500" s="4"/>
      <c r="G500" s="4"/>
      <c r="H500" s="4"/>
      <c r="I500" s="4"/>
      <c r="J500" s="4"/>
      <c r="K500" s="4"/>
      <c r="L500" s="4"/>
      <c r="M500" s="4"/>
      <c r="N500" s="4"/>
      <c r="O500" s="4"/>
      <c r="P500" s="4"/>
      <c r="Q500" s="4"/>
      <c r="R500" s="4"/>
      <c r="S500" s="4"/>
      <c r="T500" s="4"/>
      <c r="U500" s="4"/>
      <c r="V500" s="4"/>
      <c r="W500" s="4"/>
      <c r="X500" s="4"/>
      <c r="Y500" s="4"/>
      <c r="Z500" s="4"/>
      <c r="AA500" s="4"/>
      <c r="AB500" s="4"/>
      <c r="AC500" s="4"/>
      <c r="AD500" s="4"/>
      <c r="AE500" s="4"/>
      <c r="AF500" s="4"/>
      <c r="AG500" s="4"/>
      <c r="AH500" s="4"/>
    </row>
    <row r="501" spans="1:34" ht="15.75" customHeight="1" x14ac:dyDescent="0.2">
      <c r="A501" s="3"/>
      <c r="B501" s="4"/>
      <c r="C501" s="4"/>
      <c r="D501" s="4"/>
      <c r="E501" s="4"/>
      <c r="F501" s="4"/>
      <c r="G501" s="4"/>
      <c r="H501" s="4"/>
      <c r="I501" s="4"/>
      <c r="J501" s="4"/>
      <c r="K501" s="4"/>
      <c r="L501" s="4"/>
      <c r="M501" s="4"/>
      <c r="N501" s="4"/>
      <c r="O501" s="4"/>
      <c r="P501" s="4"/>
      <c r="Q501" s="4"/>
      <c r="R501" s="4"/>
      <c r="S501" s="4"/>
      <c r="T501" s="4"/>
      <c r="U501" s="4"/>
      <c r="V501" s="4"/>
      <c r="W501" s="4"/>
      <c r="X501" s="4"/>
      <c r="Y501" s="4"/>
      <c r="Z501" s="4"/>
      <c r="AA501" s="4"/>
      <c r="AB501" s="4"/>
      <c r="AC501" s="4"/>
      <c r="AD501" s="4"/>
      <c r="AE501" s="4"/>
      <c r="AF501" s="4"/>
      <c r="AG501" s="4"/>
      <c r="AH501" s="4"/>
    </row>
    <row r="502" spans="1:34" ht="15.75" customHeight="1" x14ac:dyDescent="0.2">
      <c r="A502" s="3"/>
      <c r="B502" s="4"/>
      <c r="C502" s="4"/>
      <c r="D502" s="4"/>
      <c r="E502" s="4"/>
      <c r="F502" s="4"/>
      <c r="G502" s="4"/>
      <c r="H502" s="4"/>
      <c r="I502" s="4"/>
      <c r="J502" s="4"/>
      <c r="K502" s="4"/>
      <c r="L502" s="4"/>
      <c r="M502" s="4"/>
      <c r="N502" s="4"/>
      <c r="O502" s="4"/>
      <c r="P502" s="4"/>
      <c r="Q502" s="4"/>
      <c r="R502" s="4"/>
      <c r="S502" s="4"/>
      <c r="T502" s="4"/>
      <c r="U502" s="4"/>
      <c r="V502" s="4"/>
      <c r="W502" s="4"/>
      <c r="X502" s="4"/>
      <c r="Y502" s="4"/>
      <c r="Z502" s="4"/>
      <c r="AA502" s="4"/>
      <c r="AB502" s="4"/>
      <c r="AC502" s="4"/>
      <c r="AD502" s="4"/>
      <c r="AE502" s="4"/>
      <c r="AF502" s="4"/>
      <c r="AG502" s="4"/>
      <c r="AH502" s="4"/>
    </row>
    <row r="503" spans="1:34" ht="15.75" customHeight="1" x14ac:dyDescent="0.2">
      <c r="A503" s="3"/>
      <c r="B503" s="4"/>
      <c r="C503" s="4"/>
      <c r="D503" s="4"/>
      <c r="E503" s="4"/>
      <c r="F503" s="4"/>
      <c r="G503" s="4"/>
      <c r="H503" s="4"/>
      <c r="I503" s="4"/>
      <c r="J503" s="4"/>
      <c r="K503" s="4"/>
      <c r="L503" s="4"/>
      <c r="M503" s="4"/>
      <c r="N503" s="4"/>
      <c r="O503" s="4"/>
      <c r="P503" s="4"/>
      <c r="Q503" s="4"/>
      <c r="R503" s="4"/>
      <c r="S503" s="4"/>
      <c r="T503" s="4"/>
      <c r="U503" s="4"/>
      <c r="V503" s="4"/>
      <c r="W503" s="4"/>
      <c r="X503" s="4"/>
      <c r="Y503" s="4"/>
      <c r="Z503" s="4"/>
      <c r="AA503" s="4"/>
      <c r="AB503" s="4"/>
      <c r="AC503" s="4"/>
      <c r="AD503" s="4"/>
      <c r="AE503" s="4"/>
      <c r="AF503" s="4"/>
      <c r="AG503" s="4"/>
      <c r="AH503" s="4"/>
    </row>
    <row r="504" spans="1:34" ht="15.75" customHeight="1" x14ac:dyDescent="0.2">
      <c r="A504" s="3"/>
      <c r="B504" s="4"/>
      <c r="C504" s="4"/>
      <c r="D504" s="4"/>
      <c r="E504" s="4"/>
      <c r="F504" s="4"/>
      <c r="G504" s="4"/>
      <c r="H504" s="4"/>
      <c r="I504" s="4"/>
      <c r="J504" s="4"/>
      <c r="K504" s="4"/>
      <c r="L504" s="4"/>
      <c r="M504" s="4"/>
      <c r="N504" s="4"/>
      <c r="O504" s="4"/>
      <c r="P504" s="4"/>
      <c r="Q504" s="4"/>
      <c r="R504" s="4"/>
      <c r="S504" s="4"/>
      <c r="T504" s="4"/>
      <c r="U504" s="4"/>
      <c r="V504" s="4"/>
      <c r="W504" s="4"/>
      <c r="X504" s="4"/>
      <c r="Y504" s="4"/>
      <c r="Z504" s="4"/>
      <c r="AA504" s="4"/>
      <c r="AB504" s="4"/>
      <c r="AC504" s="4"/>
      <c r="AD504" s="4"/>
      <c r="AE504" s="4"/>
      <c r="AF504" s="4"/>
      <c r="AG504" s="4"/>
      <c r="AH504" s="4"/>
    </row>
    <row r="505" spans="1:34" ht="15.75" customHeight="1" x14ac:dyDescent="0.2">
      <c r="A505" s="3"/>
      <c r="B505" s="4"/>
      <c r="C505" s="4"/>
      <c r="D505" s="4"/>
      <c r="E505" s="4"/>
      <c r="F505" s="4"/>
      <c r="G505" s="4"/>
      <c r="H505" s="4"/>
      <c r="I505" s="4"/>
      <c r="J505" s="4"/>
      <c r="K505" s="4"/>
      <c r="L505" s="4"/>
      <c r="M505" s="4"/>
      <c r="N505" s="4"/>
      <c r="O505" s="4"/>
      <c r="P505" s="4"/>
      <c r="Q505" s="4"/>
      <c r="R505" s="4"/>
      <c r="S505" s="4"/>
      <c r="T505" s="4"/>
      <c r="U505" s="4"/>
      <c r="V505" s="4"/>
      <c r="W505" s="4"/>
      <c r="X505" s="4"/>
      <c r="Y505" s="4"/>
      <c r="Z505" s="4"/>
      <c r="AA505" s="4"/>
      <c r="AB505" s="4"/>
      <c r="AC505" s="4"/>
      <c r="AD505" s="4"/>
      <c r="AE505" s="4"/>
      <c r="AF505" s="4"/>
      <c r="AG505" s="4"/>
      <c r="AH505" s="4"/>
    </row>
    <row r="506" spans="1:34" ht="15.75" customHeight="1" x14ac:dyDescent="0.2">
      <c r="A506" s="3"/>
      <c r="B506" s="4"/>
      <c r="C506" s="4"/>
      <c r="D506" s="4"/>
      <c r="E506" s="4"/>
      <c r="F506" s="4"/>
      <c r="G506" s="4"/>
      <c r="H506" s="4"/>
      <c r="I506" s="4"/>
      <c r="J506" s="4"/>
      <c r="K506" s="4"/>
      <c r="L506" s="4"/>
      <c r="M506" s="4"/>
      <c r="N506" s="4"/>
      <c r="O506" s="4"/>
      <c r="P506" s="4"/>
      <c r="Q506" s="4"/>
      <c r="R506" s="4"/>
      <c r="S506" s="4"/>
      <c r="T506" s="4"/>
      <c r="U506" s="4"/>
      <c r="V506" s="4"/>
      <c r="W506" s="4"/>
      <c r="X506" s="4"/>
      <c r="Y506" s="4"/>
      <c r="Z506" s="4"/>
      <c r="AA506" s="4"/>
      <c r="AB506" s="4"/>
      <c r="AC506" s="4"/>
      <c r="AD506" s="4"/>
      <c r="AE506" s="4"/>
      <c r="AF506" s="4"/>
      <c r="AG506" s="4"/>
      <c r="AH506" s="4"/>
    </row>
    <row r="507" spans="1:34" ht="15.75" customHeight="1" x14ac:dyDescent="0.2">
      <c r="A507" s="3"/>
      <c r="B507" s="4"/>
      <c r="C507" s="4"/>
      <c r="D507" s="4"/>
      <c r="E507" s="4"/>
      <c r="F507" s="4"/>
      <c r="G507" s="4"/>
      <c r="H507" s="4"/>
      <c r="I507" s="4"/>
      <c r="J507" s="4"/>
      <c r="K507" s="4"/>
      <c r="L507" s="4"/>
      <c r="M507" s="4"/>
      <c r="N507" s="4"/>
      <c r="O507" s="4"/>
      <c r="P507" s="4"/>
      <c r="Q507" s="4"/>
      <c r="R507" s="4"/>
      <c r="S507" s="4"/>
      <c r="T507" s="4"/>
      <c r="U507" s="4"/>
      <c r="V507" s="4"/>
      <c r="W507" s="4"/>
      <c r="X507" s="4"/>
      <c r="Y507" s="4"/>
      <c r="Z507" s="4"/>
      <c r="AA507" s="4"/>
      <c r="AB507" s="4"/>
      <c r="AC507" s="4"/>
      <c r="AD507" s="4"/>
      <c r="AE507" s="4"/>
      <c r="AF507" s="4"/>
      <c r="AG507" s="4"/>
      <c r="AH507" s="4"/>
    </row>
    <row r="508" spans="1:34" ht="15.75" customHeight="1" x14ac:dyDescent="0.2">
      <c r="A508" s="3"/>
      <c r="B508" s="4"/>
      <c r="C508" s="4"/>
      <c r="D508" s="4"/>
      <c r="E508" s="4"/>
      <c r="F508" s="4"/>
      <c r="G508" s="4"/>
      <c r="H508" s="4"/>
      <c r="I508" s="4"/>
      <c r="J508" s="4"/>
      <c r="K508" s="4"/>
      <c r="L508" s="4"/>
      <c r="M508" s="4"/>
      <c r="N508" s="4"/>
      <c r="O508" s="4"/>
      <c r="P508" s="4"/>
      <c r="Q508" s="4"/>
      <c r="R508" s="4"/>
      <c r="S508" s="4"/>
      <c r="T508" s="4"/>
      <c r="U508" s="4"/>
      <c r="V508" s="4"/>
      <c r="W508" s="4"/>
      <c r="X508" s="4"/>
      <c r="Y508" s="4"/>
      <c r="Z508" s="4"/>
      <c r="AA508" s="4"/>
      <c r="AB508" s="4"/>
      <c r="AC508" s="4"/>
      <c r="AD508" s="4"/>
      <c r="AE508" s="4"/>
      <c r="AF508" s="4"/>
      <c r="AG508" s="4"/>
      <c r="AH508" s="4"/>
    </row>
    <row r="509" spans="1:34" ht="15.75" customHeight="1" x14ac:dyDescent="0.2">
      <c r="A509" s="3"/>
      <c r="B509" s="4"/>
      <c r="C509" s="4"/>
      <c r="D509" s="4"/>
      <c r="E509" s="4"/>
      <c r="F509" s="4"/>
      <c r="G509" s="4"/>
      <c r="H509" s="4"/>
      <c r="I509" s="4"/>
      <c r="J509" s="4"/>
      <c r="K509" s="4"/>
      <c r="L509" s="4"/>
      <c r="M509" s="4"/>
      <c r="N509" s="4"/>
      <c r="O509" s="4"/>
      <c r="P509" s="4"/>
      <c r="Q509" s="4"/>
      <c r="R509" s="4"/>
      <c r="S509" s="4"/>
      <c r="T509" s="4"/>
      <c r="U509" s="4"/>
      <c r="V509" s="4"/>
      <c r="W509" s="4"/>
      <c r="X509" s="4"/>
      <c r="Y509" s="4"/>
      <c r="Z509" s="4"/>
      <c r="AA509" s="4"/>
      <c r="AB509" s="4"/>
      <c r="AC509" s="4"/>
      <c r="AD509" s="4"/>
      <c r="AE509" s="4"/>
      <c r="AF509" s="4"/>
      <c r="AG509" s="4"/>
      <c r="AH509" s="4"/>
    </row>
    <row r="510" spans="1:34" ht="15.75" customHeight="1" x14ac:dyDescent="0.2">
      <c r="A510" s="3"/>
      <c r="B510" s="4"/>
      <c r="C510" s="4"/>
      <c r="D510" s="4"/>
      <c r="E510" s="4"/>
      <c r="F510" s="4"/>
      <c r="G510" s="4"/>
      <c r="H510" s="4"/>
      <c r="I510" s="4"/>
      <c r="J510" s="4"/>
      <c r="K510" s="4"/>
      <c r="L510" s="4"/>
      <c r="M510" s="4"/>
      <c r="N510" s="4"/>
      <c r="O510" s="4"/>
      <c r="P510" s="4"/>
      <c r="Q510" s="4"/>
      <c r="R510" s="4"/>
      <c r="S510" s="4"/>
      <c r="T510" s="4"/>
      <c r="U510" s="4"/>
      <c r="V510" s="4"/>
      <c r="W510" s="4"/>
      <c r="X510" s="4"/>
      <c r="Y510" s="4"/>
      <c r="Z510" s="4"/>
      <c r="AA510" s="4"/>
      <c r="AB510" s="4"/>
      <c r="AC510" s="4"/>
      <c r="AD510" s="4"/>
      <c r="AE510" s="4"/>
      <c r="AF510" s="4"/>
      <c r="AG510" s="4"/>
      <c r="AH510" s="4"/>
    </row>
    <row r="511" spans="1:34" ht="15.75" customHeight="1" x14ac:dyDescent="0.2">
      <c r="A511" s="3"/>
      <c r="B511" s="4"/>
      <c r="C511" s="4"/>
      <c r="D511" s="4"/>
      <c r="E511" s="4"/>
      <c r="F511" s="4"/>
      <c r="G511" s="4"/>
      <c r="H511" s="4"/>
      <c r="I511" s="4"/>
      <c r="J511" s="4"/>
      <c r="K511" s="4"/>
      <c r="L511" s="4"/>
      <c r="M511" s="4"/>
      <c r="N511" s="4"/>
      <c r="O511" s="4"/>
      <c r="P511" s="4"/>
      <c r="Q511" s="4"/>
      <c r="R511" s="4"/>
      <c r="S511" s="4"/>
      <c r="T511" s="4"/>
      <c r="U511" s="4"/>
      <c r="V511" s="4"/>
      <c r="W511" s="4"/>
      <c r="X511" s="4"/>
      <c r="Y511" s="4"/>
      <c r="Z511" s="4"/>
      <c r="AA511" s="4"/>
      <c r="AB511" s="4"/>
      <c r="AC511" s="4"/>
      <c r="AD511" s="4"/>
      <c r="AE511" s="4"/>
      <c r="AF511" s="4"/>
      <c r="AG511" s="4"/>
      <c r="AH511" s="4"/>
    </row>
    <row r="512" spans="1:34" ht="15.75" customHeight="1" x14ac:dyDescent="0.2">
      <c r="A512" s="3"/>
      <c r="B512" s="4"/>
      <c r="C512" s="4"/>
      <c r="D512" s="4"/>
      <c r="E512" s="4"/>
      <c r="F512" s="4"/>
      <c r="G512" s="4"/>
      <c r="H512" s="4"/>
      <c r="I512" s="4"/>
      <c r="J512" s="4"/>
      <c r="K512" s="4"/>
      <c r="L512" s="4"/>
      <c r="M512" s="4"/>
      <c r="N512" s="4"/>
      <c r="O512" s="4"/>
      <c r="P512" s="4"/>
      <c r="Q512" s="4"/>
      <c r="R512" s="4"/>
      <c r="S512" s="4"/>
      <c r="T512" s="4"/>
      <c r="U512" s="4"/>
      <c r="V512" s="4"/>
      <c r="W512" s="4"/>
      <c r="X512" s="4"/>
      <c r="Y512" s="4"/>
      <c r="Z512" s="4"/>
      <c r="AA512" s="4"/>
      <c r="AB512" s="4"/>
      <c r="AC512" s="4"/>
      <c r="AD512" s="4"/>
      <c r="AE512" s="4"/>
      <c r="AF512" s="4"/>
      <c r="AG512" s="4"/>
      <c r="AH512" s="4"/>
    </row>
    <row r="513" spans="1:34" ht="15.75" customHeight="1" x14ac:dyDescent="0.2">
      <c r="A513" s="3"/>
      <c r="B513" s="4"/>
      <c r="C513" s="4"/>
      <c r="D513" s="4"/>
      <c r="E513" s="4"/>
      <c r="F513" s="4"/>
      <c r="G513" s="4"/>
      <c r="H513" s="4"/>
      <c r="I513" s="4"/>
      <c r="J513" s="4"/>
      <c r="K513" s="4"/>
      <c r="L513" s="4"/>
      <c r="M513" s="4"/>
      <c r="N513" s="4"/>
      <c r="O513" s="4"/>
      <c r="P513" s="4"/>
      <c r="Q513" s="4"/>
      <c r="R513" s="4"/>
      <c r="S513" s="4"/>
      <c r="T513" s="4"/>
      <c r="U513" s="4"/>
      <c r="V513" s="4"/>
      <c r="W513" s="4"/>
      <c r="X513" s="4"/>
      <c r="Y513" s="4"/>
      <c r="Z513" s="4"/>
      <c r="AA513" s="4"/>
      <c r="AB513" s="4"/>
      <c r="AC513" s="4"/>
      <c r="AD513" s="4"/>
      <c r="AE513" s="4"/>
      <c r="AF513" s="4"/>
      <c r="AG513" s="4"/>
      <c r="AH513" s="4"/>
    </row>
    <row r="514" spans="1:34" ht="15.75" customHeight="1" x14ac:dyDescent="0.2">
      <c r="A514" s="3"/>
      <c r="B514" s="4"/>
      <c r="C514" s="4"/>
      <c r="D514" s="4"/>
      <c r="E514" s="4"/>
      <c r="F514" s="4"/>
      <c r="G514" s="4"/>
      <c r="H514" s="4"/>
      <c r="I514" s="4"/>
      <c r="J514" s="4"/>
      <c r="K514" s="4"/>
      <c r="L514" s="4"/>
      <c r="M514" s="4"/>
      <c r="N514" s="4"/>
      <c r="O514" s="4"/>
      <c r="P514" s="4"/>
      <c r="Q514" s="4"/>
      <c r="R514" s="4"/>
      <c r="S514" s="4"/>
      <c r="T514" s="4"/>
      <c r="U514" s="4"/>
      <c r="V514" s="4"/>
      <c r="W514" s="4"/>
      <c r="X514" s="4"/>
      <c r="Y514" s="4"/>
      <c r="Z514" s="4"/>
      <c r="AA514" s="4"/>
      <c r="AB514" s="4"/>
      <c r="AC514" s="4"/>
      <c r="AD514" s="4"/>
      <c r="AE514" s="4"/>
      <c r="AF514" s="4"/>
      <c r="AG514" s="4"/>
      <c r="AH514" s="4"/>
    </row>
    <row r="515" spans="1:34" ht="15.75" customHeight="1" x14ac:dyDescent="0.2">
      <c r="A515" s="3"/>
      <c r="B515" s="4"/>
      <c r="C515" s="4"/>
      <c r="D515" s="4"/>
      <c r="E515" s="4"/>
      <c r="F515" s="4"/>
      <c r="G515" s="4"/>
      <c r="H515" s="4"/>
      <c r="I515" s="4"/>
      <c r="J515" s="4"/>
      <c r="K515" s="4"/>
      <c r="L515" s="4"/>
      <c r="M515" s="4"/>
      <c r="N515" s="4"/>
      <c r="O515" s="4"/>
      <c r="P515" s="4"/>
      <c r="Q515" s="4"/>
      <c r="R515" s="4"/>
      <c r="S515" s="4"/>
      <c r="T515" s="4"/>
      <c r="U515" s="4"/>
      <c r="V515" s="4"/>
      <c r="W515" s="4"/>
      <c r="X515" s="4"/>
      <c r="Y515" s="4"/>
      <c r="Z515" s="4"/>
      <c r="AA515" s="4"/>
      <c r="AB515" s="4"/>
      <c r="AC515" s="4"/>
      <c r="AD515" s="4"/>
      <c r="AE515" s="4"/>
      <c r="AF515" s="4"/>
      <c r="AG515" s="4"/>
      <c r="AH515" s="4"/>
    </row>
    <row r="516" spans="1:34" ht="15.75" customHeight="1" x14ac:dyDescent="0.2">
      <c r="A516" s="3"/>
      <c r="B516" s="4"/>
      <c r="C516" s="4"/>
      <c r="D516" s="4"/>
      <c r="E516" s="4"/>
      <c r="F516" s="4"/>
      <c r="G516" s="4"/>
      <c r="H516" s="4"/>
      <c r="I516" s="4"/>
      <c r="J516" s="4"/>
      <c r="K516" s="4"/>
      <c r="L516" s="4"/>
      <c r="M516" s="4"/>
      <c r="N516" s="4"/>
      <c r="O516" s="4"/>
      <c r="P516" s="4"/>
      <c r="Q516" s="4"/>
      <c r="R516" s="4"/>
      <c r="S516" s="4"/>
      <c r="T516" s="4"/>
      <c r="U516" s="4"/>
      <c r="V516" s="4"/>
      <c r="W516" s="4"/>
      <c r="X516" s="4"/>
      <c r="Y516" s="4"/>
      <c r="Z516" s="4"/>
      <c r="AA516" s="4"/>
      <c r="AB516" s="4"/>
      <c r="AC516" s="4"/>
      <c r="AD516" s="4"/>
      <c r="AE516" s="4"/>
      <c r="AF516" s="4"/>
      <c r="AG516" s="4"/>
      <c r="AH516" s="4"/>
    </row>
    <row r="517" spans="1:34" ht="15.75" customHeight="1" x14ac:dyDescent="0.2">
      <c r="A517" s="3"/>
      <c r="B517" s="4"/>
      <c r="C517" s="4"/>
      <c r="D517" s="4"/>
      <c r="E517" s="4"/>
      <c r="F517" s="4"/>
      <c r="G517" s="4"/>
      <c r="H517" s="4"/>
      <c r="I517" s="4"/>
      <c r="J517" s="4"/>
      <c r="K517" s="4"/>
      <c r="L517" s="4"/>
      <c r="M517" s="4"/>
      <c r="N517" s="4"/>
      <c r="O517" s="4"/>
      <c r="P517" s="4"/>
      <c r="Q517" s="4"/>
      <c r="R517" s="4"/>
      <c r="S517" s="4"/>
      <c r="T517" s="4"/>
      <c r="U517" s="4"/>
      <c r="V517" s="4"/>
      <c r="W517" s="4"/>
      <c r="X517" s="4"/>
      <c r="Y517" s="4"/>
      <c r="Z517" s="4"/>
      <c r="AA517" s="4"/>
      <c r="AB517" s="4"/>
      <c r="AC517" s="4"/>
      <c r="AD517" s="4"/>
      <c r="AE517" s="4"/>
      <c r="AF517" s="4"/>
      <c r="AG517" s="4"/>
      <c r="AH517" s="4"/>
    </row>
    <row r="518" spans="1:34" ht="15.75" customHeight="1" x14ac:dyDescent="0.2">
      <c r="A518" s="3"/>
      <c r="B518" s="4"/>
      <c r="C518" s="4"/>
      <c r="D518" s="4"/>
      <c r="E518" s="4"/>
      <c r="F518" s="4"/>
      <c r="G518" s="4"/>
      <c r="H518" s="4"/>
      <c r="I518" s="4"/>
      <c r="J518" s="4"/>
      <c r="K518" s="4"/>
      <c r="L518" s="4"/>
      <c r="M518" s="4"/>
      <c r="N518" s="4"/>
      <c r="O518" s="4"/>
      <c r="P518" s="4"/>
      <c r="Q518" s="4"/>
      <c r="R518" s="4"/>
      <c r="S518" s="4"/>
      <c r="T518" s="4"/>
      <c r="U518" s="4"/>
      <c r="V518" s="4"/>
      <c r="W518" s="4"/>
      <c r="X518" s="4"/>
      <c r="Y518" s="4"/>
      <c r="Z518" s="4"/>
      <c r="AA518" s="4"/>
      <c r="AB518" s="4"/>
      <c r="AC518" s="4"/>
      <c r="AD518" s="4"/>
      <c r="AE518" s="4"/>
      <c r="AF518" s="4"/>
      <c r="AG518" s="4"/>
      <c r="AH518" s="4"/>
    </row>
    <row r="519" spans="1:34" ht="15.75" customHeight="1" x14ac:dyDescent="0.2">
      <c r="A519" s="3"/>
      <c r="B519" s="4"/>
      <c r="C519" s="4"/>
      <c r="D519" s="4"/>
      <c r="E519" s="4"/>
      <c r="F519" s="4"/>
      <c r="G519" s="4"/>
      <c r="H519" s="4"/>
      <c r="I519" s="4"/>
      <c r="J519" s="4"/>
      <c r="K519" s="4"/>
      <c r="L519" s="4"/>
      <c r="M519" s="4"/>
      <c r="N519" s="4"/>
      <c r="O519" s="4"/>
      <c r="P519" s="4"/>
      <c r="Q519" s="4"/>
      <c r="R519" s="4"/>
      <c r="S519" s="4"/>
      <c r="T519" s="4"/>
      <c r="U519" s="4"/>
      <c r="V519" s="4"/>
      <c r="W519" s="4"/>
      <c r="X519" s="4"/>
      <c r="Y519" s="4"/>
      <c r="Z519" s="4"/>
      <c r="AA519" s="4"/>
      <c r="AB519" s="4"/>
      <c r="AC519" s="4"/>
      <c r="AD519" s="4"/>
      <c r="AE519" s="4"/>
      <c r="AF519" s="4"/>
      <c r="AG519" s="4"/>
      <c r="AH519" s="4"/>
    </row>
    <row r="520" spans="1:34" ht="15.75" customHeight="1" x14ac:dyDescent="0.2">
      <c r="A520" s="3"/>
      <c r="B520" s="4"/>
      <c r="C520" s="4"/>
      <c r="D520" s="4"/>
      <c r="E520" s="4"/>
      <c r="F520" s="4"/>
      <c r="G520" s="4"/>
      <c r="H520" s="4"/>
      <c r="I520" s="4"/>
      <c r="J520" s="4"/>
      <c r="K520" s="4"/>
      <c r="L520" s="4"/>
      <c r="M520" s="4"/>
      <c r="N520" s="4"/>
      <c r="O520" s="4"/>
      <c r="P520" s="4"/>
      <c r="Q520" s="4"/>
      <c r="R520" s="4"/>
      <c r="S520" s="4"/>
      <c r="T520" s="4"/>
      <c r="U520" s="4"/>
      <c r="V520" s="4"/>
      <c r="W520" s="4"/>
      <c r="X520" s="4"/>
      <c r="Y520" s="4"/>
      <c r="Z520" s="4"/>
      <c r="AA520" s="4"/>
      <c r="AB520" s="4"/>
      <c r="AC520" s="4"/>
      <c r="AD520" s="4"/>
      <c r="AE520" s="4"/>
      <c r="AF520" s="4"/>
      <c r="AG520" s="4"/>
      <c r="AH520" s="4"/>
    </row>
    <row r="521" spans="1:34" ht="15.75" customHeight="1" x14ac:dyDescent="0.2">
      <c r="A521" s="3"/>
      <c r="B521" s="4"/>
      <c r="C521" s="4"/>
      <c r="D521" s="4"/>
      <c r="E521" s="4"/>
      <c r="F521" s="4"/>
      <c r="G521" s="4"/>
      <c r="H521" s="4"/>
      <c r="I521" s="4"/>
      <c r="J521" s="4"/>
      <c r="K521" s="4"/>
      <c r="L521" s="4"/>
      <c r="M521" s="4"/>
      <c r="N521" s="4"/>
      <c r="O521" s="4"/>
      <c r="P521" s="4"/>
      <c r="Q521" s="4"/>
      <c r="R521" s="4"/>
      <c r="S521" s="4"/>
      <c r="T521" s="4"/>
      <c r="U521" s="4"/>
      <c r="V521" s="4"/>
      <c r="W521" s="4"/>
      <c r="X521" s="4"/>
      <c r="Y521" s="4"/>
      <c r="Z521" s="4"/>
      <c r="AA521" s="4"/>
      <c r="AB521" s="4"/>
      <c r="AC521" s="4"/>
      <c r="AD521" s="4"/>
      <c r="AE521" s="4"/>
      <c r="AF521" s="4"/>
      <c r="AG521" s="4"/>
      <c r="AH521" s="4"/>
    </row>
    <row r="522" spans="1:34" ht="15.75" customHeight="1" x14ac:dyDescent="0.2">
      <c r="A522" s="3"/>
      <c r="B522" s="4"/>
      <c r="C522" s="4"/>
      <c r="D522" s="4"/>
      <c r="E522" s="4"/>
      <c r="F522" s="4"/>
      <c r="G522" s="4"/>
      <c r="H522" s="4"/>
      <c r="I522" s="4"/>
      <c r="J522" s="4"/>
      <c r="K522" s="4"/>
      <c r="L522" s="4"/>
      <c r="M522" s="4"/>
      <c r="N522" s="4"/>
      <c r="O522" s="4"/>
      <c r="P522" s="4"/>
      <c r="Q522" s="4"/>
      <c r="R522" s="4"/>
      <c r="S522" s="4"/>
      <c r="T522" s="4"/>
      <c r="U522" s="4"/>
      <c r="V522" s="4"/>
      <c r="W522" s="4"/>
      <c r="X522" s="4"/>
      <c r="Y522" s="4"/>
      <c r="Z522" s="4"/>
      <c r="AA522" s="4"/>
      <c r="AB522" s="4"/>
      <c r="AC522" s="4"/>
      <c r="AD522" s="4"/>
      <c r="AE522" s="4"/>
      <c r="AF522" s="4"/>
      <c r="AG522" s="4"/>
      <c r="AH522" s="4"/>
    </row>
    <row r="523" spans="1:34" ht="15.75" customHeight="1" x14ac:dyDescent="0.2">
      <c r="A523" s="3"/>
      <c r="B523" s="4"/>
      <c r="C523" s="4"/>
      <c r="D523" s="4"/>
      <c r="E523" s="4"/>
      <c r="F523" s="4"/>
      <c r="G523" s="4"/>
      <c r="H523" s="4"/>
      <c r="I523" s="4"/>
      <c r="J523" s="4"/>
      <c r="K523" s="4"/>
      <c r="L523" s="4"/>
      <c r="M523" s="4"/>
      <c r="N523" s="4"/>
      <c r="O523" s="4"/>
      <c r="P523" s="4"/>
      <c r="Q523" s="4"/>
      <c r="R523" s="4"/>
      <c r="S523" s="4"/>
      <c r="T523" s="4"/>
      <c r="U523" s="4"/>
      <c r="V523" s="4"/>
      <c r="W523" s="4"/>
      <c r="X523" s="4"/>
      <c r="Y523" s="4"/>
      <c r="Z523" s="4"/>
      <c r="AA523" s="4"/>
      <c r="AB523" s="4"/>
      <c r="AC523" s="4"/>
      <c r="AD523" s="4"/>
      <c r="AE523" s="4"/>
      <c r="AF523" s="4"/>
      <c r="AG523" s="4"/>
      <c r="AH523" s="4"/>
    </row>
    <row r="524" spans="1:34" ht="15.75" customHeight="1" x14ac:dyDescent="0.2">
      <c r="A524" s="3"/>
      <c r="B524" s="4"/>
      <c r="C524" s="4"/>
      <c r="D524" s="4"/>
      <c r="E524" s="4"/>
      <c r="F524" s="4"/>
      <c r="G524" s="4"/>
      <c r="H524" s="4"/>
      <c r="I524" s="4"/>
      <c r="J524" s="4"/>
      <c r="K524" s="4"/>
      <c r="L524" s="4"/>
      <c r="M524" s="4"/>
      <c r="N524" s="4"/>
      <c r="O524" s="4"/>
      <c r="P524" s="4"/>
      <c r="Q524" s="4"/>
      <c r="R524" s="4"/>
      <c r="S524" s="4"/>
      <c r="T524" s="4"/>
      <c r="U524" s="4"/>
      <c r="V524" s="4"/>
      <c r="W524" s="4"/>
      <c r="X524" s="4"/>
      <c r="Y524" s="4"/>
      <c r="Z524" s="4"/>
      <c r="AA524" s="4"/>
      <c r="AB524" s="4"/>
      <c r="AC524" s="4"/>
      <c r="AD524" s="4"/>
      <c r="AE524" s="4"/>
      <c r="AF524" s="4"/>
      <c r="AG524" s="4"/>
      <c r="AH524" s="4"/>
    </row>
    <row r="525" spans="1:34" ht="15.75" customHeight="1" x14ac:dyDescent="0.2">
      <c r="A525" s="3"/>
      <c r="B525" s="4"/>
      <c r="C525" s="4"/>
      <c r="D525" s="4"/>
      <c r="E525" s="4"/>
      <c r="F525" s="4"/>
      <c r="G525" s="4"/>
      <c r="H525" s="4"/>
      <c r="I525" s="4"/>
      <c r="J525" s="4"/>
      <c r="K525" s="4"/>
      <c r="L525" s="4"/>
      <c r="M525" s="4"/>
      <c r="N525" s="4"/>
      <c r="O525" s="4"/>
      <c r="P525" s="4"/>
      <c r="Q525" s="4"/>
      <c r="R525" s="4"/>
      <c r="S525" s="4"/>
      <c r="T525" s="4"/>
      <c r="U525" s="4"/>
      <c r="V525" s="4"/>
      <c r="W525" s="4"/>
      <c r="X525" s="4"/>
      <c r="Y525" s="4"/>
      <c r="Z525" s="4"/>
      <c r="AA525" s="4"/>
      <c r="AB525" s="4"/>
      <c r="AC525" s="4"/>
      <c r="AD525" s="4"/>
      <c r="AE525" s="4"/>
      <c r="AF525" s="4"/>
      <c r="AG525" s="4"/>
      <c r="AH525" s="4"/>
    </row>
    <row r="526" spans="1:34" ht="15.75" customHeight="1" x14ac:dyDescent="0.2">
      <c r="A526" s="3"/>
      <c r="B526" s="4"/>
      <c r="C526" s="4"/>
      <c r="D526" s="4"/>
      <c r="E526" s="4"/>
      <c r="F526" s="4"/>
      <c r="G526" s="4"/>
      <c r="H526" s="4"/>
      <c r="I526" s="4"/>
      <c r="J526" s="4"/>
      <c r="K526" s="4"/>
      <c r="L526" s="4"/>
      <c r="M526" s="4"/>
      <c r="N526" s="4"/>
      <c r="O526" s="4"/>
      <c r="P526" s="4"/>
      <c r="Q526" s="4"/>
      <c r="R526" s="4"/>
      <c r="S526" s="4"/>
      <c r="T526" s="4"/>
      <c r="U526" s="4"/>
      <c r="V526" s="4"/>
      <c r="W526" s="4"/>
      <c r="X526" s="4"/>
      <c r="Y526" s="4"/>
      <c r="Z526" s="4"/>
      <c r="AA526" s="4"/>
      <c r="AB526" s="4"/>
      <c r="AC526" s="4"/>
      <c r="AD526" s="4"/>
      <c r="AE526" s="4"/>
      <c r="AF526" s="4"/>
      <c r="AG526" s="4"/>
      <c r="AH526" s="4"/>
    </row>
    <row r="527" spans="1:34" ht="15.75" customHeight="1" x14ac:dyDescent="0.2">
      <c r="A527" s="3"/>
      <c r="B527" s="4"/>
      <c r="C527" s="4"/>
      <c r="D527" s="4"/>
      <c r="E527" s="4"/>
      <c r="F527" s="4"/>
      <c r="G527" s="4"/>
      <c r="H527" s="4"/>
      <c r="I527" s="4"/>
      <c r="J527" s="4"/>
      <c r="K527" s="4"/>
      <c r="L527" s="4"/>
      <c r="M527" s="4"/>
      <c r="N527" s="4"/>
      <c r="O527" s="4"/>
      <c r="P527" s="4"/>
      <c r="Q527" s="4"/>
      <c r="R527" s="4"/>
      <c r="S527" s="4"/>
      <c r="T527" s="4"/>
      <c r="U527" s="4"/>
      <c r="V527" s="4"/>
      <c r="W527" s="4"/>
      <c r="X527" s="4"/>
      <c r="Y527" s="4"/>
      <c r="Z527" s="4"/>
      <c r="AA527" s="4"/>
      <c r="AB527" s="4"/>
      <c r="AC527" s="4"/>
      <c r="AD527" s="4"/>
      <c r="AE527" s="4"/>
      <c r="AF527" s="4"/>
      <c r="AG527" s="4"/>
      <c r="AH527" s="4"/>
    </row>
    <row r="528" spans="1:34" ht="15.75" customHeight="1" x14ac:dyDescent="0.2">
      <c r="A528" s="3"/>
      <c r="B528" s="4"/>
      <c r="C528" s="4"/>
      <c r="D528" s="4"/>
      <c r="E528" s="4"/>
      <c r="F528" s="4"/>
      <c r="G528" s="4"/>
      <c r="H528" s="4"/>
      <c r="I528" s="4"/>
      <c r="J528" s="4"/>
      <c r="K528" s="4"/>
      <c r="L528" s="4"/>
      <c r="M528" s="4"/>
      <c r="N528" s="4"/>
      <c r="O528" s="4"/>
      <c r="P528" s="4"/>
      <c r="Q528" s="4"/>
      <c r="R528" s="4"/>
      <c r="S528" s="4"/>
      <c r="T528" s="4"/>
      <c r="U528" s="4"/>
      <c r="V528" s="4"/>
      <c r="W528" s="4"/>
      <c r="X528" s="4"/>
      <c r="Y528" s="4"/>
      <c r="Z528" s="4"/>
      <c r="AA528" s="4"/>
      <c r="AB528" s="4"/>
      <c r="AC528" s="4"/>
      <c r="AD528" s="4"/>
      <c r="AE528" s="4"/>
      <c r="AF528" s="4"/>
      <c r="AG528" s="4"/>
      <c r="AH528" s="4"/>
    </row>
    <row r="529" spans="1:34" ht="15.75" customHeight="1" x14ac:dyDescent="0.2">
      <c r="A529" s="3"/>
      <c r="B529" s="4"/>
      <c r="C529" s="4"/>
      <c r="D529" s="4"/>
      <c r="E529" s="4"/>
      <c r="F529" s="4"/>
      <c r="G529" s="4"/>
      <c r="H529" s="4"/>
      <c r="I529" s="4"/>
      <c r="J529" s="4"/>
      <c r="K529" s="4"/>
      <c r="L529" s="4"/>
      <c r="M529" s="4"/>
      <c r="N529" s="4"/>
      <c r="O529" s="4"/>
      <c r="P529" s="4"/>
      <c r="Q529" s="4"/>
      <c r="R529" s="4"/>
      <c r="S529" s="4"/>
      <c r="T529" s="4"/>
      <c r="U529" s="4"/>
      <c r="V529" s="4"/>
      <c r="W529" s="4"/>
      <c r="X529" s="4"/>
      <c r="Y529" s="4"/>
      <c r="Z529" s="4"/>
      <c r="AA529" s="4"/>
      <c r="AB529" s="4"/>
      <c r="AC529" s="4"/>
      <c r="AD529" s="4"/>
      <c r="AE529" s="4"/>
      <c r="AF529" s="4"/>
      <c r="AG529" s="4"/>
      <c r="AH529" s="4"/>
    </row>
    <row r="530" spans="1:34" ht="15.75" customHeight="1" x14ac:dyDescent="0.2">
      <c r="A530" s="3"/>
      <c r="B530" s="4"/>
      <c r="C530" s="4"/>
      <c r="D530" s="4"/>
      <c r="E530" s="4"/>
      <c r="F530" s="4"/>
      <c r="G530" s="4"/>
      <c r="H530" s="4"/>
      <c r="I530" s="4"/>
      <c r="J530" s="4"/>
      <c r="K530" s="4"/>
      <c r="L530" s="4"/>
      <c r="M530" s="4"/>
      <c r="N530" s="4"/>
      <c r="O530" s="4"/>
      <c r="P530" s="4"/>
      <c r="Q530" s="4"/>
      <c r="R530" s="4"/>
      <c r="S530" s="4"/>
      <c r="T530" s="4"/>
      <c r="U530" s="4"/>
      <c r="V530" s="4"/>
      <c r="W530" s="4"/>
      <c r="X530" s="4"/>
      <c r="Y530" s="4"/>
      <c r="Z530" s="4"/>
      <c r="AA530" s="4"/>
      <c r="AB530" s="4"/>
      <c r="AC530" s="4"/>
      <c r="AD530" s="4"/>
      <c r="AE530" s="4"/>
      <c r="AF530" s="4"/>
      <c r="AG530" s="4"/>
      <c r="AH530" s="4"/>
    </row>
    <row r="531" spans="1:34" ht="15.75" customHeight="1" x14ac:dyDescent="0.2">
      <c r="A531" s="3"/>
      <c r="B531" s="4"/>
      <c r="C531" s="4"/>
      <c r="D531" s="4"/>
      <c r="E531" s="4"/>
      <c r="F531" s="4"/>
      <c r="G531" s="4"/>
      <c r="H531" s="4"/>
      <c r="I531" s="4"/>
      <c r="J531" s="4"/>
      <c r="K531" s="4"/>
      <c r="L531" s="4"/>
      <c r="M531" s="4"/>
      <c r="N531" s="4"/>
      <c r="O531" s="4"/>
      <c r="P531" s="4"/>
      <c r="Q531" s="4"/>
      <c r="R531" s="4"/>
      <c r="S531" s="4"/>
      <c r="T531" s="4"/>
      <c r="U531" s="4"/>
      <c r="V531" s="4"/>
      <c r="W531" s="4"/>
      <c r="X531" s="4"/>
      <c r="Y531" s="4"/>
      <c r="Z531" s="4"/>
      <c r="AA531" s="4"/>
      <c r="AB531" s="4"/>
      <c r="AC531" s="4"/>
      <c r="AD531" s="4"/>
      <c r="AE531" s="4"/>
      <c r="AF531" s="4"/>
      <c r="AG531" s="4"/>
      <c r="AH531" s="4"/>
    </row>
    <row r="532" spans="1:34" ht="15.75" customHeight="1" x14ac:dyDescent="0.2">
      <c r="A532" s="3"/>
      <c r="B532" s="4"/>
      <c r="C532" s="4"/>
      <c r="D532" s="4"/>
      <c r="E532" s="4"/>
      <c r="F532" s="4"/>
      <c r="G532" s="4"/>
      <c r="H532" s="4"/>
      <c r="I532" s="4"/>
      <c r="J532" s="4"/>
      <c r="K532" s="4"/>
      <c r="L532" s="4"/>
      <c r="M532" s="4"/>
      <c r="N532" s="4"/>
      <c r="O532" s="4"/>
      <c r="P532" s="4"/>
      <c r="Q532" s="4"/>
      <c r="R532" s="4"/>
      <c r="S532" s="4"/>
      <c r="T532" s="4"/>
      <c r="U532" s="4"/>
      <c r="V532" s="4"/>
      <c r="W532" s="4"/>
      <c r="X532" s="4"/>
      <c r="Y532" s="4"/>
      <c r="Z532" s="4"/>
      <c r="AA532" s="4"/>
      <c r="AB532" s="4"/>
      <c r="AC532" s="4"/>
      <c r="AD532" s="4"/>
      <c r="AE532" s="4"/>
      <c r="AF532" s="4"/>
      <c r="AG532" s="4"/>
      <c r="AH532" s="4"/>
    </row>
    <row r="533" spans="1:34" ht="15.75" customHeight="1" x14ac:dyDescent="0.2">
      <c r="A533" s="3"/>
      <c r="B533" s="4"/>
      <c r="C533" s="4"/>
      <c r="D533" s="4"/>
      <c r="E533" s="4"/>
      <c r="F533" s="4"/>
      <c r="G533" s="4"/>
      <c r="H533" s="4"/>
      <c r="I533" s="4"/>
      <c r="J533" s="4"/>
      <c r="K533" s="4"/>
      <c r="L533" s="4"/>
      <c r="M533" s="4"/>
      <c r="N533" s="4"/>
      <c r="O533" s="4"/>
      <c r="P533" s="4"/>
      <c r="Q533" s="4"/>
      <c r="R533" s="4"/>
      <c r="S533" s="4"/>
      <c r="T533" s="4"/>
      <c r="U533" s="4"/>
      <c r="V533" s="4"/>
      <c r="W533" s="4"/>
      <c r="X533" s="4"/>
      <c r="Y533" s="4"/>
      <c r="Z533" s="4"/>
      <c r="AA533" s="4"/>
      <c r="AB533" s="4"/>
      <c r="AC533" s="4"/>
      <c r="AD533" s="4"/>
      <c r="AE533" s="4"/>
      <c r="AF533" s="4"/>
      <c r="AG533" s="4"/>
      <c r="AH533" s="4"/>
    </row>
    <row r="534" spans="1:34" ht="15.75" customHeight="1" x14ac:dyDescent="0.2">
      <c r="A534" s="3"/>
      <c r="B534" s="4"/>
      <c r="C534" s="4"/>
      <c r="D534" s="4"/>
      <c r="E534" s="4"/>
      <c r="F534" s="4"/>
      <c r="G534" s="4"/>
      <c r="H534" s="4"/>
      <c r="I534" s="4"/>
      <c r="J534" s="4"/>
      <c r="K534" s="4"/>
      <c r="L534" s="4"/>
      <c r="M534" s="4"/>
      <c r="N534" s="4"/>
      <c r="O534" s="4"/>
      <c r="P534" s="4"/>
      <c r="Q534" s="4"/>
      <c r="R534" s="4"/>
      <c r="S534" s="4"/>
      <c r="T534" s="4"/>
      <c r="U534" s="4"/>
      <c r="V534" s="4"/>
      <c r="W534" s="4"/>
      <c r="X534" s="4"/>
      <c r="Y534" s="4"/>
      <c r="Z534" s="4"/>
      <c r="AA534" s="4"/>
      <c r="AB534" s="4"/>
      <c r="AC534" s="4"/>
      <c r="AD534" s="4"/>
      <c r="AE534" s="4"/>
      <c r="AF534" s="4"/>
      <c r="AG534" s="4"/>
      <c r="AH534" s="4"/>
    </row>
    <row r="535" spans="1:34" ht="15.75" customHeight="1" x14ac:dyDescent="0.2">
      <c r="A535" s="3"/>
      <c r="B535" s="4"/>
      <c r="C535" s="4"/>
      <c r="D535" s="4"/>
      <c r="E535" s="4"/>
      <c r="F535" s="4"/>
      <c r="G535" s="4"/>
      <c r="H535" s="4"/>
      <c r="I535" s="4"/>
      <c r="J535" s="4"/>
      <c r="K535" s="4"/>
      <c r="L535" s="4"/>
      <c r="M535" s="4"/>
      <c r="N535" s="4"/>
      <c r="O535" s="4"/>
      <c r="P535" s="4"/>
      <c r="Q535" s="4"/>
      <c r="R535" s="4"/>
      <c r="S535" s="4"/>
      <c r="T535" s="4"/>
      <c r="U535" s="4"/>
      <c r="V535" s="4"/>
      <c r="W535" s="4"/>
      <c r="X535" s="4"/>
      <c r="Y535" s="4"/>
      <c r="Z535" s="4"/>
      <c r="AA535" s="4"/>
      <c r="AB535" s="4"/>
      <c r="AC535" s="4"/>
      <c r="AD535" s="4"/>
      <c r="AE535" s="4"/>
      <c r="AF535" s="4"/>
      <c r="AG535" s="4"/>
      <c r="AH535" s="4"/>
    </row>
    <row r="536" spans="1:34" ht="15.75" customHeight="1" x14ac:dyDescent="0.2">
      <c r="A536" s="3"/>
      <c r="B536" s="4"/>
      <c r="C536" s="4"/>
      <c r="D536" s="4"/>
      <c r="E536" s="4"/>
      <c r="F536" s="4"/>
      <c r="G536" s="4"/>
      <c r="H536" s="4"/>
      <c r="I536" s="4"/>
      <c r="J536" s="4"/>
      <c r="K536" s="4"/>
      <c r="L536" s="4"/>
      <c r="M536" s="4"/>
      <c r="N536" s="4"/>
      <c r="O536" s="4"/>
      <c r="P536" s="4"/>
      <c r="Q536" s="4"/>
      <c r="R536" s="4"/>
      <c r="S536" s="4"/>
      <c r="T536" s="4"/>
      <c r="U536" s="4"/>
      <c r="V536" s="4"/>
      <c r="W536" s="4"/>
      <c r="X536" s="4"/>
      <c r="Y536" s="4"/>
      <c r="Z536" s="4"/>
      <c r="AA536" s="4"/>
      <c r="AB536" s="4"/>
      <c r="AC536" s="4"/>
      <c r="AD536" s="4"/>
      <c r="AE536" s="4"/>
      <c r="AF536" s="4"/>
      <c r="AG536" s="4"/>
      <c r="AH536" s="4"/>
    </row>
    <row r="537" spans="1:34" ht="15.75" customHeight="1" x14ac:dyDescent="0.2">
      <c r="A537" s="3"/>
      <c r="B537" s="4"/>
      <c r="C537" s="4"/>
      <c r="D537" s="4"/>
      <c r="E537" s="4"/>
      <c r="F537" s="4"/>
      <c r="G537" s="4"/>
      <c r="H537" s="4"/>
      <c r="I537" s="4"/>
      <c r="J537" s="4"/>
      <c r="K537" s="4"/>
      <c r="L537" s="4"/>
      <c r="M537" s="4"/>
      <c r="N537" s="4"/>
      <c r="O537" s="4"/>
      <c r="P537" s="4"/>
      <c r="Q537" s="4"/>
      <c r="R537" s="4"/>
      <c r="S537" s="4"/>
      <c r="T537" s="4"/>
      <c r="U537" s="4"/>
      <c r="V537" s="4"/>
      <c r="W537" s="4"/>
      <c r="X537" s="4"/>
      <c r="Y537" s="4"/>
      <c r="Z537" s="4"/>
      <c r="AA537" s="4"/>
      <c r="AB537" s="4"/>
      <c r="AC537" s="4"/>
      <c r="AD537" s="4"/>
      <c r="AE537" s="4"/>
      <c r="AF537" s="4"/>
      <c r="AG537" s="4"/>
      <c r="AH537" s="4"/>
    </row>
    <row r="538" spans="1:34" ht="15.75" customHeight="1" x14ac:dyDescent="0.2">
      <c r="A538" s="3"/>
      <c r="B538" s="4"/>
      <c r="C538" s="4"/>
      <c r="D538" s="4"/>
      <c r="E538" s="4"/>
      <c r="F538" s="4"/>
      <c r="G538" s="4"/>
      <c r="H538" s="4"/>
      <c r="I538" s="4"/>
      <c r="J538" s="4"/>
      <c r="K538" s="4"/>
      <c r="L538" s="4"/>
      <c r="M538" s="4"/>
      <c r="N538" s="4"/>
      <c r="O538" s="4"/>
      <c r="P538" s="4"/>
      <c r="Q538" s="4"/>
      <c r="R538" s="4"/>
      <c r="S538" s="4"/>
      <c r="T538" s="4"/>
      <c r="U538" s="4"/>
      <c r="V538" s="4"/>
      <c r="W538" s="4"/>
      <c r="X538" s="4"/>
      <c r="Y538" s="4"/>
      <c r="Z538" s="4"/>
      <c r="AA538" s="4"/>
      <c r="AB538" s="4"/>
      <c r="AC538" s="4"/>
      <c r="AD538" s="4"/>
      <c r="AE538" s="4"/>
      <c r="AF538" s="4"/>
      <c r="AG538" s="4"/>
      <c r="AH538" s="4"/>
    </row>
    <row r="539" spans="1:34" ht="15.75" customHeight="1" x14ac:dyDescent="0.2">
      <c r="A539" s="3"/>
      <c r="B539" s="4"/>
      <c r="C539" s="4"/>
      <c r="D539" s="4"/>
      <c r="E539" s="4"/>
      <c r="F539" s="4"/>
      <c r="G539" s="4"/>
      <c r="H539" s="4"/>
      <c r="I539" s="4"/>
      <c r="J539" s="4"/>
      <c r="K539" s="4"/>
      <c r="L539" s="4"/>
      <c r="M539" s="4"/>
      <c r="N539" s="4"/>
      <c r="O539" s="4"/>
      <c r="P539" s="4"/>
      <c r="Q539" s="4"/>
      <c r="R539" s="4"/>
      <c r="S539" s="4"/>
      <c r="T539" s="4"/>
      <c r="U539" s="4"/>
      <c r="V539" s="4"/>
      <c r="W539" s="4"/>
      <c r="X539" s="4"/>
      <c r="Y539" s="4"/>
      <c r="Z539" s="4"/>
      <c r="AA539" s="4"/>
      <c r="AB539" s="4"/>
      <c r="AC539" s="4"/>
      <c r="AD539" s="4"/>
      <c r="AE539" s="4"/>
      <c r="AF539" s="4"/>
      <c r="AG539" s="4"/>
      <c r="AH539" s="4"/>
    </row>
    <row r="540" spans="1:34" ht="15.75" customHeight="1" x14ac:dyDescent="0.2">
      <c r="A540" s="3"/>
      <c r="B540" s="4"/>
      <c r="C540" s="4"/>
      <c r="D540" s="4"/>
      <c r="E540" s="4"/>
      <c r="F540" s="4"/>
      <c r="G540" s="4"/>
      <c r="H540" s="4"/>
      <c r="I540" s="4"/>
      <c r="J540" s="4"/>
      <c r="K540" s="4"/>
      <c r="L540" s="4"/>
      <c r="M540" s="4"/>
      <c r="N540" s="4"/>
      <c r="O540" s="4"/>
      <c r="P540" s="4"/>
      <c r="Q540" s="4"/>
      <c r="R540" s="4"/>
      <c r="S540" s="4"/>
      <c r="T540" s="4"/>
      <c r="U540" s="4"/>
      <c r="V540" s="4"/>
      <c r="W540" s="4"/>
      <c r="X540" s="4"/>
      <c r="Y540" s="4"/>
      <c r="Z540" s="4"/>
      <c r="AA540" s="4"/>
      <c r="AB540" s="4"/>
      <c r="AC540" s="4"/>
      <c r="AD540" s="4"/>
      <c r="AE540" s="4"/>
      <c r="AF540" s="4"/>
      <c r="AG540" s="4"/>
      <c r="AH540" s="4"/>
    </row>
    <row r="541" spans="1:34" ht="15.75" customHeight="1" x14ac:dyDescent="0.2">
      <c r="A541" s="3"/>
      <c r="B541" s="4"/>
      <c r="C541" s="4"/>
      <c r="D541" s="4"/>
      <c r="E541" s="4"/>
      <c r="F541" s="4"/>
      <c r="G541" s="4"/>
      <c r="H541" s="4"/>
      <c r="I541" s="4"/>
      <c r="J541" s="4"/>
      <c r="K541" s="4"/>
      <c r="L541" s="4"/>
      <c r="M541" s="4"/>
      <c r="N541" s="4"/>
      <c r="O541" s="4"/>
      <c r="P541" s="4"/>
      <c r="Q541" s="4"/>
      <c r="R541" s="4"/>
      <c r="S541" s="4"/>
      <c r="T541" s="4"/>
      <c r="U541" s="4"/>
      <c r="V541" s="4"/>
      <c r="W541" s="4"/>
      <c r="X541" s="4"/>
      <c r="Y541" s="4"/>
      <c r="Z541" s="4"/>
      <c r="AA541" s="4"/>
      <c r="AB541" s="4"/>
      <c r="AC541" s="4"/>
      <c r="AD541" s="4"/>
      <c r="AE541" s="4"/>
      <c r="AF541" s="4"/>
      <c r="AG541" s="4"/>
      <c r="AH541" s="4"/>
    </row>
    <row r="542" spans="1:34" ht="15.75" customHeight="1" x14ac:dyDescent="0.2">
      <c r="A542" s="3"/>
      <c r="B542" s="4"/>
      <c r="C542" s="4"/>
      <c r="D542" s="4"/>
      <c r="E542" s="4"/>
      <c r="F542" s="4"/>
      <c r="G542" s="4"/>
      <c r="H542" s="4"/>
      <c r="I542" s="4"/>
      <c r="J542" s="4"/>
      <c r="K542" s="4"/>
      <c r="L542" s="4"/>
      <c r="M542" s="4"/>
      <c r="N542" s="4"/>
      <c r="O542" s="4"/>
      <c r="P542" s="4"/>
      <c r="Q542" s="4"/>
      <c r="R542" s="4"/>
      <c r="S542" s="4"/>
      <c r="T542" s="4"/>
      <c r="U542" s="4"/>
      <c r="V542" s="4"/>
      <c r="W542" s="4"/>
      <c r="X542" s="4"/>
      <c r="Y542" s="4"/>
      <c r="Z542" s="4"/>
      <c r="AA542" s="4"/>
      <c r="AB542" s="4"/>
      <c r="AC542" s="4"/>
      <c r="AD542" s="4"/>
      <c r="AE542" s="4"/>
      <c r="AF542" s="4"/>
      <c r="AG542" s="4"/>
      <c r="AH542" s="4"/>
    </row>
    <row r="543" spans="1:34" ht="15.75" customHeight="1" x14ac:dyDescent="0.2">
      <c r="A543" s="3"/>
      <c r="B543" s="4"/>
      <c r="C543" s="4"/>
      <c r="D543" s="4"/>
      <c r="E543" s="4"/>
      <c r="F543" s="4"/>
      <c r="G543" s="4"/>
      <c r="H543" s="4"/>
      <c r="I543" s="4"/>
      <c r="J543" s="4"/>
      <c r="K543" s="4"/>
      <c r="L543" s="4"/>
      <c r="M543" s="4"/>
      <c r="N543" s="4"/>
      <c r="O543" s="4"/>
      <c r="P543" s="4"/>
      <c r="Q543" s="4"/>
      <c r="R543" s="4"/>
      <c r="S543" s="4"/>
      <c r="T543" s="4"/>
      <c r="U543" s="4"/>
      <c r="V543" s="4"/>
      <c r="W543" s="4"/>
      <c r="X543" s="4"/>
      <c r="Y543" s="4"/>
      <c r="Z543" s="4"/>
      <c r="AA543" s="4"/>
      <c r="AB543" s="4"/>
      <c r="AC543" s="4"/>
      <c r="AD543" s="4"/>
      <c r="AE543" s="4"/>
      <c r="AF543" s="4"/>
      <c r="AG543" s="4"/>
      <c r="AH543" s="4"/>
    </row>
    <row r="544" spans="1:34" ht="15.75" customHeight="1" x14ac:dyDescent="0.2">
      <c r="A544" s="3"/>
      <c r="B544" s="4"/>
      <c r="C544" s="4"/>
      <c r="D544" s="4"/>
      <c r="E544" s="4"/>
      <c r="F544" s="4"/>
      <c r="G544" s="4"/>
      <c r="H544" s="4"/>
      <c r="I544" s="4"/>
      <c r="J544" s="4"/>
      <c r="K544" s="4"/>
      <c r="L544" s="4"/>
      <c r="M544" s="4"/>
      <c r="N544" s="4"/>
      <c r="O544" s="4"/>
      <c r="P544" s="4"/>
      <c r="Q544" s="4"/>
      <c r="R544" s="4"/>
      <c r="S544" s="4"/>
      <c r="T544" s="4"/>
      <c r="U544" s="4"/>
      <c r="V544" s="4"/>
      <c r="W544" s="4"/>
      <c r="X544" s="4"/>
      <c r="Y544" s="4"/>
      <c r="Z544" s="4"/>
      <c r="AA544" s="4"/>
      <c r="AB544" s="4"/>
      <c r="AC544" s="4"/>
      <c r="AD544" s="4"/>
      <c r="AE544" s="4"/>
      <c r="AF544" s="4"/>
      <c r="AG544" s="4"/>
      <c r="AH544" s="4"/>
    </row>
    <row r="545" spans="1:34" ht="15.75" customHeight="1" x14ac:dyDescent="0.2">
      <c r="A545" s="3"/>
      <c r="B545" s="4"/>
      <c r="C545" s="4"/>
      <c r="D545" s="4"/>
      <c r="E545" s="4"/>
      <c r="F545" s="4"/>
      <c r="G545" s="4"/>
      <c r="H545" s="4"/>
      <c r="I545" s="4"/>
      <c r="J545" s="4"/>
      <c r="K545" s="4"/>
      <c r="L545" s="4"/>
      <c r="M545" s="4"/>
      <c r="N545" s="4"/>
      <c r="O545" s="4"/>
      <c r="P545" s="4"/>
      <c r="Q545" s="4"/>
      <c r="R545" s="4"/>
      <c r="S545" s="4"/>
      <c r="T545" s="4"/>
      <c r="U545" s="4"/>
      <c r="V545" s="4"/>
      <c r="W545" s="4"/>
      <c r="X545" s="4"/>
      <c r="Y545" s="4"/>
      <c r="Z545" s="4"/>
      <c r="AA545" s="4"/>
      <c r="AB545" s="4"/>
      <c r="AC545" s="4"/>
      <c r="AD545" s="4"/>
      <c r="AE545" s="4"/>
      <c r="AF545" s="4"/>
      <c r="AG545" s="4"/>
      <c r="AH545" s="4"/>
    </row>
    <row r="546" spans="1:34" ht="15.75" customHeight="1" x14ac:dyDescent="0.2">
      <c r="A546" s="3"/>
      <c r="B546" s="4"/>
      <c r="C546" s="4"/>
      <c r="D546" s="4"/>
      <c r="E546" s="4"/>
      <c r="F546" s="4"/>
      <c r="G546" s="4"/>
      <c r="H546" s="4"/>
      <c r="I546" s="4"/>
      <c r="J546" s="4"/>
      <c r="K546" s="4"/>
      <c r="L546" s="4"/>
      <c r="M546" s="4"/>
      <c r="N546" s="4"/>
      <c r="O546" s="4"/>
      <c r="P546" s="4"/>
      <c r="Q546" s="4"/>
      <c r="R546" s="4"/>
      <c r="S546" s="4"/>
      <c r="T546" s="4"/>
      <c r="U546" s="4"/>
      <c r="V546" s="4"/>
      <c r="W546" s="4"/>
      <c r="X546" s="4"/>
      <c r="Y546" s="4"/>
      <c r="Z546" s="4"/>
      <c r="AA546" s="4"/>
      <c r="AB546" s="4"/>
      <c r="AC546" s="4"/>
      <c r="AD546" s="4"/>
      <c r="AE546" s="4"/>
      <c r="AF546" s="4"/>
      <c r="AG546" s="4"/>
      <c r="AH546" s="4"/>
    </row>
    <row r="547" spans="1:34" ht="15.75" customHeight="1" x14ac:dyDescent="0.2">
      <c r="A547" s="3"/>
      <c r="B547" s="4"/>
      <c r="C547" s="4"/>
      <c r="D547" s="4"/>
      <c r="E547" s="4"/>
      <c r="F547" s="4"/>
      <c r="G547" s="4"/>
      <c r="H547" s="4"/>
      <c r="I547" s="4"/>
      <c r="J547" s="4"/>
      <c r="K547" s="4"/>
      <c r="L547" s="4"/>
      <c r="M547" s="4"/>
      <c r="N547" s="4"/>
      <c r="O547" s="4"/>
      <c r="P547" s="4"/>
      <c r="Q547" s="4"/>
      <c r="R547" s="4"/>
      <c r="S547" s="4"/>
      <c r="T547" s="4"/>
      <c r="U547" s="4"/>
      <c r="V547" s="4"/>
      <c r="W547" s="4"/>
      <c r="X547" s="4"/>
      <c r="Y547" s="4"/>
      <c r="Z547" s="4"/>
      <c r="AA547" s="4"/>
      <c r="AB547" s="4"/>
      <c r="AC547" s="4"/>
      <c r="AD547" s="4"/>
      <c r="AE547" s="4"/>
      <c r="AF547" s="4"/>
      <c r="AG547" s="4"/>
      <c r="AH547" s="4"/>
    </row>
    <row r="548" spans="1:34" ht="15.75" customHeight="1" x14ac:dyDescent="0.2">
      <c r="A548" s="3"/>
      <c r="B548" s="4"/>
      <c r="C548" s="4"/>
      <c r="D548" s="4"/>
      <c r="E548" s="4"/>
      <c r="F548" s="4"/>
      <c r="G548" s="4"/>
      <c r="H548" s="4"/>
      <c r="I548" s="4"/>
      <c r="J548" s="4"/>
      <c r="K548" s="4"/>
      <c r="L548" s="4"/>
      <c r="M548" s="4"/>
      <c r="N548" s="4"/>
      <c r="O548" s="4"/>
      <c r="P548" s="4"/>
      <c r="Q548" s="4"/>
      <c r="R548" s="4"/>
      <c r="S548" s="4"/>
      <c r="T548" s="4"/>
      <c r="U548" s="4"/>
      <c r="V548" s="4"/>
      <c r="W548" s="4"/>
      <c r="X548" s="4"/>
      <c r="Y548" s="4"/>
      <c r="Z548" s="4"/>
      <c r="AA548" s="4"/>
      <c r="AB548" s="4"/>
      <c r="AC548" s="4"/>
      <c r="AD548" s="4"/>
      <c r="AE548" s="4"/>
      <c r="AF548" s="4"/>
      <c r="AG548" s="4"/>
      <c r="AH548" s="4"/>
    </row>
    <row r="549" spans="1:34" ht="15.75" customHeight="1" x14ac:dyDescent="0.2">
      <c r="A549" s="3"/>
      <c r="B549" s="4"/>
      <c r="C549" s="4"/>
      <c r="D549" s="4"/>
      <c r="E549" s="4"/>
      <c r="F549" s="4"/>
      <c r="G549" s="4"/>
      <c r="H549" s="4"/>
      <c r="I549" s="4"/>
      <c r="J549" s="4"/>
      <c r="K549" s="4"/>
      <c r="L549" s="4"/>
      <c r="M549" s="4"/>
      <c r="N549" s="4"/>
      <c r="O549" s="4"/>
      <c r="P549" s="4"/>
      <c r="Q549" s="4"/>
      <c r="R549" s="4"/>
      <c r="S549" s="4"/>
      <c r="T549" s="4"/>
      <c r="U549" s="4"/>
      <c r="V549" s="4"/>
      <c r="W549" s="4"/>
      <c r="X549" s="4"/>
      <c r="Y549" s="4"/>
      <c r="Z549" s="4"/>
      <c r="AA549" s="4"/>
      <c r="AB549" s="4"/>
      <c r="AC549" s="4"/>
      <c r="AD549" s="4"/>
      <c r="AE549" s="4"/>
      <c r="AF549" s="4"/>
      <c r="AG549" s="4"/>
      <c r="AH549" s="4"/>
    </row>
    <row r="550" spans="1:34" ht="15.75" customHeight="1" x14ac:dyDescent="0.2">
      <c r="A550" s="3"/>
      <c r="B550" s="4"/>
      <c r="C550" s="4"/>
      <c r="D550" s="4"/>
      <c r="E550" s="4"/>
      <c r="F550" s="4"/>
      <c r="G550" s="4"/>
      <c r="H550" s="4"/>
      <c r="I550" s="4"/>
      <c r="J550" s="4"/>
      <c r="K550" s="4"/>
      <c r="L550" s="4"/>
      <c r="M550" s="4"/>
      <c r="N550" s="4"/>
      <c r="O550" s="4"/>
      <c r="P550" s="4"/>
      <c r="Q550" s="4"/>
      <c r="R550" s="4"/>
      <c r="S550" s="4"/>
      <c r="T550" s="4"/>
      <c r="U550" s="4"/>
      <c r="V550" s="4"/>
      <c r="W550" s="4"/>
      <c r="X550" s="4"/>
      <c r="Y550" s="4"/>
      <c r="Z550" s="4"/>
      <c r="AA550" s="4"/>
      <c r="AB550" s="4"/>
      <c r="AC550" s="4"/>
      <c r="AD550" s="4"/>
      <c r="AE550" s="4"/>
      <c r="AF550" s="4"/>
      <c r="AG550" s="4"/>
      <c r="AH550" s="4"/>
    </row>
    <row r="551" spans="1:34" ht="15.75" customHeight="1" x14ac:dyDescent="0.2">
      <c r="A551" s="3"/>
      <c r="B551" s="4"/>
      <c r="C551" s="4"/>
      <c r="D551" s="4"/>
      <c r="E551" s="4"/>
      <c r="F551" s="4"/>
      <c r="G551" s="4"/>
      <c r="H551" s="4"/>
      <c r="I551" s="4"/>
      <c r="J551" s="4"/>
      <c r="K551" s="4"/>
      <c r="L551" s="4"/>
      <c r="M551" s="4"/>
      <c r="N551" s="4"/>
      <c r="O551" s="4"/>
      <c r="P551" s="4"/>
      <c r="Q551" s="4"/>
      <c r="R551" s="4"/>
      <c r="S551" s="4"/>
      <c r="T551" s="4"/>
      <c r="U551" s="4"/>
      <c r="V551" s="4"/>
      <c r="W551" s="4"/>
      <c r="X551" s="4"/>
      <c r="Y551" s="4"/>
      <c r="Z551" s="4"/>
      <c r="AA551" s="4"/>
      <c r="AB551" s="4"/>
      <c r="AC551" s="4"/>
      <c r="AD551" s="4"/>
      <c r="AE551" s="4"/>
      <c r="AF551" s="4"/>
      <c r="AG551" s="4"/>
      <c r="AH551" s="4"/>
    </row>
    <row r="552" spans="1:34" ht="15.75" customHeight="1" x14ac:dyDescent="0.2">
      <c r="A552" s="3"/>
      <c r="B552" s="4"/>
      <c r="C552" s="4"/>
      <c r="D552" s="4"/>
      <c r="E552" s="4"/>
      <c r="F552" s="4"/>
      <c r="G552" s="4"/>
      <c r="H552" s="4"/>
      <c r="I552" s="4"/>
      <c r="J552" s="4"/>
      <c r="K552" s="4"/>
      <c r="L552" s="4"/>
      <c r="M552" s="4"/>
      <c r="N552" s="4"/>
      <c r="O552" s="4"/>
      <c r="P552" s="4"/>
      <c r="Q552" s="4"/>
      <c r="R552" s="4"/>
      <c r="S552" s="4"/>
      <c r="T552" s="4"/>
      <c r="U552" s="4"/>
      <c r="V552" s="4"/>
      <c r="W552" s="4"/>
      <c r="X552" s="4"/>
      <c r="Y552" s="4"/>
      <c r="Z552" s="4"/>
      <c r="AA552" s="4"/>
      <c r="AB552" s="4"/>
      <c r="AC552" s="4"/>
      <c r="AD552" s="4"/>
      <c r="AE552" s="4"/>
      <c r="AF552" s="4"/>
      <c r="AG552" s="4"/>
      <c r="AH552" s="4"/>
    </row>
    <row r="553" spans="1:34" ht="15.75" customHeight="1" x14ac:dyDescent="0.2">
      <c r="A553" s="3"/>
      <c r="B553" s="4"/>
      <c r="C553" s="4"/>
      <c r="D553" s="4"/>
      <c r="E553" s="4"/>
      <c r="F553" s="4"/>
      <c r="G553" s="4"/>
      <c r="H553" s="4"/>
      <c r="I553" s="4"/>
      <c r="J553" s="4"/>
      <c r="K553" s="4"/>
      <c r="L553" s="4"/>
      <c r="M553" s="4"/>
      <c r="N553" s="4"/>
      <c r="O553" s="4"/>
      <c r="P553" s="4"/>
      <c r="Q553" s="4"/>
      <c r="R553" s="4"/>
      <c r="S553" s="4"/>
      <c r="T553" s="4"/>
      <c r="U553" s="4"/>
      <c r="V553" s="4"/>
      <c r="W553" s="4"/>
      <c r="X553" s="4"/>
      <c r="Y553" s="4"/>
      <c r="Z553" s="4"/>
      <c r="AA553" s="4"/>
      <c r="AB553" s="4"/>
      <c r="AC553" s="4"/>
      <c r="AD553" s="4"/>
      <c r="AE553" s="4"/>
      <c r="AF553" s="4"/>
      <c r="AG553" s="4"/>
      <c r="AH553" s="4"/>
    </row>
    <row r="554" spans="1:34" ht="15.75" customHeight="1" x14ac:dyDescent="0.2">
      <c r="A554" s="3"/>
      <c r="B554" s="4"/>
      <c r="C554" s="4"/>
      <c r="D554" s="4"/>
      <c r="E554" s="4"/>
      <c r="F554" s="4"/>
      <c r="G554" s="4"/>
      <c r="H554" s="4"/>
      <c r="I554" s="4"/>
      <c r="J554" s="4"/>
      <c r="K554" s="4"/>
      <c r="L554" s="4"/>
      <c r="M554" s="4"/>
      <c r="N554" s="4"/>
      <c r="O554" s="4"/>
      <c r="P554" s="4"/>
      <c r="Q554" s="4"/>
      <c r="R554" s="4"/>
      <c r="S554" s="4"/>
      <c r="T554" s="4"/>
      <c r="U554" s="4"/>
      <c r="V554" s="4"/>
      <c r="W554" s="4"/>
      <c r="X554" s="4"/>
      <c r="Y554" s="4"/>
      <c r="Z554" s="4"/>
      <c r="AA554" s="4"/>
      <c r="AB554" s="4"/>
      <c r="AC554" s="4"/>
      <c r="AD554" s="4"/>
      <c r="AE554" s="4"/>
      <c r="AF554" s="4"/>
      <c r="AG554" s="4"/>
      <c r="AH554" s="4"/>
    </row>
    <row r="555" spans="1:34" ht="15.75" customHeight="1" x14ac:dyDescent="0.2">
      <c r="A555" s="3"/>
      <c r="B555" s="4"/>
      <c r="C555" s="4"/>
      <c r="D555" s="4"/>
      <c r="E555" s="4"/>
      <c r="F555" s="4"/>
      <c r="G555" s="4"/>
      <c r="H555" s="4"/>
      <c r="I555" s="4"/>
      <c r="J555" s="4"/>
      <c r="K555" s="4"/>
      <c r="L555" s="4"/>
      <c r="M555" s="4"/>
      <c r="N555" s="4"/>
      <c r="O555" s="4"/>
      <c r="P555" s="4"/>
      <c r="Q555" s="4"/>
      <c r="R555" s="4"/>
      <c r="S555" s="4"/>
      <c r="T555" s="4"/>
      <c r="U555" s="4"/>
      <c r="V555" s="4"/>
      <c r="W555" s="4"/>
      <c r="X555" s="4"/>
      <c r="Y555" s="4"/>
      <c r="Z555" s="4"/>
      <c r="AA555" s="4"/>
      <c r="AB555" s="4"/>
      <c r="AC555" s="4"/>
      <c r="AD555" s="4"/>
      <c r="AE555" s="4"/>
      <c r="AF555" s="4"/>
      <c r="AG555" s="4"/>
      <c r="AH555" s="4"/>
    </row>
    <row r="556" spans="1:34" ht="15.75" customHeight="1" x14ac:dyDescent="0.2">
      <c r="A556" s="3"/>
      <c r="B556" s="4"/>
      <c r="C556" s="4"/>
      <c r="D556" s="4"/>
      <c r="E556" s="4"/>
      <c r="F556" s="4"/>
      <c r="G556" s="4"/>
      <c r="H556" s="4"/>
      <c r="I556" s="4"/>
      <c r="J556" s="4"/>
      <c r="K556" s="4"/>
      <c r="L556" s="4"/>
      <c r="M556" s="4"/>
      <c r="N556" s="4"/>
      <c r="O556" s="4"/>
      <c r="P556" s="4"/>
      <c r="Q556" s="4"/>
      <c r="R556" s="4"/>
      <c r="S556" s="4"/>
      <c r="T556" s="4"/>
      <c r="U556" s="4"/>
      <c r="V556" s="4"/>
      <c r="W556" s="4"/>
      <c r="X556" s="4"/>
      <c r="Y556" s="4"/>
      <c r="Z556" s="4"/>
      <c r="AA556" s="4"/>
      <c r="AB556" s="4"/>
      <c r="AC556" s="4"/>
      <c r="AD556" s="4"/>
      <c r="AE556" s="4"/>
      <c r="AF556" s="4"/>
      <c r="AG556" s="4"/>
      <c r="AH556" s="4"/>
    </row>
    <row r="557" spans="1:34" ht="15.75" customHeight="1" x14ac:dyDescent="0.2">
      <c r="A557" s="3"/>
      <c r="B557" s="4"/>
      <c r="C557" s="4"/>
      <c r="D557" s="4"/>
      <c r="E557" s="4"/>
      <c r="F557" s="4"/>
      <c r="G557" s="4"/>
      <c r="H557" s="4"/>
      <c r="I557" s="4"/>
      <c r="J557" s="4"/>
      <c r="K557" s="4"/>
      <c r="L557" s="4"/>
      <c r="M557" s="4"/>
      <c r="N557" s="4"/>
      <c r="O557" s="4"/>
      <c r="P557" s="4"/>
      <c r="Q557" s="4"/>
      <c r="R557" s="4"/>
      <c r="S557" s="4"/>
      <c r="T557" s="4"/>
      <c r="U557" s="4"/>
      <c r="V557" s="4"/>
      <c r="W557" s="4"/>
      <c r="X557" s="4"/>
      <c r="Y557" s="4"/>
      <c r="Z557" s="4"/>
      <c r="AA557" s="4"/>
      <c r="AB557" s="4"/>
      <c r="AC557" s="4"/>
      <c r="AD557" s="4"/>
      <c r="AE557" s="4"/>
      <c r="AF557" s="4"/>
      <c r="AG557" s="4"/>
      <c r="AH557" s="4"/>
    </row>
    <row r="558" spans="1:34" ht="15.75" customHeight="1" x14ac:dyDescent="0.2">
      <c r="A558" s="3"/>
      <c r="B558" s="4"/>
      <c r="C558" s="4"/>
      <c r="D558" s="4"/>
      <c r="E558" s="4"/>
      <c r="F558" s="4"/>
      <c r="G558" s="4"/>
      <c r="H558" s="4"/>
      <c r="I558" s="4"/>
      <c r="J558" s="4"/>
      <c r="K558" s="4"/>
      <c r="L558" s="4"/>
      <c r="M558" s="4"/>
      <c r="N558" s="4"/>
      <c r="O558" s="4"/>
      <c r="P558" s="4"/>
      <c r="Q558" s="4"/>
      <c r="R558" s="4"/>
      <c r="S558" s="4"/>
      <c r="T558" s="4"/>
      <c r="U558" s="4"/>
      <c r="V558" s="4"/>
      <c r="W558" s="4"/>
      <c r="X558" s="4"/>
      <c r="Y558" s="4"/>
      <c r="Z558" s="4"/>
      <c r="AA558" s="4"/>
      <c r="AB558" s="4"/>
      <c r="AC558" s="4"/>
      <c r="AD558" s="4"/>
      <c r="AE558" s="4"/>
      <c r="AF558" s="4"/>
      <c r="AG558" s="4"/>
      <c r="AH558" s="4"/>
    </row>
    <row r="559" spans="1:34" ht="15.75" customHeight="1" x14ac:dyDescent="0.2">
      <c r="A559" s="3"/>
      <c r="B559" s="4"/>
      <c r="C559" s="4"/>
      <c r="D559" s="4"/>
      <c r="E559" s="4"/>
      <c r="F559" s="4"/>
      <c r="G559" s="4"/>
      <c r="H559" s="4"/>
      <c r="I559" s="4"/>
      <c r="J559" s="4"/>
      <c r="K559" s="4"/>
      <c r="L559" s="4"/>
      <c r="M559" s="4"/>
      <c r="N559" s="4"/>
      <c r="O559" s="4"/>
      <c r="P559" s="4"/>
      <c r="Q559" s="4"/>
      <c r="R559" s="4"/>
      <c r="S559" s="4"/>
      <c r="T559" s="4"/>
      <c r="U559" s="4"/>
      <c r="V559" s="4"/>
      <c r="W559" s="4"/>
      <c r="X559" s="4"/>
      <c r="Y559" s="4"/>
      <c r="Z559" s="4"/>
      <c r="AA559" s="4"/>
      <c r="AB559" s="4"/>
      <c r="AC559" s="4"/>
      <c r="AD559" s="4"/>
      <c r="AE559" s="4"/>
      <c r="AF559" s="4"/>
      <c r="AG559" s="4"/>
      <c r="AH559" s="4"/>
    </row>
    <row r="560" spans="1:34" ht="15.75" customHeight="1" x14ac:dyDescent="0.2">
      <c r="A560" s="3"/>
      <c r="B560" s="4"/>
      <c r="C560" s="4"/>
      <c r="D560" s="4"/>
      <c r="E560" s="4"/>
      <c r="F560" s="4"/>
      <c r="G560" s="4"/>
      <c r="H560" s="4"/>
      <c r="I560" s="4"/>
      <c r="J560" s="4"/>
      <c r="K560" s="4"/>
      <c r="L560" s="4"/>
      <c r="M560" s="4"/>
      <c r="N560" s="4"/>
      <c r="O560" s="4"/>
      <c r="P560" s="4"/>
      <c r="Q560" s="4"/>
      <c r="R560" s="4"/>
      <c r="S560" s="4"/>
      <c r="T560" s="4"/>
      <c r="U560" s="4"/>
      <c r="V560" s="4"/>
      <c r="W560" s="4"/>
      <c r="X560" s="4"/>
      <c r="Y560" s="4"/>
      <c r="Z560" s="4"/>
      <c r="AA560" s="4"/>
      <c r="AB560" s="4"/>
      <c r="AC560" s="4"/>
      <c r="AD560" s="4"/>
      <c r="AE560" s="4"/>
      <c r="AF560" s="4"/>
      <c r="AG560" s="4"/>
      <c r="AH560" s="4"/>
    </row>
    <row r="561" spans="1:34" ht="15.75" customHeight="1" x14ac:dyDescent="0.2">
      <c r="A561" s="3"/>
      <c r="B561" s="4"/>
      <c r="C561" s="4"/>
      <c r="D561" s="4"/>
      <c r="E561" s="4"/>
      <c r="F561" s="4"/>
      <c r="G561" s="4"/>
      <c r="H561" s="4"/>
      <c r="I561" s="4"/>
      <c r="J561" s="4"/>
      <c r="K561" s="4"/>
      <c r="L561" s="4"/>
      <c r="M561" s="4"/>
      <c r="N561" s="4"/>
      <c r="O561" s="4"/>
      <c r="P561" s="4"/>
      <c r="Q561" s="4"/>
      <c r="R561" s="4"/>
      <c r="S561" s="4"/>
      <c r="T561" s="4"/>
      <c r="U561" s="4"/>
      <c r="V561" s="4"/>
      <c r="W561" s="4"/>
      <c r="X561" s="4"/>
      <c r="Y561" s="4"/>
      <c r="Z561" s="4"/>
      <c r="AA561" s="4"/>
      <c r="AB561" s="4"/>
      <c r="AC561" s="4"/>
      <c r="AD561" s="4"/>
      <c r="AE561" s="4"/>
      <c r="AF561" s="4"/>
      <c r="AG561" s="4"/>
      <c r="AH561" s="4"/>
    </row>
    <row r="562" spans="1:34" ht="15.75" customHeight="1" x14ac:dyDescent="0.2">
      <c r="A562" s="3"/>
      <c r="B562" s="4"/>
      <c r="C562" s="4"/>
      <c r="D562" s="4"/>
      <c r="E562" s="4"/>
      <c r="F562" s="4"/>
      <c r="G562" s="4"/>
      <c r="H562" s="4"/>
      <c r="I562" s="4"/>
      <c r="J562" s="4"/>
      <c r="K562" s="4"/>
      <c r="L562" s="4"/>
      <c r="M562" s="4"/>
      <c r="N562" s="4"/>
      <c r="O562" s="4"/>
      <c r="P562" s="4"/>
      <c r="Q562" s="4"/>
      <c r="R562" s="4"/>
      <c r="S562" s="4"/>
      <c r="T562" s="4"/>
      <c r="U562" s="4"/>
      <c r="V562" s="4"/>
      <c r="W562" s="4"/>
      <c r="X562" s="4"/>
      <c r="Y562" s="4"/>
      <c r="Z562" s="4"/>
      <c r="AA562" s="4"/>
      <c r="AB562" s="4"/>
      <c r="AC562" s="4"/>
      <c r="AD562" s="4"/>
      <c r="AE562" s="4"/>
      <c r="AF562" s="4"/>
      <c r="AG562" s="4"/>
      <c r="AH562" s="4"/>
    </row>
    <row r="563" spans="1:34" ht="15.75" customHeight="1" x14ac:dyDescent="0.2">
      <c r="A563" s="3"/>
      <c r="B563" s="4"/>
      <c r="C563" s="4"/>
      <c r="D563" s="4"/>
      <c r="E563" s="4"/>
      <c r="F563" s="4"/>
      <c r="G563" s="4"/>
      <c r="H563" s="4"/>
      <c r="I563" s="4"/>
      <c r="J563" s="4"/>
      <c r="K563" s="4"/>
      <c r="L563" s="4"/>
      <c r="M563" s="4"/>
      <c r="N563" s="4"/>
      <c r="O563" s="4"/>
      <c r="P563" s="4"/>
      <c r="Q563" s="4"/>
      <c r="R563" s="4"/>
      <c r="S563" s="4"/>
      <c r="T563" s="4"/>
      <c r="U563" s="4"/>
      <c r="V563" s="4"/>
      <c r="W563" s="4"/>
      <c r="X563" s="4"/>
      <c r="Y563" s="4"/>
      <c r="Z563" s="4"/>
      <c r="AA563" s="4"/>
      <c r="AB563" s="4"/>
      <c r="AC563" s="4"/>
      <c r="AD563" s="4"/>
      <c r="AE563" s="4"/>
      <c r="AF563" s="4"/>
      <c r="AG563" s="4"/>
      <c r="AH563" s="4"/>
    </row>
    <row r="564" spans="1:34" ht="15.75" customHeight="1" x14ac:dyDescent="0.2">
      <c r="A564" s="3"/>
      <c r="B564" s="4"/>
      <c r="C564" s="4"/>
      <c r="D564" s="4"/>
      <c r="E564" s="4"/>
      <c r="F564" s="4"/>
      <c r="G564" s="4"/>
      <c r="H564" s="4"/>
      <c r="I564" s="4"/>
      <c r="J564" s="4"/>
      <c r="K564" s="4"/>
      <c r="L564" s="4"/>
      <c r="M564" s="4"/>
      <c r="N564" s="4"/>
      <c r="O564" s="4"/>
      <c r="P564" s="4"/>
      <c r="Q564" s="4"/>
      <c r="R564" s="4"/>
      <c r="S564" s="4"/>
      <c r="T564" s="4"/>
      <c r="U564" s="4"/>
      <c r="V564" s="4"/>
      <c r="W564" s="4"/>
      <c r="X564" s="4"/>
      <c r="Y564" s="4"/>
      <c r="Z564" s="4"/>
      <c r="AA564" s="4"/>
      <c r="AB564" s="4"/>
      <c r="AC564" s="4"/>
      <c r="AD564" s="4"/>
      <c r="AE564" s="4"/>
      <c r="AF564" s="4"/>
      <c r="AG564" s="4"/>
      <c r="AH564" s="4"/>
    </row>
    <row r="565" spans="1:34" ht="15.75" customHeight="1" x14ac:dyDescent="0.2">
      <c r="A565" s="3"/>
      <c r="B565" s="4"/>
      <c r="C565" s="4"/>
      <c r="D565" s="4"/>
      <c r="E565" s="4"/>
      <c r="F565" s="4"/>
      <c r="G565" s="4"/>
      <c r="H565" s="4"/>
      <c r="I565" s="4"/>
      <c r="J565" s="4"/>
      <c r="K565" s="4"/>
      <c r="L565" s="4"/>
      <c r="M565" s="4"/>
      <c r="N565" s="4"/>
      <c r="O565" s="4"/>
      <c r="P565" s="4"/>
      <c r="Q565" s="4"/>
      <c r="R565" s="4"/>
      <c r="S565" s="4"/>
      <c r="T565" s="4"/>
      <c r="U565" s="4"/>
      <c r="V565" s="4"/>
      <c r="W565" s="4"/>
      <c r="X565" s="4"/>
      <c r="Y565" s="4"/>
      <c r="Z565" s="4"/>
      <c r="AA565" s="4"/>
      <c r="AB565" s="4"/>
      <c r="AC565" s="4"/>
      <c r="AD565" s="4"/>
      <c r="AE565" s="4"/>
      <c r="AF565" s="4"/>
      <c r="AG565" s="4"/>
      <c r="AH565" s="4"/>
    </row>
    <row r="566" spans="1:34" ht="15.75" customHeight="1" x14ac:dyDescent="0.2">
      <c r="A566" s="3"/>
      <c r="B566" s="4"/>
      <c r="C566" s="4"/>
      <c r="D566" s="4"/>
      <c r="E566" s="4"/>
      <c r="F566" s="4"/>
      <c r="G566" s="4"/>
      <c r="H566" s="4"/>
      <c r="I566" s="4"/>
      <c r="J566" s="4"/>
      <c r="K566" s="4"/>
      <c r="L566" s="4"/>
      <c r="M566" s="4"/>
      <c r="N566" s="4"/>
      <c r="O566" s="4"/>
      <c r="P566" s="4"/>
      <c r="Q566" s="4"/>
      <c r="R566" s="4"/>
      <c r="S566" s="4"/>
      <c r="T566" s="4"/>
      <c r="U566" s="4"/>
      <c r="V566" s="4"/>
      <c r="W566" s="4"/>
      <c r="X566" s="4"/>
      <c r="Y566" s="4"/>
      <c r="Z566" s="4"/>
      <c r="AA566" s="4"/>
      <c r="AB566" s="4"/>
      <c r="AC566" s="4"/>
      <c r="AD566" s="4"/>
      <c r="AE566" s="4"/>
      <c r="AF566" s="4"/>
      <c r="AG566" s="4"/>
      <c r="AH566" s="4"/>
    </row>
    <row r="567" spans="1:34" ht="15.75" customHeight="1" x14ac:dyDescent="0.2">
      <c r="A567" s="3"/>
      <c r="B567" s="4"/>
      <c r="C567" s="4"/>
      <c r="D567" s="4"/>
      <c r="E567" s="4"/>
      <c r="F567" s="4"/>
      <c r="G567" s="4"/>
      <c r="H567" s="4"/>
      <c r="I567" s="4"/>
      <c r="J567" s="4"/>
      <c r="K567" s="4"/>
      <c r="L567" s="4"/>
      <c r="M567" s="4"/>
      <c r="N567" s="4"/>
      <c r="O567" s="4"/>
      <c r="P567" s="4"/>
      <c r="Q567" s="4"/>
      <c r="R567" s="4"/>
      <c r="S567" s="4"/>
      <c r="T567" s="4"/>
      <c r="U567" s="4"/>
      <c r="V567" s="4"/>
      <c r="W567" s="4"/>
      <c r="X567" s="4"/>
      <c r="Y567" s="4"/>
      <c r="Z567" s="4"/>
      <c r="AA567" s="4"/>
      <c r="AB567" s="4"/>
      <c r="AC567" s="4"/>
      <c r="AD567" s="4"/>
      <c r="AE567" s="4"/>
      <c r="AF567" s="4"/>
      <c r="AG567" s="4"/>
      <c r="AH567" s="4"/>
    </row>
    <row r="568" spans="1:34" ht="15.75" customHeight="1" x14ac:dyDescent="0.2">
      <c r="A568" s="3"/>
      <c r="B568" s="4"/>
      <c r="C568" s="4"/>
      <c r="D568" s="4"/>
      <c r="E568" s="4"/>
      <c r="F568" s="4"/>
      <c r="G568" s="4"/>
      <c r="H568" s="4"/>
      <c r="I568" s="4"/>
      <c r="J568" s="4"/>
      <c r="K568" s="4"/>
      <c r="L568" s="4"/>
      <c r="M568" s="4"/>
      <c r="N568" s="4"/>
      <c r="O568" s="4"/>
      <c r="P568" s="4"/>
      <c r="Q568" s="4"/>
      <c r="R568" s="4"/>
      <c r="S568" s="4"/>
      <c r="T568" s="4"/>
      <c r="U568" s="4"/>
      <c r="V568" s="4"/>
      <c r="W568" s="4"/>
      <c r="X568" s="4"/>
      <c r="Y568" s="4"/>
      <c r="Z568" s="4"/>
      <c r="AA568" s="4"/>
      <c r="AB568" s="4"/>
      <c r="AC568" s="4"/>
      <c r="AD568" s="4"/>
      <c r="AE568" s="4"/>
      <c r="AF568" s="4"/>
      <c r="AG568" s="4"/>
      <c r="AH568" s="4"/>
    </row>
    <row r="569" spans="1:34" ht="15.75" customHeight="1" x14ac:dyDescent="0.2">
      <c r="A569" s="3"/>
      <c r="B569" s="4"/>
      <c r="C569" s="4"/>
      <c r="D569" s="4"/>
      <c r="E569" s="4"/>
      <c r="F569" s="4"/>
      <c r="G569" s="4"/>
      <c r="H569" s="4"/>
      <c r="I569" s="4"/>
      <c r="J569" s="4"/>
      <c r="K569" s="4"/>
      <c r="L569" s="4"/>
      <c r="M569" s="4"/>
      <c r="N569" s="4"/>
      <c r="O569" s="4"/>
      <c r="P569" s="4"/>
      <c r="Q569" s="4"/>
      <c r="R569" s="4"/>
      <c r="S569" s="4"/>
      <c r="T569" s="4"/>
      <c r="U569" s="4"/>
      <c r="V569" s="4"/>
      <c r="W569" s="4"/>
      <c r="X569" s="4"/>
      <c r="Y569" s="4"/>
      <c r="Z569" s="4"/>
      <c r="AA569" s="4"/>
      <c r="AB569" s="4"/>
      <c r="AC569" s="4"/>
      <c r="AD569" s="4"/>
      <c r="AE569" s="4"/>
      <c r="AF569" s="4"/>
      <c r="AG569" s="4"/>
      <c r="AH569" s="4"/>
    </row>
    <row r="570" spans="1:34" ht="15.75" customHeight="1" x14ac:dyDescent="0.2">
      <c r="A570" s="3"/>
      <c r="B570" s="4"/>
      <c r="C570" s="4"/>
      <c r="D570" s="4"/>
      <c r="E570" s="4"/>
      <c r="F570" s="4"/>
      <c r="G570" s="4"/>
      <c r="H570" s="4"/>
      <c r="I570" s="4"/>
      <c r="J570" s="4"/>
      <c r="K570" s="4"/>
      <c r="L570" s="4"/>
      <c r="M570" s="4"/>
      <c r="N570" s="4"/>
      <c r="O570" s="4"/>
      <c r="P570" s="4"/>
      <c r="Q570" s="4"/>
      <c r="R570" s="4"/>
      <c r="S570" s="4"/>
      <c r="T570" s="4"/>
      <c r="U570" s="4"/>
      <c r="V570" s="4"/>
      <c r="W570" s="4"/>
      <c r="X570" s="4"/>
      <c r="Y570" s="4"/>
      <c r="Z570" s="4"/>
      <c r="AA570" s="4"/>
      <c r="AB570" s="4"/>
      <c r="AC570" s="4"/>
      <c r="AD570" s="4"/>
      <c r="AE570" s="4"/>
      <c r="AF570" s="4"/>
      <c r="AG570" s="4"/>
      <c r="AH570" s="4"/>
    </row>
    <row r="571" spans="1:34" ht="15.75" customHeight="1" x14ac:dyDescent="0.2">
      <c r="A571" s="3"/>
      <c r="B571" s="4"/>
      <c r="C571" s="4"/>
      <c r="D571" s="4"/>
      <c r="E571" s="4"/>
      <c r="F571" s="4"/>
      <c r="G571" s="4"/>
      <c r="H571" s="4"/>
      <c r="I571" s="4"/>
      <c r="J571" s="4"/>
      <c r="K571" s="4"/>
      <c r="L571" s="4"/>
      <c r="M571" s="4"/>
      <c r="N571" s="4"/>
      <c r="O571" s="4"/>
      <c r="P571" s="4"/>
      <c r="Q571" s="4"/>
      <c r="R571" s="4"/>
      <c r="S571" s="4"/>
      <c r="T571" s="4"/>
      <c r="U571" s="4"/>
      <c r="V571" s="4"/>
      <c r="W571" s="4"/>
      <c r="X571" s="4"/>
      <c r="Y571" s="4"/>
      <c r="Z571" s="4"/>
      <c r="AA571" s="4"/>
      <c r="AB571" s="4"/>
      <c r="AC571" s="4"/>
      <c r="AD571" s="4"/>
      <c r="AE571" s="4"/>
      <c r="AF571" s="4"/>
      <c r="AG571" s="4"/>
      <c r="AH571" s="4"/>
    </row>
    <row r="572" spans="1:34" ht="15.75" customHeight="1" x14ac:dyDescent="0.2">
      <c r="A572" s="3"/>
      <c r="B572" s="4"/>
      <c r="C572" s="4"/>
      <c r="D572" s="4"/>
      <c r="E572" s="4"/>
      <c r="F572" s="4"/>
      <c r="G572" s="4"/>
      <c r="H572" s="4"/>
      <c r="I572" s="4"/>
      <c r="J572" s="4"/>
      <c r="K572" s="4"/>
      <c r="L572" s="4"/>
      <c r="M572" s="4"/>
      <c r="N572" s="4"/>
      <c r="O572" s="4"/>
      <c r="P572" s="4"/>
      <c r="Q572" s="4"/>
      <c r="R572" s="4"/>
      <c r="S572" s="4"/>
      <c r="T572" s="4"/>
      <c r="U572" s="4"/>
      <c r="V572" s="4"/>
      <c r="W572" s="4"/>
      <c r="X572" s="4"/>
      <c r="Y572" s="4"/>
      <c r="Z572" s="4"/>
      <c r="AA572" s="4"/>
      <c r="AB572" s="4"/>
      <c r="AC572" s="4"/>
      <c r="AD572" s="4"/>
      <c r="AE572" s="4"/>
      <c r="AF572" s="4"/>
      <c r="AG572" s="4"/>
      <c r="AH572" s="4"/>
    </row>
    <row r="573" spans="1:34" ht="15.75" customHeight="1" x14ac:dyDescent="0.2">
      <c r="A573" s="3"/>
      <c r="B573" s="4"/>
      <c r="C573" s="4"/>
      <c r="D573" s="4"/>
      <c r="E573" s="4"/>
      <c r="F573" s="4"/>
      <c r="G573" s="4"/>
      <c r="H573" s="4"/>
      <c r="I573" s="4"/>
      <c r="J573" s="4"/>
      <c r="K573" s="4"/>
      <c r="L573" s="4"/>
      <c r="M573" s="4"/>
      <c r="N573" s="4"/>
      <c r="O573" s="4"/>
      <c r="P573" s="4"/>
      <c r="Q573" s="4"/>
      <c r="R573" s="4"/>
      <c r="S573" s="4"/>
      <c r="T573" s="4"/>
      <c r="U573" s="4"/>
      <c r="V573" s="4"/>
      <c r="W573" s="4"/>
      <c r="X573" s="4"/>
      <c r="Y573" s="4"/>
      <c r="Z573" s="4"/>
      <c r="AA573" s="4"/>
      <c r="AB573" s="4"/>
      <c r="AC573" s="4"/>
      <c r="AD573" s="4"/>
      <c r="AE573" s="4"/>
      <c r="AF573" s="4"/>
      <c r="AG573" s="4"/>
      <c r="AH573" s="4"/>
    </row>
    <row r="574" spans="1:34" ht="15.75" customHeight="1" x14ac:dyDescent="0.2">
      <c r="A574" s="3"/>
      <c r="B574" s="4"/>
      <c r="C574" s="4"/>
      <c r="D574" s="4"/>
      <c r="E574" s="4"/>
      <c r="F574" s="4"/>
      <c r="G574" s="4"/>
      <c r="H574" s="4"/>
      <c r="I574" s="4"/>
      <c r="J574" s="4"/>
      <c r="K574" s="4"/>
      <c r="L574" s="4"/>
      <c r="M574" s="4"/>
      <c r="N574" s="4"/>
      <c r="O574" s="4"/>
      <c r="P574" s="4"/>
      <c r="Q574" s="4"/>
      <c r="R574" s="4"/>
      <c r="S574" s="4"/>
      <c r="T574" s="4"/>
      <c r="U574" s="4"/>
      <c r="V574" s="4"/>
      <c r="W574" s="4"/>
      <c r="X574" s="4"/>
      <c r="Y574" s="4"/>
      <c r="Z574" s="4"/>
      <c r="AA574" s="4"/>
      <c r="AB574" s="4"/>
      <c r="AC574" s="4"/>
      <c r="AD574" s="4"/>
      <c r="AE574" s="4"/>
      <c r="AF574" s="4"/>
      <c r="AG574" s="4"/>
      <c r="AH574" s="4"/>
    </row>
    <row r="575" spans="1:34" ht="15.75" customHeight="1" x14ac:dyDescent="0.2">
      <c r="A575" s="3"/>
      <c r="B575" s="4"/>
      <c r="C575" s="4"/>
      <c r="D575" s="4"/>
      <c r="E575" s="4"/>
      <c r="F575" s="4"/>
      <c r="G575" s="4"/>
      <c r="H575" s="4"/>
      <c r="I575" s="4"/>
      <c r="J575" s="4"/>
      <c r="K575" s="4"/>
      <c r="L575" s="4"/>
      <c r="M575" s="4"/>
      <c r="N575" s="4"/>
      <c r="O575" s="4"/>
      <c r="P575" s="4"/>
      <c r="Q575" s="4"/>
      <c r="R575" s="4"/>
      <c r="S575" s="4"/>
      <c r="T575" s="4"/>
      <c r="U575" s="4"/>
      <c r="V575" s="4"/>
      <c r="W575" s="4"/>
      <c r="X575" s="4"/>
      <c r="Y575" s="4"/>
      <c r="Z575" s="4"/>
      <c r="AA575" s="4"/>
      <c r="AB575" s="4"/>
      <c r="AC575" s="4"/>
      <c r="AD575" s="4"/>
      <c r="AE575" s="4"/>
      <c r="AF575" s="4"/>
      <c r="AG575" s="4"/>
      <c r="AH575" s="4"/>
    </row>
    <row r="576" spans="1:34" ht="15.75" customHeight="1" x14ac:dyDescent="0.2">
      <c r="A576" s="3"/>
      <c r="B576" s="4"/>
      <c r="C576" s="4"/>
      <c r="D576" s="4"/>
      <c r="E576" s="4"/>
      <c r="F576" s="4"/>
      <c r="G576" s="4"/>
      <c r="H576" s="4"/>
      <c r="I576" s="4"/>
      <c r="J576" s="4"/>
      <c r="K576" s="4"/>
      <c r="L576" s="4"/>
      <c r="M576" s="4"/>
      <c r="N576" s="4"/>
      <c r="O576" s="4"/>
      <c r="P576" s="4"/>
      <c r="Q576" s="4"/>
      <c r="R576" s="4"/>
      <c r="S576" s="4"/>
      <c r="T576" s="4"/>
      <c r="U576" s="4"/>
      <c r="V576" s="4"/>
      <c r="W576" s="4"/>
      <c r="X576" s="4"/>
      <c r="Y576" s="4"/>
      <c r="Z576" s="4"/>
      <c r="AA576" s="4"/>
      <c r="AB576" s="4"/>
      <c r="AC576" s="4"/>
      <c r="AD576" s="4"/>
      <c r="AE576" s="4"/>
      <c r="AF576" s="4"/>
      <c r="AG576" s="4"/>
      <c r="AH576" s="4"/>
    </row>
    <row r="577" spans="1:34" ht="15.75" customHeight="1" x14ac:dyDescent="0.2">
      <c r="A577" s="3"/>
      <c r="B577" s="4"/>
      <c r="C577" s="4"/>
      <c r="D577" s="4"/>
      <c r="E577" s="4"/>
      <c r="F577" s="4"/>
      <c r="G577" s="4"/>
      <c r="H577" s="4"/>
      <c r="I577" s="4"/>
      <c r="J577" s="4"/>
      <c r="K577" s="4"/>
      <c r="L577" s="4"/>
      <c r="M577" s="4"/>
      <c r="N577" s="4"/>
      <c r="O577" s="4"/>
      <c r="P577" s="4"/>
      <c r="Q577" s="4"/>
      <c r="R577" s="4"/>
      <c r="S577" s="4"/>
      <c r="T577" s="4"/>
      <c r="U577" s="4"/>
      <c r="V577" s="4"/>
      <c r="W577" s="4"/>
      <c r="X577" s="4"/>
      <c r="Y577" s="4"/>
      <c r="Z577" s="4"/>
      <c r="AA577" s="4"/>
      <c r="AB577" s="4"/>
      <c r="AC577" s="4"/>
      <c r="AD577" s="4"/>
      <c r="AE577" s="4"/>
      <c r="AF577" s="4"/>
      <c r="AG577" s="4"/>
      <c r="AH577" s="4"/>
    </row>
    <row r="578" spans="1:34" ht="15.75" customHeight="1" x14ac:dyDescent="0.2">
      <c r="A578" s="3"/>
      <c r="B578" s="4"/>
      <c r="C578" s="4"/>
      <c r="D578" s="4"/>
      <c r="E578" s="4"/>
      <c r="F578" s="4"/>
      <c r="G578" s="4"/>
      <c r="H578" s="4"/>
      <c r="I578" s="4"/>
      <c r="J578" s="4"/>
      <c r="K578" s="4"/>
      <c r="L578" s="4"/>
      <c r="M578" s="4"/>
      <c r="N578" s="4"/>
      <c r="O578" s="4"/>
      <c r="P578" s="4"/>
      <c r="Q578" s="4"/>
      <c r="R578" s="4"/>
      <c r="S578" s="4"/>
      <c r="T578" s="4"/>
      <c r="U578" s="4"/>
      <c r="V578" s="4"/>
      <c r="W578" s="4"/>
      <c r="X578" s="4"/>
      <c r="Y578" s="4"/>
      <c r="Z578" s="4"/>
      <c r="AA578" s="4"/>
      <c r="AB578" s="4"/>
      <c r="AC578" s="4"/>
      <c r="AD578" s="4"/>
      <c r="AE578" s="4"/>
      <c r="AF578" s="4"/>
      <c r="AG578" s="4"/>
      <c r="AH578" s="4"/>
    </row>
    <row r="579" spans="1:34" ht="15.75" customHeight="1" x14ac:dyDescent="0.2">
      <c r="A579" s="3"/>
      <c r="B579" s="4"/>
      <c r="C579" s="4"/>
      <c r="D579" s="4"/>
      <c r="E579" s="4"/>
      <c r="F579" s="4"/>
      <c r="G579" s="4"/>
      <c r="H579" s="4"/>
      <c r="I579" s="4"/>
      <c r="J579" s="4"/>
      <c r="K579" s="4"/>
      <c r="L579" s="4"/>
      <c r="M579" s="4"/>
      <c r="N579" s="4"/>
      <c r="O579" s="4"/>
      <c r="P579" s="4"/>
      <c r="Q579" s="4"/>
      <c r="R579" s="4"/>
      <c r="S579" s="4"/>
      <c r="T579" s="4"/>
      <c r="U579" s="4"/>
      <c r="V579" s="4"/>
      <c r="W579" s="4"/>
      <c r="X579" s="4"/>
      <c r="Y579" s="4"/>
      <c r="Z579" s="4"/>
      <c r="AA579" s="4"/>
      <c r="AB579" s="4"/>
      <c r="AC579" s="4"/>
      <c r="AD579" s="4"/>
      <c r="AE579" s="4"/>
      <c r="AF579" s="4"/>
      <c r="AG579" s="4"/>
      <c r="AH579" s="4"/>
    </row>
    <row r="580" spans="1:34" ht="15.75" customHeight="1" x14ac:dyDescent="0.2">
      <c r="A580" s="3"/>
      <c r="B580" s="4"/>
      <c r="C580" s="4"/>
      <c r="D580" s="4"/>
      <c r="E580" s="4"/>
      <c r="F580" s="4"/>
      <c r="G580" s="4"/>
      <c r="H580" s="4"/>
      <c r="I580" s="4"/>
      <c r="J580" s="4"/>
      <c r="K580" s="4"/>
      <c r="L580" s="4"/>
      <c r="M580" s="4"/>
      <c r="N580" s="4"/>
      <c r="O580" s="4"/>
      <c r="P580" s="4"/>
      <c r="Q580" s="4"/>
      <c r="R580" s="4"/>
      <c r="S580" s="4"/>
      <c r="T580" s="4"/>
      <c r="U580" s="4"/>
      <c r="V580" s="4"/>
      <c r="W580" s="4"/>
      <c r="X580" s="4"/>
      <c r="Y580" s="4"/>
      <c r="Z580" s="4"/>
      <c r="AA580" s="4"/>
      <c r="AB580" s="4"/>
      <c r="AC580" s="4"/>
      <c r="AD580" s="4"/>
      <c r="AE580" s="4"/>
      <c r="AF580" s="4"/>
      <c r="AG580" s="4"/>
      <c r="AH580" s="4"/>
    </row>
    <row r="581" spans="1:34" ht="15.75" customHeight="1" x14ac:dyDescent="0.2">
      <c r="A581" s="3"/>
      <c r="B581" s="4"/>
      <c r="C581" s="4"/>
      <c r="D581" s="4"/>
      <c r="E581" s="4"/>
      <c r="F581" s="4"/>
      <c r="G581" s="4"/>
      <c r="H581" s="4"/>
      <c r="I581" s="4"/>
      <c r="J581" s="4"/>
      <c r="K581" s="4"/>
      <c r="L581" s="4"/>
      <c r="M581" s="4"/>
      <c r="N581" s="4"/>
      <c r="O581" s="4"/>
      <c r="P581" s="4"/>
      <c r="Q581" s="4"/>
      <c r="R581" s="4"/>
      <c r="S581" s="4"/>
      <c r="T581" s="4"/>
      <c r="U581" s="4"/>
      <c r="V581" s="4"/>
      <c r="W581" s="4"/>
      <c r="X581" s="4"/>
      <c r="Y581" s="4"/>
      <c r="Z581" s="4"/>
      <c r="AA581" s="4"/>
      <c r="AB581" s="4"/>
      <c r="AC581" s="4"/>
      <c r="AD581" s="4"/>
      <c r="AE581" s="4"/>
      <c r="AF581" s="4"/>
      <c r="AG581" s="4"/>
      <c r="AH581" s="4"/>
    </row>
    <row r="582" spans="1:34" ht="15.75" customHeight="1" x14ac:dyDescent="0.2">
      <c r="A582" s="3"/>
      <c r="B582" s="4"/>
      <c r="C582" s="4"/>
      <c r="D582" s="4"/>
      <c r="E582" s="4"/>
      <c r="F582" s="4"/>
      <c r="G582" s="4"/>
      <c r="H582" s="4"/>
      <c r="I582" s="4"/>
      <c r="J582" s="4"/>
      <c r="K582" s="4"/>
      <c r="L582" s="4"/>
      <c r="M582" s="4"/>
      <c r="N582" s="4"/>
      <c r="O582" s="4"/>
      <c r="P582" s="4"/>
      <c r="Q582" s="4"/>
      <c r="R582" s="4"/>
      <c r="S582" s="4"/>
      <c r="T582" s="4"/>
      <c r="U582" s="4"/>
      <c r="V582" s="4"/>
      <c r="W582" s="4"/>
      <c r="X582" s="4"/>
      <c r="Y582" s="4"/>
      <c r="Z582" s="4"/>
      <c r="AA582" s="4"/>
      <c r="AB582" s="4"/>
      <c r="AC582" s="4"/>
      <c r="AD582" s="4"/>
      <c r="AE582" s="4"/>
      <c r="AF582" s="4"/>
      <c r="AG582" s="4"/>
      <c r="AH582" s="4"/>
    </row>
    <row r="583" spans="1:34" ht="15.75" customHeight="1" x14ac:dyDescent="0.2">
      <c r="A583" s="3"/>
      <c r="B583" s="4"/>
      <c r="C583" s="4"/>
      <c r="D583" s="4"/>
      <c r="E583" s="4"/>
      <c r="F583" s="4"/>
      <c r="G583" s="4"/>
      <c r="H583" s="4"/>
      <c r="I583" s="4"/>
      <c r="J583" s="4"/>
      <c r="K583" s="4"/>
      <c r="L583" s="4"/>
      <c r="M583" s="4"/>
      <c r="N583" s="4"/>
      <c r="O583" s="4"/>
      <c r="P583" s="4"/>
      <c r="Q583" s="4"/>
      <c r="R583" s="4"/>
      <c r="S583" s="4"/>
      <c r="T583" s="4"/>
      <c r="U583" s="4"/>
      <c r="V583" s="4"/>
      <c r="W583" s="4"/>
      <c r="X583" s="4"/>
      <c r="Y583" s="4"/>
      <c r="Z583" s="4"/>
      <c r="AA583" s="4"/>
      <c r="AB583" s="4"/>
      <c r="AC583" s="4"/>
      <c r="AD583" s="4"/>
      <c r="AE583" s="4"/>
      <c r="AF583" s="4"/>
      <c r="AG583" s="4"/>
      <c r="AH583" s="4"/>
    </row>
    <row r="584" spans="1:34" ht="15.75" customHeight="1" x14ac:dyDescent="0.2">
      <c r="A584" s="3"/>
      <c r="B584" s="4"/>
      <c r="C584" s="4"/>
      <c r="D584" s="4"/>
      <c r="E584" s="4"/>
      <c r="F584" s="4"/>
      <c r="G584" s="4"/>
      <c r="H584" s="4"/>
      <c r="I584" s="4"/>
      <c r="J584" s="4"/>
      <c r="K584" s="4"/>
      <c r="L584" s="4"/>
      <c r="M584" s="4"/>
      <c r="N584" s="4"/>
      <c r="O584" s="4"/>
      <c r="P584" s="4"/>
      <c r="Q584" s="4"/>
      <c r="R584" s="4"/>
      <c r="S584" s="4"/>
      <c r="T584" s="4"/>
      <c r="U584" s="4"/>
      <c r="V584" s="4"/>
      <c r="W584" s="4"/>
      <c r="X584" s="4"/>
      <c r="Y584" s="4"/>
      <c r="Z584" s="4"/>
      <c r="AA584" s="4"/>
      <c r="AB584" s="4"/>
      <c r="AC584" s="4"/>
      <c r="AD584" s="4"/>
      <c r="AE584" s="4"/>
      <c r="AF584" s="4"/>
      <c r="AG584" s="4"/>
      <c r="AH584" s="4"/>
    </row>
    <row r="585" spans="1:34" ht="15.75" customHeight="1" x14ac:dyDescent="0.2">
      <c r="A585" s="3"/>
      <c r="B585" s="4"/>
      <c r="C585" s="4"/>
      <c r="D585" s="4"/>
      <c r="E585" s="4"/>
      <c r="F585" s="4"/>
      <c r="G585" s="4"/>
      <c r="H585" s="4"/>
      <c r="I585" s="4"/>
      <c r="J585" s="4"/>
      <c r="K585" s="4"/>
      <c r="L585" s="4"/>
      <c r="M585" s="4"/>
      <c r="N585" s="4"/>
      <c r="O585" s="4"/>
      <c r="P585" s="4"/>
      <c r="Q585" s="4"/>
      <c r="R585" s="4"/>
      <c r="S585" s="4"/>
      <c r="T585" s="4"/>
      <c r="U585" s="4"/>
      <c r="V585" s="4"/>
      <c r="W585" s="4"/>
      <c r="X585" s="4"/>
      <c r="Y585" s="4"/>
      <c r="Z585" s="4"/>
      <c r="AA585" s="4"/>
      <c r="AB585" s="4"/>
      <c r="AC585" s="4"/>
      <c r="AD585" s="4"/>
      <c r="AE585" s="4"/>
      <c r="AF585" s="4"/>
      <c r="AG585" s="4"/>
      <c r="AH585" s="4"/>
    </row>
    <row r="586" spans="1:34" ht="15.75" customHeight="1" x14ac:dyDescent="0.2">
      <c r="A586" s="3"/>
      <c r="B586" s="4"/>
      <c r="C586" s="4"/>
      <c r="D586" s="4"/>
      <c r="E586" s="4"/>
      <c r="F586" s="4"/>
      <c r="G586" s="4"/>
      <c r="H586" s="4"/>
      <c r="I586" s="4"/>
      <c r="J586" s="4"/>
      <c r="K586" s="4"/>
      <c r="L586" s="4"/>
      <c r="M586" s="4"/>
      <c r="N586" s="4"/>
      <c r="O586" s="4"/>
      <c r="P586" s="4"/>
      <c r="Q586" s="4"/>
      <c r="R586" s="4"/>
      <c r="S586" s="4"/>
      <c r="T586" s="4"/>
      <c r="U586" s="4"/>
      <c r="V586" s="4"/>
      <c r="W586" s="4"/>
      <c r="X586" s="4"/>
      <c r="Y586" s="4"/>
      <c r="Z586" s="4"/>
      <c r="AA586" s="4"/>
      <c r="AB586" s="4"/>
      <c r="AC586" s="4"/>
      <c r="AD586" s="4"/>
      <c r="AE586" s="4"/>
      <c r="AF586" s="4"/>
      <c r="AG586" s="4"/>
      <c r="AH586" s="4"/>
    </row>
    <row r="587" spans="1:34" ht="15.75" customHeight="1" x14ac:dyDescent="0.2">
      <c r="A587" s="3"/>
      <c r="B587" s="4"/>
      <c r="C587" s="4"/>
      <c r="D587" s="4"/>
      <c r="E587" s="4"/>
      <c r="F587" s="4"/>
      <c r="G587" s="4"/>
      <c r="H587" s="4"/>
      <c r="I587" s="4"/>
      <c r="J587" s="4"/>
      <c r="K587" s="4"/>
      <c r="L587" s="4"/>
      <c r="M587" s="4"/>
      <c r="N587" s="4"/>
      <c r="O587" s="4"/>
      <c r="P587" s="4"/>
      <c r="Q587" s="4"/>
      <c r="R587" s="4"/>
      <c r="S587" s="4"/>
      <c r="T587" s="4"/>
      <c r="U587" s="4"/>
      <c r="V587" s="4"/>
      <c r="W587" s="4"/>
      <c r="X587" s="4"/>
      <c r="Y587" s="4"/>
      <c r="Z587" s="4"/>
      <c r="AA587" s="4"/>
      <c r="AB587" s="4"/>
      <c r="AC587" s="4"/>
      <c r="AD587" s="4"/>
      <c r="AE587" s="4"/>
      <c r="AF587" s="4"/>
      <c r="AG587" s="4"/>
      <c r="AH587" s="4"/>
    </row>
    <row r="588" spans="1:34" ht="15.75" customHeight="1" x14ac:dyDescent="0.2">
      <c r="A588" s="3"/>
      <c r="B588" s="4"/>
      <c r="C588" s="4"/>
      <c r="D588" s="4"/>
      <c r="E588" s="4"/>
      <c r="F588" s="4"/>
      <c r="G588" s="4"/>
      <c r="H588" s="4"/>
      <c r="I588" s="4"/>
      <c r="J588" s="4"/>
      <c r="K588" s="4"/>
      <c r="L588" s="4"/>
      <c r="M588" s="4"/>
      <c r="N588" s="4"/>
      <c r="O588" s="4"/>
      <c r="P588" s="4"/>
      <c r="Q588" s="4"/>
      <c r="R588" s="4"/>
      <c r="S588" s="4"/>
      <c r="T588" s="4"/>
      <c r="U588" s="4"/>
      <c r="V588" s="4"/>
      <c r="W588" s="4"/>
      <c r="X588" s="4"/>
      <c r="Y588" s="4"/>
      <c r="Z588" s="4"/>
      <c r="AA588" s="4"/>
      <c r="AB588" s="4"/>
      <c r="AC588" s="4"/>
      <c r="AD588" s="4"/>
      <c r="AE588" s="4"/>
      <c r="AF588" s="4"/>
      <c r="AG588" s="4"/>
      <c r="AH588" s="4"/>
    </row>
    <row r="589" spans="1:34" ht="15.75" customHeight="1" x14ac:dyDescent="0.2">
      <c r="A589" s="3"/>
      <c r="B589" s="4"/>
      <c r="C589" s="4"/>
      <c r="D589" s="4"/>
      <c r="E589" s="4"/>
      <c r="F589" s="4"/>
      <c r="G589" s="4"/>
      <c r="H589" s="4"/>
      <c r="I589" s="4"/>
      <c r="J589" s="4"/>
      <c r="K589" s="4"/>
      <c r="L589" s="4"/>
      <c r="M589" s="4"/>
      <c r="N589" s="4"/>
      <c r="O589" s="4"/>
      <c r="P589" s="4"/>
      <c r="Q589" s="4"/>
      <c r="R589" s="4"/>
      <c r="S589" s="4"/>
      <c r="T589" s="4"/>
      <c r="U589" s="4"/>
      <c r="V589" s="4"/>
      <c r="W589" s="4"/>
      <c r="X589" s="4"/>
      <c r="Y589" s="4"/>
      <c r="Z589" s="4"/>
      <c r="AA589" s="4"/>
      <c r="AB589" s="4"/>
      <c r="AC589" s="4"/>
      <c r="AD589" s="4"/>
      <c r="AE589" s="4"/>
      <c r="AF589" s="4"/>
      <c r="AG589" s="4"/>
      <c r="AH589" s="4"/>
    </row>
    <row r="590" spans="1:34" ht="15.75" customHeight="1" x14ac:dyDescent="0.2">
      <c r="A590" s="3"/>
      <c r="B590" s="4"/>
      <c r="C590" s="4"/>
      <c r="D590" s="4"/>
      <c r="E590" s="4"/>
      <c r="F590" s="4"/>
      <c r="G590" s="4"/>
      <c r="H590" s="4"/>
      <c r="I590" s="4"/>
      <c r="J590" s="4"/>
      <c r="K590" s="4"/>
      <c r="L590" s="4"/>
      <c r="M590" s="4"/>
      <c r="N590" s="4"/>
      <c r="O590" s="4"/>
      <c r="P590" s="4"/>
      <c r="Q590" s="4"/>
      <c r="R590" s="4"/>
      <c r="S590" s="4"/>
      <c r="T590" s="4"/>
      <c r="U590" s="4"/>
      <c r="V590" s="4"/>
      <c r="W590" s="4"/>
      <c r="X590" s="4"/>
      <c r="Y590" s="4"/>
      <c r="Z590" s="4"/>
      <c r="AA590" s="4"/>
      <c r="AB590" s="4"/>
      <c r="AC590" s="4"/>
      <c r="AD590" s="4"/>
      <c r="AE590" s="4"/>
      <c r="AF590" s="4"/>
      <c r="AG590" s="4"/>
      <c r="AH590" s="4"/>
    </row>
    <row r="591" spans="1:34" ht="15.75" customHeight="1" x14ac:dyDescent="0.2">
      <c r="A591" s="3"/>
      <c r="B591" s="4"/>
      <c r="C591" s="4"/>
      <c r="D591" s="4"/>
      <c r="E591" s="4"/>
      <c r="F591" s="4"/>
      <c r="G591" s="4"/>
      <c r="H591" s="4"/>
      <c r="I591" s="4"/>
      <c r="J591" s="4"/>
      <c r="K591" s="4"/>
      <c r="L591" s="4"/>
      <c r="M591" s="4"/>
      <c r="N591" s="4"/>
      <c r="O591" s="4"/>
      <c r="P591" s="4"/>
      <c r="Q591" s="4"/>
      <c r="R591" s="4"/>
      <c r="S591" s="4"/>
      <c r="T591" s="4"/>
      <c r="U591" s="4"/>
      <c r="V591" s="4"/>
      <c r="W591" s="4"/>
      <c r="X591" s="4"/>
      <c r="Y591" s="4"/>
      <c r="Z591" s="4"/>
      <c r="AA591" s="4"/>
      <c r="AB591" s="4"/>
      <c r="AC591" s="4"/>
      <c r="AD591" s="4"/>
      <c r="AE591" s="4"/>
      <c r="AF591" s="4"/>
      <c r="AG591" s="4"/>
      <c r="AH591" s="4"/>
    </row>
    <row r="592" spans="1:34" ht="15.75" customHeight="1" x14ac:dyDescent="0.2">
      <c r="A592" s="3"/>
      <c r="B592" s="4"/>
      <c r="C592" s="4"/>
      <c r="D592" s="4"/>
      <c r="E592" s="4"/>
      <c r="F592" s="4"/>
      <c r="G592" s="4"/>
      <c r="H592" s="4"/>
      <c r="I592" s="4"/>
      <c r="J592" s="4"/>
      <c r="K592" s="4"/>
      <c r="L592" s="4"/>
      <c r="M592" s="4"/>
      <c r="N592" s="4"/>
      <c r="O592" s="4"/>
      <c r="P592" s="4"/>
      <c r="Q592" s="4"/>
      <c r="R592" s="4"/>
      <c r="S592" s="4"/>
      <c r="T592" s="4"/>
      <c r="U592" s="4"/>
      <c r="V592" s="4"/>
      <c r="W592" s="4"/>
      <c r="X592" s="4"/>
      <c r="Y592" s="4"/>
      <c r="Z592" s="4"/>
      <c r="AA592" s="4"/>
      <c r="AB592" s="4"/>
      <c r="AC592" s="4"/>
      <c r="AD592" s="4"/>
      <c r="AE592" s="4"/>
      <c r="AF592" s="4"/>
      <c r="AG592" s="4"/>
      <c r="AH592" s="4"/>
    </row>
    <row r="593" spans="1:34" ht="15.75" customHeight="1" x14ac:dyDescent="0.2">
      <c r="A593" s="3"/>
      <c r="B593" s="4"/>
      <c r="C593" s="4"/>
      <c r="D593" s="4"/>
      <c r="E593" s="4"/>
      <c r="F593" s="4"/>
      <c r="G593" s="4"/>
      <c r="H593" s="4"/>
      <c r="I593" s="4"/>
      <c r="J593" s="4"/>
      <c r="K593" s="4"/>
      <c r="L593" s="4"/>
      <c r="M593" s="4"/>
      <c r="N593" s="4"/>
      <c r="O593" s="4"/>
      <c r="P593" s="4"/>
      <c r="Q593" s="4"/>
      <c r="R593" s="4"/>
      <c r="S593" s="4"/>
      <c r="T593" s="4"/>
      <c r="U593" s="4"/>
      <c r="V593" s="4"/>
      <c r="W593" s="4"/>
      <c r="X593" s="4"/>
      <c r="Y593" s="4"/>
      <c r="Z593" s="4"/>
      <c r="AA593" s="4"/>
      <c r="AB593" s="4"/>
      <c r="AC593" s="4"/>
      <c r="AD593" s="4"/>
      <c r="AE593" s="4"/>
      <c r="AF593" s="4"/>
      <c r="AG593" s="4"/>
      <c r="AH593" s="4"/>
    </row>
    <row r="594" spans="1:34" ht="15.75" customHeight="1" x14ac:dyDescent="0.2">
      <c r="A594" s="3"/>
      <c r="B594" s="4"/>
      <c r="C594" s="4"/>
      <c r="D594" s="4"/>
      <c r="E594" s="4"/>
      <c r="F594" s="4"/>
      <c r="G594" s="4"/>
      <c r="H594" s="4"/>
      <c r="I594" s="4"/>
      <c r="J594" s="4"/>
      <c r="K594" s="4"/>
      <c r="L594" s="4"/>
      <c r="M594" s="4"/>
      <c r="N594" s="4"/>
      <c r="O594" s="4"/>
      <c r="P594" s="4"/>
      <c r="Q594" s="4"/>
      <c r="R594" s="4"/>
      <c r="S594" s="4"/>
      <c r="T594" s="4"/>
      <c r="U594" s="4"/>
      <c r="V594" s="4"/>
      <c r="W594" s="4"/>
      <c r="X594" s="4"/>
      <c r="Y594" s="4"/>
      <c r="Z594" s="4"/>
      <c r="AA594" s="4"/>
      <c r="AB594" s="4"/>
      <c r="AC594" s="4"/>
      <c r="AD594" s="4"/>
      <c r="AE594" s="4"/>
      <c r="AF594" s="4"/>
      <c r="AG594" s="4"/>
      <c r="AH594" s="4"/>
    </row>
    <row r="595" spans="1:34" ht="15.75" customHeight="1" x14ac:dyDescent="0.2">
      <c r="A595" s="3"/>
      <c r="B595" s="4"/>
      <c r="C595" s="4"/>
      <c r="D595" s="4"/>
      <c r="E595" s="4"/>
      <c r="F595" s="4"/>
      <c r="G595" s="4"/>
      <c r="H595" s="4"/>
      <c r="I595" s="4"/>
      <c r="J595" s="4"/>
      <c r="K595" s="4"/>
      <c r="L595" s="4"/>
      <c r="M595" s="4"/>
      <c r="N595" s="4"/>
      <c r="O595" s="4"/>
      <c r="P595" s="4"/>
      <c r="Q595" s="4"/>
      <c r="R595" s="4"/>
      <c r="S595" s="4"/>
      <c r="T595" s="4"/>
      <c r="U595" s="4"/>
      <c r="V595" s="4"/>
      <c r="W595" s="4"/>
      <c r="X595" s="4"/>
      <c r="Y595" s="4"/>
      <c r="Z595" s="4"/>
      <c r="AA595" s="4"/>
      <c r="AB595" s="4"/>
      <c r="AC595" s="4"/>
      <c r="AD595" s="4"/>
      <c r="AE595" s="4"/>
      <c r="AF595" s="4"/>
      <c r="AG595" s="4"/>
      <c r="AH595" s="4"/>
    </row>
    <row r="596" spans="1:34" ht="15.75" customHeight="1" x14ac:dyDescent="0.2">
      <c r="A596" s="3"/>
      <c r="B596" s="4"/>
      <c r="C596" s="4"/>
      <c r="D596" s="4"/>
      <c r="E596" s="4"/>
      <c r="F596" s="4"/>
      <c r="G596" s="4"/>
      <c r="H596" s="4"/>
      <c r="I596" s="4"/>
      <c r="J596" s="4"/>
      <c r="K596" s="4"/>
      <c r="L596" s="4"/>
      <c r="M596" s="4"/>
      <c r="N596" s="4"/>
      <c r="O596" s="4"/>
      <c r="P596" s="4"/>
      <c r="Q596" s="4"/>
      <c r="R596" s="4"/>
      <c r="S596" s="4"/>
      <c r="T596" s="4"/>
      <c r="U596" s="4"/>
      <c r="V596" s="4"/>
      <c r="W596" s="4"/>
      <c r="X596" s="4"/>
      <c r="Y596" s="4"/>
      <c r="Z596" s="4"/>
      <c r="AA596" s="4"/>
      <c r="AB596" s="4"/>
      <c r="AC596" s="4"/>
      <c r="AD596" s="4"/>
      <c r="AE596" s="4"/>
      <c r="AF596" s="4"/>
      <c r="AG596" s="4"/>
      <c r="AH596" s="4"/>
    </row>
    <row r="597" spans="1:34" ht="15.75" customHeight="1" x14ac:dyDescent="0.2">
      <c r="A597" s="3"/>
      <c r="B597" s="4"/>
      <c r="C597" s="4"/>
      <c r="D597" s="4"/>
      <c r="E597" s="4"/>
      <c r="F597" s="4"/>
      <c r="G597" s="4"/>
      <c r="H597" s="4"/>
      <c r="I597" s="4"/>
      <c r="J597" s="4"/>
      <c r="K597" s="4"/>
      <c r="L597" s="4"/>
      <c r="M597" s="4"/>
      <c r="N597" s="4"/>
      <c r="O597" s="4"/>
      <c r="P597" s="4"/>
      <c r="Q597" s="4"/>
      <c r="R597" s="4"/>
      <c r="S597" s="4"/>
      <c r="T597" s="4"/>
      <c r="U597" s="4"/>
      <c r="V597" s="4"/>
      <c r="W597" s="4"/>
      <c r="X597" s="4"/>
      <c r="Y597" s="4"/>
      <c r="Z597" s="4"/>
      <c r="AA597" s="4"/>
      <c r="AB597" s="4"/>
      <c r="AC597" s="4"/>
      <c r="AD597" s="4"/>
      <c r="AE597" s="4"/>
      <c r="AF597" s="4"/>
      <c r="AG597" s="4"/>
      <c r="AH597" s="4"/>
    </row>
    <row r="598" spans="1:34" ht="15.75" customHeight="1" x14ac:dyDescent="0.2">
      <c r="A598" s="3"/>
      <c r="B598" s="4"/>
      <c r="C598" s="4"/>
      <c r="D598" s="4"/>
      <c r="E598" s="4"/>
      <c r="F598" s="4"/>
      <c r="G598" s="4"/>
      <c r="H598" s="4"/>
      <c r="I598" s="4"/>
      <c r="J598" s="4"/>
      <c r="K598" s="4"/>
      <c r="L598" s="4"/>
      <c r="M598" s="4"/>
      <c r="N598" s="4"/>
      <c r="O598" s="4"/>
      <c r="P598" s="4"/>
      <c r="Q598" s="4"/>
      <c r="R598" s="4"/>
      <c r="S598" s="4"/>
      <c r="T598" s="4"/>
      <c r="U598" s="4"/>
      <c r="V598" s="4"/>
      <c r="W598" s="4"/>
      <c r="X598" s="4"/>
      <c r="Y598" s="4"/>
      <c r="Z598" s="4"/>
      <c r="AA598" s="4"/>
      <c r="AB598" s="4"/>
      <c r="AC598" s="4"/>
      <c r="AD598" s="4"/>
      <c r="AE598" s="4"/>
      <c r="AF598" s="4"/>
      <c r="AG598" s="4"/>
      <c r="AH598" s="4"/>
    </row>
    <row r="599" spans="1:34" ht="15.75" customHeight="1" x14ac:dyDescent="0.2">
      <c r="A599" s="3"/>
      <c r="B599" s="4"/>
      <c r="C599" s="4"/>
      <c r="D599" s="4"/>
      <c r="E599" s="4"/>
      <c r="F599" s="4"/>
      <c r="G599" s="4"/>
      <c r="H599" s="4"/>
      <c r="I599" s="4"/>
      <c r="J599" s="4"/>
      <c r="K599" s="4"/>
      <c r="L599" s="4"/>
      <c r="M599" s="4"/>
      <c r="N599" s="4"/>
      <c r="O599" s="4"/>
      <c r="P599" s="4"/>
      <c r="Q599" s="4"/>
      <c r="R599" s="4"/>
      <c r="S599" s="4"/>
      <c r="T599" s="4"/>
      <c r="U599" s="4"/>
      <c r="V599" s="4"/>
      <c r="W599" s="4"/>
      <c r="X599" s="4"/>
      <c r="Y599" s="4"/>
      <c r="Z599" s="4"/>
      <c r="AA599" s="4"/>
      <c r="AB599" s="4"/>
      <c r="AC599" s="4"/>
      <c r="AD599" s="4"/>
      <c r="AE599" s="4"/>
      <c r="AF599" s="4"/>
      <c r="AG599" s="4"/>
      <c r="AH599" s="4"/>
    </row>
    <row r="600" spans="1:34" ht="15.75" customHeight="1" x14ac:dyDescent="0.2">
      <c r="A600" s="3"/>
      <c r="B600" s="4"/>
      <c r="C600" s="4"/>
      <c r="D600" s="4"/>
      <c r="E600" s="4"/>
      <c r="F600" s="4"/>
      <c r="G600" s="4"/>
      <c r="H600" s="4"/>
      <c r="I600" s="4"/>
      <c r="J600" s="4"/>
      <c r="K600" s="4"/>
      <c r="L600" s="4"/>
      <c r="M600" s="4"/>
      <c r="N600" s="4"/>
      <c r="O600" s="4"/>
      <c r="P600" s="4"/>
      <c r="Q600" s="4"/>
      <c r="R600" s="4"/>
      <c r="S600" s="4"/>
      <c r="T600" s="4"/>
      <c r="U600" s="4"/>
      <c r="V600" s="4"/>
      <c r="W600" s="4"/>
      <c r="X600" s="4"/>
      <c r="Y600" s="4"/>
      <c r="Z600" s="4"/>
      <c r="AA600" s="4"/>
      <c r="AB600" s="4"/>
      <c r="AC600" s="4"/>
      <c r="AD600" s="4"/>
      <c r="AE600" s="4"/>
      <c r="AF600" s="4"/>
      <c r="AG600" s="4"/>
      <c r="AH600" s="4"/>
    </row>
    <row r="601" spans="1:34" ht="15.75" customHeight="1" x14ac:dyDescent="0.2">
      <c r="A601" s="3"/>
      <c r="B601" s="4"/>
      <c r="C601" s="4"/>
      <c r="D601" s="4"/>
      <c r="E601" s="4"/>
      <c r="F601" s="4"/>
      <c r="G601" s="4"/>
      <c r="H601" s="4"/>
      <c r="I601" s="4"/>
      <c r="J601" s="4"/>
      <c r="K601" s="4"/>
      <c r="L601" s="4"/>
      <c r="M601" s="4"/>
      <c r="N601" s="4"/>
      <c r="O601" s="4"/>
      <c r="P601" s="4"/>
      <c r="Q601" s="4"/>
      <c r="R601" s="4"/>
      <c r="S601" s="4"/>
      <c r="T601" s="4"/>
      <c r="U601" s="4"/>
      <c r="V601" s="4"/>
      <c r="W601" s="4"/>
      <c r="X601" s="4"/>
      <c r="Y601" s="4"/>
      <c r="Z601" s="4"/>
      <c r="AA601" s="4"/>
      <c r="AB601" s="4"/>
      <c r="AC601" s="4"/>
      <c r="AD601" s="4"/>
      <c r="AE601" s="4"/>
      <c r="AF601" s="4"/>
      <c r="AG601" s="4"/>
      <c r="AH601" s="4"/>
    </row>
    <row r="602" spans="1:34" ht="15.75" customHeight="1" x14ac:dyDescent="0.2">
      <c r="A602" s="3"/>
      <c r="B602" s="4"/>
      <c r="C602" s="4"/>
      <c r="D602" s="4"/>
      <c r="E602" s="4"/>
      <c r="F602" s="4"/>
      <c r="G602" s="4"/>
      <c r="H602" s="4"/>
      <c r="I602" s="4"/>
      <c r="J602" s="4"/>
      <c r="K602" s="4"/>
      <c r="L602" s="4"/>
      <c r="M602" s="4"/>
      <c r="N602" s="4"/>
      <c r="O602" s="4"/>
      <c r="P602" s="4"/>
      <c r="Q602" s="4"/>
      <c r="R602" s="4"/>
      <c r="S602" s="4"/>
      <c r="T602" s="4"/>
      <c r="U602" s="4"/>
      <c r="V602" s="4"/>
      <c r="W602" s="4"/>
      <c r="X602" s="4"/>
      <c r="Y602" s="4"/>
      <c r="Z602" s="4"/>
      <c r="AA602" s="4"/>
      <c r="AB602" s="4"/>
      <c r="AC602" s="4"/>
      <c r="AD602" s="4"/>
      <c r="AE602" s="4"/>
      <c r="AF602" s="4"/>
      <c r="AG602" s="4"/>
      <c r="AH602" s="4"/>
    </row>
    <row r="603" spans="1:34" ht="15.75" customHeight="1" x14ac:dyDescent="0.2">
      <c r="A603" s="3"/>
      <c r="B603" s="4"/>
      <c r="C603" s="4"/>
      <c r="D603" s="4"/>
      <c r="E603" s="4"/>
      <c r="F603" s="4"/>
      <c r="G603" s="4"/>
      <c r="H603" s="4"/>
      <c r="I603" s="4"/>
      <c r="J603" s="4"/>
      <c r="K603" s="4"/>
      <c r="L603" s="4"/>
      <c r="M603" s="4"/>
      <c r="N603" s="4"/>
      <c r="O603" s="4"/>
      <c r="P603" s="4"/>
      <c r="Q603" s="4"/>
      <c r="R603" s="4"/>
      <c r="S603" s="4"/>
      <c r="T603" s="4"/>
      <c r="U603" s="4"/>
      <c r="V603" s="4"/>
      <c r="W603" s="4"/>
      <c r="X603" s="4"/>
      <c r="Y603" s="4"/>
      <c r="Z603" s="4"/>
      <c r="AA603" s="4"/>
      <c r="AB603" s="4"/>
      <c r="AC603" s="4"/>
      <c r="AD603" s="4"/>
      <c r="AE603" s="4"/>
      <c r="AF603" s="4"/>
      <c r="AG603" s="4"/>
      <c r="AH603" s="4"/>
    </row>
    <row r="604" spans="1:34" ht="15.75" customHeight="1" x14ac:dyDescent="0.2">
      <c r="A604" s="3"/>
      <c r="B604" s="4"/>
      <c r="C604" s="4"/>
      <c r="D604" s="4"/>
      <c r="E604" s="4"/>
      <c r="F604" s="4"/>
      <c r="G604" s="4"/>
      <c r="H604" s="4"/>
      <c r="I604" s="4"/>
      <c r="J604" s="4"/>
      <c r="K604" s="4"/>
      <c r="L604" s="4"/>
      <c r="M604" s="4"/>
      <c r="N604" s="4"/>
      <c r="O604" s="4"/>
      <c r="P604" s="4"/>
      <c r="Q604" s="4"/>
      <c r="R604" s="4"/>
      <c r="S604" s="4"/>
      <c r="T604" s="4"/>
      <c r="U604" s="4"/>
      <c r="V604" s="4"/>
      <c r="W604" s="4"/>
      <c r="X604" s="4"/>
      <c r="Y604" s="4"/>
      <c r="Z604" s="4"/>
      <c r="AA604" s="4"/>
      <c r="AB604" s="4"/>
      <c r="AC604" s="4"/>
      <c r="AD604" s="4"/>
      <c r="AE604" s="4"/>
      <c r="AF604" s="4"/>
      <c r="AG604" s="4"/>
      <c r="AH604" s="4"/>
    </row>
    <row r="605" spans="1:34" ht="15.75" customHeight="1" x14ac:dyDescent="0.2">
      <c r="A605" s="3"/>
      <c r="B605" s="4"/>
      <c r="C605" s="4"/>
      <c r="D605" s="4"/>
      <c r="E605" s="4"/>
      <c r="F605" s="4"/>
      <c r="G605" s="4"/>
      <c r="H605" s="4"/>
      <c r="I605" s="4"/>
      <c r="J605" s="4"/>
      <c r="K605" s="4"/>
      <c r="L605" s="4"/>
      <c r="M605" s="4"/>
      <c r="N605" s="4"/>
      <c r="O605" s="4"/>
      <c r="P605" s="4"/>
      <c r="Q605" s="4"/>
      <c r="R605" s="4"/>
      <c r="S605" s="4"/>
      <c r="T605" s="4"/>
      <c r="U605" s="4"/>
      <c r="V605" s="4"/>
      <c r="W605" s="4"/>
      <c r="X605" s="4"/>
      <c r="Y605" s="4"/>
      <c r="Z605" s="4"/>
      <c r="AA605" s="4"/>
      <c r="AB605" s="4"/>
      <c r="AC605" s="4"/>
      <c r="AD605" s="4"/>
      <c r="AE605" s="4"/>
      <c r="AF605" s="4"/>
      <c r="AG605" s="4"/>
      <c r="AH605" s="4"/>
    </row>
    <row r="606" spans="1:34" ht="15.75" customHeight="1" x14ac:dyDescent="0.2">
      <c r="A606" s="3"/>
      <c r="B606" s="4"/>
      <c r="C606" s="4"/>
      <c r="D606" s="4"/>
      <c r="E606" s="4"/>
      <c r="F606" s="4"/>
      <c r="G606" s="4"/>
      <c r="H606" s="4"/>
      <c r="I606" s="4"/>
      <c r="J606" s="4"/>
      <c r="K606" s="4"/>
      <c r="L606" s="4"/>
      <c r="M606" s="4"/>
      <c r="N606" s="4"/>
      <c r="O606" s="4"/>
      <c r="P606" s="4"/>
      <c r="Q606" s="4"/>
      <c r="R606" s="4"/>
      <c r="S606" s="4"/>
      <c r="T606" s="4"/>
      <c r="U606" s="4"/>
      <c r="V606" s="4"/>
      <c r="W606" s="4"/>
      <c r="X606" s="4"/>
      <c r="Y606" s="4"/>
      <c r="Z606" s="4"/>
      <c r="AA606" s="4"/>
      <c r="AB606" s="4"/>
      <c r="AC606" s="4"/>
      <c r="AD606" s="4"/>
      <c r="AE606" s="4"/>
      <c r="AF606" s="4"/>
      <c r="AG606" s="4"/>
      <c r="AH606" s="4"/>
    </row>
    <row r="607" spans="1:34" ht="15.75" customHeight="1" x14ac:dyDescent="0.2">
      <c r="A607" s="3"/>
      <c r="B607" s="4"/>
      <c r="C607" s="4"/>
      <c r="D607" s="4"/>
      <c r="E607" s="4"/>
      <c r="F607" s="4"/>
      <c r="G607" s="4"/>
      <c r="H607" s="4"/>
      <c r="I607" s="4"/>
      <c r="J607" s="4"/>
      <c r="K607" s="4"/>
      <c r="L607" s="4"/>
      <c r="M607" s="4"/>
      <c r="N607" s="4"/>
      <c r="O607" s="4"/>
      <c r="P607" s="4"/>
      <c r="Q607" s="4"/>
      <c r="R607" s="4"/>
      <c r="S607" s="4"/>
      <c r="T607" s="4"/>
      <c r="U607" s="4"/>
      <c r="V607" s="4"/>
      <c r="W607" s="4"/>
      <c r="X607" s="4"/>
      <c r="Y607" s="4"/>
      <c r="Z607" s="4"/>
      <c r="AA607" s="4"/>
      <c r="AB607" s="4"/>
      <c r="AC607" s="4"/>
      <c r="AD607" s="4"/>
      <c r="AE607" s="4"/>
      <c r="AF607" s="4"/>
      <c r="AG607" s="4"/>
      <c r="AH607" s="4"/>
    </row>
    <row r="608" spans="1:34" ht="15.75" customHeight="1" x14ac:dyDescent="0.2">
      <c r="A608" s="3"/>
      <c r="B608" s="4"/>
      <c r="C608" s="4"/>
      <c r="D608" s="4"/>
      <c r="E608" s="4"/>
      <c r="F608" s="4"/>
      <c r="G608" s="4"/>
      <c r="H608" s="4"/>
      <c r="I608" s="4"/>
      <c r="J608" s="4"/>
      <c r="K608" s="4"/>
      <c r="L608" s="4"/>
      <c r="M608" s="4"/>
      <c r="N608" s="4"/>
      <c r="O608" s="4"/>
      <c r="P608" s="4"/>
      <c r="Q608" s="4"/>
      <c r="R608" s="4"/>
      <c r="S608" s="4"/>
      <c r="T608" s="4"/>
      <c r="U608" s="4"/>
      <c r="V608" s="4"/>
      <c r="W608" s="4"/>
      <c r="X608" s="4"/>
      <c r="Y608" s="4"/>
      <c r="Z608" s="4"/>
      <c r="AA608" s="4"/>
      <c r="AB608" s="4"/>
      <c r="AC608" s="4"/>
      <c r="AD608" s="4"/>
      <c r="AE608" s="4"/>
      <c r="AF608" s="4"/>
      <c r="AG608" s="4"/>
      <c r="AH608" s="4"/>
    </row>
    <row r="609" spans="1:34" ht="15.75" customHeight="1" x14ac:dyDescent="0.2">
      <c r="A609" s="3"/>
      <c r="B609" s="4"/>
      <c r="C609" s="4"/>
      <c r="D609" s="4"/>
      <c r="E609" s="4"/>
      <c r="F609" s="4"/>
      <c r="G609" s="4"/>
      <c r="H609" s="4"/>
      <c r="I609" s="4"/>
      <c r="J609" s="4"/>
      <c r="K609" s="4"/>
      <c r="L609" s="4"/>
      <c r="M609" s="4"/>
      <c r="N609" s="4"/>
      <c r="O609" s="4"/>
      <c r="P609" s="4"/>
      <c r="Q609" s="4"/>
      <c r="R609" s="4"/>
      <c r="S609" s="4"/>
      <c r="T609" s="4"/>
      <c r="U609" s="4"/>
      <c r="V609" s="4"/>
      <c r="W609" s="4"/>
      <c r="X609" s="4"/>
      <c r="Y609" s="4"/>
      <c r="Z609" s="4"/>
      <c r="AA609" s="4"/>
      <c r="AB609" s="4"/>
      <c r="AC609" s="4"/>
      <c r="AD609" s="4"/>
      <c r="AE609" s="4"/>
      <c r="AF609" s="4"/>
      <c r="AG609" s="4"/>
      <c r="AH609" s="4"/>
    </row>
    <row r="610" spans="1:34" ht="15.75" customHeight="1" x14ac:dyDescent="0.2">
      <c r="A610" s="3"/>
      <c r="B610" s="4"/>
      <c r="C610" s="4"/>
      <c r="D610" s="4"/>
      <c r="E610" s="4"/>
      <c r="F610" s="4"/>
      <c r="G610" s="4"/>
      <c r="H610" s="4"/>
      <c r="I610" s="4"/>
      <c r="J610" s="4"/>
      <c r="K610" s="4"/>
      <c r="L610" s="4"/>
      <c r="M610" s="4"/>
      <c r="N610" s="4"/>
      <c r="O610" s="4"/>
      <c r="P610" s="4"/>
      <c r="Q610" s="4"/>
      <c r="R610" s="4"/>
      <c r="S610" s="4"/>
      <c r="T610" s="4"/>
      <c r="U610" s="4"/>
      <c r="V610" s="4"/>
      <c r="W610" s="4"/>
      <c r="X610" s="4"/>
      <c r="Y610" s="4"/>
      <c r="Z610" s="4"/>
      <c r="AA610" s="4"/>
      <c r="AB610" s="4"/>
      <c r="AC610" s="4"/>
      <c r="AD610" s="4"/>
      <c r="AE610" s="4"/>
      <c r="AF610" s="4"/>
      <c r="AG610" s="4"/>
      <c r="AH610" s="4"/>
    </row>
    <row r="611" spans="1:34" ht="15.75" customHeight="1" x14ac:dyDescent="0.2">
      <c r="A611" s="3"/>
      <c r="B611" s="4"/>
      <c r="C611" s="4"/>
      <c r="D611" s="4"/>
      <c r="E611" s="4"/>
      <c r="F611" s="4"/>
      <c r="G611" s="4"/>
      <c r="H611" s="4"/>
      <c r="I611" s="4"/>
      <c r="J611" s="4"/>
      <c r="K611" s="4"/>
      <c r="L611" s="4"/>
      <c r="M611" s="4"/>
      <c r="N611" s="4"/>
      <c r="O611" s="4"/>
      <c r="P611" s="4"/>
      <c r="Q611" s="4"/>
      <c r="R611" s="4"/>
      <c r="S611" s="4"/>
      <c r="T611" s="4"/>
      <c r="U611" s="4"/>
      <c r="V611" s="4"/>
      <c r="W611" s="4"/>
      <c r="X611" s="4"/>
      <c r="Y611" s="4"/>
      <c r="Z611" s="4"/>
      <c r="AA611" s="4"/>
      <c r="AB611" s="4"/>
      <c r="AC611" s="4"/>
      <c r="AD611" s="4"/>
      <c r="AE611" s="4"/>
      <c r="AF611" s="4"/>
      <c r="AG611" s="4"/>
      <c r="AH611" s="4"/>
    </row>
    <row r="612" spans="1:34" ht="15.75" customHeight="1" x14ac:dyDescent="0.2">
      <c r="A612" s="3"/>
      <c r="B612" s="4"/>
      <c r="C612" s="4"/>
      <c r="D612" s="4"/>
      <c r="E612" s="4"/>
      <c r="F612" s="4"/>
      <c r="G612" s="4"/>
      <c r="H612" s="4"/>
      <c r="I612" s="4"/>
      <c r="J612" s="4"/>
      <c r="K612" s="4"/>
      <c r="L612" s="4"/>
      <c r="M612" s="4"/>
      <c r="N612" s="4"/>
      <c r="O612" s="4"/>
      <c r="P612" s="4"/>
      <c r="Q612" s="4"/>
      <c r="R612" s="4"/>
      <c r="S612" s="4"/>
      <c r="T612" s="4"/>
      <c r="U612" s="4"/>
      <c r="V612" s="4"/>
      <c r="W612" s="4"/>
      <c r="X612" s="4"/>
      <c r="Y612" s="4"/>
      <c r="Z612" s="4"/>
      <c r="AA612" s="4"/>
      <c r="AB612" s="4"/>
      <c r="AC612" s="4"/>
      <c r="AD612" s="4"/>
      <c r="AE612" s="4"/>
      <c r="AF612" s="4"/>
      <c r="AG612" s="4"/>
      <c r="AH612" s="4"/>
    </row>
    <row r="613" spans="1:34" ht="15.75" customHeight="1" x14ac:dyDescent="0.2">
      <c r="A613" s="3"/>
      <c r="B613" s="4"/>
      <c r="C613" s="4"/>
      <c r="D613" s="4"/>
      <c r="E613" s="4"/>
      <c r="F613" s="4"/>
      <c r="G613" s="4"/>
      <c r="H613" s="4"/>
      <c r="I613" s="4"/>
      <c r="J613" s="4"/>
      <c r="K613" s="4"/>
      <c r="L613" s="4"/>
      <c r="M613" s="4"/>
      <c r="N613" s="4"/>
      <c r="O613" s="4"/>
      <c r="P613" s="4"/>
      <c r="Q613" s="4"/>
      <c r="R613" s="4"/>
      <c r="S613" s="4"/>
      <c r="T613" s="4"/>
      <c r="U613" s="4"/>
      <c r="V613" s="4"/>
      <c r="W613" s="4"/>
      <c r="X613" s="4"/>
      <c r="Y613" s="4"/>
      <c r="Z613" s="4"/>
      <c r="AA613" s="4"/>
      <c r="AB613" s="4"/>
      <c r="AC613" s="4"/>
      <c r="AD613" s="4"/>
      <c r="AE613" s="4"/>
      <c r="AF613" s="4"/>
      <c r="AG613" s="4"/>
      <c r="AH613" s="4"/>
    </row>
    <row r="614" spans="1:34" ht="15.75" customHeight="1" x14ac:dyDescent="0.2">
      <c r="A614" s="3"/>
      <c r="B614" s="4"/>
      <c r="C614" s="4"/>
      <c r="D614" s="4"/>
      <c r="E614" s="4"/>
      <c r="F614" s="4"/>
      <c r="G614" s="4"/>
      <c r="H614" s="4"/>
      <c r="I614" s="4"/>
      <c r="J614" s="4"/>
      <c r="K614" s="4"/>
      <c r="L614" s="4"/>
      <c r="M614" s="4"/>
      <c r="N614" s="4"/>
      <c r="O614" s="4"/>
      <c r="P614" s="4"/>
      <c r="Q614" s="4"/>
      <c r="R614" s="4"/>
      <c r="S614" s="4"/>
      <c r="T614" s="4"/>
      <c r="U614" s="4"/>
      <c r="V614" s="4"/>
      <c r="W614" s="4"/>
      <c r="X614" s="4"/>
      <c r="Y614" s="4"/>
      <c r="Z614" s="4"/>
      <c r="AA614" s="4"/>
      <c r="AB614" s="4"/>
      <c r="AC614" s="4"/>
      <c r="AD614" s="4"/>
      <c r="AE614" s="4"/>
      <c r="AF614" s="4"/>
      <c r="AG614" s="4"/>
      <c r="AH614" s="4"/>
    </row>
    <row r="615" spans="1:34" ht="15.75" customHeight="1" x14ac:dyDescent="0.2">
      <c r="A615" s="3"/>
      <c r="B615" s="4"/>
      <c r="C615" s="4"/>
      <c r="D615" s="4"/>
      <c r="E615" s="4"/>
      <c r="F615" s="4"/>
      <c r="G615" s="4"/>
      <c r="H615" s="4"/>
      <c r="I615" s="4"/>
      <c r="J615" s="4"/>
      <c r="K615" s="4"/>
      <c r="L615" s="4"/>
      <c r="M615" s="4"/>
      <c r="N615" s="4"/>
      <c r="O615" s="4"/>
      <c r="P615" s="4"/>
      <c r="Q615" s="4"/>
      <c r="R615" s="4"/>
      <c r="S615" s="4"/>
      <c r="T615" s="4"/>
      <c r="U615" s="4"/>
      <c r="V615" s="4"/>
      <c r="W615" s="4"/>
      <c r="X615" s="4"/>
      <c r="Y615" s="4"/>
      <c r="Z615" s="4"/>
      <c r="AA615" s="4"/>
      <c r="AB615" s="4"/>
      <c r="AC615" s="4"/>
      <c r="AD615" s="4"/>
      <c r="AE615" s="4"/>
      <c r="AF615" s="4"/>
      <c r="AG615" s="4"/>
      <c r="AH615" s="4"/>
    </row>
    <row r="616" spans="1:34" ht="15.75" customHeight="1" x14ac:dyDescent="0.2">
      <c r="A616" s="3"/>
      <c r="B616" s="4"/>
      <c r="C616" s="4"/>
      <c r="D616" s="4"/>
      <c r="E616" s="4"/>
      <c r="F616" s="4"/>
      <c r="G616" s="4"/>
      <c r="H616" s="4"/>
      <c r="I616" s="4"/>
      <c r="J616" s="4"/>
      <c r="K616" s="4"/>
      <c r="L616" s="4"/>
      <c r="M616" s="4"/>
      <c r="N616" s="4"/>
      <c r="O616" s="4"/>
      <c r="P616" s="4"/>
      <c r="Q616" s="4"/>
      <c r="R616" s="4"/>
      <c r="S616" s="4"/>
      <c r="T616" s="4"/>
      <c r="U616" s="4"/>
      <c r="V616" s="4"/>
      <c r="W616" s="4"/>
      <c r="X616" s="4"/>
      <c r="Y616" s="4"/>
      <c r="Z616" s="4"/>
      <c r="AA616" s="4"/>
      <c r="AB616" s="4"/>
      <c r="AC616" s="4"/>
      <c r="AD616" s="4"/>
      <c r="AE616" s="4"/>
      <c r="AF616" s="4"/>
      <c r="AG616" s="4"/>
      <c r="AH616" s="4"/>
    </row>
    <row r="617" spans="1:34" ht="15.75" customHeight="1" x14ac:dyDescent="0.2">
      <c r="A617" s="3"/>
      <c r="B617" s="4"/>
      <c r="C617" s="4"/>
      <c r="D617" s="4"/>
      <c r="E617" s="4"/>
      <c r="F617" s="4"/>
      <c r="G617" s="4"/>
      <c r="H617" s="4"/>
      <c r="I617" s="4"/>
      <c r="J617" s="4"/>
      <c r="K617" s="4"/>
      <c r="L617" s="4"/>
      <c r="M617" s="4"/>
      <c r="N617" s="4"/>
      <c r="O617" s="4"/>
      <c r="P617" s="4"/>
      <c r="Q617" s="4"/>
      <c r="R617" s="4"/>
      <c r="S617" s="4"/>
      <c r="T617" s="4"/>
      <c r="U617" s="4"/>
      <c r="V617" s="4"/>
      <c r="W617" s="4"/>
      <c r="X617" s="4"/>
      <c r="Y617" s="4"/>
      <c r="Z617" s="4"/>
      <c r="AA617" s="4"/>
      <c r="AB617" s="4"/>
      <c r="AC617" s="4"/>
      <c r="AD617" s="4"/>
      <c r="AE617" s="4"/>
      <c r="AF617" s="4"/>
      <c r="AG617" s="4"/>
      <c r="AH617" s="4"/>
    </row>
    <row r="618" spans="1:34" ht="15.75" customHeight="1" x14ac:dyDescent="0.2">
      <c r="A618" s="3"/>
      <c r="B618" s="4"/>
      <c r="C618" s="4"/>
      <c r="D618" s="4"/>
      <c r="E618" s="4"/>
      <c r="F618" s="4"/>
      <c r="G618" s="4"/>
      <c r="H618" s="4"/>
      <c r="I618" s="4"/>
      <c r="J618" s="4"/>
      <c r="K618" s="4"/>
      <c r="L618" s="4"/>
      <c r="M618" s="4"/>
      <c r="N618" s="4"/>
      <c r="O618" s="4"/>
      <c r="P618" s="4"/>
      <c r="Q618" s="4"/>
      <c r="R618" s="4"/>
      <c r="S618" s="4"/>
      <c r="T618" s="4"/>
      <c r="U618" s="4"/>
      <c r="V618" s="4"/>
      <c r="W618" s="4"/>
      <c r="X618" s="4"/>
      <c r="Y618" s="4"/>
      <c r="Z618" s="4"/>
      <c r="AA618" s="4"/>
      <c r="AB618" s="4"/>
      <c r="AC618" s="4"/>
      <c r="AD618" s="4"/>
      <c r="AE618" s="4"/>
      <c r="AF618" s="4"/>
      <c r="AG618" s="4"/>
      <c r="AH618" s="4"/>
    </row>
    <row r="619" spans="1:34" ht="15.75" customHeight="1" x14ac:dyDescent="0.2">
      <c r="A619" s="3"/>
      <c r="B619" s="4"/>
      <c r="C619" s="4"/>
      <c r="D619" s="4"/>
      <c r="E619" s="4"/>
      <c r="F619" s="4"/>
      <c r="G619" s="4"/>
      <c r="H619" s="4"/>
      <c r="I619" s="4"/>
      <c r="J619" s="4"/>
      <c r="K619" s="4"/>
      <c r="L619" s="4"/>
      <c r="M619" s="4"/>
      <c r="N619" s="4"/>
      <c r="O619" s="4"/>
      <c r="P619" s="4"/>
      <c r="Q619" s="4"/>
      <c r="R619" s="4"/>
      <c r="S619" s="4"/>
      <c r="T619" s="4"/>
      <c r="U619" s="4"/>
      <c r="V619" s="4"/>
      <c r="W619" s="4"/>
      <c r="X619" s="4"/>
      <c r="Y619" s="4"/>
      <c r="Z619" s="4"/>
      <c r="AA619" s="4"/>
      <c r="AB619" s="4"/>
      <c r="AC619" s="4"/>
      <c r="AD619" s="4"/>
      <c r="AE619" s="4"/>
      <c r="AF619" s="4"/>
      <c r="AG619" s="4"/>
      <c r="AH619" s="4"/>
    </row>
    <row r="620" spans="1:34" ht="15.75" customHeight="1" x14ac:dyDescent="0.2">
      <c r="A620" s="3"/>
      <c r="B620" s="4"/>
      <c r="C620" s="4"/>
      <c r="D620" s="4"/>
      <c r="E620" s="4"/>
      <c r="F620" s="4"/>
      <c r="G620" s="4"/>
      <c r="H620" s="4"/>
      <c r="I620" s="4"/>
      <c r="J620" s="4"/>
      <c r="K620" s="4"/>
      <c r="L620" s="4"/>
      <c r="M620" s="4"/>
      <c r="N620" s="4"/>
      <c r="O620" s="4"/>
      <c r="P620" s="4"/>
      <c r="Q620" s="4"/>
      <c r="R620" s="4"/>
      <c r="S620" s="4"/>
      <c r="T620" s="4"/>
      <c r="U620" s="4"/>
      <c r="V620" s="4"/>
      <c r="W620" s="4"/>
      <c r="X620" s="4"/>
      <c r="Y620" s="4"/>
      <c r="Z620" s="4"/>
      <c r="AA620" s="4"/>
      <c r="AB620" s="4"/>
      <c r="AC620" s="4"/>
      <c r="AD620" s="4"/>
      <c r="AE620" s="4"/>
      <c r="AF620" s="4"/>
      <c r="AG620" s="4"/>
      <c r="AH620" s="4"/>
    </row>
    <row r="621" spans="1:34" ht="15.75" customHeight="1" x14ac:dyDescent="0.2">
      <c r="A621" s="3"/>
      <c r="B621" s="4"/>
      <c r="C621" s="4"/>
      <c r="D621" s="4"/>
      <c r="E621" s="4"/>
      <c r="F621" s="4"/>
      <c r="G621" s="4"/>
      <c r="H621" s="4"/>
      <c r="I621" s="4"/>
      <c r="J621" s="4"/>
      <c r="K621" s="4"/>
      <c r="L621" s="4"/>
      <c r="M621" s="4"/>
      <c r="N621" s="4"/>
      <c r="O621" s="4"/>
      <c r="P621" s="4"/>
      <c r="Q621" s="4"/>
      <c r="R621" s="4"/>
      <c r="S621" s="4"/>
      <c r="T621" s="4"/>
      <c r="U621" s="4"/>
      <c r="V621" s="4"/>
      <c r="W621" s="4"/>
      <c r="X621" s="4"/>
      <c r="Y621" s="4"/>
      <c r="Z621" s="4"/>
      <c r="AA621" s="4"/>
      <c r="AB621" s="4"/>
      <c r="AC621" s="4"/>
      <c r="AD621" s="4"/>
      <c r="AE621" s="4"/>
      <c r="AF621" s="4"/>
      <c r="AG621" s="4"/>
      <c r="AH621" s="4"/>
    </row>
    <row r="622" spans="1:34" ht="15.75" customHeight="1" x14ac:dyDescent="0.2">
      <c r="A622" s="3"/>
      <c r="B622" s="4"/>
      <c r="C622" s="4"/>
      <c r="D622" s="4"/>
      <c r="E622" s="4"/>
      <c r="F622" s="4"/>
      <c r="G622" s="4"/>
      <c r="H622" s="4"/>
      <c r="I622" s="4"/>
      <c r="J622" s="4"/>
      <c r="K622" s="4"/>
      <c r="L622" s="4"/>
      <c r="M622" s="4"/>
      <c r="N622" s="4"/>
      <c r="O622" s="4"/>
      <c r="P622" s="4"/>
      <c r="Q622" s="4"/>
      <c r="R622" s="4"/>
      <c r="S622" s="4"/>
      <c r="T622" s="4"/>
      <c r="U622" s="4"/>
      <c r="V622" s="4"/>
      <c r="W622" s="4"/>
      <c r="X622" s="4"/>
      <c r="Y622" s="4"/>
      <c r="Z622" s="4"/>
      <c r="AA622" s="4"/>
      <c r="AB622" s="4"/>
      <c r="AC622" s="4"/>
      <c r="AD622" s="4"/>
      <c r="AE622" s="4"/>
      <c r="AF622" s="4"/>
      <c r="AG622" s="4"/>
      <c r="AH622" s="4"/>
    </row>
    <row r="623" spans="1:34" ht="15.75" customHeight="1" x14ac:dyDescent="0.2">
      <c r="A623" s="3"/>
      <c r="B623" s="4"/>
      <c r="C623" s="4"/>
      <c r="D623" s="4"/>
      <c r="E623" s="4"/>
      <c r="F623" s="4"/>
      <c r="G623" s="4"/>
      <c r="H623" s="4"/>
      <c r="I623" s="4"/>
      <c r="J623" s="4"/>
      <c r="K623" s="4"/>
      <c r="L623" s="4"/>
      <c r="M623" s="4"/>
      <c r="N623" s="4"/>
      <c r="O623" s="4"/>
      <c r="P623" s="4"/>
      <c r="Q623" s="4"/>
      <c r="R623" s="4"/>
      <c r="S623" s="4"/>
      <c r="T623" s="4"/>
      <c r="U623" s="4"/>
      <c r="V623" s="4"/>
      <c r="W623" s="4"/>
      <c r="X623" s="4"/>
      <c r="Y623" s="4"/>
      <c r="Z623" s="4"/>
      <c r="AA623" s="4"/>
      <c r="AB623" s="4"/>
      <c r="AC623" s="4"/>
      <c r="AD623" s="4"/>
      <c r="AE623" s="4"/>
      <c r="AF623" s="4"/>
      <c r="AG623" s="4"/>
      <c r="AH623" s="4"/>
    </row>
    <row r="624" spans="1:34" ht="15.75" customHeight="1" x14ac:dyDescent="0.2">
      <c r="A624" s="3"/>
      <c r="B624" s="4"/>
      <c r="C624" s="4"/>
      <c r="D624" s="4"/>
      <c r="E624" s="4"/>
      <c r="F624" s="4"/>
      <c r="G624" s="4"/>
      <c r="H624" s="4"/>
      <c r="I624" s="4"/>
      <c r="J624" s="4"/>
      <c r="K624" s="4"/>
      <c r="L624" s="4"/>
      <c r="M624" s="4"/>
      <c r="N624" s="4"/>
      <c r="O624" s="4"/>
      <c r="P624" s="4"/>
      <c r="Q624" s="4"/>
      <c r="R624" s="4"/>
      <c r="S624" s="4"/>
      <c r="T624" s="4"/>
      <c r="U624" s="4"/>
      <c r="V624" s="4"/>
      <c r="W624" s="4"/>
      <c r="X624" s="4"/>
      <c r="Y624" s="4"/>
      <c r="Z624" s="4"/>
      <c r="AA624" s="4"/>
      <c r="AB624" s="4"/>
      <c r="AC624" s="4"/>
      <c r="AD624" s="4"/>
      <c r="AE624" s="4"/>
      <c r="AF624" s="4"/>
      <c r="AG624" s="4"/>
      <c r="AH624" s="4"/>
    </row>
    <row r="625" spans="1:34" ht="15.75" customHeight="1" x14ac:dyDescent="0.2">
      <c r="A625" s="3"/>
      <c r="B625" s="4"/>
      <c r="C625" s="4"/>
      <c r="D625" s="4"/>
      <c r="E625" s="4"/>
      <c r="F625" s="4"/>
      <c r="G625" s="4"/>
      <c r="H625" s="4"/>
      <c r="I625" s="4"/>
      <c r="J625" s="4"/>
      <c r="K625" s="4"/>
      <c r="L625" s="4"/>
      <c r="M625" s="4"/>
      <c r="N625" s="4"/>
      <c r="O625" s="4"/>
      <c r="P625" s="4"/>
      <c r="Q625" s="4"/>
      <c r="R625" s="4"/>
      <c r="S625" s="4"/>
      <c r="T625" s="4"/>
      <c r="U625" s="4"/>
      <c r="V625" s="4"/>
      <c r="W625" s="4"/>
      <c r="X625" s="4"/>
      <c r="Y625" s="4"/>
      <c r="Z625" s="4"/>
      <c r="AA625" s="4"/>
      <c r="AB625" s="4"/>
      <c r="AC625" s="4"/>
      <c r="AD625" s="4"/>
      <c r="AE625" s="4"/>
      <c r="AF625" s="4"/>
      <c r="AG625" s="4"/>
      <c r="AH625" s="4"/>
    </row>
    <row r="626" spans="1:34" ht="15.75" customHeight="1" x14ac:dyDescent="0.2">
      <c r="A626" s="3"/>
      <c r="B626" s="4"/>
      <c r="C626" s="4"/>
      <c r="D626" s="4"/>
      <c r="E626" s="4"/>
      <c r="F626" s="4"/>
      <c r="G626" s="4"/>
      <c r="H626" s="4"/>
      <c r="I626" s="4"/>
      <c r="J626" s="4"/>
      <c r="K626" s="4"/>
      <c r="L626" s="4"/>
      <c r="M626" s="4"/>
      <c r="N626" s="4"/>
      <c r="O626" s="4"/>
      <c r="P626" s="4"/>
      <c r="Q626" s="4"/>
      <c r="R626" s="4"/>
      <c r="S626" s="4"/>
      <c r="T626" s="4"/>
      <c r="U626" s="4"/>
      <c r="V626" s="4"/>
      <c r="W626" s="4"/>
      <c r="X626" s="4"/>
      <c r="Y626" s="4"/>
      <c r="Z626" s="4"/>
      <c r="AA626" s="4"/>
      <c r="AB626" s="4"/>
      <c r="AC626" s="4"/>
      <c r="AD626" s="4"/>
      <c r="AE626" s="4"/>
      <c r="AF626" s="4"/>
      <c r="AG626" s="4"/>
      <c r="AH626" s="4"/>
    </row>
    <row r="627" spans="1:34" ht="15.75" customHeight="1" x14ac:dyDescent="0.2">
      <c r="A627" s="3"/>
      <c r="B627" s="4"/>
      <c r="C627" s="4"/>
      <c r="D627" s="4"/>
      <c r="E627" s="4"/>
      <c r="F627" s="4"/>
      <c r="G627" s="4"/>
      <c r="H627" s="4"/>
      <c r="I627" s="4"/>
      <c r="J627" s="4"/>
      <c r="K627" s="4"/>
      <c r="L627" s="4"/>
      <c r="M627" s="4"/>
      <c r="N627" s="4"/>
      <c r="O627" s="4"/>
      <c r="P627" s="4"/>
      <c r="Q627" s="4"/>
      <c r="R627" s="4"/>
      <c r="S627" s="4"/>
      <c r="T627" s="4"/>
      <c r="U627" s="4"/>
      <c r="V627" s="4"/>
      <c r="W627" s="4"/>
      <c r="X627" s="4"/>
      <c r="Y627" s="4"/>
      <c r="Z627" s="4"/>
      <c r="AA627" s="4"/>
      <c r="AB627" s="4"/>
      <c r="AC627" s="4"/>
      <c r="AD627" s="4"/>
      <c r="AE627" s="4"/>
      <c r="AF627" s="4"/>
      <c r="AG627" s="4"/>
      <c r="AH627" s="4"/>
    </row>
    <row r="628" spans="1:34" ht="15.75" customHeight="1" x14ac:dyDescent="0.2">
      <c r="A628" s="3"/>
      <c r="B628" s="4"/>
      <c r="C628" s="4"/>
      <c r="D628" s="4"/>
      <c r="E628" s="4"/>
      <c r="F628" s="4"/>
      <c r="G628" s="4"/>
      <c r="H628" s="4"/>
      <c r="I628" s="4"/>
      <c r="J628" s="4"/>
      <c r="K628" s="4"/>
      <c r="L628" s="4"/>
      <c r="M628" s="4"/>
      <c r="N628" s="4"/>
      <c r="O628" s="4"/>
      <c r="P628" s="4"/>
      <c r="Q628" s="4"/>
      <c r="R628" s="4"/>
      <c r="S628" s="4"/>
      <c r="T628" s="4"/>
      <c r="U628" s="4"/>
      <c r="V628" s="4"/>
      <c r="W628" s="4"/>
      <c r="X628" s="4"/>
      <c r="Y628" s="4"/>
      <c r="Z628" s="4"/>
      <c r="AA628" s="4"/>
      <c r="AB628" s="4"/>
      <c r="AC628" s="4"/>
      <c r="AD628" s="4"/>
      <c r="AE628" s="4"/>
      <c r="AF628" s="4"/>
      <c r="AG628" s="4"/>
      <c r="AH628" s="4"/>
    </row>
    <row r="629" spans="1:34" ht="15.75" customHeight="1" x14ac:dyDescent="0.2">
      <c r="A629" s="3"/>
      <c r="B629" s="4"/>
      <c r="C629" s="4"/>
      <c r="D629" s="4"/>
      <c r="E629" s="4"/>
      <c r="F629" s="4"/>
      <c r="G629" s="4"/>
      <c r="H629" s="4"/>
      <c r="I629" s="4"/>
      <c r="J629" s="4"/>
      <c r="K629" s="4"/>
      <c r="L629" s="4"/>
      <c r="M629" s="4"/>
      <c r="N629" s="4"/>
      <c r="O629" s="4"/>
      <c r="P629" s="4"/>
      <c r="Q629" s="4"/>
      <c r="R629" s="4"/>
      <c r="S629" s="4"/>
      <c r="T629" s="4"/>
      <c r="U629" s="4"/>
      <c r="V629" s="4"/>
      <c r="W629" s="4"/>
      <c r="X629" s="4"/>
      <c r="Y629" s="4"/>
      <c r="Z629" s="4"/>
      <c r="AA629" s="4"/>
      <c r="AB629" s="4"/>
      <c r="AC629" s="4"/>
      <c r="AD629" s="4"/>
      <c r="AE629" s="4"/>
      <c r="AF629" s="4"/>
      <c r="AG629" s="4"/>
      <c r="AH629" s="4"/>
    </row>
    <row r="630" spans="1:34" ht="15.75" customHeight="1" x14ac:dyDescent="0.2">
      <c r="A630" s="3"/>
      <c r="B630" s="4"/>
      <c r="C630" s="4"/>
      <c r="D630" s="4"/>
      <c r="E630" s="4"/>
      <c r="F630" s="4"/>
      <c r="G630" s="4"/>
      <c r="H630" s="4"/>
      <c r="I630" s="4"/>
      <c r="J630" s="4"/>
      <c r="K630" s="4"/>
      <c r="L630" s="4"/>
      <c r="M630" s="4"/>
      <c r="N630" s="4"/>
      <c r="O630" s="4"/>
      <c r="P630" s="4"/>
      <c r="Q630" s="4"/>
      <c r="R630" s="4"/>
      <c r="S630" s="4"/>
      <c r="T630" s="4"/>
      <c r="U630" s="4"/>
      <c r="V630" s="4"/>
      <c r="W630" s="4"/>
      <c r="X630" s="4"/>
      <c r="Y630" s="4"/>
      <c r="Z630" s="4"/>
      <c r="AA630" s="4"/>
      <c r="AB630" s="4"/>
      <c r="AC630" s="4"/>
      <c r="AD630" s="4"/>
      <c r="AE630" s="4"/>
      <c r="AF630" s="4"/>
      <c r="AG630" s="4"/>
      <c r="AH630" s="4"/>
    </row>
    <row r="631" spans="1:34" ht="15.75" customHeight="1" x14ac:dyDescent="0.2">
      <c r="A631" s="3"/>
      <c r="B631" s="4"/>
      <c r="C631" s="4"/>
      <c r="D631" s="4"/>
      <c r="E631" s="4"/>
      <c r="F631" s="4"/>
      <c r="G631" s="4"/>
      <c r="H631" s="4"/>
      <c r="I631" s="4"/>
      <c r="J631" s="4"/>
      <c r="K631" s="4"/>
      <c r="L631" s="4"/>
      <c r="M631" s="4"/>
      <c r="N631" s="4"/>
      <c r="O631" s="4"/>
      <c r="P631" s="4"/>
      <c r="Q631" s="4"/>
      <c r="R631" s="4"/>
      <c r="S631" s="4"/>
      <c r="T631" s="4"/>
      <c r="U631" s="4"/>
      <c r="V631" s="4"/>
      <c r="W631" s="4"/>
      <c r="X631" s="4"/>
      <c r="Y631" s="4"/>
      <c r="Z631" s="4"/>
      <c r="AA631" s="4"/>
      <c r="AB631" s="4"/>
      <c r="AC631" s="4"/>
      <c r="AD631" s="4"/>
      <c r="AE631" s="4"/>
      <c r="AF631" s="4"/>
      <c r="AG631" s="4"/>
      <c r="AH631" s="4"/>
    </row>
    <row r="632" spans="1:34" ht="15.75" customHeight="1" x14ac:dyDescent="0.2">
      <c r="A632" s="3"/>
      <c r="B632" s="4"/>
      <c r="C632" s="4"/>
      <c r="D632" s="4"/>
      <c r="E632" s="4"/>
      <c r="F632" s="4"/>
      <c r="G632" s="4"/>
      <c r="H632" s="4"/>
      <c r="I632" s="4"/>
      <c r="J632" s="4"/>
      <c r="K632" s="4"/>
      <c r="L632" s="4"/>
      <c r="M632" s="4"/>
      <c r="N632" s="4"/>
      <c r="O632" s="4"/>
      <c r="P632" s="4"/>
      <c r="Q632" s="4"/>
      <c r="R632" s="4"/>
      <c r="S632" s="4"/>
      <c r="T632" s="4"/>
      <c r="U632" s="4"/>
      <c r="V632" s="4"/>
      <c r="W632" s="4"/>
      <c r="X632" s="4"/>
      <c r="Y632" s="4"/>
      <c r="Z632" s="4"/>
      <c r="AA632" s="4"/>
      <c r="AB632" s="4"/>
      <c r="AC632" s="4"/>
      <c r="AD632" s="4"/>
      <c r="AE632" s="4"/>
      <c r="AF632" s="4"/>
      <c r="AG632" s="4"/>
      <c r="AH632" s="4"/>
    </row>
    <row r="633" spans="1:34" ht="15.75" customHeight="1" x14ac:dyDescent="0.2">
      <c r="A633" s="3"/>
      <c r="B633" s="4"/>
      <c r="C633" s="4"/>
      <c r="D633" s="4"/>
      <c r="E633" s="4"/>
      <c r="F633" s="4"/>
      <c r="G633" s="4"/>
      <c r="H633" s="4"/>
      <c r="I633" s="4"/>
      <c r="J633" s="4"/>
      <c r="K633" s="4"/>
      <c r="L633" s="4"/>
      <c r="M633" s="4"/>
      <c r="N633" s="4"/>
      <c r="O633" s="4"/>
      <c r="P633" s="4"/>
      <c r="Q633" s="4"/>
      <c r="R633" s="4"/>
      <c r="S633" s="4"/>
      <c r="T633" s="4"/>
      <c r="U633" s="4"/>
      <c r="V633" s="4"/>
      <c r="W633" s="4"/>
      <c r="X633" s="4"/>
      <c r="Y633" s="4"/>
      <c r="Z633" s="4"/>
      <c r="AA633" s="4"/>
      <c r="AB633" s="4"/>
      <c r="AC633" s="4"/>
      <c r="AD633" s="4"/>
      <c r="AE633" s="4"/>
      <c r="AF633" s="4"/>
      <c r="AG633" s="4"/>
      <c r="AH633" s="4"/>
    </row>
    <row r="634" spans="1:34" ht="15.75" customHeight="1" x14ac:dyDescent="0.2">
      <c r="A634" s="3"/>
      <c r="B634" s="4"/>
      <c r="C634" s="4"/>
      <c r="D634" s="4"/>
      <c r="E634" s="4"/>
      <c r="F634" s="4"/>
      <c r="G634" s="4"/>
      <c r="H634" s="4"/>
      <c r="I634" s="4"/>
      <c r="J634" s="4"/>
      <c r="K634" s="4"/>
      <c r="L634" s="4"/>
      <c r="M634" s="4"/>
      <c r="N634" s="4"/>
      <c r="O634" s="4"/>
      <c r="P634" s="4"/>
      <c r="Q634" s="4"/>
      <c r="R634" s="4"/>
      <c r="S634" s="4"/>
      <c r="T634" s="4"/>
      <c r="U634" s="4"/>
      <c r="V634" s="4"/>
      <c r="W634" s="4"/>
      <c r="X634" s="4"/>
      <c r="Y634" s="4"/>
      <c r="Z634" s="4"/>
      <c r="AA634" s="4"/>
      <c r="AB634" s="4"/>
      <c r="AC634" s="4"/>
      <c r="AD634" s="4"/>
      <c r="AE634" s="4"/>
      <c r="AF634" s="4"/>
      <c r="AG634" s="4"/>
      <c r="AH634" s="4"/>
    </row>
    <row r="635" spans="1:34" ht="15.75" customHeight="1" x14ac:dyDescent="0.2">
      <c r="A635" s="3"/>
      <c r="B635" s="4"/>
      <c r="C635" s="4"/>
      <c r="D635" s="4"/>
      <c r="E635" s="4"/>
      <c r="F635" s="4"/>
      <c r="G635" s="4"/>
      <c r="H635" s="4"/>
      <c r="I635" s="4"/>
      <c r="J635" s="4"/>
      <c r="K635" s="4"/>
      <c r="L635" s="4"/>
      <c r="M635" s="4"/>
      <c r="N635" s="4"/>
      <c r="O635" s="4"/>
      <c r="P635" s="4"/>
      <c r="Q635" s="4"/>
      <c r="R635" s="4"/>
      <c r="S635" s="4"/>
      <c r="T635" s="4"/>
      <c r="U635" s="4"/>
      <c r="V635" s="4"/>
      <c r="W635" s="4"/>
      <c r="X635" s="4"/>
      <c r="Y635" s="4"/>
      <c r="Z635" s="4"/>
      <c r="AA635" s="4"/>
      <c r="AB635" s="4"/>
      <c r="AC635" s="4"/>
      <c r="AD635" s="4"/>
      <c r="AE635" s="4"/>
      <c r="AF635" s="4"/>
      <c r="AG635" s="4"/>
      <c r="AH635" s="4"/>
    </row>
    <row r="636" spans="1:34" ht="15.75" customHeight="1" x14ac:dyDescent="0.2">
      <c r="A636" s="3"/>
      <c r="B636" s="4"/>
      <c r="C636" s="4"/>
      <c r="D636" s="4"/>
      <c r="E636" s="4"/>
      <c r="F636" s="4"/>
      <c r="G636" s="4"/>
      <c r="H636" s="4"/>
      <c r="I636" s="4"/>
      <c r="J636" s="4"/>
      <c r="K636" s="4"/>
      <c r="L636" s="4"/>
      <c r="M636" s="4"/>
      <c r="N636" s="4"/>
      <c r="O636" s="4"/>
      <c r="P636" s="4"/>
      <c r="Q636" s="4"/>
      <c r="R636" s="4"/>
      <c r="S636" s="4"/>
      <c r="T636" s="4"/>
      <c r="U636" s="4"/>
      <c r="V636" s="4"/>
      <c r="W636" s="4"/>
      <c r="X636" s="4"/>
      <c r="Y636" s="4"/>
      <c r="Z636" s="4"/>
      <c r="AA636" s="4"/>
      <c r="AB636" s="4"/>
      <c r="AC636" s="4"/>
      <c r="AD636" s="4"/>
      <c r="AE636" s="4"/>
      <c r="AF636" s="4"/>
      <c r="AG636" s="4"/>
      <c r="AH636" s="4"/>
    </row>
    <row r="637" spans="1:34" ht="15.75" customHeight="1" x14ac:dyDescent="0.2">
      <c r="A637" s="3"/>
      <c r="B637" s="4"/>
      <c r="C637" s="4"/>
      <c r="D637" s="4"/>
      <c r="E637" s="4"/>
      <c r="F637" s="4"/>
      <c r="G637" s="4"/>
      <c r="H637" s="4"/>
      <c r="I637" s="4"/>
      <c r="J637" s="4"/>
      <c r="K637" s="4"/>
      <c r="L637" s="4"/>
      <c r="M637" s="4"/>
      <c r="N637" s="4"/>
      <c r="O637" s="4"/>
      <c r="P637" s="4"/>
      <c r="Q637" s="4"/>
      <c r="R637" s="4"/>
      <c r="S637" s="4"/>
      <c r="T637" s="4"/>
      <c r="U637" s="4"/>
      <c r="V637" s="4"/>
      <c r="W637" s="4"/>
      <c r="X637" s="4"/>
      <c r="Y637" s="4"/>
      <c r="Z637" s="4"/>
      <c r="AA637" s="4"/>
      <c r="AB637" s="4"/>
      <c r="AC637" s="4"/>
      <c r="AD637" s="4"/>
      <c r="AE637" s="4"/>
      <c r="AF637" s="4"/>
      <c r="AG637" s="4"/>
      <c r="AH637" s="4"/>
    </row>
    <row r="638" spans="1:34" ht="15.75" customHeight="1" x14ac:dyDescent="0.2">
      <c r="A638" s="3"/>
      <c r="B638" s="4"/>
      <c r="C638" s="4"/>
      <c r="D638" s="4"/>
      <c r="E638" s="4"/>
      <c r="F638" s="4"/>
      <c r="G638" s="4"/>
      <c r="H638" s="4"/>
      <c r="I638" s="4"/>
      <c r="J638" s="4"/>
      <c r="K638" s="4"/>
      <c r="L638" s="4"/>
      <c r="M638" s="4"/>
      <c r="N638" s="4"/>
      <c r="O638" s="4"/>
      <c r="P638" s="4"/>
      <c r="Q638" s="4"/>
      <c r="R638" s="4"/>
      <c r="S638" s="4"/>
      <c r="T638" s="4"/>
      <c r="U638" s="4"/>
      <c r="V638" s="4"/>
      <c r="W638" s="4"/>
      <c r="X638" s="4"/>
      <c r="Y638" s="4"/>
      <c r="Z638" s="4"/>
      <c r="AA638" s="4"/>
      <c r="AB638" s="4"/>
      <c r="AC638" s="4"/>
      <c r="AD638" s="4"/>
      <c r="AE638" s="4"/>
      <c r="AF638" s="4"/>
      <c r="AG638" s="4"/>
      <c r="AH638" s="4"/>
    </row>
    <row r="639" spans="1:34" ht="15.75" customHeight="1" x14ac:dyDescent="0.2">
      <c r="A639" s="3"/>
      <c r="B639" s="4"/>
      <c r="C639" s="4"/>
      <c r="D639" s="4"/>
      <c r="E639" s="4"/>
      <c r="F639" s="4"/>
      <c r="G639" s="4"/>
      <c r="H639" s="4"/>
      <c r="I639" s="4"/>
      <c r="J639" s="4"/>
      <c r="K639" s="4"/>
      <c r="L639" s="4"/>
      <c r="M639" s="4"/>
      <c r="N639" s="4"/>
      <c r="O639" s="4"/>
      <c r="P639" s="4"/>
      <c r="Q639" s="4"/>
      <c r="R639" s="4"/>
      <c r="S639" s="4"/>
      <c r="T639" s="4"/>
      <c r="U639" s="4"/>
      <c r="V639" s="4"/>
      <c r="W639" s="4"/>
      <c r="X639" s="4"/>
      <c r="Y639" s="4"/>
      <c r="Z639" s="4"/>
      <c r="AA639" s="4"/>
      <c r="AB639" s="4"/>
      <c r="AC639" s="4"/>
      <c r="AD639" s="4"/>
      <c r="AE639" s="4"/>
      <c r="AF639" s="4"/>
      <c r="AG639" s="4"/>
      <c r="AH639" s="4"/>
    </row>
    <row r="640" spans="1:34" ht="15.75" customHeight="1" x14ac:dyDescent="0.2">
      <c r="A640" s="3"/>
      <c r="B640" s="4"/>
      <c r="C640" s="4"/>
      <c r="D640" s="4"/>
      <c r="E640" s="4"/>
      <c r="F640" s="4"/>
      <c r="G640" s="4"/>
      <c r="H640" s="4"/>
      <c r="I640" s="4"/>
      <c r="J640" s="4"/>
      <c r="K640" s="4"/>
      <c r="L640" s="4"/>
      <c r="M640" s="4"/>
      <c r="N640" s="4"/>
      <c r="O640" s="4"/>
      <c r="P640" s="4"/>
      <c r="Q640" s="4"/>
      <c r="R640" s="4"/>
      <c r="S640" s="4"/>
      <c r="T640" s="4"/>
      <c r="U640" s="4"/>
      <c r="V640" s="4"/>
      <c r="W640" s="4"/>
      <c r="X640" s="4"/>
      <c r="Y640" s="4"/>
      <c r="Z640" s="4"/>
      <c r="AA640" s="4"/>
      <c r="AB640" s="4"/>
      <c r="AC640" s="4"/>
      <c r="AD640" s="4"/>
      <c r="AE640" s="4"/>
      <c r="AF640" s="4"/>
      <c r="AG640" s="4"/>
      <c r="AH640" s="4"/>
    </row>
    <row r="641" spans="1:34" ht="15.75" customHeight="1" x14ac:dyDescent="0.2">
      <c r="A641" s="3"/>
      <c r="B641" s="4"/>
      <c r="C641" s="4"/>
      <c r="D641" s="4"/>
      <c r="E641" s="4"/>
      <c r="F641" s="4"/>
      <c r="G641" s="4"/>
      <c r="H641" s="4"/>
      <c r="I641" s="4"/>
      <c r="J641" s="4"/>
      <c r="K641" s="4"/>
      <c r="L641" s="4"/>
      <c r="M641" s="4"/>
      <c r="N641" s="4"/>
      <c r="O641" s="4"/>
      <c r="P641" s="4"/>
      <c r="Q641" s="4"/>
      <c r="R641" s="4"/>
      <c r="S641" s="4"/>
      <c r="T641" s="4"/>
      <c r="U641" s="4"/>
      <c r="V641" s="4"/>
      <c r="W641" s="4"/>
      <c r="X641" s="4"/>
      <c r="Y641" s="4"/>
      <c r="Z641" s="4"/>
      <c r="AA641" s="4"/>
      <c r="AB641" s="4"/>
      <c r="AC641" s="4"/>
      <c r="AD641" s="4"/>
      <c r="AE641" s="4"/>
      <c r="AF641" s="4"/>
      <c r="AG641" s="4"/>
      <c r="AH641" s="4"/>
    </row>
    <row r="642" spans="1:34" ht="15.75" customHeight="1" x14ac:dyDescent="0.2">
      <c r="A642" s="3"/>
      <c r="B642" s="4"/>
      <c r="C642" s="4"/>
      <c r="D642" s="4"/>
      <c r="E642" s="4"/>
      <c r="F642" s="4"/>
      <c r="G642" s="4"/>
      <c r="H642" s="4"/>
      <c r="I642" s="4"/>
      <c r="J642" s="4"/>
      <c r="K642" s="4"/>
      <c r="L642" s="4"/>
      <c r="M642" s="4"/>
      <c r="N642" s="4"/>
      <c r="O642" s="4"/>
      <c r="P642" s="4"/>
      <c r="Q642" s="4"/>
      <c r="R642" s="4"/>
      <c r="S642" s="4"/>
      <c r="T642" s="4"/>
      <c r="U642" s="4"/>
      <c r="V642" s="4"/>
      <c r="W642" s="4"/>
      <c r="X642" s="4"/>
      <c r="Y642" s="4"/>
      <c r="Z642" s="4"/>
      <c r="AA642" s="4"/>
      <c r="AB642" s="4"/>
      <c r="AC642" s="4"/>
      <c r="AD642" s="4"/>
      <c r="AE642" s="4"/>
      <c r="AF642" s="4"/>
      <c r="AG642" s="4"/>
      <c r="AH642" s="4"/>
    </row>
    <row r="643" spans="1:34" ht="15.75" customHeight="1" x14ac:dyDescent="0.2">
      <c r="A643" s="3"/>
      <c r="B643" s="4"/>
      <c r="C643" s="4"/>
      <c r="D643" s="4"/>
      <c r="E643" s="4"/>
      <c r="F643" s="4"/>
      <c r="G643" s="4"/>
      <c r="H643" s="4"/>
      <c r="I643" s="4"/>
      <c r="J643" s="4"/>
      <c r="K643" s="4"/>
      <c r="L643" s="4"/>
      <c r="M643" s="4"/>
      <c r="N643" s="4"/>
      <c r="O643" s="4"/>
      <c r="P643" s="4"/>
      <c r="Q643" s="4"/>
      <c r="R643" s="4"/>
      <c r="S643" s="4"/>
      <c r="T643" s="4"/>
      <c r="U643" s="4"/>
      <c r="V643" s="4"/>
      <c r="W643" s="4"/>
      <c r="X643" s="4"/>
      <c r="Y643" s="4"/>
      <c r="Z643" s="4"/>
      <c r="AA643" s="4"/>
      <c r="AB643" s="4"/>
      <c r="AC643" s="4"/>
      <c r="AD643" s="4"/>
      <c r="AE643" s="4"/>
      <c r="AF643" s="4"/>
      <c r="AG643" s="4"/>
      <c r="AH643" s="4"/>
    </row>
    <row r="644" spans="1:34" ht="15.75" customHeight="1" x14ac:dyDescent="0.2">
      <c r="A644" s="3"/>
      <c r="B644" s="4"/>
      <c r="C644" s="4"/>
      <c r="D644" s="4"/>
      <c r="E644" s="4"/>
      <c r="F644" s="4"/>
      <c r="G644" s="4"/>
      <c r="H644" s="4"/>
      <c r="I644" s="4"/>
      <c r="J644" s="4"/>
      <c r="K644" s="4"/>
      <c r="L644" s="4"/>
      <c r="M644" s="4"/>
      <c r="N644" s="4"/>
      <c r="O644" s="4"/>
      <c r="P644" s="4"/>
      <c r="Q644" s="4"/>
      <c r="R644" s="4"/>
      <c r="S644" s="4"/>
      <c r="T644" s="4"/>
      <c r="U644" s="4"/>
      <c r="V644" s="4"/>
      <c r="W644" s="4"/>
      <c r="X644" s="4"/>
      <c r="Y644" s="4"/>
      <c r="Z644" s="4"/>
      <c r="AA644" s="4"/>
      <c r="AB644" s="4"/>
      <c r="AC644" s="4"/>
      <c r="AD644" s="4"/>
      <c r="AE644" s="4"/>
      <c r="AF644" s="4"/>
      <c r="AG644" s="4"/>
      <c r="AH644" s="4"/>
    </row>
    <row r="645" spans="1:34" ht="15.75" customHeight="1" x14ac:dyDescent="0.2">
      <c r="A645" s="3"/>
      <c r="B645" s="4"/>
      <c r="C645" s="4"/>
      <c r="D645" s="4"/>
      <c r="E645" s="4"/>
      <c r="F645" s="4"/>
      <c r="G645" s="4"/>
      <c r="H645" s="4"/>
      <c r="I645" s="4"/>
      <c r="J645" s="4"/>
      <c r="K645" s="4"/>
      <c r="L645" s="4"/>
      <c r="M645" s="4"/>
      <c r="N645" s="4"/>
      <c r="O645" s="4"/>
      <c r="P645" s="4"/>
      <c r="Q645" s="4"/>
      <c r="R645" s="4"/>
      <c r="S645" s="4"/>
      <c r="T645" s="4"/>
      <c r="U645" s="4"/>
      <c r="V645" s="4"/>
      <c r="W645" s="4"/>
      <c r="X645" s="4"/>
      <c r="Y645" s="4"/>
      <c r="Z645" s="4"/>
      <c r="AA645" s="4"/>
      <c r="AB645" s="4"/>
      <c r="AC645" s="4"/>
      <c r="AD645" s="4"/>
      <c r="AE645" s="4"/>
      <c r="AF645" s="4"/>
      <c r="AG645" s="4"/>
      <c r="AH645" s="4"/>
    </row>
    <row r="646" spans="1:34" ht="15.75" customHeight="1" x14ac:dyDescent="0.2">
      <c r="A646" s="3"/>
      <c r="B646" s="4"/>
      <c r="C646" s="4"/>
      <c r="D646" s="4"/>
      <c r="E646" s="4"/>
      <c r="F646" s="4"/>
      <c r="G646" s="4"/>
      <c r="H646" s="4"/>
      <c r="I646" s="4"/>
      <c r="J646" s="4"/>
      <c r="K646" s="4"/>
      <c r="L646" s="4"/>
      <c r="M646" s="4"/>
      <c r="N646" s="4"/>
      <c r="O646" s="4"/>
      <c r="P646" s="4"/>
      <c r="Q646" s="4"/>
      <c r="R646" s="4"/>
      <c r="S646" s="4"/>
      <c r="T646" s="4"/>
      <c r="U646" s="4"/>
      <c r="V646" s="4"/>
      <c r="W646" s="4"/>
      <c r="X646" s="4"/>
      <c r="Y646" s="4"/>
      <c r="Z646" s="4"/>
      <c r="AA646" s="4"/>
      <c r="AB646" s="4"/>
      <c r="AC646" s="4"/>
      <c r="AD646" s="4"/>
      <c r="AE646" s="4"/>
      <c r="AF646" s="4"/>
      <c r="AG646" s="4"/>
      <c r="AH646" s="4"/>
    </row>
    <row r="647" spans="1:34" ht="15.75" customHeight="1" x14ac:dyDescent="0.2">
      <c r="A647" s="3"/>
      <c r="B647" s="4"/>
      <c r="C647" s="4"/>
      <c r="D647" s="4"/>
      <c r="E647" s="4"/>
      <c r="F647" s="4"/>
      <c r="G647" s="4"/>
      <c r="H647" s="4"/>
      <c r="I647" s="4"/>
      <c r="J647" s="4"/>
      <c r="K647" s="4"/>
      <c r="L647" s="4"/>
      <c r="M647" s="4"/>
      <c r="N647" s="4"/>
      <c r="O647" s="4"/>
      <c r="P647" s="4"/>
      <c r="Q647" s="4"/>
      <c r="R647" s="4"/>
      <c r="S647" s="4"/>
      <c r="T647" s="4"/>
      <c r="U647" s="4"/>
      <c r="V647" s="4"/>
      <c r="W647" s="4"/>
      <c r="X647" s="4"/>
      <c r="Y647" s="4"/>
      <c r="Z647" s="4"/>
      <c r="AA647" s="4"/>
      <c r="AB647" s="4"/>
      <c r="AC647" s="4"/>
      <c r="AD647" s="4"/>
      <c r="AE647" s="4"/>
      <c r="AF647" s="4"/>
      <c r="AG647" s="4"/>
      <c r="AH647" s="4"/>
    </row>
    <row r="648" spans="1:34" ht="15.75" customHeight="1" x14ac:dyDescent="0.2">
      <c r="A648" s="3"/>
      <c r="B648" s="4"/>
      <c r="C648" s="4"/>
      <c r="D648" s="4"/>
      <c r="E648" s="4"/>
      <c r="F648" s="4"/>
      <c r="G648" s="4"/>
      <c r="H648" s="4"/>
      <c r="I648" s="4"/>
      <c r="J648" s="4"/>
      <c r="K648" s="4"/>
      <c r="L648" s="4"/>
      <c r="M648" s="4"/>
      <c r="N648" s="4"/>
      <c r="O648" s="4"/>
      <c r="P648" s="4"/>
      <c r="Q648" s="4"/>
      <c r="R648" s="4"/>
      <c r="S648" s="4"/>
      <c r="T648" s="4"/>
      <c r="U648" s="4"/>
      <c r="V648" s="4"/>
      <c r="W648" s="4"/>
      <c r="X648" s="4"/>
      <c r="Y648" s="4"/>
      <c r="Z648" s="4"/>
      <c r="AA648" s="4"/>
      <c r="AB648" s="4"/>
      <c r="AC648" s="4"/>
      <c r="AD648" s="4"/>
      <c r="AE648" s="4"/>
      <c r="AF648" s="4"/>
      <c r="AG648" s="4"/>
      <c r="AH648" s="4"/>
    </row>
    <row r="649" spans="1:34" ht="15.75" customHeight="1" x14ac:dyDescent="0.2">
      <c r="A649" s="3"/>
      <c r="B649" s="4"/>
      <c r="C649" s="4"/>
      <c r="D649" s="4"/>
      <c r="E649" s="4"/>
      <c r="F649" s="4"/>
      <c r="G649" s="4"/>
      <c r="H649" s="4"/>
      <c r="I649" s="4"/>
      <c r="J649" s="4"/>
      <c r="K649" s="4"/>
      <c r="L649" s="4"/>
      <c r="M649" s="4"/>
      <c r="N649" s="4"/>
      <c r="O649" s="4"/>
      <c r="P649" s="4"/>
      <c r="Q649" s="4"/>
      <c r="R649" s="4"/>
      <c r="S649" s="4"/>
      <c r="T649" s="4"/>
      <c r="U649" s="4"/>
      <c r="V649" s="4"/>
      <c r="W649" s="4"/>
      <c r="X649" s="4"/>
      <c r="Y649" s="4"/>
      <c r="Z649" s="4"/>
      <c r="AA649" s="4"/>
      <c r="AB649" s="4"/>
      <c r="AC649" s="4"/>
      <c r="AD649" s="4"/>
      <c r="AE649" s="4"/>
      <c r="AF649" s="4"/>
      <c r="AG649" s="4"/>
      <c r="AH649" s="4"/>
    </row>
    <row r="650" spans="1:34" ht="15.75" customHeight="1" x14ac:dyDescent="0.2">
      <c r="A650" s="3"/>
      <c r="B650" s="4"/>
      <c r="C650" s="4"/>
      <c r="D650" s="4"/>
      <c r="E650" s="4"/>
      <c r="F650" s="4"/>
      <c r="G650" s="4"/>
      <c r="H650" s="4"/>
      <c r="I650" s="4"/>
      <c r="J650" s="4"/>
      <c r="K650" s="4"/>
      <c r="L650" s="4"/>
      <c r="M650" s="4"/>
      <c r="N650" s="4"/>
      <c r="O650" s="4"/>
      <c r="P650" s="4"/>
      <c r="Q650" s="4"/>
      <c r="R650" s="4"/>
      <c r="S650" s="4"/>
      <c r="T650" s="4"/>
      <c r="U650" s="4"/>
      <c r="V650" s="4"/>
      <c r="W650" s="4"/>
      <c r="X650" s="4"/>
      <c r="Y650" s="4"/>
      <c r="Z650" s="4"/>
      <c r="AA650" s="4"/>
      <c r="AB650" s="4"/>
      <c r="AC650" s="4"/>
      <c r="AD650" s="4"/>
      <c r="AE650" s="4"/>
      <c r="AF650" s="4"/>
      <c r="AG650" s="4"/>
      <c r="AH650" s="4"/>
    </row>
    <row r="651" spans="1:34" ht="15.75" customHeight="1" x14ac:dyDescent="0.2">
      <c r="A651" s="3"/>
      <c r="B651" s="4"/>
      <c r="C651" s="4"/>
      <c r="D651" s="4"/>
      <c r="E651" s="4"/>
      <c r="F651" s="4"/>
      <c r="G651" s="4"/>
      <c r="H651" s="4"/>
      <c r="I651" s="4"/>
      <c r="J651" s="4"/>
      <c r="K651" s="4"/>
      <c r="L651" s="4"/>
      <c r="M651" s="4"/>
      <c r="N651" s="4"/>
      <c r="O651" s="4"/>
      <c r="P651" s="4"/>
      <c r="Q651" s="4"/>
      <c r="R651" s="4"/>
      <c r="S651" s="4"/>
      <c r="T651" s="4"/>
      <c r="U651" s="4"/>
      <c r="V651" s="4"/>
      <c r="W651" s="4"/>
      <c r="X651" s="4"/>
      <c r="Y651" s="4"/>
      <c r="Z651" s="4"/>
      <c r="AA651" s="4"/>
      <c r="AB651" s="4"/>
      <c r="AC651" s="4"/>
      <c r="AD651" s="4"/>
      <c r="AE651" s="4"/>
      <c r="AF651" s="4"/>
      <c r="AG651" s="4"/>
      <c r="AH651" s="4"/>
    </row>
    <row r="652" spans="1:34" ht="15.75" customHeight="1" x14ac:dyDescent="0.2">
      <c r="A652" s="3"/>
      <c r="B652" s="4"/>
      <c r="C652" s="4"/>
      <c r="D652" s="4"/>
      <c r="E652" s="4"/>
      <c r="F652" s="4"/>
      <c r="G652" s="4"/>
      <c r="H652" s="4"/>
      <c r="I652" s="4"/>
      <c r="J652" s="4"/>
      <c r="K652" s="4"/>
      <c r="L652" s="4"/>
      <c r="M652" s="4"/>
      <c r="N652" s="4"/>
      <c r="O652" s="4"/>
      <c r="P652" s="4"/>
      <c r="Q652" s="4"/>
      <c r="R652" s="4"/>
      <c r="S652" s="4"/>
      <c r="T652" s="4"/>
      <c r="U652" s="4"/>
      <c r="V652" s="4"/>
      <c r="W652" s="4"/>
      <c r="X652" s="4"/>
      <c r="Y652" s="4"/>
      <c r="Z652" s="4"/>
      <c r="AA652" s="4"/>
      <c r="AB652" s="4"/>
      <c r="AC652" s="4"/>
      <c r="AD652" s="4"/>
      <c r="AE652" s="4"/>
      <c r="AF652" s="4"/>
      <c r="AG652" s="4"/>
      <c r="AH652" s="4"/>
    </row>
    <row r="653" spans="1:34" ht="15.75" customHeight="1" x14ac:dyDescent="0.2">
      <c r="A653" s="3"/>
      <c r="B653" s="4"/>
      <c r="C653" s="4"/>
      <c r="D653" s="4"/>
      <c r="E653" s="4"/>
      <c r="F653" s="4"/>
      <c r="G653" s="4"/>
      <c r="H653" s="4"/>
      <c r="I653" s="4"/>
      <c r="J653" s="4"/>
      <c r="K653" s="4"/>
      <c r="L653" s="4"/>
      <c r="M653" s="4"/>
      <c r="N653" s="4"/>
      <c r="O653" s="4"/>
      <c r="P653" s="4"/>
      <c r="Q653" s="4"/>
      <c r="R653" s="4"/>
      <c r="S653" s="4"/>
      <c r="T653" s="4"/>
      <c r="U653" s="4"/>
      <c r="V653" s="4"/>
      <c r="W653" s="4"/>
      <c r="X653" s="4"/>
      <c r="Y653" s="4"/>
      <c r="Z653" s="4"/>
      <c r="AA653" s="4"/>
      <c r="AB653" s="4"/>
      <c r="AC653" s="4"/>
      <c r="AD653" s="4"/>
      <c r="AE653" s="4"/>
      <c r="AF653" s="4"/>
      <c r="AG653" s="4"/>
      <c r="AH653" s="4"/>
    </row>
    <row r="654" spans="1:34" ht="15.75" customHeight="1" x14ac:dyDescent="0.2">
      <c r="A654" s="3"/>
      <c r="B654" s="4"/>
      <c r="C654" s="4"/>
      <c r="D654" s="4"/>
      <c r="E654" s="4"/>
      <c r="F654" s="4"/>
      <c r="G654" s="4"/>
      <c r="H654" s="4"/>
      <c r="I654" s="4"/>
      <c r="J654" s="4"/>
      <c r="K654" s="4"/>
      <c r="L654" s="4"/>
      <c r="M654" s="4"/>
      <c r="N654" s="4"/>
      <c r="O654" s="4"/>
      <c r="P654" s="4"/>
      <c r="Q654" s="4"/>
      <c r="R654" s="4"/>
      <c r="S654" s="4"/>
      <c r="T654" s="4"/>
      <c r="U654" s="4"/>
      <c r="V654" s="4"/>
      <c r="W654" s="4"/>
      <c r="X654" s="4"/>
      <c r="Y654" s="4"/>
      <c r="Z654" s="4"/>
      <c r="AA654" s="4"/>
      <c r="AB654" s="4"/>
      <c r="AC654" s="4"/>
      <c r="AD654" s="4"/>
      <c r="AE654" s="4"/>
      <c r="AF654" s="4"/>
      <c r="AG654" s="4"/>
      <c r="AH654" s="4"/>
    </row>
    <row r="655" spans="1:34" ht="15.75" customHeight="1" x14ac:dyDescent="0.2">
      <c r="A655" s="3"/>
      <c r="B655" s="4"/>
      <c r="C655" s="4"/>
      <c r="D655" s="4"/>
      <c r="E655" s="4"/>
      <c r="F655" s="4"/>
      <c r="G655" s="4"/>
      <c r="H655" s="4"/>
      <c r="I655" s="4"/>
      <c r="J655" s="4"/>
      <c r="K655" s="4"/>
      <c r="L655" s="4"/>
      <c r="M655" s="4"/>
      <c r="N655" s="4"/>
      <c r="O655" s="4"/>
      <c r="P655" s="4"/>
      <c r="Q655" s="4"/>
      <c r="R655" s="4"/>
      <c r="S655" s="4"/>
      <c r="T655" s="4"/>
      <c r="U655" s="4"/>
      <c r="V655" s="4"/>
      <c r="W655" s="4"/>
      <c r="X655" s="4"/>
      <c r="Y655" s="4"/>
      <c r="Z655" s="4"/>
      <c r="AA655" s="4"/>
      <c r="AB655" s="4"/>
      <c r="AC655" s="4"/>
      <c r="AD655" s="4"/>
      <c r="AE655" s="4"/>
      <c r="AF655" s="4"/>
      <c r="AG655" s="4"/>
      <c r="AH655" s="4"/>
    </row>
    <row r="656" spans="1:34" ht="15.75" customHeight="1" x14ac:dyDescent="0.2">
      <c r="A656" s="3"/>
      <c r="B656" s="4"/>
      <c r="C656" s="4"/>
      <c r="D656" s="4"/>
      <c r="E656" s="4"/>
      <c r="F656" s="4"/>
      <c r="G656" s="4"/>
      <c r="H656" s="4"/>
      <c r="I656" s="4"/>
      <c r="J656" s="4"/>
      <c r="K656" s="4"/>
      <c r="L656" s="4"/>
      <c r="M656" s="4"/>
      <c r="N656" s="4"/>
      <c r="O656" s="4"/>
      <c r="P656" s="4"/>
      <c r="Q656" s="4"/>
      <c r="R656" s="4"/>
      <c r="S656" s="4"/>
      <c r="T656" s="4"/>
      <c r="U656" s="4"/>
      <c r="V656" s="4"/>
      <c r="W656" s="4"/>
      <c r="X656" s="4"/>
      <c r="Y656" s="4"/>
      <c r="Z656" s="4"/>
      <c r="AA656" s="4"/>
      <c r="AB656" s="4"/>
      <c r="AC656" s="4"/>
      <c r="AD656" s="4"/>
      <c r="AE656" s="4"/>
      <c r="AF656" s="4"/>
      <c r="AG656" s="4"/>
      <c r="AH656" s="4"/>
    </row>
    <row r="657" spans="1:34" ht="15.75" customHeight="1" x14ac:dyDescent="0.2">
      <c r="A657" s="3"/>
      <c r="B657" s="4"/>
      <c r="C657" s="4"/>
      <c r="D657" s="4"/>
      <c r="E657" s="4"/>
      <c r="F657" s="4"/>
      <c r="G657" s="4"/>
      <c r="H657" s="4"/>
      <c r="I657" s="4"/>
      <c r="J657" s="4"/>
      <c r="K657" s="4"/>
      <c r="L657" s="4"/>
      <c r="M657" s="4"/>
      <c r="N657" s="4"/>
      <c r="O657" s="4"/>
      <c r="P657" s="4"/>
      <c r="Q657" s="4"/>
      <c r="R657" s="4"/>
      <c r="S657" s="4"/>
      <c r="T657" s="4"/>
      <c r="U657" s="4"/>
      <c r="V657" s="4"/>
      <c r="W657" s="4"/>
      <c r="X657" s="4"/>
      <c r="Y657" s="4"/>
      <c r="Z657" s="4"/>
      <c r="AA657" s="4"/>
      <c r="AB657" s="4"/>
      <c r="AC657" s="4"/>
      <c r="AD657" s="4"/>
      <c r="AE657" s="4"/>
      <c r="AF657" s="4"/>
      <c r="AG657" s="4"/>
      <c r="AH657" s="4"/>
    </row>
    <row r="658" spans="1:34" ht="15.75" customHeight="1" x14ac:dyDescent="0.2">
      <c r="A658" s="3"/>
      <c r="B658" s="4"/>
      <c r="C658" s="4"/>
      <c r="D658" s="4"/>
      <c r="E658" s="4"/>
      <c r="F658" s="4"/>
      <c r="G658" s="4"/>
      <c r="H658" s="4"/>
      <c r="I658" s="4"/>
      <c r="J658" s="4"/>
      <c r="K658" s="4"/>
      <c r="L658" s="4"/>
      <c r="M658" s="4"/>
      <c r="N658" s="4"/>
      <c r="O658" s="4"/>
      <c r="P658" s="4"/>
      <c r="Q658" s="4"/>
      <c r="R658" s="4"/>
      <c r="S658" s="4"/>
      <c r="T658" s="4"/>
      <c r="U658" s="4"/>
      <c r="V658" s="4"/>
      <c r="W658" s="4"/>
      <c r="X658" s="4"/>
      <c r="Y658" s="4"/>
      <c r="Z658" s="4"/>
      <c r="AA658" s="4"/>
      <c r="AB658" s="4"/>
      <c r="AC658" s="4"/>
      <c r="AD658" s="4"/>
      <c r="AE658" s="4"/>
      <c r="AF658" s="4"/>
      <c r="AG658" s="4"/>
      <c r="AH658" s="4"/>
    </row>
    <row r="659" spans="1:34" ht="15.75" customHeight="1" x14ac:dyDescent="0.2">
      <c r="A659" s="3"/>
      <c r="B659" s="4"/>
      <c r="C659" s="4"/>
      <c r="D659" s="4"/>
      <c r="E659" s="4"/>
      <c r="F659" s="4"/>
      <c r="G659" s="4"/>
      <c r="H659" s="4"/>
      <c r="I659" s="4"/>
      <c r="J659" s="4"/>
      <c r="K659" s="4"/>
      <c r="L659" s="4"/>
      <c r="M659" s="4"/>
      <c r="N659" s="4"/>
      <c r="O659" s="4"/>
      <c r="P659" s="4"/>
      <c r="Q659" s="4"/>
      <c r="R659" s="4"/>
      <c r="S659" s="4"/>
      <c r="T659" s="4"/>
      <c r="U659" s="4"/>
      <c r="V659" s="4"/>
      <c r="W659" s="4"/>
      <c r="X659" s="4"/>
      <c r="Y659" s="4"/>
      <c r="Z659" s="4"/>
      <c r="AA659" s="4"/>
      <c r="AB659" s="4"/>
      <c r="AC659" s="4"/>
      <c r="AD659" s="4"/>
      <c r="AE659" s="4"/>
      <c r="AF659" s="4"/>
      <c r="AG659" s="4"/>
      <c r="AH659" s="4"/>
    </row>
    <row r="660" spans="1:34" ht="15.75" customHeight="1" x14ac:dyDescent="0.2">
      <c r="A660" s="3"/>
      <c r="B660" s="4"/>
      <c r="C660" s="4"/>
      <c r="D660" s="4"/>
      <c r="E660" s="4"/>
      <c r="F660" s="4"/>
      <c r="G660" s="4"/>
      <c r="H660" s="4"/>
      <c r="I660" s="4"/>
      <c r="J660" s="4"/>
      <c r="K660" s="4"/>
      <c r="L660" s="4"/>
      <c r="M660" s="4"/>
      <c r="N660" s="4"/>
      <c r="O660" s="4"/>
      <c r="P660" s="4"/>
      <c r="Q660" s="4"/>
      <c r="R660" s="4"/>
      <c r="S660" s="4"/>
      <c r="T660" s="4"/>
      <c r="U660" s="4"/>
      <c r="V660" s="4"/>
      <c r="W660" s="4"/>
      <c r="X660" s="4"/>
      <c r="Y660" s="4"/>
      <c r="Z660" s="4"/>
      <c r="AA660" s="4"/>
      <c r="AB660" s="4"/>
      <c r="AC660" s="4"/>
      <c r="AD660" s="4"/>
      <c r="AE660" s="4"/>
      <c r="AF660" s="4"/>
      <c r="AG660" s="4"/>
      <c r="AH660" s="4"/>
    </row>
    <row r="661" spans="1:34" ht="15.75" customHeight="1" x14ac:dyDescent="0.2">
      <c r="A661" s="3"/>
      <c r="B661" s="4"/>
      <c r="C661" s="4"/>
      <c r="D661" s="4"/>
      <c r="E661" s="4"/>
      <c r="F661" s="4"/>
      <c r="G661" s="4"/>
      <c r="H661" s="4"/>
      <c r="I661" s="4"/>
      <c r="J661" s="4"/>
      <c r="K661" s="4"/>
      <c r="L661" s="4"/>
      <c r="M661" s="4"/>
      <c r="N661" s="4"/>
      <c r="O661" s="4"/>
      <c r="P661" s="4"/>
      <c r="Q661" s="4"/>
      <c r="R661" s="4"/>
      <c r="S661" s="4"/>
      <c r="T661" s="4"/>
      <c r="U661" s="4"/>
      <c r="V661" s="4"/>
      <c r="W661" s="4"/>
      <c r="X661" s="4"/>
      <c r="Y661" s="4"/>
      <c r="Z661" s="4"/>
      <c r="AA661" s="4"/>
      <c r="AB661" s="4"/>
      <c r="AC661" s="4"/>
      <c r="AD661" s="4"/>
      <c r="AE661" s="4"/>
      <c r="AF661" s="4"/>
      <c r="AG661" s="4"/>
      <c r="AH661" s="4"/>
    </row>
    <row r="662" spans="1:34" ht="15.75" customHeight="1" x14ac:dyDescent="0.2">
      <c r="A662" s="3"/>
      <c r="B662" s="4"/>
      <c r="C662" s="4"/>
      <c r="D662" s="4"/>
      <c r="E662" s="4"/>
      <c r="F662" s="4"/>
      <c r="G662" s="4"/>
      <c r="H662" s="4"/>
      <c r="I662" s="4"/>
      <c r="J662" s="4"/>
      <c r="K662" s="4"/>
      <c r="L662" s="4"/>
      <c r="M662" s="4"/>
      <c r="N662" s="4"/>
      <c r="O662" s="4"/>
      <c r="P662" s="4"/>
      <c r="Q662" s="4"/>
      <c r="R662" s="4"/>
      <c r="S662" s="4"/>
      <c r="T662" s="4"/>
      <c r="U662" s="4"/>
      <c r="V662" s="4"/>
      <c r="W662" s="4"/>
      <c r="X662" s="4"/>
      <c r="Y662" s="4"/>
      <c r="Z662" s="4"/>
      <c r="AA662" s="4"/>
      <c r="AB662" s="4"/>
      <c r="AC662" s="4"/>
      <c r="AD662" s="4"/>
      <c r="AE662" s="4"/>
      <c r="AF662" s="4"/>
      <c r="AG662" s="4"/>
      <c r="AH662" s="4"/>
    </row>
    <row r="663" spans="1:34" ht="15.75" customHeight="1" x14ac:dyDescent="0.2">
      <c r="A663" s="3"/>
      <c r="B663" s="4"/>
      <c r="C663" s="4"/>
      <c r="D663" s="4"/>
      <c r="E663" s="4"/>
      <c r="F663" s="4"/>
      <c r="G663" s="4"/>
      <c r="H663" s="4"/>
      <c r="I663" s="4"/>
      <c r="J663" s="4"/>
      <c r="K663" s="4"/>
      <c r="L663" s="4"/>
      <c r="M663" s="4"/>
      <c r="N663" s="4"/>
      <c r="O663" s="4"/>
      <c r="P663" s="4"/>
      <c r="Q663" s="4"/>
      <c r="R663" s="4"/>
      <c r="S663" s="4"/>
      <c r="T663" s="4"/>
      <c r="U663" s="4"/>
      <c r="V663" s="4"/>
      <c r="W663" s="4"/>
      <c r="X663" s="4"/>
      <c r="Y663" s="4"/>
      <c r="Z663" s="4"/>
      <c r="AA663" s="4"/>
      <c r="AB663" s="4"/>
      <c r="AC663" s="4"/>
      <c r="AD663" s="4"/>
      <c r="AE663" s="4"/>
      <c r="AF663" s="4"/>
      <c r="AG663" s="4"/>
      <c r="AH663" s="4"/>
    </row>
    <row r="664" spans="1:34" ht="15.75" customHeight="1" x14ac:dyDescent="0.2">
      <c r="A664" s="3"/>
      <c r="B664" s="4"/>
      <c r="C664" s="4"/>
      <c r="D664" s="4"/>
      <c r="E664" s="4"/>
      <c r="F664" s="4"/>
      <c r="G664" s="4"/>
      <c r="H664" s="4"/>
      <c r="I664" s="4"/>
      <c r="J664" s="4"/>
      <c r="K664" s="4"/>
      <c r="L664" s="4"/>
      <c r="M664" s="4"/>
      <c r="N664" s="4"/>
      <c r="O664" s="4"/>
      <c r="P664" s="4"/>
      <c r="Q664" s="4"/>
      <c r="R664" s="4"/>
      <c r="S664" s="4"/>
      <c r="T664" s="4"/>
      <c r="U664" s="4"/>
      <c r="V664" s="4"/>
      <c r="W664" s="4"/>
      <c r="X664" s="4"/>
      <c r="Y664" s="4"/>
      <c r="Z664" s="4"/>
      <c r="AA664" s="4"/>
      <c r="AB664" s="4"/>
      <c r="AC664" s="4"/>
      <c r="AD664" s="4"/>
      <c r="AE664" s="4"/>
      <c r="AF664" s="4"/>
      <c r="AG664" s="4"/>
      <c r="AH664" s="4"/>
    </row>
    <row r="665" spans="1:34" ht="15.75" customHeight="1" x14ac:dyDescent="0.2">
      <c r="A665" s="3"/>
      <c r="B665" s="4"/>
      <c r="C665" s="4"/>
      <c r="D665" s="4"/>
      <c r="E665" s="4"/>
      <c r="F665" s="4"/>
      <c r="G665" s="4"/>
      <c r="H665" s="4"/>
      <c r="I665" s="4"/>
      <c r="J665" s="4"/>
      <c r="K665" s="4"/>
      <c r="L665" s="4"/>
      <c r="M665" s="4"/>
      <c r="N665" s="4"/>
      <c r="O665" s="4"/>
      <c r="P665" s="4"/>
      <c r="Q665" s="4"/>
      <c r="R665" s="4"/>
      <c r="S665" s="4"/>
      <c r="T665" s="4"/>
      <c r="U665" s="4"/>
      <c r="V665" s="4"/>
      <c r="W665" s="4"/>
      <c r="X665" s="4"/>
      <c r="Y665" s="4"/>
      <c r="Z665" s="4"/>
      <c r="AA665" s="4"/>
      <c r="AB665" s="4"/>
      <c r="AC665" s="4"/>
      <c r="AD665" s="4"/>
      <c r="AE665" s="4"/>
      <c r="AF665" s="4"/>
      <c r="AG665" s="4"/>
      <c r="AH665" s="4"/>
    </row>
    <row r="666" spans="1:34" ht="15.75" customHeight="1" x14ac:dyDescent="0.2">
      <c r="A666" s="3"/>
      <c r="B666" s="4"/>
      <c r="C666" s="4"/>
      <c r="D666" s="4"/>
      <c r="E666" s="4"/>
      <c r="F666" s="4"/>
      <c r="G666" s="4"/>
      <c r="H666" s="4"/>
      <c r="I666" s="4"/>
      <c r="J666" s="4"/>
      <c r="K666" s="4"/>
      <c r="L666" s="4"/>
      <c r="M666" s="4"/>
      <c r="N666" s="4"/>
      <c r="O666" s="4"/>
      <c r="P666" s="4"/>
      <c r="Q666" s="4"/>
      <c r="R666" s="4"/>
      <c r="S666" s="4"/>
      <c r="T666" s="4"/>
      <c r="U666" s="4"/>
      <c r="V666" s="4"/>
      <c r="W666" s="4"/>
      <c r="X666" s="4"/>
      <c r="Y666" s="4"/>
      <c r="Z666" s="4"/>
      <c r="AA666" s="4"/>
      <c r="AB666" s="4"/>
      <c r="AC666" s="4"/>
      <c r="AD666" s="4"/>
      <c r="AE666" s="4"/>
      <c r="AF666" s="4"/>
      <c r="AG666" s="4"/>
      <c r="AH666" s="4"/>
    </row>
    <row r="667" spans="1:34" ht="15.75" customHeight="1" x14ac:dyDescent="0.2">
      <c r="A667" s="3"/>
      <c r="B667" s="4"/>
      <c r="C667" s="4"/>
      <c r="D667" s="4"/>
      <c r="E667" s="4"/>
      <c r="F667" s="4"/>
      <c r="G667" s="4"/>
      <c r="H667" s="4"/>
      <c r="I667" s="4"/>
      <c r="J667" s="4"/>
      <c r="K667" s="4"/>
      <c r="L667" s="4"/>
      <c r="M667" s="4"/>
      <c r="N667" s="4"/>
      <c r="O667" s="4"/>
      <c r="P667" s="4"/>
      <c r="Q667" s="4"/>
      <c r="R667" s="4"/>
      <c r="S667" s="4"/>
      <c r="T667" s="4"/>
      <c r="U667" s="4"/>
      <c r="V667" s="4"/>
      <c r="W667" s="4"/>
      <c r="X667" s="4"/>
      <c r="Y667" s="4"/>
      <c r="Z667" s="4"/>
      <c r="AA667" s="4"/>
      <c r="AB667" s="4"/>
      <c r="AC667" s="4"/>
      <c r="AD667" s="4"/>
      <c r="AE667" s="4"/>
      <c r="AF667" s="4"/>
      <c r="AG667" s="4"/>
      <c r="AH667" s="4"/>
    </row>
    <row r="668" spans="1:34" ht="15.75" customHeight="1" x14ac:dyDescent="0.2">
      <c r="A668" s="3"/>
      <c r="B668" s="4"/>
      <c r="C668" s="4"/>
      <c r="D668" s="4"/>
      <c r="E668" s="4"/>
      <c r="F668" s="4"/>
      <c r="G668" s="4"/>
      <c r="H668" s="4"/>
      <c r="I668" s="4"/>
      <c r="J668" s="4"/>
      <c r="K668" s="4"/>
      <c r="L668" s="4"/>
      <c r="M668" s="4"/>
      <c r="N668" s="4"/>
      <c r="O668" s="4"/>
      <c r="P668" s="4"/>
      <c r="Q668" s="4"/>
      <c r="R668" s="4"/>
      <c r="S668" s="4"/>
      <c r="T668" s="4"/>
      <c r="U668" s="4"/>
      <c r="V668" s="4"/>
      <c r="W668" s="4"/>
      <c r="X668" s="4"/>
      <c r="Y668" s="4"/>
      <c r="Z668" s="4"/>
      <c r="AA668" s="4"/>
      <c r="AB668" s="4"/>
      <c r="AC668" s="4"/>
      <c r="AD668" s="4"/>
      <c r="AE668" s="4"/>
      <c r="AF668" s="4"/>
      <c r="AG668" s="4"/>
      <c r="AH668" s="4"/>
    </row>
    <row r="669" spans="1:34" ht="15.75" customHeight="1" x14ac:dyDescent="0.2">
      <c r="A669" s="3"/>
      <c r="B669" s="4"/>
      <c r="C669" s="4"/>
      <c r="D669" s="4"/>
      <c r="E669" s="4"/>
      <c r="F669" s="4"/>
      <c r="G669" s="4"/>
      <c r="H669" s="4"/>
      <c r="I669" s="4"/>
      <c r="J669" s="4"/>
      <c r="K669" s="4"/>
      <c r="L669" s="4"/>
      <c r="M669" s="4"/>
      <c r="N669" s="4"/>
      <c r="O669" s="4"/>
      <c r="P669" s="4"/>
      <c r="Q669" s="4"/>
      <c r="R669" s="4"/>
      <c r="S669" s="4"/>
      <c r="T669" s="4"/>
      <c r="U669" s="4"/>
      <c r="V669" s="4"/>
      <c r="W669" s="4"/>
      <c r="X669" s="4"/>
      <c r="Y669" s="4"/>
      <c r="Z669" s="4"/>
      <c r="AA669" s="4"/>
      <c r="AB669" s="4"/>
      <c r="AC669" s="4"/>
      <c r="AD669" s="4"/>
      <c r="AE669" s="4"/>
      <c r="AF669" s="4"/>
      <c r="AG669" s="4"/>
      <c r="AH669" s="4"/>
    </row>
    <row r="670" spans="1:34" ht="15.75" customHeight="1" x14ac:dyDescent="0.2">
      <c r="A670" s="3"/>
      <c r="B670" s="4"/>
      <c r="C670" s="4"/>
      <c r="D670" s="4"/>
      <c r="E670" s="4"/>
      <c r="F670" s="4"/>
      <c r="G670" s="4"/>
      <c r="H670" s="4"/>
      <c r="I670" s="4"/>
      <c r="J670" s="4"/>
      <c r="K670" s="4"/>
      <c r="L670" s="4"/>
      <c r="M670" s="4"/>
      <c r="N670" s="4"/>
      <c r="O670" s="4"/>
      <c r="P670" s="4"/>
      <c r="Q670" s="4"/>
      <c r="R670" s="4"/>
      <c r="S670" s="4"/>
      <c r="T670" s="4"/>
      <c r="U670" s="4"/>
      <c r="V670" s="4"/>
      <c r="W670" s="4"/>
      <c r="X670" s="4"/>
      <c r="Y670" s="4"/>
      <c r="Z670" s="4"/>
      <c r="AA670" s="4"/>
      <c r="AB670" s="4"/>
      <c r="AC670" s="4"/>
      <c r="AD670" s="4"/>
      <c r="AE670" s="4"/>
      <c r="AF670" s="4"/>
      <c r="AG670" s="4"/>
      <c r="AH670" s="4"/>
    </row>
    <row r="671" spans="1:34" ht="15.75" customHeight="1" x14ac:dyDescent="0.2">
      <c r="A671" s="3"/>
      <c r="B671" s="4"/>
      <c r="C671" s="4"/>
      <c r="D671" s="4"/>
      <c r="E671" s="4"/>
      <c r="F671" s="4"/>
      <c r="G671" s="4"/>
      <c r="H671" s="4"/>
      <c r="I671" s="4"/>
      <c r="J671" s="4"/>
      <c r="K671" s="4"/>
      <c r="L671" s="4"/>
      <c r="M671" s="4"/>
      <c r="N671" s="4"/>
      <c r="O671" s="4"/>
      <c r="P671" s="4"/>
      <c r="Q671" s="4"/>
      <c r="R671" s="4"/>
      <c r="S671" s="4"/>
      <c r="T671" s="4"/>
      <c r="U671" s="4"/>
      <c r="V671" s="4"/>
      <c r="W671" s="4"/>
      <c r="X671" s="4"/>
      <c r="Y671" s="4"/>
      <c r="Z671" s="4"/>
      <c r="AA671" s="4"/>
      <c r="AB671" s="4"/>
      <c r="AC671" s="4"/>
      <c r="AD671" s="4"/>
      <c r="AE671" s="4"/>
      <c r="AF671" s="4"/>
      <c r="AG671" s="4"/>
      <c r="AH671" s="4"/>
    </row>
    <row r="672" spans="1:34" ht="15.75" customHeight="1" x14ac:dyDescent="0.2">
      <c r="A672" s="3"/>
      <c r="B672" s="4"/>
      <c r="C672" s="4"/>
      <c r="D672" s="4"/>
      <c r="E672" s="4"/>
      <c r="F672" s="4"/>
      <c r="G672" s="4"/>
      <c r="H672" s="4"/>
      <c r="I672" s="4"/>
      <c r="J672" s="4"/>
      <c r="K672" s="4"/>
      <c r="L672" s="4"/>
      <c r="M672" s="4"/>
      <c r="N672" s="4"/>
      <c r="O672" s="4"/>
      <c r="P672" s="4"/>
      <c r="Q672" s="4"/>
      <c r="R672" s="4"/>
      <c r="S672" s="4"/>
      <c r="T672" s="4"/>
      <c r="U672" s="4"/>
      <c r="V672" s="4"/>
      <c r="W672" s="4"/>
      <c r="X672" s="4"/>
      <c r="Y672" s="4"/>
      <c r="Z672" s="4"/>
      <c r="AA672" s="4"/>
      <c r="AB672" s="4"/>
      <c r="AC672" s="4"/>
      <c r="AD672" s="4"/>
      <c r="AE672" s="4"/>
      <c r="AF672" s="4"/>
      <c r="AG672" s="4"/>
      <c r="AH672" s="4"/>
    </row>
    <row r="673" spans="1:34" ht="15.75" customHeight="1" x14ac:dyDescent="0.2">
      <c r="A673" s="3"/>
      <c r="B673" s="4"/>
      <c r="C673" s="4"/>
      <c r="D673" s="4"/>
      <c r="E673" s="4"/>
      <c r="F673" s="4"/>
      <c r="G673" s="4"/>
      <c r="H673" s="4"/>
      <c r="I673" s="4"/>
      <c r="J673" s="4"/>
      <c r="K673" s="4"/>
      <c r="L673" s="4"/>
      <c r="M673" s="4"/>
      <c r="N673" s="4"/>
      <c r="O673" s="4"/>
      <c r="P673" s="4"/>
      <c r="Q673" s="4"/>
      <c r="R673" s="4"/>
      <c r="S673" s="4"/>
      <c r="T673" s="4"/>
      <c r="U673" s="4"/>
      <c r="V673" s="4"/>
      <c r="W673" s="4"/>
      <c r="X673" s="4"/>
      <c r="Y673" s="4"/>
      <c r="Z673" s="4"/>
      <c r="AA673" s="4"/>
      <c r="AB673" s="4"/>
      <c r="AC673" s="4"/>
      <c r="AD673" s="4"/>
      <c r="AE673" s="4"/>
      <c r="AF673" s="4"/>
      <c r="AG673" s="4"/>
      <c r="AH673" s="4"/>
    </row>
    <row r="674" spans="1:34" ht="15.75" customHeight="1" x14ac:dyDescent="0.2">
      <c r="A674" s="3"/>
      <c r="B674" s="4"/>
      <c r="C674" s="4"/>
      <c r="D674" s="4"/>
      <c r="E674" s="4"/>
      <c r="F674" s="4"/>
      <c r="G674" s="4"/>
      <c r="H674" s="4"/>
      <c r="I674" s="4"/>
      <c r="J674" s="4"/>
      <c r="K674" s="4"/>
      <c r="L674" s="4"/>
      <c r="M674" s="4"/>
      <c r="N674" s="4"/>
      <c r="O674" s="4"/>
      <c r="P674" s="4"/>
      <c r="Q674" s="4"/>
      <c r="R674" s="4"/>
      <c r="S674" s="4"/>
      <c r="T674" s="4"/>
      <c r="U674" s="4"/>
      <c r="V674" s="4"/>
      <c r="W674" s="4"/>
      <c r="X674" s="4"/>
      <c r="Y674" s="4"/>
      <c r="Z674" s="4"/>
      <c r="AA674" s="4"/>
      <c r="AB674" s="4"/>
      <c r="AC674" s="4"/>
      <c r="AD674" s="4"/>
      <c r="AE674" s="4"/>
      <c r="AF674" s="4"/>
      <c r="AG674" s="4"/>
      <c r="AH674" s="4"/>
    </row>
    <row r="675" spans="1:34" ht="15.75" customHeight="1" x14ac:dyDescent="0.2">
      <c r="A675" s="3"/>
      <c r="B675" s="4"/>
      <c r="C675" s="4"/>
      <c r="D675" s="4"/>
      <c r="E675" s="4"/>
      <c r="F675" s="4"/>
      <c r="G675" s="4"/>
      <c r="H675" s="4"/>
      <c r="I675" s="4"/>
      <c r="J675" s="4"/>
      <c r="K675" s="4"/>
      <c r="L675" s="4"/>
      <c r="M675" s="4"/>
      <c r="N675" s="4"/>
      <c r="O675" s="4"/>
      <c r="P675" s="4"/>
      <c r="Q675" s="4"/>
      <c r="R675" s="4"/>
      <c r="S675" s="4"/>
      <c r="T675" s="4"/>
      <c r="U675" s="4"/>
      <c r="V675" s="4"/>
      <c r="W675" s="4"/>
      <c r="X675" s="4"/>
      <c r="Y675" s="4"/>
      <c r="Z675" s="4"/>
      <c r="AA675" s="4"/>
      <c r="AB675" s="4"/>
      <c r="AC675" s="4"/>
      <c r="AD675" s="4"/>
      <c r="AE675" s="4"/>
      <c r="AF675" s="4"/>
      <c r="AG675" s="4"/>
      <c r="AH675" s="4"/>
    </row>
    <row r="676" spans="1:34" ht="15.75" customHeight="1" x14ac:dyDescent="0.2">
      <c r="A676" s="3"/>
      <c r="B676" s="4"/>
      <c r="C676" s="4"/>
      <c r="D676" s="4"/>
      <c r="E676" s="4"/>
      <c r="F676" s="4"/>
      <c r="G676" s="4"/>
      <c r="H676" s="4"/>
      <c r="I676" s="4"/>
      <c r="J676" s="4"/>
      <c r="K676" s="4"/>
      <c r="L676" s="4"/>
      <c r="M676" s="4"/>
      <c r="N676" s="4"/>
      <c r="O676" s="4"/>
      <c r="P676" s="4"/>
      <c r="Q676" s="4"/>
      <c r="R676" s="4"/>
      <c r="S676" s="4"/>
      <c r="T676" s="4"/>
      <c r="U676" s="4"/>
      <c r="V676" s="4"/>
      <c r="W676" s="4"/>
      <c r="X676" s="4"/>
      <c r="Y676" s="4"/>
      <c r="Z676" s="4"/>
      <c r="AA676" s="4"/>
      <c r="AB676" s="4"/>
      <c r="AC676" s="4"/>
      <c r="AD676" s="4"/>
      <c r="AE676" s="4"/>
      <c r="AF676" s="4"/>
      <c r="AG676" s="4"/>
      <c r="AH676" s="4"/>
    </row>
    <row r="677" spans="1:34" ht="15.75" customHeight="1" x14ac:dyDescent="0.2">
      <c r="A677" s="3"/>
      <c r="B677" s="4"/>
      <c r="C677" s="4"/>
      <c r="D677" s="4"/>
      <c r="E677" s="4"/>
      <c r="F677" s="4"/>
      <c r="G677" s="4"/>
      <c r="H677" s="4"/>
      <c r="I677" s="4"/>
      <c r="J677" s="4"/>
      <c r="K677" s="4"/>
      <c r="L677" s="4"/>
      <c r="M677" s="4"/>
      <c r="N677" s="4"/>
      <c r="O677" s="4"/>
      <c r="P677" s="4"/>
      <c r="Q677" s="4"/>
      <c r="R677" s="4"/>
      <c r="S677" s="4"/>
      <c r="T677" s="4"/>
      <c r="U677" s="4"/>
      <c r="V677" s="4"/>
      <c r="W677" s="4"/>
      <c r="X677" s="4"/>
      <c r="Y677" s="4"/>
      <c r="Z677" s="4"/>
      <c r="AA677" s="4"/>
      <c r="AB677" s="4"/>
      <c r="AC677" s="4"/>
      <c r="AD677" s="4"/>
      <c r="AE677" s="4"/>
      <c r="AF677" s="4"/>
      <c r="AG677" s="4"/>
      <c r="AH677" s="4"/>
    </row>
    <row r="678" spans="1:34" ht="15.75" customHeight="1" x14ac:dyDescent="0.2">
      <c r="A678" s="3"/>
      <c r="B678" s="4"/>
      <c r="C678" s="4"/>
      <c r="D678" s="4"/>
      <c r="E678" s="4"/>
      <c r="F678" s="4"/>
      <c r="G678" s="4"/>
      <c r="H678" s="4"/>
      <c r="I678" s="4"/>
      <c r="J678" s="4"/>
      <c r="K678" s="4"/>
      <c r="L678" s="4"/>
      <c r="M678" s="4"/>
      <c r="N678" s="4"/>
      <c r="O678" s="4"/>
      <c r="P678" s="4"/>
      <c r="Q678" s="4"/>
      <c r="R678" s="4"/>
      <c r="S678" s="4"/>
      <c r="T678" s="4"/>
      <c r="U678" s="4"/>
      <c r="V678" s="4"/>
      <c r="W678" s="4"/>
      <c r="X678" s="4"/>
      <c r="Y678" s="4"/>
      <c r="Z678" s="4"/>
      <c r="AA678" s="4"/>
      <c r="AB678" s="4"/>
      <c r="AC678" s="4"/>
      <c r="AD678" s="4"/>
      <c r="AE678" s="4"/>
      <c r="AF678" s="4"/>
      <c r="AG678" s="4"/>
      <c r="AH678" s="4"/>
    </row>
    <row r="679" spans="1:34" ht="15.75" customHeight="1" x14ac:dyDescent="0.2">
      <c r="A679" s="3"/>
      <c r="B679" s="4"/>
      <c r="C679" s="4"/>
      <c r="D679" s="4"/>
      <c r="E679" s="4"/>
      <c r="F679" s="4"/>
      <c r="G679" s="4"/>
      <c r="H679" s="4"/>
      <c r="I679" s="4"/>
      <c r="J679" s="4"/>
      <c r="K679" s="4"/>
      <c r="L679" s="4"/>
      <c r="M679" s="4"/>
      <c r="N679" s="4"/>
      <c r="O679" s="4"/>
      <c r="P679" s="4"/>
      <c r="Q679" s="4"/>
      <c r="R679" s="4"/>
      <c r="S679" s="4"/>
      <c r="T679" s="4"/>
      <c r="U679" s="4"/>
      <c r="V679" s="4"/>
      <c r="W679" s="4"/>
      <c r="X679" s="4"/>
      <c r="Y679" s="4"/>
      <c r="Z679" s="4"/>
      <c r="AA679" s="4"/>
      <c r="AB679" s="4"/>
      <c r="AC679" s="4"/>
      <c r="AD679" s="4"/>
      <c r="AE679" s="4"/>
      <c r="AF679" s="4"/>
      <c r="AG679" s="4"/>
      <c r="AH679" s="4"/>
    </row>
    <row r="680" spans="1:34" ht="15.75" customHeight="1" x14ac:dyDescent="0.2">
      <c r="A680" s="3"/>
      <c r="B680" s="4"/>
      <c r="C680" s="4"/>
      <c r="D680" s="4"/>
      <c r="E680" s="4"/>
      <c r="F680" s="4"/>
      <c r="G680" s="4"/>
      <c r="H680" s="4"/>
      <c r="I680" s="4"/>
      <c r="J680" s="4"/>
      <c r="K680" s="4"/>
      <c r="L680" s="4"/>
      <c r="M680" s="4"/>
      <c r="N680" s="4"/>
      <c r="O680" s="4"/>
      <c r="P680" s="4"/>
      <c r="Q680" s="4"/>
      <c r="R680" s="4"/>
      <c r="S680" s="4"/>
      <c r="T680" s="4"/>
      <c r="U680" s="4"/>
      <c r="V680" s="4"/>
      <c r="W680" s="4"/>
      <c r="X680" s="4"/>
      <c r="Y680" s="4"/>
      <c r="Z680" s="4"/>
      <c r="AA680" s="4"/>
      <c r="AB680" s="4"/>
      <c r="AC680" s="4"/>
      <c r="AD680" s="4"/>
      <c r="AE680" s="4"/>
      <c r="AF680" s="4"/>
      <c r="AG680" s="4"/>
      <c r="AH680" s="4"/>
    </row>
    <row r="681" spans="1:34" ht="15.75" customHeight="1" x14ac:dyDescent="0.2">
      <c r="A681" s="3"/>
      <c r="B681" s="4"/>
      <c r="C681" s="4"/>
      <c r="D681" s="4"/>
      <c r="E681" s="4"/>
      <c r="F681" s="4"/>
      <c r="G681" s="4"/>
      <c r="H681" s="4"/>
      <c r="I681" s="4"/>
      <c r="J681" s="4"/>
      <c r="K681" s="4"/>
      <c r="L681" s="4"/>
      <c r="M681" s="4"/>
      <c r="N681" s="4"/>
      <c r="O681" s="4"/>
      <c r="P681" s="4"/>
      <c r="Q681" s="4"/>
      <c r="R681" s="4"/>
      <c r="S681" s="4"/>
      <c r="T681" s="4"/>
      <c r="U681" s="4"/>
      <c r="V681" s="4"/>
      <c r="W681" s="4"/>
      <c r="X681" s="4"/>
      <c r="Y681" s="4"/>
      <c r="Z681" s="4"/>
      <c r="AA681" s="4"/>
      <c r="AB681" s="4"/>
      <c r="AC681" s="4"/>
      <c r="AD681" s="4"/>
      <c r="AE681" s="4"/>
      <c r="AF681" s="4"/>
      <c r="AG681" s="4"/>
      <c r="AH681" s="4"/>
    </row>
    <row r="682" spans="1:34" ht="15.75" customHeight="1" x14ac:dyDescent="0.2">
      <c r="A682" s="3"/>
      <c r="B682" s="4"/>
      <c r="C682" s="4"/>
      <c r="D682" s="4"/>
      <c r="E682" s="4"/>
      <c r="F682" s="4"/>
      <c r="G682" s="4"/>
      <c r="H682" s="4"/>
      <c r="I682" s="4"/>
      <c r="J682" s="4"/>
      <c r="K682" s="4"/>
      <c r="L682" s="4"/>
      <c r="M682" s="4"/>
      <c r="N682" s="4"/>
      <c r="O682" s="4"/>
      <c r="P682" s="4"/>
      <c r="Q682" s="4"/>
      <c r="R682" s="4"/>
      <c r="S682" s="4"/>
      <c r="T682" s="4"/>
      <c r="U682" s="4"/>
      <c r="V682" s="4"/>
      <c r="W682" s="4"/>
      <c r="X682" s="4"/>
      <c r="Y682" s="4"/>
      <c r="Z682" s="4"/>
      <c r="AA682" s="4"/>
      <c r="AB682" s="4"/>
      <c r="AC682" s="4"/>
      <c r="AD682" s="4"/>
      <c r="AE682" s="4"/>
      <c r="AF682" s="4"/>
      <c r="AG682" s="4"/>
      <c r="AH682" s="4"/>
    </row>
    <row r="683" spans="1:34" ht="15.75" customHeight="1" x14ac:dyDescent="0.2">
      <c r="A683" s="3"/>
      <c r="B683" s="4"/>
      <c r="C683" s="4"/>
      <c r="D683" s="4"/>
      <c r="E683" s="4"/>
      <c r="F683" s="4"/>
      <c r="G683" s="4"/>
      <c r="H683" s="4"/>
      <c r="I683" s="4"/>
      <c r="J683" s="4"/>
      <c r="K683" s="4"/>
      <c r="L683" s="4"/>
      <c r="M683" s="4"/>
      <c r="N683" s="4"/>
      <c r="O683" s="4"/>
      <c r="P683" s="4"/>
      <c r="Q683" s="4"/>
      <c r="R683" s="4"/>
      <c r="S683" s="4"/>
      <c r="T683" s="4"/>
      <c r="U683" s="4"/>
      <c r="V683" s="4"/>
      <c r="W683" s="4"/>
      <c r="X683" s="4"/>
      <c r="Y683" s="4"/>
      <c r="Z683" s="4"/>
      <c r="AA683" s="4"/>
      <c r="AB683" s="4"/>
      <c r="AC683" s="4"/>
      <c r="AD683" s="4"/>
      <c r="AE683" s="4"/>
      <c r="AF683" s="4"/>
      <c r="AG683" s="4"/>
      <c r="AH683" s="4"/>
    </row>
    <row r="684" spans="1:34" ht="15.75" customHeight="1" x14ac:dyDescent="0.2">
      <c r="A684" s="3"/>
      <c r="B684" s="4"/>
      <c r="C684" s="4"/>
      <c r="D684" s="4"/>
      <c r="E684" s="4"/>
      <c r="F684" s="4"/>
      <c r="G684" s="4"/>
      <c r="H684" s="4"/>
      <c r="I684" s="4"/>
      <c r="J684" s="4"/>
      <c r="K684" s="4"/>
      <c r="L684" s="4"/>
      <c r="M684" s="4"/>
      <c r="N684" s="4"/>
      <c r="O684" s="4"/>
      <c r="P684" s="4"/>
      <c r="Q684" s="4"/>
      <c r="R684" s="4"/>
      <c r="S684" s="4"/>
      <c r="T684" s="4"/>
      <c r="U684" s="4"/>
      <c r="V684" s="4"/>
      <c r="W684" s="4"/>
      <c r="X684" s="4"/>
      <c r="Y684" s="4"/>
      <c r="Z684" s="4"/>
      <c r="AA684" s="4"/>
      <c r="AB684" s="4"/>
      <c r="AC684" s="4"/>
      <c r="AD684" s="4"/>
      <c r="AE684" s="4"/>
      <c r="AF684" s="4"/>
      <c r="AG684" s="4"/>
      <c r="AH684" s="4"/>
    </row>
    <row r="685" spans="1:34" ht="15.75" customHeight="1" x14ac:dyDescent="0.2">
      <c r="A685" s="3"/>
      <c r="B685" s="4"/>
      <c r="C685" s="4"/>
      <c r="D685" s="4"/>
      <c r="E685" s="4"/>
      <c r="F685" s="4"/>
      <c r="G685" s="4"/>
      <c r="H685" s="4"/>
      <c r="I685" s="4"/>
      <c r="J685" s="4"/>
      <c r="K685" s="4"/>
      <c r="L685" s="4"/>
      <c r="M685" s="4"/>
      <c r="N685" s="4"/>
      <c r="O685" s="4"/>
      <c r="P685" s="4"/>
      <c r="Q685" s="4"/>
      <c r="R685" s="4"/>
      <c r="S685" s="4"/>
      <c r="T685" s="4"/>
      <c r="U685" s="4"/>
      <c r="V685" s="4"/>
      <c r="W685" s="4"/>
      <c r="X685" s="4"/>
      <c r="Y685" s="4"/>
      <c r="Z685" s="4"/>
      <c r="AA685" s="4"/>
      <c r="AB685" s="4"/>
      <c r="AC685" s="4"/>
      <c r="AD685" s="4"/>
      <c r="AE685" s="4"/>
      <c r="AF685" s="4"/>
      <c r="AG685" s="4"/>
      <c r="AH685" s="4"/>
    </row>
    <row r="686" spans="1:34" ht="15.75" customHeight="1" x14ac:dyDescent="0.2">
      <c r="A686" s="3"/>
      <c r="B686" s="4"/>
      <c r="C686" s="4"/>
      <c r="D686" s="4"/>
      <c r="E686" s="4"/>
      <c r="F686" s="4"/>
      <c r="G686" s="4"/>
      <c r="H686" s="4"/>
      <c r="I686" s="4"/>
      <c r="J686" s="4"/>
      <c r="K686" s="4"/>
      <c r="L686" s="4"/>
      <c r="M686" s="4"/>
      <c r="N686" s="4"/>
      <c r="O686" s="4"/>
      <c r="P686" s="4"/>
      <c r="Q686" s="4"/>
      <c r="R686" s="4"/>
      <c r="S686" s="4"/>
      <c r="T686" s="4"/>
      <c r="U686" s="4"/>
      <c r="V686" s="4"/>
      <c r="W686" s="4"/>
      <c r="X686" s="4"/>
      <c r="Y686" s="4"/>
      <c r="Z686" s="4"/>
      <c r="AA686" s="4"/>
      <c r="AB686" s="4"/>
      <c r="AC686" s="4"/>
      <c r="AD686" s="4"/>
      <c r="AE686" s="4"/>
      <c r="AF686" s="4"/>
      <c r="AG686" s="4"/>
      <c r="AH686" s="4"/>
    </row>
    <row r="687" spans="1:34" ht="15.75" customHeight="1" x14ac:dyDescent="0.2">
      <c r="A687" s="3"/>
      <c r="B687" s="4"/>
      <c r="C687" s="4"/>
      <c r="D687" s="4"/>
      <c r="E687" s="4"/>
      <c r="F687" s="4"/>
      <c r="G687" s="4"/>
      <c r="H687" s="4"/>
      <c r="I687" s="4"/>
      <c r="J687" s="4"/>
      <c r="K687" s="4"/>
      <c r="L687" s="4"/>
      <c r="M687" s="4"/>
      <c r="N687" s="4"/>
      <c r="O687" s="4"/>
      <c r="P687" s="4"/>
      <c r="Q687" s="4"/>
      <c r="R687" s="4"/>
      <c r="S687" s="4"/>
      <c r="T687" s="4"/>
      <c r="U687" s="4"/>
      <c r="V687" s="4"/>
      <c r="W687" s="4"/>
      <c r="X687" s="4"/>
      <c r="Y687" s="4"/>
      <c r="Z687" s="4"/>
      <c r="AA687" s="4"/>
      <c r="AB687" s="4"/>
      <c r="AC687" s="4"/>
      <c r="AD687" s="4"/>
      <c r="AE687" s="4"/>
      <c r="AF687" s="4"/>
      <c r="AG687" s="4"/>
      <c r="AH687" s="4"/>
    </row>
    <row r="688" spans="1:34" ht="15.75" customHeight="1" x14ac:dyDescent="0.2">
      <c r="A688" s="3"/>
      <c r="B688" s="4"/>
      <c r="C688" s="4"/>
      <c r="D688" s="4"/>
      <c r="E688" s="4"/>
      <c r="F688" s="4"/>
      <c r="G688" s="4"/>
      <c r="H688" s="4"/>
      <c r="I688" s="4"/>
      <c r="J688" s="4"/>
      <c r="K688" s="4"/>
      <c r="L688" s="4"/>
      <c r="M688" s="4"/>
      <c r="N688" s="4"/>
      <c r="O688" s="4"/>
      <c r="P688" s="4"/>
      <c r="Q688" s="4"/>
      <c r="R688" s="4"/>
      <c r="S688" s="4"/>
      <c r="T688" s="4"/>
      <c r="U688" s="4"/>
      <c r="V688" s="4"/>
      <c r="W688" s="4"/>
      <c r="X688" s="4"/>
      <c r="Y688" s="4"/>
      <c r="Z688" s="4"/>
      <c r="AA688" s="4"/>
      <c r="AB688" s="4"/>
      <c r="AC688" s="4"/>
      <c r="AD688" s="4"/>
      <c r="AE688" s="4"/>
      <c r="AF688" s="4"/>
      <c r="AG688" s="4"/>
      <c r="AH688" s="4"/>
    </row>
    <row r="689" spans="1:34" ht="15.75" customHeight="1" x14ac:dyDescent="0.2">
      <c r="A689" s="3"/>
      <c r="B689" s="4"/>
      <c r="C689" s="4"/>
      <c r="D689" s="4"/>
      <c r="E689" s="4"/>
      <c r="F689" s="4"/>
      <c r="G689" s="4"/>
      <c r="H689" s="4"/>
      <c r="I689" s="4"/>
      <c r="J689" s="4"/>
      <c r="K689" s="4"/>
      <c r="L689" s="4"/>
      <c r="M689" s="4"/>
      <c r="N689" s="4"/>
      <c r="O689" s="4"/>
      <c r="P689" s="4"/>
      <c r="Q689" s="4"/>
      <c r="R689" s="4"/>
      <c r="S689" s="4"/>
      <c r="T689" s="4"/>
      <c r="U689" s="4"/>
      <c r="V689" s="4"/>
      <c r="W689" s="4"/>
      <c r="X689" s="4"/>
      <c r="Y689" s="4"/>
      <c r="Z689" s="4"/>
      <c r="AA689" s="4"/>
      <c r="AB689" s="4"/>
      <c r="AC689" s="4"/>
      <c r="AD689" s="4"/>
      <c r="AE689" s="4"/>
      <c r="AF689" s="4"/>
      <c r="AG689" s="4"/>
      <c r="AH689" s="4"/>
    </row>
    <row r="690" spans="1:34" ht="15.75" customHeight="1" x14ac:dyDescent="0.2">
      <c r="A690" s="3"/>
      <c r="B690" s="4"/>
      <c r="C690" s="4"/>
      <c r="D690" s="4"/>
      <c r="E690" s="4"/>
      <c r="F690" s="4"/>
      <c r="G690" s="4"/>
      <c r="H690" s="4"/>
      <c r="I690" s="4"/>
      <c r="J690" s="4"/>
      <c r="K690" s="4"/>
      <c r="L690" s="4"/>
      <c r="M690" s="4"/>
      <c r="N690" s="4"/>
      <c r="O690" s="4"/>
      <c r="P690" s="4"/>
      <c r="Q690" s="4"/>
      <c r="R690" s="4"/>
      <c r="S690" s="4"/>
      <c r="T690" s="4"/>
      <c r="U690" s="4"/>
      <c r="V690" s="4"/>
      <c r="W690" s="4"/>
      <c r="X690" s="4"/>
      <c r="Y690" s="4"/>
      <c r="Z690" s="4"/>
      <c r="AA690" s="4"/>
      <c r="AB690" s="4"/>
      <c r="AC690" s="4"/>
      <c r="AD690" s="4"/>
      <c r="AE690" s="4"/>
      <c r="AF690" s="4"/>
      <c r="AG690" s="4"/>
      <c r="AH690" s="4"/>
    </row>
    <row r="691" spans="1:34" ht="15.75" customHeight="1" x14ac:dyDescent="0.2">
      <c r="A691" s="3"/>
      <c r="B691" s="4"/>
      <c r="C691" s="4"/>
      <c r="D691" s="4"/>
      <c r="E691" s="4"/>
      <c r="F691" s="4"/>
      <c r="G691" s="4"/>
      <c r="H691" s="4"/>
      <c r="I691" s="4"/>
      <c r="J691" s="4"/>
      <c r="K691" s="4"/>
      <c r="L691" s="4"/>
      <c r="M691" s="4"/>
      <c r="N691" s="4"/>
      <c r="O691" s="4"/>
      <c r="P691" s="4"/>
      <c r="Q691" s="4"/>
      <c r="R691" s="4"/>
      <c r="S691" s="4"/>
      <c r="T691" s="4"/>
      <c r="U691" s="4"/>
      <c r="V691" s="4"/>
      <c r="W691" s="4"/>
      <c r="X691" s="4"/>
      <c r="Y691" s="4"/>
      <c r="Z691" s="4"/>
      <c r="AA691" s="4"/>
      <c r="AB691" s="4"/>
      <c r="AC691" s="4"/>
      <c r="AD691" s="4"/>
      <c r="AE691" s="4"/>
      <c r="AF691" s="4"/>
      <c r="AG691" s="4"/>
      <c r="AH691" s="4"/>
    </row>
    <row r="692" spans="1:34" ht="15.75" customHeight="1" x14ac:dyDescent="0.2">
      <c r="A692" s="3"/>
      <c r="B692" s="4"/>
      <c r="C692" s="4"/>
      <c r="D692" s="4"/>
      <c r="E692" s="4"/>
      <c r="F692" s="4"/>
      <c r="G692" s="4"/>
      <c r="H692" s="4"/>
      <c r="I692" s="4"/>
      <c r="J692" s="4"/>
      <c r="K692" s="4"/>
      <c r="L692" s="4"/>
      <c r="M692" s="4"/>
      <c r="N692" s="4"/>
      <c r="O692" s="4"/>
      <c r="P692" s="4"/>
      <c r="Q692" s="4"/>
      <c r="R692" s="4"/>
      <c r="S692" s="4"/>
      <c r="T692" s="4"/>
      <c r="U692" s="4"/>
      <c r="V692" s="4"/>
      <c r="W692" s="4"/>
      <c r="X692" s="4"/>
      <c r="Y692" s="4"/>
      <c r="Z692" s="4"/>
      <c r="AA692" s="4"/>
      <c r="AB692" s="4"/>
      <c r="AC692" s="4"/>
      <c r="AD692" s="4"/>
      <c r="AE692" s="4"/>
      <c r="AF692" s="4"/>
      <c r="AG692" s="4"/>
      <c r="AH692" s="4"/>
    </row>
    <row r="693" spans="1:34" ht="15.75" customHeight="1" x14ac:dyDescent="0.2">
      <c r="A693" s="3"/>
      <c r="B693" s="4"/>
      <c r="C693" s="4"/>
      <c r="D693" s="4"/>
      <c r="E693" s="4"/>
      <c r="F693" s="4"/>
      <c r="G693" s="4"/>
      <c r="H693" s="4"/>
      <c r="I693" s="4"/>
      <c r="J693" s="4"/>
      <c r="K693" s="4"/>
      <c r="L693" s="4"/>
      <c r="M693" s="4"/>
      <c r="N693" s="4"/>
      <c r="O693" s="4"/>
      <c r="P693" s="4"/>
      <c r="Q693" s="4"/>
      <c r="R693" s="4"/>
      <c r="S693" s="4"/>
      <c r="T693" s="4"/>
      <c r="U693" s="4"/>
      <c r="V693" s="4"/>
      <c r="W693" s="4"/>
      <c r="X693" s="4"/>
      <c r="Y693" s="4"/>
      <c r="Z693" s="4"/>
      <c r="AA693" s="4"/>
      <c r="AB693" s="4"/>
      <c r="AC693" s="4"/>
      <c r="AD693" s="4"/>
      <c r="AE693" s="4"/>
      <c r="AF693" s="4"/>
      <c r="AG693" s="4"/>
      <c r="AH693" s="4"/>
    </row>
    <row r="694" spans="1:34" ht="15.75" customHeight="1" x14ac:dyDescent="0.2">
      <c r="A694" s="3"/>
      <c r="B694" s="4"/>
      <c r="C694" s="4"/>
      <c r="D694" s="4"/>
      <c r="E694" s="4"/>
      <c r="F694" s="4"/>
      <c r="G694" s="4"/>
      <c r="H694" s="4"/>
      <c r="I694" s="4"/>
      <c r="J694" s="4"/>
      <c r="K694" s="4"/>
      <c r="L694" s="4"/>
      <c r="M694" s="4"/>
      <c r="N694" s="4"/>
      <c r="O694" s="4"/>
      <c r="P694" s="4"/>
      <c r="Q694" s="4"/>
      <c r="R694" s="4"/>
      <c r="S694" s="4"/>
      <c r="T694" s="4"/>
      <c r="U694" s="4"/>
      <c r="V694" s="4"/>
      <c r="W694" s="4"/>
      <c r="X694" s="4"/>
      <c r="Y694" s="4"/>
      <c r="Z694" s="4"/>
      <c r="AA694" s="4"/>
      <c r="AB694" s="4"/>
      <c r="AC694" s="4"/>
      <c r="AD694" s="4"/>
      <c r="AE694" s="4"/>
      <c r="AF694" s="4"/>
      <c r="AG694" s="4"/>
      <c r="AH694" s="4"/>
    </row>
    <row r="695" spans="1:34" ht="15.75" customHeight="1" x14ac:dyDescent="0.2">
      <c r="A695" s="3"/>
      <c r="B695" s="4"/>
      <c r="C695" s="4"/>
      <c r="D695" s="4"/>
      <c r="E695" s="4"/>
      <c r="F695" s="4"/>
      <c r="G695" s="4"/>
      <c r="H695" s="4"/>
      <c r="I695" s="4"/>
      <c r="J695" s="4"/>
      <c r="K695" s="4"/>
      <c r="L695" s="4"/>
      <c r="M695" s="4"/>
      <c r="N695" s="4"/>
      <c r="O695" s="4"/>
      <c r="P695" s="4"/>
      <c r="Q695" s="4"/>
      <c r="R695" s="4"/>
      <c r="S695" s="4"/>
      <c r="T695" s="4"/>
      <c r="U695" s="4"/>
      <c r="V695" s="4"/>
      <c r="W695" s="4"/>
      <c r="X695" s="4"/>
      <c r="Y695" s="4"/>
      <c r="Z695" s="4"/>
      <c r="AA695" s="4"/>
      <c r="AB695" s="4"/>
      <c r="AC695" s="4"/>
      <c r="AD695" s="4"/>
      <c r="AE695" s="4"/>
      <c r="AF695" s="4"/>
      <c r="AG695" s="4"/>
      <c r="AH695" s="4"/>
    </row>
    <row r="696" spans="1:34" ht="15.75" customHeight="1" x14ac:dyDescent="0.2">
      <c r="A696" s="3"/>
      <c r="B696" s="4"/>
      <c r="C696" s="4"/>
      <c r="D696" s="4"/>
      <c r="E696" s="4"/>
      <c r="F696" s="4"/>
      <c r="G696" s="4"/>
      <c r="H696" s="4"/>
      <c r="I696" s="4"/>
      <c r="J696" s="4"/>
      <c r="K696" s="4"/>
      <c r="L696" s="4"/>
      <c r="M696" s="4"/>
      <c r="N696" s="4"/>
      <c r="O696" s="4"/>
      <c r="P696" s="4"/>
      <c r="Q696" s="4"/>
      <c r="R696" s="4"/>
      <c r="S696" s="4"/>
      <c r="T696" s="4"/>
      <c r="U696" s="4"/>
      <c r="V696" s="4"/>
      <c r="W696" s="4"/>
      <c r="X696" s="4"/>
      <c r="Y696" s="4"/>
      <c r="Z696" s="4"/>
      <c r="AA696" s="4"/>
      <c r="AB696" s="4"/>
      <c r="AC696" s="4"/>
      <c r="AD696" s="4"/>
      <c r="AE696" s="4"/>
      <c r="AF696" s="4"/>
      <c r="AG696" s="4"/>
      <c r="AH696" s="4"/>
    </row>
    <row r="697" spans="1:34" ht="15.75" customHeight="1" x14ac:dyDescent="0.2">
      <c r="A697" s="3"/>
      <c r="B697" s="4"/>
      <c r="C697" s="4"/>
      <c r="D697" s="4"/>
      <c r="E697" s="4"/>
      <c r="F697" s="4"/>
      <c r="G697" s="4"/>
      <c r="H697" s="4"/>
      <c r="I697" s="4"/>
      <c r="J697" s="4"/>
      <c r="K697" s="4"/>
      <c r="L697" s="4"/>
      <c r="M697" s="4"/>
      <c r="N697" s="4"/>
      <c r="O697" s="4"/>
      <c r="P697" s="4"/>
      <c r="Q697" s="4"/>
      <c r="R697" s="4"/>
      <c r="S697" s="4"/>
      <c r="T697" s="4"/>
      <c r="U697" s="4"/>
      <c r="V697" s="4"/>
      <c r="W697" s="4"/>
      <c r="X697" s="4"/>
      <c r="Y697" s="4"/>
      <c r="Z697" s="4"/>
      <c r="AA697" s="4"/>
      <c r="AB697" s="4"/>
      <c r="AC697" s="4"/>
      <c r="AD697" s="4"/>
      <c r="AE697" s="4"/>
      <c r="AF697" s="4"/>
      <c r="AG697" s="4"/>
      <c r="AH697" s="4"/>
    </row>
    <row r="698" spans="1:34" ht="15.75" customHeight="1" x14ac:dyDescent="0.2">
      <c r="A698" s="3"/>
      <c r="B698" s="4"/>
      <c r="C698" s="4"/>
      <c r="D698" s="4"/>
      <c r="E698" s="4"/>
      <c r="F698" s="4"/>
      <c r="G698" s="4"/>
      <c r="H698" s="4"/>
      <c r="I698" s="4"/>
      <c r="J698" s="4"/>
      <c r="K698" s="4"/>
      <c r="L698" s="4"/>
      <c r="M698" s="4"/>
      <c r="N698" s="4"/>
      <c r="O698" s="4"/>
      <c r="P698" s="4"/>
      <c r="Q698" s="4"/>
      <c r="R698" s="4"/>
      <c r="S698" s="4"/>
      <c r="T698" s="4"/>
      <c r="U698" s="4"/>
      <c r="V698" s="4"/>
      <c r="W698" s="4"/>
      <c r="X698" s="4"/>
      <c r="Y698" s="4"/>
      <c r="Z698" s="4"/>
      <c r="AA698" s="4"/>
      <c r="AB698" s="4"/>
      <c r="AC698" s="4"/>
      <c r="AD698" s="4"/>
      <c r="AE698" s="4"/>
      <c r="AF698" s="4"/>
      <c r="AG698" s="4"/>
      <c r="AH698" s="4"/>
    </row>
    <row r="699" spans="1:34" ht="15.75" customHeight="1" x14ac:dyDescent="0.2">
      <c r="A699" s="3"/>
      <c r="B699" s="4"/>
      <c r="C699" s="4"/>
      <c r="D699" s="4"/>
      <c r="E699" s="4"/>
      <c r="F699" s="4"/>
      <c r="G699" s="4"/>
      <c r="H699" s="4"/>
      <c r="I699" s="4"/>
      <c r="J699" s="4"/>
      <c r="K699" s="4"/>
      <c r="L699" s="4"/>
      <c r="M699" s="4"/>
      <c r="N699" s="4"/>
      <c r="O699" s="4"/>
      <c r="P699" s="4"/>
      <c r="Q699" s="4"/>
      <c r="R699" s="4"/>
      <c r="S699" s="4"/>
      <c r="T699" s="4"/>
      <c r="U699" s="4"/>
      <c r="V699" s="4"/>
      <c r="W699" s="4"/>
      <c r="X699" s="4"/>
      <c r="Y699" s="4"/>
      <c r="Z699" s="4"/>
      <c r="AA699" s="4"/>
      <c r="AB699" s="4"/>
      <c r="AC699" s="4"/>
      <c r="AD699" s="4"/>
      <c r="AE699" s="4"/>
      <c r="AF699" s="4"/>
      <c r="AG699" s="4"/>
      <c r="AH699" s="4"/>
    </row>
    <row r="700" spans="1:34" ht="15.75" customHeight="1" x14ac:dyDescent="0.2">
      <c r="A700" s="3"/>
      <c r="B700" s="4"/>
      <c r="C700" s="4"/>
      <c r="D700" s="4"/>
      <c r="E700" s="4"/>
      <c r="F700" s="4"/>
      <c r="G700" s="4"/>
      <c r="H700" s="4"/>
      <c r="I700" s="4"/>
      <c r="J700" s="4"/>
      <c r="K700" s="4"/>
      <c r="L700" s="4"/>
      <c r="M700" s="4"/>
      <c r="N700" s="4"/>
      <c r="O700" s="4"/>
      <c r="P700" s="4"/>
      <c r="Q700" s="4"/>
      <c r="R700" s="4"/>
      <c r="S700" s="4"/>
      <c r="T700" s="4"/>
      <c r="U700" s="4"/>
      <c r="V700" s="4"/>
      <c r="W700" s="4"/>
      <c r="X700" s="4"/>
      <c r="Y700" s="4"/>
      <c r="Z700" s="4"/>
      <c r="AA700" s="4"/>
      <c r="AB700" s="4"/>
      <c r="AC700" s="4"/>
      <c r="AD700" s="4"/>
      <c r="AE700" s="4"/>
      <c r="AF700" s="4"/>
      <c r="AG700" s="4"/>
      <c r="AH700" s="4"/>
    </row>
    <row r="701" spans="1:34" ht="15.75" customHeight="1" x14ac:dyDescent="0.2">
      <c r="A701" s="3"/>
      <c r="B701" s="4"/>
      <c r="C701" s="4"/>
      <c r="D701" s="4"/>
      <c r="E701" s="4"/>
      <c r="F701" s="4"/>
      <c r="G701" s="4"/>
      <c r="H701" s="4"/>
      <c r="I701" s="4"/>
      <c r="J701" s="4"/>
      <c r="K701" s="4"/>
      <c r="L701" s="4"/>
      <c r="M701" s="4"/>
      <c r="N701" s="4"/>
      <c r="O701" s="4"/>
      <c r="P701" s="4"/>
      <c r="Q701" s="4"/>
      <c r="R701" s="4"/>
      <c r="S701" s="4"/>
      <c r="T701" s="4"/>
      <c r="U701" s="4"/>
      <c r="V701" s="4"/>
      <c r="W701" s="4"/>
      <c r="X701" s="4"/>
      <c r="Y701" s="4"/>
      <c r="Z701" s="4"/>
      <c r="AA701" s="4"/>
      <c r="AB701" s="4"/>
      <c r="AC701" s="4"/>
      <c r="AD701" s="4"/>
      <c r="AE701" s="4"/>
      <c r="AF701" s="4"/>
      <c r="AG701" s="4"/>
      <c r="AH701" s="4"/>
    </row>
    <row r="702" spans="1:34" ht="15.75" customHeight="1" x14ac:dyDescent="0.2">
      <c r="A702" s="3"/>
      <c r="B702" s="4"/>
      <c r="C702" s="4"/>
      <c r="D702" s="4"/>
      <c r="E702" s="4"/>
      <c r="F702" s="4"/>
      <c r="G702" s="4"/>
      <c r="H702" s="4"/>
      <c r="I702" s="4"/>
      <c r="J702" s="4"/>
      <c r="K702" s="4"/>
      <c r="L702" s="4"/>
      <c r="M702" s="4"/>
      <c r="N702" s="4"/>
      <c r="O702" s="4"/>
      <c r="P702" s="4"/>
      <c r="Q702" s="4"/>
      <c r="R702" s="4"/>
      <c r="S702" s="4"/>
      <c r="T702" s="4"/>
      <c r="U702" s="4"/>
      <c r="V702" s="4"/>
      <c r="W702" s="4"/>
      <c r="X702" s="4"/>
      <c r="Y702" s="4"/>
      <c r="Z702" s="4"/>
      <c r="AA702" s="4"/>
      <c r="AB702" s="4"/>
      <c r="AC702" s="4"/>
      <c r="AD702" s="4"/>
      <c r="AE702" s="4"/>
      <c r="AF702" s="4"/>
      <c r="AG702" s="4"/>
      <c r="AH702" s="4"/>
    </row>
    <row r="703" spans="1:34" ht="15.75" customHeight="1" x14ac:dyDescent="0.2">
      <c r="A703" s="3"/>
      <c r="B703" s="4"/>
      <c r="C703" s="4"/>
      <c r="D703" s="4"/>
      <c r="E703" s="4"/>
      <c r="F703" s="4"/>
      <c r="G703" s="4"/>
      <c r="H703" s="4"/>
      <c r="I703" s="4"/>
      <c r="J703" s="4"/>
      <c r="K703" s="4"/>
      <c r="L703" s="4"/>
      <c r="M703" s="4"/>
      <c r="N703" s="4"/>
      <c r="O703" s="4"/>
      <c r="P703" s="4"/>
      <c r="Q703" s="4"/>
      <c r="R703" s="4"/>
      <c r="S703" s="4"/>
      <c r="T703" s="4"/>
      <c r="U703" s="4"/>
      <c r="V703" s="4"/>
      <c r="W703" s="4"/>
      <c r="X703" s="4"/>
      <c r="Y703" s="4"/>
      <c r="Z703" s="4"/>
      <c r="AA703" s="4"/>
      <c r="AB703" s="4"/>
      <c r="AC703" s="4"/>
      <c r="AD703" s="4"/>
      <c r="AE703" s="4"/>
      <c r="AF703" s="4"/>
      <c r="AG703" s="4"/>
      <c r="AH703" s="4"/>
    </row>
    <row r="704" spans="1:34" ht="15.75" customHeight="1" x14ac:dyDescent="0.2">
      <c r="A704" s="3"/>
      <c r="B704" s="4"/>
      <c r="C704" s="4"/>
      <c r="D704" s="4"/>
      <c r="E704" s="4"/>
      <c r="F704" s="4"/>
      <c r="G704" s="4"/>
      <c r="H704" s="4"/>
      <c r="I704" s="4"/>
      <c r="J704" s="4"/>
      <c r="K704" s="4"/>
      <c r="L704" s="4"/>
      <c r="M704" s="4"/>
      <c r="N704" s="4"/>
      <c r="O704" s="4"/>
      <c r="P704" s="4"/>
      <c r="Q704" s="4"/>
      <c r="R704" s="4"/>
      <c r="S704" s="4"/>
      <c r="T704" s="4"/>
      <c r="U704" s="4"/>
      <c r="V704" s="4"/>
      <c r="W704" s="4"/>
      <c r="X704" s="4"/>
      <c r="Y704" s="4"/>
      <c r="Z704" s="4"/>
      <c r="AA704" s="4"/>
      <c r="AB704" s="4"/>
      <c r="AC704" s="4"/>
      <c r="AD704" s="4"/>
      <c r="AE704" s="4"/>
      <c r="AF704" s="4"/>
      <c r="AG704" s="4"/>
      <c r="AH704" s="4"/>
    </row>
    <row r="705" spans="1:34" ht="15.75" customHeight="1" x14ac:dyDescent="0.2">
      <c r="A705" s="3"/>
      <c r="B705" s="4"/>
      <c r="C705" s="4"/>
      <c r="D705" s="4"/>
      <c r="E705" s="4"/>
      <c r="F705" s="4"/>
      <c r="G705" s="4"/>
      <c r="H705" s="4"/>
      <c r="I705" s="4"/>
      <c r="J705" s="4"/>
      <c r="K705" s="4"/>
      <c r="L705" s="4"/>
      <c r="M705" s="4"/>
      <c r="N705" s="4"/>
      <c r="O705" s="4"/>
      <c r="P705" s="4"/>
      <c r="Q705" s="4"/>
      <c r="R705" s="4"/>
      <c r="S705" s="4"/>
      <c r="T705" s="4"/>
      <c r="U705" s="4"/>
      <c r="V705" s="4"/>
      <c r="W705" s="4"/>
      <c r="X705" s="4"/>
      <c r="Y705" s="4"/>
      <c r="Z705" s="4"/>
      <c r="AA705" s="4"/>
      <c r="AB705" s="4"/>
      <c r="AC705" s="4"/>
      <c r="AD705" s="4"/>
      <c r="AE705" s="4"/>
      <c r="AF705" s="4"/>
      <c r="AG705" s="4"/>
      <c r="AH705" s="4"/>
    </row>
    <row r="706" spans="1:34" ht="15.75" customHeight="1" x14ac:dyDescent="0.2">
      <c r="A706" s="3"/>
      <c r="B706" s="4"/>
      <c r="C706" s="4"/>
      <c r="D706" s="4"/>
      <c r="E706" s="4"/>
      <c r="F706" s="4"/>
      <c r="G706" s="4"/>
      <c r="H706" s="4"/>
      <c r="I706" s="4"/>
      <c r="J706" s="4"/>
      <c r="K706" s="4"/>
      <c r="L706" s="4"/>
      <c r="M706" s="4"/>
      <c r="N706" s="4"/>
      <c r="O706" s="4"/>
      <c r="P706" s="4"/>
      <c r="Q706" s="4"/>
      <c r="R706" s="4"/>
      <c r="S706" s="4"/>
      <c r="T706" s="4"/>
      <c r="U706" s="4"/>
      <c r="V706" s="4"/>
      <c r="W706" s="4"/>
      <c r="X706" s="4"/>
      <c r="Y706" s="4"/>
      <c r="Z706" s="4"/>
      <c r="AA706" s="4"/>
      <c r="AB706" s="4"/>
      <c r="AC706" s="4"/>
      <c r="AD706" s="4"/>
      <c r="AE706" s="4"/>
      <c r="AF706" s="4"/>
      <c r="AG706" s="4"/>
      <c r="AH706" s="4"/>
    </row>
    <row r="707" spans="1:34" ht="15.75" customHeight="1" x14ac:dyDescent="0.2">
      <c r="A707" s="3"/>
      <c r="B707" s="4"/>
      <c r="C707" s="4"/>
      <c r="D707" s="4"/>
      <c r="E707" s="4"/>
      <c r="F707" s="4"/>
      <c r="G707" s="4"/>
      <c r="H707" s="4"/>
      <c r="I707" s="4"/>
      <c r="J707" s="4"/>
      <c r="K707" s="4"/>
      <c r="L707" s="4"/>
      <c r="M707" s="4"/>
      <c r="N707" s="4"/>
      <c r="O707" s="4"/>
      <c r="P707" s="4"/>
      <c r="Q707" s="4"/>
      <c r="R707" s="4"/>
      <c r="S707" s="4"/>
      <c r="T707" s="4"/>
      <c r="U707" s="4"/>
      <c r="V707" s="4"/>
      <c r="W707" s="4"/>
      <c r="X707" s="4"/>
      <c r="Y707" s="4"/>
      <c r="Z707" s="4"/>
      <c r="AA707" s="4"/>
      <c r="AB707" s="4"/>
      <c r="AC707" s="4"/>
      <c r="AD707" s="4"/>
      <c r="AE707" s="4"/>
      <c r="AF707" s="4"/>
      <c r="AG707" s="4"/>
      <c r="AH707" s="4"/>
    </row>
    <row r="708" spans="1:34" ht="15.75" customHeight="1" x14ac:dyDescent="0.2">
      <c r="A708" s="3"/>
      <c r="B708" s="4"/>
      <c r="C708" s="4"/>
      <c r="D708" s="4"/>
      <c r="E708" s="4"/>
      <c r="F708" s="4"/>
      <c r="G708" s="4"/>
      <c r="H708" s="4"/>
      <c r="I708" s="4"/>
      <c r="J708" s="4"/>
      <c r="K708" s="4"/>
      <c r="L708" s="4"/>
      <c r="M708" s="4"/>
      <c r="N708" s="4"/>
      <c r="O708" s="4"/>
      <c r="P708" s="4"/>
      <c r="Q708" s="4"/>
      <c r="R708" s="4"/>
      <c r="S708" s="4"/>
      <c r="T708" s="4"/>
      <c r="U708" s="4"/>
      <c r="V708" s="4"/>
      <c r="W708" s="4"/>
      <c r="X708" s="4"/>
      <c r="Y708" s="4"/>
      <c r="Z708" s="4"/>
      <c r="AA708" s="4"/>
      <c r="AB708" s="4"/>
      <c r="AC708" s="4"/>
      <c r="AD708" s="4"/>
      <c r="AE708" s="4"/>
      <c r="AF708" s="4"/>
      <c r="AG708" s="4"/>
      <c r="AH708" s="4"/>
    </row>
    <row r="709" spans="1:34" ht="15.75" customHeight="1" x14ac:dyDescent="0.2">
      <c r="A709" s="3"/>
      <c r="B709" s="4"/>
      <c r="C709" s="4"/>
      <c r="D709" s="4"/>
      <c r="E709" s="4"/>
      <c r="F709" s="4"/>
      <c r="G709" s="4"/>
      <c r="H709" s="4"/>
      <c r="I709" s="4"/>
      <c r="J709" s="4"/>
      <c r="K709" s="4"/>
      <c r="L709" s="4"/>
      <c r="M709" s="4"/>
      <c r="N709" s="4"/>
      <c r="O709" s="4"/>
      <c r="P709" s="4"/>
      <c r="Q709" s="4"/>
      <c r="R709" s="4"/>
      <c r="S709" s="4"/>
      <c r="T709" s="4"/>
      <c r="U709" s="4"/>
      <c r="V709" s="4"/>
      <c r="W709" s="4"/>
      <c r="X709" s="4"/>
      <c r="Y709" s="4"/>
      <c r="Z709" s="4"/>
      <c r="AA709" s="4"/>
      <c r="AB709" s="4"/>
      <c r="AC709" s="4"/>
      <c r="AD709" s="4"/>
      <c r="AE709" s="4"/>
      <c r="AF709" s="4"/>
      <c r="AG709" s="4"/>
      <c r="AH709" s="4"/>
    </row>
    <row r="710" spans="1:34" ht="15.75" customHeight="1" x14ac:dyDescent="0.2">
      <c r="A710" s="3"/>
      <c r="B710" s="4"/>
      <c r="C710" s="4"/>
      <c r="D710" s="4"/>
      <c r="E710" s="4"/>
      <c r="F710" s="4"/>
      <c r="G710" s="4"/>
      <c r="H710" s="4"/>
      <c r="I710" s="4"/>
      <c r="J710" s="4"/>
      <c r="K710" s="4"/>
      <c r="L710" s="4"/>
      <c r="M710" s="4"/>
      <c r="N710" s="4"/>
      <c r="O710" s="4"/>
      <c r="P710" s="4"/>
      <c r="Q710" s="4"/>
      <c r="R710" s="4"/>
      <c r="S710" s="4"/>
      <c r="T710" s="4"/>
      <c r="U710" s="4"/>
      <c r="V710" s="4"/>
      <c r="W710" s="4"/>
      <c r="X710" s="4"/>
      <c r="Y710" s="4"/>
      <c r="Z710" s="4"/>
      <c r="AA710" s="4"/>
      <c r="AB710" s="4"/>
      <c r="AC710" s="4"/>
      <c r="AD710" s="4"/>
      <c r="AE710" s="4"/>
      <c r="AF710" s="4"/>
      <c r="AG710" s="4"/>
      <c r="AH710" s="4"/>
    </row>
    <row r="711" spans="1:34" ht="15.75" customHeight="1" x14ac:dyDescent="0.2">
      <c r="A711" s="3"/>
      <c r="B711" s="4"/>
      <c r="C711" s="4"/>
      <c r="D711" s="4"/>
      <c r="E711" s="4"/>
      <c r="F711" s="4"/>
      <c r="G711" s="4"/>
      <c r="H711" s="4"/>
      <c r="I711" s="4"/>
      <c r="J711" s="4"/>
      <c r="K711" s="4"/>
      <c r="L711" s="4"/>
      <c r="M711" s="4"/>
      <c r="N711" s="4"/>
      <c r="O711" s="4"/>
      <c r="P711" s="4"/>
      <c r="Q711" s="4"/>
      <c r="R711" s="4"/>
      <c r="S711" s="4"/>
      <c r="T711" s="4"/>
      <c r="U711" s="4"/>
      <c r="V711" s="4"/>
      <c r="W711" s="4"/>
      <c r="X711" s="4"/>
      <c r="Y711" s="4"/>
      <c r="Z711" s="4"/>
      <c r="AA711" s="4"/>
      <c r="AB711" s="4"/>
      <c r="AC711" s="4"/>
      <c r="AD711" s="4"/>
      <c r="AE711" s="4"/>
      <c r="AF711" s="4"/>
      <c r="AG711" s="4"/>
      <c r="AH711" s="4"/>
    </row>
    <row r="712" spans="1:34" ht="15.75" customHeight="1" x14ac:dyDescent="0.2">
      <c r="A712" s="3"/>
      <c r="B712" s="4"/>
      <c r="C712" s="4"/>
      <c r="D712" s="4"/>
      <c r="E712" s="4"/>
      <c r="F712" s="4"/>
      <c r="G712" s="4"/>
      <c r="H712" s="4"/>
      <c r="I712" s="4"/>
      <c r="J712" s="4"/>
      <c r="K712" s="4"/>
      <c r="L712" s="4"/>
      <c r="M712" s="4"/>
      <c r="N712" s="4"/>
      <c r="O712" s="4"/>
      <c r="P712" s="4"/>
      <c r="Q712" s="4"/>
      <c r="R712" s="4"/>
      <c r="S712" s="4"/>
      <c r="T712" s="4"/>
      <c r="U712" s="4"/>
      <c r="V712" s="4"/>
      <c r="W712" s="4"/>
      <c r="X712" s="4"/>
      <c r="Y712" s="4"/>
      <c r="Z712" s="4"/>
      <c r="AA712" s="4"/>
      <c r="AB712" s="4"/>
      <c r="AC712" s="4"/>
      <c r="AD712" s="4"/>
      <c r="AE712" s="4"/>
      <c r="AF712" s="4"/>
      <c r="AG712" s="4"/>
      <c r="AH712" s="4"/>
    </row>
    <row r="713" spans="1:34" ht="15.75" customHeight="1" x14ac:dyDescent="0.2">
      <c r="A713" s="3"/>
      <c r="B713" s="4"/>
      <c r="C713" s="4"/>
      <c r="D713" s="4"/>
      <c r="E713" s="4"/>
      <c r="F713" s="4"/>
      <c r="G713" s="4"/>
      <c r="H713" s="4"/>
      <c r="I713" s="4"/>
      <c r="J713" s="4"/>
      <c r="K713" s="4"/>
      <c r="L713" s="4"/>
      <c r="M713" s="4"/>
      <c r="N713" s="4"/>
      <c r="O713" s="4"/>
      <c r="P713" s="4"/>
      <c r="Q713" s="4"/>
      <c r="R713" s="4"/>
      <c r="S713" s="4"/>
      <c r="T713" s="4"/>
      <c r="U713" s="4"/>
      <c r="V713" s="4"/>
      <c r="W713" s="4"/>
      <c r="X713" s="4"/>
      <c r="Y713" s="4"/>
      <c r="Z713" s="4"/>
      <c r="AA713" s="4"/>
      <c r="AB713" s="4"/>
      <c r="AC713" s="4"/>
      <c r="AD713" s="4"/>
      <c r="AE713" s="4"/>
      <c r="AF713" s="4"/>
      <c r="AG713" s="4"/>
      <c r="AH713" s="4"/>
    </row>
    <row r="714" spans="1:34" ht="15.75" customHeight="1" x14ac:dyDescent="0.2">
      <c r="A714" s="3"/>
      <c r="B714" s="4"/>
      <c r="C714" s="4"/>
      <c r="D714" s="4"/>
      <c r="E714" s="4"/>
      <c r="F714" s="4"/>
      <c r="G714" s="4"/>
      <c r="H714" s="4"/>
      <c r="I714" s="4"/>
      <c r="J714" s="4"/>
      <c r="K714" s="4"/>
      <c r="L714" s="4"/>
      <c r="M714" s="4"/>
      <c r="N714" s="4"/>
      <c r="O714" s="4"/>
      <c r="P714" s="4"/>
      <c r="Q714" s="4"/>
      <c r="R714" s="4"/>
      <c r="S714" s="4"/>
      <c r="T714" s="4"/>
      <c r="U714" s="4"/>
      <c r="V714" s="4"/>
      <c r="W714" s="4"/>
      <c r="X714" s="4"/>
      <c r="Y714" s="4"/>
      <c r="Z714" s="4"/>
      <c r="AA714" s="4"/>
      <c r="AB714" s="4"/>
      <c r="AC714" s="4"/>
      <c r="AD714" s="4"/>
      <c r="AE714" s="4"/>
      <c r="AF714" s="4"/>
      <c r="AG714" s="4"/>
      <c r="AH714" s="4"/>
    </row>
    <row r="715" spans="1:34" ht="15.75" customHeight="1" x14ac:dyDescent="0.2">
      <c r="A715" s="3"/>
      <c r="B715" s="4"/>
      <c r="C715" s="4"/>
      <c r="D715" s="4"/>
      <c r="E715" s="4"/>
      <c r="F715" s="4"/>
      <c r="G715" s="4"/>
      <c r="H715" s="4"/>
      <c r="I715" s="4"/>
      <c r="J715" s="4"/>
      <c r="K715" s="4"/>
      <c r="L715" s="4"/>
      <c r="M715" s="4"/>
      <c r="N715" s="4"/>
      <c r="O715" s="4"/>
      <c r="P715" s="4"/>
      <c r="Q715" s="4"/>
      <c r="R715" s="4"/>
      <c r="S715" s="4"/>
      <c r="T715" s="4"/>
      <c r="U715" s="4"/>
      <c r="V715" s="4"/>
      <c r="W715" s="4"/>
      <c r="X715" s="4"/>
      <c r="Y715" s="4"/>
      <c r="Z715" s="4"/>
      <c r="AA715" s="4"/>
      <c r="AB715" s="4"/>
      <c r="AC715" s="4"/>
      <c r="AD715" s="4"/>
      <c r="AE715" s="4"/>
      <c r="AF715" s="4"/>
      <c r="AG715" s="4"/>
      <c r="AH715" s="4"/>
    </row>
    <row r="716" spans="1:34" ht="15.75" customHeight="1" x14ac:dyDescent="0.2">
      <c r="A716" s="3"/>
      <c r="B716" s="4"/>
      <c r="C716" s="4"/>
      <c r="D716" s="4"/>
      <c r="E716" s="4"/>
      <c r="F716" s="4"/>
      <c r="G716" s="4"/>
      <c r="H716" s="4"/>
      <c r="I716" s="4"/>
      <c r="J716" s="4"/>
      <c r="K716" s="4"/>
      <c r="L716" s="4"/>
      <c r="M716" s="4"/>
      <c r="N716" s="4"/>
      <c r="O716" s="4"/>
      <c r="P716" s="4"/>
      <c r="Q716" s="4"/>
      <c r="R716" s="4"/>
      <c r="S716" s="4"/>
      <c r="T716" s="4"/>
      <c r="U716" s="4"/>
      <c r="V716" s="4"/>
      <c r="W716" s="4"/>
      <c r="X716" s="4"/>
      <c r="Y716" s="4"/>
      <c r="Z716" s="4"/>
      <c r="AA716" s="4"/>
      <c r="AB716" s="4"/>
      <c r="AC716" s="4"/>
      <c r="AD716" s="4"/>
      <c r="AE716" s="4"/>
      <c r="AF716" s="4"/>
      <c r="AG716" s="4"/>
      <c r="AH716" s="4"/>
    </row>
    <row r="717" spans="1:34" ht="15.75" customHeight="1" x14ac:dyDescent="0.2">
      <c r="A717" s="3"/>
      <c r="B717" s="4"/>
      <c r="C717" s="4"/>
      <c r="D717" s="4"/>
      <c r="E717" s="4"/>
      <c r="F717" s="4"/>
      <c r="G717" s="4"/>
      <c r="H717" s="4"/>
      <c r="I717" s="4"/>
      <c r="J717" s="4"/>
      <c r="K717" s="4"/>
      <c r="L717" s="4"/>
      <c r="M717" s="4"/>
      <c r="N717" s="4"/>
      <c r="O717" s="4"/>
      <c r="P717" s="4"/>
      <c r="Q717" s="4"/>
      <c r="R717" s="4"/>
      <c r="S717" s="4"/>
      <c r="T717" s="4"/>
      <c r="U717" s="4"/>
      <c r="V717" s="4"/>
      <c r="W717" s="4"/>
      <c r="X717" s="4"/>
      <c r="Y717" s="4"/>
      <c r="Z717" s="4"/>
      <c r="AA717" s="4"/>
      <c r="AB717" s="4"/>
      <c r="AC717" s="4"/>
      <c r="AD717" s="4"/>
      <c r="AE717" s="4"/>
      <c r="AF717" s="4"/>
      <c r="AG717" s="4"/>
      <c r="AH717" s="4"/>
    </row>
    <row r="718" spans="1:34" ht="15.75" customHeight="1" x14ac:dyDescent="0.2">
      <c r="A718" s="3"/>
      <c r="B718" s="4"/>
      <c r="C718" s="4"/>
      <c r="D718" s="4"/>
      <c r="E718" s="4"/>
      <c r="F718" s="4"/>
      <c r="G718" s="4"/>
      <c r="H718" s="4"/>
      <c r="I718" s="4"/>
      <c r="J718" s="4"/>
      <c r="K718" s="4"/>
      <c r="L718" s="4"/>
      <c r="M718" s="4"/>
      <c r="N718" s="4"/>
      <c r="O718" s="4"/>
      <c r="P718" s="4"/>
      <c r="Q718" s="4"/>
      <c r="R718" s="4"/>
      <c r="S718" s="4"/>
      <c r="T718" s="4"/>
      <c r="U718" s="4"/>
      <c r="V718" s="4"/>
      <c r="W718" s="4"/>
      <c r="X718" s="4"/>
      <c r="Y718" s="4"/>
      <c r="Z718" s="4"/>
      <c r="AA718" s="4"/>
      <c r="AB718" s="4"/>
      <c r="AC718" s="4"/>
      <c r="AD718" s="4"/>
      <c r="AE718" s="4"/>
      <c r="AF718" s="4"/>
      <c r="AG718" s="4"/>
      <c r="AH718" s="4"/>
    </row>
    <row r="719" spans="1:34" ht="15.75" customHeight="1" x14ac:dyDescent="0.2">
      <c r="A719" s="3"/>
      <c r="B719" s="4"/>
      <c r="C719" s="4"/>
      <c r="D719" s="4"/>
      <c r="E719" s="4"/>
      <c r="F719" s="4"/>
      <c r="G719" s="4"/>
      <c r="H719" s="4"/>
      <c r="I719" s="4"/>
      <c r="J719" s="4"/>
      <c r="K719" s="4"/>
      <c r="L719" s="4"/>
      <c r="M719" s="4"/>
      <c r="N719" s="4"/>
      <c r="O719" s="4"/>
      <c r="P719" s="4"/>
      <c r="Q719" s="4"/>
      <c r="R719" s="4"/>
      <c r="S719" s="4"/>
      <c r="T719" s="4"/>
      <c r="U719" s="4"/>
      <c r="V719" s="4"/>
      <c r="W719" s="4"/>
      <c r="X719" s="4"/>
      <c r="Y719" s="4"/>
      <c r="Z719" s="4"/>
      <c r="AA719" s="4"/>
      <c r="AB719" s="4"/>
      <c r="AC719" s="4"/>
      <c r="AD719" s="4"/>
      <c r="AE719" s="4"/>
      <c r="AF719" s="4"/>
      <c r="AG719" s="4"/>
      <c r="AH719" s="4"/>
    </row>
    <row r="720" spans="1:34" ht="15.75" customHeight="1" x14ac:dyDescent="0.2">
      <c r="A720" s="3"/>
      <c r="B720" s="4"/>
      <c r="C720" s="4"/>
      <c r="D720" s="4"/>
      <c r="E720" s="4"/>
      <c r="F720" s="4"/>
      <c r="G720" s="4"/>
      <c r="H720" s="4"/>
      <c r="I720" s="4"/>
      <c r="J720" s="4"/>
      <c r="K720" s="4"/>
      <c r="L720" s="4"/>
      <c r="M720" s="4"/>
      <c r="N720" s="4"/>
      <c r="O720" s="4"/>
      <c r="P720" s="4"/>
      <c r="Q720" s="4"/>
      <c r="R720" s="4"/>
      <c r="S720" s="4"/>
      <c r="T720" s="4"/>
      <c r="U720" s="4"/>
      <c r="V720" s="4"/>
      <c r="W720" s="4"/>
      <c r="X720" s="4"/>
      <c r="Y720" s="4"/>
      <c r="Z720" s="4"/>
      <c r="AA720" s="4"/>
      <c r="AB720" s="4"/>
      <c r="AC720" s="4"/>
      <c r="AD720" s="4"/>
      <c r="AE720" s="4"/>
      <c r="AF720" s="4"/>
      <c r="AG720" s="4"/>
      <c r="AH720" s="4"/>
    </row>
    <row r="721" spans="1:34" ht="15.75" customHeight="1" x14ac:dyDescent="0.2">
      <c r="A721" s="3"/>
      <c r="B721" s="4"/>
      <c r="C721" s="4"/>
      <c r="D721" s="4"/>
      <c r="E721" s="4"/>
      <c r="F721" s="4"/>
      <c r="G721" s="4"/>
      <c r="H721" s="4"/>
      <c r="I721" s="4"/>
      <c r="J721" s="4"/>
      <c r="K721" s="4"/>
      <c r="L721" s="4"/>
      <c r="M721" s="4"/>
      <c r="N721" s="4"/>
      <c r="O721" s="4"/>
      <c r="P721" s="4"/>
      <c r="Q721" s="4"/>
      <c r="R721" s="4"/>
      <c r="S721" s="4"/>
      <c r="T721" s="4"/>
      <c r="U721" s="4"/>
      <c r="V721" s="4"/>
      <c r="W721" s="4"/>
      <c r="X721" s="4"/>
      <c r="Y721" s="4"/>
      <c r="Z721" s="4"/>
      <c r="AA721" s="4"/>
      <c r="AB721" s="4"/>
      <c r="AC721" s="4"/>
      <c r="AD721" s="4"/>
      <c r="AE721" s="4"/>
      <c r="AF721" s="4"/>
      <c r="AG721" s="4"/>
      <c r="AH721" s="4"/>
    </row>
    <row r="722" spans="1:34" ht="15.75" customHeight="1" x14ac:dyDescent="0.2">
      <c r="A722" s="3"/>
      <c r="B722" s="4"/>
      <c r="C722" s="4"/>
      <c r="D722" s="4"/>
      <c r="E722" s="4"/>
      <c r="F722" s="4"/>
      <c r="G722" s="4"/>
      <c r="H722" s="4"/>
      <c r="I722" s="4"/>
      <c r="J722" s="4"/>
      <c r="K722" s="4"/>
      <c r="L722" s="4"/>
      <c r="M722" s="4"/>
      <c r="N722" s="4"/>
      <c r="O722" s="4"/>
      <c r="P722" s="4"/>
      <c r="Q722" s="4"/>
      <c r="R722" s="4"/>
      <c r="S722" s="4"/>
      <c r="T722" s="4"/>
      <c r="U722" s="4"/>
      <c r="V722" s="4"/>
      <c r="W722" s="4"/>
      <c r="X722" s="4"/>
      <c r="Y722" s="4"/>
      <c r="Z722" s="4"/>
      <c r="AA722" s="4"/>
      <c r="AB722" s="4"/>
      <c r="AC722" s="4"/>
      <c r="AD722" s="4"/>
      <c r="AE722" s="4"/>
      <c r="AF722" s="4"/>
      <c r="AG722" s="4"/>
      <c r="AH722" s="4"/>
    </row>
    <row r="723" spans="1:34" ht="15.75" customHeight="1" x14ac:dyDescent="0.2">
      <c r="A723" s="3"/>
      <c r="B723" s="4"/>
      <c r="C723" s="4"/>
      <c r="D723" s="4"/>
      <c r="E723" s="4"/>
      <c r="F723" s="4"/>
      <c r="G723" s="4"/>
      <c r="H723" s="4"/>
      <c r="I723" s="4"/>
      <c r="J723" s="4"/>
      <c r="K723" s="4"/>
      <c r="L723" s="4"/>
      <c r="M723" s="4"/>
      <c r="N723" s="4"/>
      <c r="O723" s="4"/>
      <c r="P723" s="4"/>
      <c r="Q723" s="4"/>
      <c r="R723" s="4"/>
      <c r="S723" s="4"/>
      <c r="T723" s="4"/>
      <c r="U723" s="4"/>
      <c r="V723" s="4"/>
      <c r="W723" s="4"/>
      <c r="X723" s="4"/>
      <c r="Y723" s="4"/>
      <c r="Z723" s="4"/>
      <c r="AA723" s="4"/>
      <c r="AB723" s="4"/>
      <c r="AC723" s="4"/>
      <c r="AD723" s="4"/>
      <c r="AE723" s="4"/>
      <c r="AF723" s="4"/>
      <c r="AG723" s="4"/>
      <c r="AH723" s="4"/>
    </row>
    <row r="724" spans="1:34" ht="15.75" customHeight="1" x14ac:dyDescent="0.2">
      <c r="A724" s="3"/>
      <c r="B724" s="4"/>
      <c r="C724" s="4"/>
      <c r="D724" s="4"/>
      <c r="E724" s="4"/>
      <c r="F724" s="4"/>
      <c r="G724" s="4"/>
      <c r="H724" s="4"/>
      <c r="I724" s="4"/>
      <c r="J724" s="4"/>
      <c r="K724" s="4"/>
      <c r="L724" s="4"/>
      <c r="M724" s="4"/>
      <c r="N724" s="4"/>
      <c r="O724" s="4"/>
      <c r="P724" s="4"/>
      <c r="Q724" s="4"/>
      <c r="R724" s="4"/>
      <c r="S724" s="4"/>
      <c r="T724" s="4"/>
      <c r="U724" s="4"/>
      <c r="V724" s="4"/>
      <c r="W724" s="4"/>
      <c r="X724" s="4"/>
      <c r="Y724" s="4"/>
      <c r="Z724" s="4"/>
      <c r="AA724" s="4"/>
      <c r="AB724" s="4"/>
      <c r="AC724" s="4"/>
      <c r="AD724" s="4"/>
      <c r="AE724" s="4"/>
      <c r="AF724" s="4"/>
      <c r="AG724" s="4"/>
      <c r="AH724" s="4"/>
    </row>
    <row r="725" spans="1:34" ht="15.75" customHeight="1" x14ac:dyDescent="0.2">
      <c r="A725" s="3"/>
      <c r="B725" s="4"/>
      <c r="C725" s="4"/>
      <c r="D725" s="4"/>
      <c r="E725" s="4"/>
      <c r="F725" s="4"/>
      <c r="G725" s="4"/>
      <c r="H725" s="4"/>
      <c r="I725" s="4"/>
      <c r="J725" s="4"/>
      <c r="K725" s="4"/>
      <c r="L725" s="4"/>
      <c r="M725" s="4"/>
      <c r="N725" s="4"/>
      <c r="O725" s="4"/>
      <c r="P725" s="4"/>
      <c r="Q725" s="4"/>
      <c r="R725" s="4"/>
      <c r="S725" s="4"/>
      <c r="T725" s="4"/>
      <c r="U725" s="4"/>
      <c r="V725" s="4"/>
      <c r="W725" s="4"/>
      <c r="X725" s="4"/>
      <c r="Y725" s="4"/>
      <c r="Z725" s="4"/>
      <c r="AA725" s="4"/>
      <c r="AB725" s="4"/>
      <c r="AC725" s="4"/>
      <c r="AD725" s="4"/>
      <c r="AE725" s="4"/>
      <c r="AF725" s="4"/>
      <c r="AG725" s="4"/>
      <c r="AH725" s="4"/>
    </row>
    <row r="726" spans="1:34" ht="15.75" customHeight="1" x14ac:dyDescent="0.2">
      <c r="A726" s="3"/>
      <c r="B726" s="4"/>
      <c r="C726" s="4"/>
      <c r="D726" s="4"/>
      <c r="E726" s="4"/>
      <c r="F726" s="4"/>
      <c r="G726" s="4"/>
      <c r="H726" s="4"/>
      <c r="I726" s="4"/>
      <c r="J726" s="4"/>
      <c r="K726" s="4"/>
      <c r="L726" s="4"/>
      <c r="M726" s="4"/>
      <c r="N726" s="4"/>
      <c r="O726" s="4"/>
      <c r="P726" s="4"/>
      <c r="Q726" s="4"/>
      <c r="R726" s="4"/>
      <c r="S726" s="4"/>
      <c r="T726" s="4"/>
      <c r="U726" s="4"/>
      <c r="V726" s="4"/>
      <c r="W726" s="4"/>
      <c r="X726" s="4"/>
      <c r="Y726" s="4"/>
      <c r="Z726" s="4"/>
      <c r="AA726" s="4"/>
      <c r="AB726" s="4"/>
      <c r="AC726" s="4"/>
      <c r="AD726" s="4"/>
      <c r="AE726" s="4"/>
      <c r="AF726" s="4"/>
      <c r="AG726" s="4"/>
      <c r="AH726" s="4"/>
    </row>
    <row r="727" spans="1:34" ht="15.75" customHeight="1" x14ac:dyDescent="0.2">
      <c r="A727" s="3"/>
      <c r="B727" s="4"/>
      <c r="C727" s="4"/>
      <c r="D727" s="4"/>
      <c r="E727" s="4"/>
      <c r="F727" s="4"/>
      <c r="G727" s="4"/>
      <c r="H727" s="4"/>
      <c r="I727" s="4"/>
      <c r="J727" s="4"/>
      <c r="K727" s="4"/>
      <c r="L727" s="4"/>
      <c r="M727" s="4"/>
      <c r="N727" s="4"/>
      <c r="O727" s="4"/>
      <c r="P727" s="4"/>
      <c r="Q727" s="4"/>
      <c r="R727" s="4"/>
      <c r="S727" s="4"/>
      <c r="T727" s="4"/>
      <c r="U727" s="4"/>
      <c r="V727" s="4"/>
      <c r="W727" s="4"/>
      <c r="X727" s="4"/>
      <c r="Y727" s="4"/>
      <c r="Z727" s="4"/>
      <c r="AA727" s="4"/>
      <c r="AB727" s="4"/>
      <c r="AC727" s="4"/>
      <c r="AD727" s="4"/>
      <c r="AE727" s="4"/>
      <c r="AF727" s="4"/>
      <c r="AG727" s="4"/>
      <c r="AH727" s="4"/>
    </row>
    <row r="728" spans="1:34" ht="15.75" customHeight="1" x14ac:dyDescent="0.2">
      <c r="A728" s="3"/>
      <c r="B728" s="4"/>
      <c r="C728" s="4"/>
      <c r="D728" s="4"/>
      <c r="E728" s="4"/>
      <c r="F728" s="4"/>
      <c r="G728" s="4"/>
      <c r="H728" s="4"/>
      <c r="I728" s="4"/>
      <c r="J728" s="4"/>
      <c r="K728" s="4"/>
      <c r="L728" s="4"/>
      <c r="M728" s="4"/>
      <c r="N728" s="4"/>
      <c r="O728" s="4"/>
      <c r="P728" s="4"/>
      <c r="Q728" s="4"/>
      <c r="R728" s="4"/>
      <c r="S728" s="4"/>
      <c r="T728" s="4"/>
      <c r="U728" s="4"/>
      <c r="V728" s="4"/>
      <c r="W728" s="4"/>
      <c r="X728" s="4"/>
      <c r="Y728" s="4"/>
      <c r="Z728" s="4"/>
      <c r="AA728" s="4"/>
      <c r="AB728" s="4"/>
      <c r="AC728" s="4"/>
      <c r="AD728" s="4"/>
      <c r="AE728" s="4"/>
      <c r="AF728" s="4"/>
      <c r="AG728" s="4"/>
      <c r="AH728" s="4"/>
    </row>
    <row r="729" spans="1:34" ht="15.75" customHeight="1" x14ac:dyDescent="0.2">
      <c r="A729" s="3"/>
      <c r="B729" s="4"/>
      <c r="C729" s="4"/>
      <c r="D729" s="4"/>
      <c r="E729" s="4"/>
      <c r="F729" s="4"/>
      <c r="G729" s="4"/>
      <c r="H729" s="4"/>
      <c r="I729" s="4"/>
      <c r="J729" s="4"/>
      <c r="K729" s="4"/>
      <c r="L729" s="4"/>
      <c r="M729" s="4"/>
      <c r="N729" s="4"/>
      <c r="O729" s="4"/>
      <c r="P729" s="4"/>
      <c r="Q729" s="4"/>
      <c r="R729" s="4"/>
      <c r="S729" s="4"/>
      <c r="T729" s="4"/>
      <c r="U729" s="4"/>
      <c r="V729" s="4"/>
      <c r="W729" s="4"/>
      <c r="X729" s="4"/>
      <c r="Y729" s="4"/>
      <c r="Z729" s="4"/>
      <c r="AA729" s="4"/>
      <c r="AB729" s="4"/>
      <c r="AC729" s="4"/>
      <c r="AD729" s="4"/>
      <c r="AE729" s="4"/>
      <c r="AF729" s="4"/>
      <c r="AG729" s="4"/>
      <c r="AH729" s="4"/>
    </row>
    <row r="730" spans="1:34" ht="15.75" customHeight="1" x14ac:dyDescent="0.2">
      <c r="A730" s="3"/>
      <c r="B730" s="4"/>
      <c r="C730" s="4"/>
      <c r="D730" s="4"/>
      <c r="E730" s="4"/>
      <c r="F730" s="4"/>
      <c r="G730" s="4"/>
      <c r="H730" s="4"/>
      <c r="I730" s="4"/>
      <c r="J730" s="4"/>
      <c r="K730" s="4"/>
      <c r="L730" s="4"/>
      <c r="M730" s="4"/>
      <c r="N730" s="4"/>
      <c r="O730" s="4"/>
      <c r="P730" s="4"/>
      <c r="Q730" s="4"/>
      <c r="R730" s="4"/>
      <c r="S730" s="4"/>
      <c r="T730" s="4"/>
      <c r="U730" s="4"/>
      <c r="V730" s="4"/>
      <c r="W730" s="4"/>
      <c r="X730" s="4"/>
      <c r="Y730" s="4"/>
      <c r="Z730" s="4"/>
      <c r="AA730" s="4"/>
      <c r="AB730" s="4"/>
      <c r="AC730" s="4"/>
      <c r="AD730" s="4"/>
      <c r="AE730" s="4"/>
      <c r="AF730" s="4"/>
      <c r="AG730" s="4"/>
      <c r="AH730" s="4"/>
    </row>
    <row r="731" spans="1:34" ht="15.75" customHeight="1" x14ac:dyDescent="0.2">
      <c r="A731" s="3"/>
      <c r="B731" s="4"/>
      <c r="C731" s="4"/>
      <c r="D731" s="4"/>
      <c r="E731" s="4"/>
      <c r="F731" s="4"/>
      <c r="G731" s="4"/>
      <c r="H731" s="4"/>
      <c r="I731" s="4"/>
      <c r="J731" s="4"/>
      <c r="K731" s="4"/>
      <c r="L731" s="4"/>
      <c r="M731" s="4"/>
      <c r="N731" s="4"/>
      <c r="O731" s="4"/>
      <c r="P731" s="4"/>
      <c r="Q731" s="4"/>
      <c r="R731" s="4"/>
      <c r="S731" s="4"/>
      <c r="T731" s="4"/>
      <c r="U731" s="4"/>
      <c r="V731" s="4"/>
      <c r="W731" s="4"/>
      <c r="X731" s="4"/>
      <c r="Y731" s="4"/>
      <c r="Z731" s="4"/>
      <c r="AA731" s="4"/>
      <c r="AB731" s="4"/>
      <c r="AC731" s="4"/>
      <c r="AD731" s="4"/>
      <c r="AE731" s="4"/>
      <c r="AF731" s="4"/>
      <c r="AG731" s="4"/>
      <c r="AH731" s="4"/>
    </row>
    <row r="732" spans="1:34" ht="15.75" customHeight="1" x14ac:dyDescent="0.2">
      <c r="A732" s="3"/>
      <c r="B732" s="4"/>
      <c r="C732" s="4"/>
      <c r="D732" s="4"/>
      <c r="E732" s="4"/>
      <c r="F732" s="4"/>
      <c r="G732" s="4"/>
      <c r="H732" s="4"/>
      <c r="I732" s="4"/>
      <c r="J732" s="4"/>
      <c r="K732" s="4"/>
      <c r="L732" s="4"/>
      <c r="M732" s="4"/>
      <c r="N732" s="4"/>
      <c r="O732" s="4"/>
      <c r="P732" s="4"/>
      <c r="Q732" s="4"/>
      <c r="R732" s="4"/>
      <c r="S732" s="4"/>
      <c r="T732" s="4"/>
      <c r="U732" s="4"/>
      <c r="V732" s="4"/>
      <c r="W732" s="4"/>
      <c r="X732" s="4"/>
      <c r="Y732" s="4"/>
      <c r="Z732" s="4"/>
      <c r="AA732" s="4"/>
      <c r="AB732" s="4"/>
      <c r="AC732" s="4"/>
      <c r="AD732" s="4"/>
      <c r="AE732" s="4"/>
      <c r="AF732" s="4"/>
      <c r="AG732" s="4"/>
      <c r="AH732" s="4"/>
    </row>
    <row r="733" spans="1:34" ht="15.75" customHeight="1" x14ac:dyDescent="0.2">
      <c r="A733" s="3"/>
      <c r="B733" s="4"/>
      <c r="C733" s="4"/>
      <c r="D733" s="4"/>
      <c r="E733" s="4"/>
      <c r="F733" s="4"/>
      <c r="G733" s="4"/>
      <c r="H733" s="4"/>
      <c r="I733" s="4"/>
      <c r="J733" s="4"/>
      <c r="K733" s="4"/>
      <c r="L733" s="4"/>
      <c r="M733" s="4"/>
      <c r="N733" s="4"/>
      <c r="O733" s="4"/>
      <c r="P733" s="4"/>
      <c r="Q733" s="4"/>
      <c r="R733" s="4"/>
      <c r="S733" s="4"/>
      <c r="T733" s="4"/>
      <c r="U733" s="4"/>
      <c r="V733" s="4"/>
      <c r="W733" s="4"/>
      <c r="X733" s="4"/>
      <c r="Y733" s="4"/>
      <c r="Z733" s="4"/>
      <c r="AA733" s="4"/>
      <c r="AB733" s="4"/>
      <c r="AC733" s="4"/>
      <c r="AD733" s="4"/>
      <c r="AE733" s="4"/>
      <c r="AF733" s="4"/>
      <c r="AG733" s="4"/>
      <c r="AH733" s="4"/>
    </row>
    <row r="734" spans="1:34" ht="15.75" customHeight="1" x14ac:dyDescent="0.2">
      <c r="A734" s="3"/>
      <c r="B734" s="4"/>
      <c r="C734" s="4"/>
      <c r="D734" s="4"/>
      <c r="E734" s="4"/>
      <c r="F734" s="4"/>
      <c r="G734" s="4"/>
      <c r="H734" s="4"/>
      <c r="I734" s="4"/>
      <c r="J734" s="4"/>
      <c r="K734" s="4"/>
      <c r="L734" s="4"/>
      <c r="M734" s="4"/>
      <c r="N734" s="4"/>
      <c r="O734" s="4"/>
      <c r="P734" s="4"/>
      <c r="Q734" s="4"/>
      <c r="R734" s="4"/>
      <c r="S734" s="4"/>
      <c r="T734" s="4"/>
      <c r="U734" s="4"/>
      <c r="V734" s="4"/>
      <c r="W734" s="4"/>
      <c r="X734" s="4"/>
      <c r="Y734" s="4"/>
      <c r="Z734" s="4"/>
      <c r="AA734" s="4"/>
      <c r="AB734" s="4"/>
      <c r="AC734" s="4"/>
      <c r="AD734" s="4"/>
      <c r="AE734" s="4"/>
      <c r="AF734" s="4"/>
      <c r="AG734" s="4"/>
      <c r="AH734" s="4"/>
    </row>
    <row r="735" spans="1:34" ht="15.75" customHeight="1" x14ac:dyDescent="0.2">
      <c r="A735" s="3"/>
      <c r="B735" s="4"/>
      <c r="C735" s="4"/>
      <c r="D735" s="4"/>
      <c r="E735" s="4"/>
      <c r="F735" s="4"/>
      <c r="G735" s="4"/>
      <c r="H735" s="4"/>
      <c r="I735" s="4"/>
      <c r="J735" s="4"/>
      <c r="K735" s="4"/>
      <c r="L735" s="4"/>
      <c r="M735" s="4"/>
      <c r="N735" s="4"/>
      <c r="O735" s="4"/>
      <c r="P735" s="4"/>
      <c r="Q735" s="4"/>
      <c r="R735" s="4"/>
      <c r="S735" s="4"/>
      <c r="T735" s="4"/>
      <c r="U735" s="4"/>
      <c r="V735" s="4"/>
      <c r="W735" s="4"/>
      <c r="X735" s="4"/>
      <c r="Y735" s="4"/>
      <c r="Z735" s="4"/>
      <c r="AA735" s="4"/>
      <c r="AB735" s="4"/>
      <c r="AC735" s="4"/>
      <c r="AD735" s="4"/>
      <c r="AE735" s="4"/>
      <c r="AF735" s="4"/>
      <c r="AG735" s="4"/>
      <c r="AH735" s="4"/>
    </row>
    <row r="736" spans="1:34" ht="15.75" customHeight="1" x14ac:dyDescent="0.2">
      <c r="A736" s="3"/>
      <c r="B736" s="4"/>
      <c r="C736" s="4"/>
      <c r="D736" s="4"/>
      <c r="E736" s="4"/>
      <c r="F736" s="4"/>
      <c r="G736" s="4"/>
      <c r="H736" s="4"/>
      <c r="I736" s="4"/>
      <c r="J736" s="4"/>
      <c r="K736" s="4"/>
      <c r="L736" s="4"/>
      <c r="M736" s="4"/>
      <c r="N736" s="4"/>
      <c r="O736" s="4"/>
      <c r="P736" s="4"/>
      <c r="Q736" s="4"/>
      <c r="R736" s="4"/>
      <c r="S736" s="4"/>
      <c r="T736" s="4"/>
      <c r="U736" s="4"/>
      <c r="V736" s="4"/>
      <c r="W736" s="4"/>
      <c r="X736" s="4"/>
      <c r="Y736" s="4"/>
      <c r="Z736" s="4"/>
      <c r="AA736" s="4"/>
      <c r="AB736" s="4"/>
      <c r="AC736" s="4"/>
      <c r="AD736" s="4"/>
      <c r="AE736" s="4"/>
      <c r="AF736" s="4"/>
      <c r="AG736" s="4"/>
      <c r="AH736" s="4"/>
    </row>
    <row r="737" spans="1:34" ht="15.75" customHeight="1" x14ac:dyDescent="0.2">
      <c r="A737" s="3"/>
      <c r="B737" s="4"/>
      <c r="C737" s="4"/>
      <c r="D737" s="4"/>
      <c r="E737" s="4"/>
      <c r="F737" s="4"/>
      <c r="G737" s="4"/>
      <c r="H737" s="4"/>
      <c r="I737" s="4"/>
      <c r="J737" s="4"/>
      <c r="K737" s="4"/>
      <c r="L737" s="4"/>
      <c r="M737" s="4"/>
      <c r="N737" s="4"/>
      <c r="O737" s="4"/>
      <c r="P737" s="4"/>
      <c r="Q737" s="4"/>
      <c r="R737" s="4"/>
      <c r="S737" s="4"/>
      <c r="T737" s="4"/>
      <c r="U737" s="4"/>
      <c r="V737" s="4"/>
      <c r="W737" s="4"/>
      <c r="X737" s="4"/>
      <c r="Y737" s="4"/>
      <c r="Z737" s="4"/>
      <c r="AA737" s="4"/>
      <c r="AB737" s="4"/>
      <c r="AC737" s="4"/>
      <c r="AD737" s="4"/>
      <c r="AE737" s="4"/>
      <c r="AF737" s="4"/>
      <c r="AG737" s="4"/>
      <c r="AH737" s="4"/>
    </row>
    <row r="738" spans="1:34" ht="15.75" customHeight="1" x14ac:dyDescent="0.2">
      <c r="A738" s="3"/>
      <c r="B738" s="4"/>
      <c r="C738" s="4"/>
      <c r="D738" s="4"/>
      <c r="E738" s="4"/>
      <c r="F738" s="4"/>
      <c r="G738" s="4"/>
      <c r="H738" s="4"/>
      <c r="I738" s="4"/>
      <c r="J738" s="4"/>
      <c r="K738" s="4"/>
      <c r="L738" s="4"/>
      <c r="M738" s="4"/>
      <c r="N738" s="4"/>
      <c r="O738" s="4"/>
      <c r="P738" s="4"/>
      <c r="Q738" s="4"/>
      <c r="R738" s="4"/>
      <c r="S738" s="4"/>
      <c r="T738" s="4"/>
      <c r="U738" s="4"/>
      <c r="V738" s="4"/>
      <c r="W738" s="4"/>
      <c r="X738" s="4"/>
      <c r="Y738" s="4"/>
      <c r="Z738" s="4"/>
      <c r="AA738" s="4"/>
      <c r="AB738" s="4"/>
      <c r="AC738" s="4"/>
      <c r="AD738" s="4"/>
      <c r="AE738" s="4"/>
      <c r="AF738" s="4"/>
      <c r="AG738" s="4"/>
      <c r="AH738" s="4"/>
    </row>
    <row r="739" spans="1:34" ht="15.75" customHeight="1" x14ac:dyDescent="0.2">
      <c r="A739" s="3"/>
      <c r="B739" s="4"/>
      <c r="C739" s="4"/>
      <c r="D739" s="4"/>
      <c r="E739" s="4"/>
      <c r="F739" s="4"/>
      <c r="G739" s="4"/>
      <c r="H739" s="4"/>
      <c r="I739" s="4"/>
      <c r="J739" s="4"/>
      <c r="K739" s="4"/>
      <c r="L739" s="4"/>
      <c r="M739" s="4"/>
      <c r="N739" s="4"/>
      <c r="O739" s="4"/>
      <c r="P739" s="4"/>
      <c r="Q739" s="4"/>
      <c r="R739" s="4"/>
      <c r="S739" s="4"/>
      <c r="T739" s="4"/>
      <c r="U739" s="4"/>
      <c r="V739" s="4"/>
      <c r="W739" s="4"/>
      <c r="X739" s="4"/>
      <c r="Y739" s="4"/>
      <c r="Z739" s="4"/>
      <c r="AA739" s="4"/>
      <c r="AB739" s="4"/>
      <c r="AC739" s="4"/>
      <c r="AD739" s="4"/>
      <c r="AE739" s="4"/>
      <c r="AF739" s="4"/>
      <c r="AG739" s="4"/>
      <c r="AH739" s="4"/>
    </row>
    <row r="740" spans="1:34" ht="15.75" customHeight="1" x14ac:dyDescent="0.2">
      <c r="A740" s="3"/>
      <c r="B740" s="4"/>
      <c r="C740" s="4"/>
      <c r="D740" s="4"/>
      <c r="E740" s="4"/>
      <c r="F740" s="4"/>
      <c r="G740" s="4"/>
      <c r="H740" s="4"/>
      <c r="I740" s="4"/>
      <c r="J740" s="4"/>
      <c r="K740" s="4"/>
      <c r="L740" s="4"/>
      <c r="M740" s="4"/>
      <c r="N740" s="4"/>
      <c r="O740" s="4"/>
      <c r="P740" s="4"/>
      <c r="Q740" s="4"/>
      <c r="R740" s="4"/>
      <c r="S740" s="4"/>
      <c r="T740" s="4"/>
      <c r="U740" s="4"/>
      <c r="V740" s="4"/>
      <c r="W740" s="4"/>
      <c r="X740" s="4"/>
      <c r="Y740" s="4"/>
      <c r="Z740" s="4"/>
      <c r="AA740" s="4"/>
      <c r="AB740" s="4"/>
      <c r="AC740" s="4"/>
      <c r="AD740" s="4"/>
      <c r="AE740" s="4"/>
      <c r="AF740" s="4"/>
      <c r="AG740" s="4"/>
      <c r="AH740" s="4"/>
    </row>
    <row r="741" spans="1:34" ht="15.75" customHeight="1" x14ac:dyDescent="0.2">
      <c r="A741" s="3"/>
      <c r="B741" s="4"/>
      <c r="C741" s="4"/>
      <c r="D741" s="4"/>
      <c r="E741" s="4"/>
      <c r="F741" s="4"/>
      <c r="G741" s="4"/>
      <c r="H741" s="4"/>
      <c r="I741" s="4"/>
      <c r="J741" s="4"/>
      <c r="K741" s="4"/>
      <c r="L741" s="4"/>
      <c r="M741" s="4"/>
      <c r="N741" s="4"/>
      <c r="O741" s="4"/>
      <c r="P741" s="4"/>
      <c r="Q741" s="4"/>
      <c r="R741" s="4"/>
      <c r="S741" s="4"/>
      <c r="T741" s="4"/>
      <c r="U741" s="4"/>
      <c r="V741" s="4"/>
      <c r="W741" s="4"/>
      <c r="X741" s="4"/>
      <c r="Y741" s="4"/>
      <c r="Z741" s="4"/>
      <c r="AA741" s="4"/>
      <c r="AB741" s="4"/>
      <c r="AC741" s="4"/>
      <c r="AD741" s="4"/>
      <c r="AE741" s="4"/>
      <c r="AF741" s="4"/>
      <c r="AG741" s="4"/>
      <c r="AH741" s="4"/>
    </row>
    <row r="742" spans="1:34" ht="15.75" customHeight="1" x14ac:dyDescent="0.2">
      <c r="A742" s="3"/>
      <c r="B742" s="4"/>
      <c r="C742" s="4"/>
      <c r="D742" s="4"/>
      <c r="E742" s="4"/>
      <c r="F742" s="4"/>
      <c r="G742" s="4"/>
      <c r="H742" s="4"/>
      <c r="I742" s="4"/>
      <c r="J742" s="4"/>
      <c r="K742" s="4"/>
      <c r="L742" s="4"/>
      <c r="M742" s="4"/>
      <c r="N742" s="4"/>
      <c r="O742" s="4"/>
      <c r="P742" s="4"/>
      <c r="Q742" s="4"/>
      <c r="R742" s="4"/>
      <c r="S742" s="4"/>
      <c r="T742" s="4"/>
      <c r="U742" s="4"/>
      <c r="V742" s="4"/>
      <c r="W742" s="4"/>
      <c r="X742" s="4"/>
      <c r="Y742" s="4"/>
      <c r="Z742" s="4"/>
      <c r="AA742" s="4"/>
      <c r="AB742" s="4"/>
      <c r="AC742" s="4"/>
      <c r="AD742" s="4"/>
      <c r="AE742" s="4"/>
      <c r="AF742" s="4"/>
      <c r="AG742" s="4"/>
      <c r="AH742" s="4"/>
    </row>
    <row r="743" spans="1:34" ht="15.75" customHeight="1" x14ac:dyDescent="0.2">
      <c r="A743" s="3"/>
      <c r="B743" s="4"/>
      <c r="C743" s="4"/>
      <c r="D743" s="4"/>
      <c r="E743" s="4"/>
      <c r="F743" s="4"/>
      <c r="G743" s="4"/>
      <c r="H743" s="4"/>
      <c r="I743" s="4"/>
      <c r="J743" s="4"/>
      <c r="K743" s="4"/>
      <c r="L743" s="4"/>
      <c r="M743" s="4"/>
      <c r="N743" s="4"/>
      <c r="O743" s="4"/>
      <c r="P743" s="4"/>
      <c r="Q743" s="4"/>
      <c r="R743" s="4"/>
      <c r="S743" s="4"/>
      <c r="T743" s="4"/>
      <c r="U743" s="4"/>
      <c r="V743" s="4"/>
      <c r="W743" s="4"/>
      <c r="X743" s="4"/>
      <c r="Y743" s="4"/>
      <c r="Z743" s="4"/>
      <c r="AA743" s="4"/>
      <c r="AB743" s="4"/>
      <c r="AC743" s="4"/>
      <c r="AD743" s="4"/>
      <c r="AE743" s="4"/>
      <c r="AF743" s="4"/>
      <c r="AG743" s="4"/>
      <c r="AH743" s="4"/>
    </row>
    <row r="744" spans="1:34" ht="15.75" customHeight="1" x14ac:dyDescent="0.2">
      <c r="A744" s="3"/>
      <c r="B744" s="4"/>
      <c r="C744" s="4"/>
      <c r="D744" s="4"/>
      <c r="E744" s="4"/>
      <c r="F744" s="4"/>
      <c r="G744" s="4"/>
      <c r="H744" s="4"/>
      <c r="I744" s="4"/>
      <c r="J744" s="4"/>
      <c r="K744" s="4"/>
      <c r="L744" s="4"/>
      <c r="M744" s="4"/>
      <c r="N744" s="4"/>
      <c r="O744" s="4"/>
      <c r="P744" s="4"/>
      <c r="Q744" s="4"/>
      <c r="R744" s="4"/>
      <c r="S744" s="4"/>
      <c r="T744" s="4"/>
      <c r="U744" s="4"/>
      <c r="V744" s="4"/>
      <c r="W744" s="4"/>
      <c r="X744" s="4"/>
      <c r="Y744" s="4"/>
      <c r="Z744" s="4"/>
      <c r="AA744" s="4"/>
      <c r="AB744" s="4"/>
      <c r="AC744" s="4"/>
      <c r="AD744" s="4"/>
      <c r="AE744" s="4"/>
      <c r="AF744" s="4"/>
      <c r="AG744" s="4"/>
      <c r="AH744" s="4"/>
    </row>
    <row r="745" spans="1:34" ht="15.75" customHeight="1" x14ac:dyDescent="0.2">
      <c r="A745" s="3"/>
      <c r="B745" s="4"/>
      <c r="C745" s="4"/>
      <c r="D745" s="4"/>
      <c r="E745" s="4"/>
      <c r="F745" s="4"/>
      <c r="G745" s="4"/>
      <c r="H745" s="4"/>
      <c r="I745" s="4"/>
      <c r="J745" s="4"/>
      <c r="K745" s="4"/>
      <c r="L745" s="4"/>
      <c r="M745" s="4"/>
      <c r="N745" s="4"/>
      <c r="O745" s="4"/>
      <c r="P745" s="4"/>
      <c r="Q745" s="4"/>
      <c r="R745" s="4"/>
      <c r="S745" s="4"/>
      <c r="T745" s="4"/>
      <c r="U745" s="4"/>
      <c r="V745" s="4"/>
      <c r="W745" s="4"/>
      <c r="X745" s="4"/>
      <c r="Y745" s="4"/>
      <c r="Z745" s="4"/>
      <c r="AA745" s="4"/>
      <c r="AB745" s="4"/>
      <c r="AC745" s="4"/>
      <c r="AD745" s="4"/>
      <c r="AE745" s="4"/>
      <c r="AF745" s="4"/>
      <c r="AG745" s="4"/>
      <c r="AH745" s="4"/>
    </row>
    <row r="746" spans="1:34" ht="15.75" customHeight="1" x14ac:dyDescent="0.2">
      <c r="A746" s="3"/>
      <c r="B746" s="4"/>
      <c r="C746" s="4"/>
      <c r="D746" s="4"/>
      <c r="E746" s="4"/>
      <c r="F746" s="4"/>
      <c r="G746" s="4"/>
      <c r="H746" s="4"/>
      <c r="I746" s="4"/>
      <c r="J746" s="4"/>
      <c r="K746" s="4"/>
      <c r="L746" s="4"/>
      <c r="M746" s="4"/>
      <c r="N746" s="4"/>
      <c r="O746" s="4"/>
      <c r="P746" s="4"/>
      <c r="Q746" s="4"/>
      <c r="R746" s="4"/>
      <c r="S746" s="4"/>
      <c r="T746" s="4"/>
      <c r="U746" s="4"/>
      <c r="V746" s="4"/>
      <c r="W746" s="4"/>
      <c r="X746" s="4"/>
      <c r="Y746" s="4"/>
      <c r="Z746" s="4"/>
      <c r="AA746" s="4"/>
      <c r="AB746" s="4"/>
      <c r="AC746" s="4"/>
      <c r="AD746" s="4"/>
      <c r="AE746" s="4"/>
      <c r="AF746" s="4"/>
      <c r="AG746" s="4"/>
      <c r="AH746" s="4"/>
    </row>
    <row r="747" spans="1:34" ht="15.75" customHeight="1" x14ac:dyDescent="0.2">
      <c r="A747" s="3"/>
      <c r="B747" s="4"/>
      <c r="C747" s="4"/>
      <c r="D747" s="4"/>
      <c r="E747" s="4"/>
      <c r="F747" s="4"/>
      <c r="G747" s="4"/>
      <c r="H747" s="4"/>
      <c r="I747" s="4"/>
      <c r="J747" s="4"/>
      <c r="K747" s="4"/>
      <c r="L747" s="4"/>
      <c r="M747" s="4"/>
      <c r="N747" s="4"/>
      <c r="O747" s="4"/>
      <c r="P747" s="4"/>
      <c r="Q747" s="4"/>
      <c r="R747" s="4"/>
      <c r="S747" s="4"/>
      <c r="T747" s="4"/>
      <c r="U747" s="4"/>
      <c r="V747" s="4"/>
      <c r="W747" s="4"/>
      <c r="X747" s="4"/>
      <c r="Y747" s="4"/>
      <c r="Z747" s="4"/>
      <c r="AA747" s="4"/>
      <c r="AB747" s="4"/>
      <c r="AC747" s="4"/>
      <c r="AD747" s="4"/>
      <c r="AE747" s="4"/>
      <c r="AF747" s="4"/>
      <c r="AG747" s="4"/>
      <c r="AH747" s="4"/>
    </row>
    <row r="748" spans="1:34" ht="15.75" customHeight="1" x14ac:dyDescent="0.2">
      <c r="A748" s="3"/>
      <c r="B748" s="4"/>
      <c r="C748" s="4"/>
      <c r="D748" s="4"/>
      <c r="E748" s="4"/>
      <c r="F748" s="4"/>
      <c r="G748" s="4"/>
      <c r="H748" s="4"/>
      <c r="I748" s="4"/>
      <c r="J748" s="4"/>
      <c r="K748" s="4"/>
      <c r="L748" s="4"/>
      <c r="M748" s="4"/>
      <c r="N748" s="4"/>
      <c r="O748" s="4"/>
      <c r="P748" s="4"/>
      <c r="Q748" s="4"/>
      <c r="R748" s="4"/>
      <c r="S748" s="4"/>
      <c r="T748" s="4"/>
      <c r="U748" s="4"/>
      <c r="V748" s="4"/>
      <c r="W748" s="4"/>
      <c r="X748" s="4"/>
      <c r="Y748" s="4"/>
      <c r="Z748" s="4"/>
      <c r="AA748" s="4"/>
      <c r="AB748" s="4"/>
      <c r="AC748" s="4"/>
      <c r="AD748" s="4"/>
      <c r="AE748" s="4"/>
      <c r="AF748" s="4"/>
      <c r="AG748" s="4"/>
      <c r="AH748" s="4"/>
    </row>
    <row r="749" spans="1:34" ht="15.75" customHeight="1" x14ac:dyDescent="0.2">
      <c r="A749" s="3"/>
      <c r="B749" s="4"/>
      <c r="C749" s="4"/>
      <c r="D749" s="4"/>
      <c r="E749" s="4"/>
      <c r="F749" s="4"/>
      <c r="G749" s="4"/>
      <c r="H749" s="4"/>
      <c r="I749" s="4"/>
      <c r="J749" s="4"/>
      <c r="K749" s="4"/>
      <c r="L749" s="4"/>
      <c r="M749" s="4"/>
      <c r="N749" s="4"/>
      <c r="O749" s="4"/>
      <c r="P749" s="4"/>
      <c r="Q749" s="4"/>
      <c r="R749" s="4"/>
      <c r="S749" s="4"/>
      <c r="T749" s="4"/>
      <c r="U749" s="4"/>
      <c r="V749" s="4"/>
      <c r="W749" s="4"/>
      <c r="X749" s="4"/>
      <c r="Y749" s="4"/>
      <c r="Z749" s="4"/>
      <c r="AA749" s="4"/>
      <c r="AB749" s="4"/>
      <c r="AC749" s="4"/>
      <c r="AD749" s="4"/>
      <c r="AE749" s="4"/>
      <c r="AF749" s="4"/>
      <c r="AG749" s="4"/>
      <c r="AH749" s="4"/>
    </row>
    <row r="750" spans="1:34" ht="15.75" customHeight="1" x14ac:dyDescent="0.2">
      <c r="A750" s="3"/>
      <c r="B750" s="4"/>
      <c r="C750" s="4"/>
      <c r="D750" s="4"/>
      <c r="E750" s="4"/>
      <c r="F750" s="4"/>
      <c r="G750" s="4"/>
      <c r="H750" s="4"/>
      <c r="I750" s="4"/>
      <c r="J750" s="4"/>
      <c r="K750" s="4"/>
      <c r="L750" s="4"/>
      <c r="M750" s="4"/>
      <c r="N750" s="4"/>
      <c r="O750" s="4"/>
      <c r="P750" s="4"/>
      <c r="Q750" s="4"/>
      <c r="R750" s="4"/>
      <c r="S750" s="4"/>
      <c r="T750" s="4"/>
      <c r="U750" s="4"/>
      <c r="V750" s="4"/>
      <c r="W750" s="4"/>
      <c r="X750" s="4"/>
      <c r="Y750" s="4"/>
      <c r="Z750" s="4"/>
      <c r="AA750" s="4"/>
      <c r="AB750" s="4"/>
      <c r="AC750" s="4"/>
      <c r="AD750" s="4"/>
      <c r="AE750" s="4"/>
      <c r="AF750" s="4"/>
      <c r="AG750" s="4"/>
      <c r="AH750" s="4"/>
    </row>
    <row r="751" spans="1:34" ht="15.75" customHeight="1" x14ac:dyDescent="0.2">
      <c r="A751" s="3"/>
      <c r="B751" s="4"/>
      <c r="C751" s="4"/>
      <c r="D751" s="4"/>
      <c r="E751" s="4"/>
      <c r="F751" s="4"/>
      <c r="G751" s="4"/>
      <c r="H751" s="4"/>
      <c r="I751" s="4"/>
      <c r="J751" s="4"/>
      <c r="K751" s="4"/>
      <c r="L751" s="4"/>
      <c r="M751" s="4"/>
      <c r="N751" s="4"/>
      <c r="O751" s="4"/>
      <c r="P751" s="4"/>
      <c r="Q751" s="4"/>
      <c r="R751" s="4"/>
      <c r="S751" s="4"/>
      <c r="T751" s="4"/>
      <c r="U751" s="4"/>
      <c r="V751" s="4"/>
      <c r="W751" s="4"/>
      <c r="X751" s="4"/>
      <c r="Y751" s="4"/>
      <c r="Z751" s="4"/>
      <c r="AA751" s="4"/>
      <c r="AB751" s="4"/>
      <c r="AC751" s="4"/>
      <c r="AD751" s="4"/>
      <c r="AE751" s="4"/>
      <c r="AF751" s="4"/>
      <c r="AG751" s="4"/>
      <c r="AH751" s="4"/>
    </row>
    <row r="752" spans="1:34" ht="15.75" customHeight="1" x14ac:dyDescent="0.2">
      <c r="A752" s="3"/>
      <c r="B752" s="4"/>
      <c r="C752" s="4"/>
      <c r="D752" s="4"/>
      <c r="E752" s="4"/>
      <c r="F752" s="4"/>
      <c r="G752" s="4"/>
      <c r="H752" s="4"/>
      <c r="I752" s="4"/>
      <c r="J752" s="4"/>
      <c r="K752" s="4"/>
      <c r="L752" s="4"/>
      <c r="M752" s="4"/>
      <c r="N752" s="4"/>
      <c r="O752" s="4"/>
      <c r="P752" s="4"/>
      <c r="Q752" s="4"/>
      <c r="R752" s="4"/>
      <c r="S752" s="4"/>
      <c r="T752" s="4"/>
      <c r="U752" s="4"/>
      <c r="V752" s="4"/>
      <c r="W752" s="4"/>
      <c r="X752" s="4"/>
      <c r="Y752" s="4"/>
      <c r="Z752" s="4"/>
      <c r="AA752" s="4"/>
      <c r="AB752" s="4"/>
      <c r="AC752" s="4"/>
      <c r="AD752" s="4"/>
      <c r="AE752" s="4"/>
      <c r="AF752" s="4"/>
      <c r="AG752" s="4"/>
      <c r="AH752" s="4"/>
    </row>
    <row r="753" spans="1:34" ht="15.75" customHeight="1" x14ac:dyDescent="0.2">
      <c r="A753" s="3"/>
      <c r="B753" s="4"/>
      <c r="C753" s="4"/>
      <c r="D753" s="4"/>
      <c r="E753" s="4"/>
      <c r="F753" s="4"/>
      <c r="G753" s="4"/>
      <c r="H753" s="4"/>
      <c r="I753" s="4"/>
      <c r="J753" s="4"/>
      <c r="K753" s="4"/>
      <c r="L753" s="4"/>
      <c r="M753" s="4"/>
      <c r="N753" s="4"/>
      <c r="O753" s="4"/>
      <c r="P753" s="4"/>
      <c r="Q753" s="4"/>
      <c r="R753" s="4"/>
      <c r="S753" s="4"/>
      <c r="T753" s="4"/>
      <c r="U753" s="4"/>
      <c r="V753" s="4"/>
      <c r="W753" s="4"/>
      <c r="X753" s="4"/>
      <c r="Y753" s="4"/>
      <c r="Z753" s="4"/>
      <c r="AA753" s="4"/>
      <c r="AB753" s="4"/>
      <c r="AC753" s="4"/>
      <c r="AD753" s="4"/>
      <c r="AE753" s="4"/>
      <c r="AF753" s="4"/>
      <c r="AG753" s="4"/>
      <c r="AH753" s="4"/>
    </row>
    <row r="754" spans="1:34" ht="15.75" customHeight="1" x14ac:dyDescent="0.2">
      <c r="A754" s="3"/>
      <c r="B754" s="4"/>
      <c r="C754" s="4"/>
      <c r="D754" s="4"/>
      <c r="E754" s="4"/>
      <c r="F754" s="4"/>
      <c r="G754" s="4"/>
      <c r="H754" s="4"/>
      <c r="I754" s="4"/>
      <c r="J754" s="4"/>
      <c r="K754" s="4"/>
      <c r="L754" s="4"/>
      <c r="M754" s="4"/>
      <c r="N754" s="4"/>
      <c r="O754" s="4"/>
      <c r="P754" s="4"/>
      <c r="Q754" s="4"/>
      <c r="R754" s="4"/>
      <c r="S754" s="4"/>
      <c r="T754" s="4"/>
      <c r="U754" s="4"/>
      <c r="V754" s="4"/>
      <c r="W754" s="4"/>
      <c r="X754" s="4"/>
      <c r="Y754" s="4"/>
      <c r="Z754" s="4"/>
      <c r="AA754" s="4"/>
      <c r="AB754" s="4"/>
      <c r="AC754" s="4"/>
      <c r="AD754" s="4"/>
      <c r="AE754" s="4"/>
      <c r="AF754" s="4"/>
      <c r="AG754" s="4"/>
      <c r="AH754" s="4"/>
    </row>
    <row r="755" spans="1:34" ht="15.75" customHeight="1" x14ac:dyDescent="0.2">
      <c r="A755" s="3"/>
      <c r="B755" s="4"/>
      <c r="C755" s="4"/>
      <c r="D755" s="4"/>
      <c r="E755" s="4"/>
      <c r="F755" s="4"/>
      <c r="G755" s="4"/>
      <c r="H755" s="4"/>
      <c r="I755" s="4"/>
      <c r="J755" s="4"/>
      <c r="K755" s="4"/>
      <c r="L755" s="4"/>
      <c r="M755" s="4"/>
      <c r="N755" s="4"/>
      <c r="O755" s="4"/>
      <c r="P755" s="4"/>
      <c r="Q755" s="4"/>
      <c r="R755" s="4"/>
      <c r="S755" s="4"/>
      <c r="T755" s="4"/>
      <c r="U755" s="4"/>
      <c r="V755" s="4"/>
      <c r="W755" s="4"/>
      <c r="X755" s="4"/>
      <c r="Y755" s="4"/>
      <c r="Z755" s="4"/>
      <c r="AA755" s="4"/>
      <c r="AB755" s="4"/>
      <c r="AC755" s="4"/>
      <c r="AD755" s="4"/>
      <c r="AE755" s="4"/>
      <c r="AF755" s="4"/>
      <c r="AG755" s="4"/>
      <c r="AH755" s="4"/>
    </row>
    <row r="756" spans="1:34" ht="15.75" customHeight="1" x14ac:dyDescent="0.2">
      <c r="A756" s="3"/>
      <c r="B756" s="4"/>
      <c r="C756" s="4"/>
      <c r="D756" s="4"/>
      <c r="E756" s="4"/>
      <c r="F756" s="4"/>
      <c r="G756" s="4"/>
      <c r="H756" s="4"/>
      <c r="I756" s="4"/>
      <c r="J756" s="4"/>
      <c r="K756" s="4"/>
      <c r="L756" s="4"/>
      <c r="M756" s="4"/>
      <c r="N756" s="4"/>
      <c r="O756" s="4"/>
      <c r="P756" s="4"/>
      <c r="Q756" s="4"/>
      <c r="R756" s="4"/>
      <c r="S756" s="4"/>
      <c r="T756" s="4"/>
      <c r="U756" s="4"/>
      <c r="V756" s="4"/>
      <c r="W756" s="4"/>
      <c r="X756" s="4"/>
      <c r="Y756" s="4"/>
      <c r="Z756" s="4"/>
      <c r="AA756" s="4"/>
      <c r="AB756" s="4"/>
      <c r="AC756" s="4"/>
      <c r="AD756" s="4"/>
      <c r="AE756" s="4"/>
      <c r="AF756" s="4"/>
      <c r="AG756" s="4"/>
      <c r="AH756" s="4"/>
    </row>
    <row r="757" spans="1:34" ht="15.75" customHeight="1" x14ac:dyDescent="0.2">
      <c r="A757" s="3"/>
      <c r="B757" s="4"/>
      <c r="C757" s="4"/>
      <c r="D757" s="4"/>
      <c r="E757" s="4"/>
      <c r="F757" s="4"/>
      <c r="G757" s="4"/>
      <c r="H757" s="4"/>
      <c r="I757" s="4"/>
      <c r="J757" s="4"/>
      <c r="K757" s="4"/>
      <c r="L757" s="4"/>
      <c r="M757" s="4"/>
      <c r="N757" s="4"/>
      <c r="O757" s="4"/>
      <c r="P757" s="4"/>
      <c r="Q757" s="4"/>
      <c r="R757" s="4"/>
      <c r="S757" s="4"/>
      <c r="T757" s="4"/>
      <c r="U757" s="4"/>
      <c r="V757" s="4"/>
      <c r="W757" s="4"/>
      <c r="X757" s="4"/>
      <c r="Y757" s="4"/>
      <c r="Z757" s="4"/>
      <c r="AA757" s="4"/>
      <c r="AB757" s="4"/>
      <c r="AC757" s="4"/>
      <c r="AD757" s="4"/>
      <c r="AE757" s="4"/>
      <c r="AF757" s="4"/>
      <c r="AG757" s="4"/>
      <c r="AH757" s="4"/>
    </row>
    <row r="758" spans="1:34" ht="15.75" customHeight="1" x14ac:dyDescent="0.2">
      <c r="A758" s="3"/>
      <c r="B758" s="4"/>
      <c r="C758" s="4"/>
      <c r="D758" s="4"/>
      <c r="E758" s="4"/>
      <c r="F758" s="4"/>
      <c r="G758" s="4"/>
      <c r="H758" s="4"/>
      <c r="I758" s="4"/>
      <c r="J758" s="4"/>
      <c r="K758" s="4"/>
      <c r="L758" s="4"/>
      <c r="M758" s="4"/>
      <c r="N758" s="4"/>
      <c r="O758" s="4"/>
      <c r="P758" s="4"/>
      <c r="Q758" s="4"/>
      <c r="R758" s="4"/>
      <c r="S758" s="4"/>
      <c r="T758" s="4"/>
      <c r="U758" s="4"/>
      <c r="V758" s="4"/>
      <c r="W758" s="4"/>
      <c r="X758" s="4"/>
      <c r="Y758" s="4"/>
      <c r="Z758" s="4"/>
      <c r="AA758" s="4"/>
      <c r="AB758" s="4"/>
      <c r="AC758" s="4"/>
      <c r="AD758" s="4"/>
      <c r="AE758" s="4"/>
      <c r="AF758" s="4"/>
      <c r="AG758" s="4"/>
      <c r="AH758" s="4"/>
    </row>
    <row r="759" spans="1:34" ht="15.75" customHeight="1" x14ac:dyDescent="0.2">
      <c r="A759" s="3"/>
      <c r="B759" s="4"/>
      <c r="C759" s="4"/>
      <c r="D759" s="4"/>
      <c r="E759" s="4"/>
      <c r="F759" s="4"/>
      <c r="G759" s="4"/>
      <c r="H759" s="4"/>
      <c r="I759" s="4"/>
      <c r="J759" s="4"/>
      <c r="K759" s="4"/>
      <c r="L759" s="4"/>
      <c r="M759" s="4"/>
      <c r="N759" s="4"/>
      <c r="O759" s="4"/>
      <c r="P759" s="4"/>
      <c r="Q759" s="4"/>
      <c r="R759" s="4"/>
      <c r="S759" s="4"/>
      <c r="T759" s="4"/>
      <c r="U759" s="4"/>
      <c r="V759" s="4"/>
      <c r="W759" s="4"/>
      <c r="X759" s="4"/>
      <c r="Y759" s="4"/>
      <c r="Z759" s="4"/>
      <c r="AA759" s="4"/>
      <c r="AB759" s="4"/>
      <c r="AC759" s="4"/>
      <c r="AD759" s="4"/>
      <c r="AE759" s="4"/>
      <c r="AF759" s="4"/>
      <c r="AG759" s="4"/>
      <c r="AH759" s="4"/>
    </row>
    <row r="760" spans="1:34" ht="15.75" customHeight="1" x14ac:dyDescent="0.2">
      <c r="A760" s="3"/>
      <c r="B760" s="4"/>
      <c r="C760" s="4"/>
      <c r="D760" s="4"/>
      <c r="E760" s="4"/>
      <c r="F760" s="4"/>
      <c r="G760" s="4"/>
      <c r="H760" s="4"/>
      <c r="I760" s="4"/>
      <c r="J760" s="4"/>
      <c r="K760" s="4"/>
      <c r="L760" s="4"/>
      <c r="M760" s="4"/>
      <c r="N760" s="4"/>
      <c r="O760" s="4"/>
      <c r="P760" s="4"/>
      <c r="Q760" s="4"/>
      <c r="R760" s="4"/>
      <c r="S760" s="4"/>
      <c r="T760" s="4"/>
      <c r="U760" s="4"/>
      <c r="V760" s="4"/>
      <c r="W760" s="4"/>
      <c r="X760" s="4"/>
      <c r="Y760" s="4"/>
      <c r="Z760" s="4"/>
      <c r="AA760" s="4"/>
      <c r="AB760" s="4"/>
      <c r="AC760" s="4"/>
      <c r="AD760" s="4"/>
      <c r="AE760" s="4"/>
      <c r="AF760" s="4"/>
      <c r="AG760" s="4"/>
      <c r="AH760" s="4"/>
    </row>
    <row r="761" spans="1:34" ht="15.75" customHeight="1" x14ac:dyDescent="0.2">
      <c r="A761" s="3"/>
      <c r="B761" s="4"/>
      <c r="C761" s="4"/>
      <c r="D761" s="4"/>
      <c r="E761" s="4"/>
      <c r="F761" s="4"/>
      <c r="G761" s="4"/>
      <c r="H761" s="4"/>
      <c r="I761" s="4"/>
      <c r="J761" s="4"/>
      <c r="K761" s="4"/>
      <c r="L761" s="4"/>
      <c r="M761" s="4"/>
      <c r="N761" s="4"/>
      <c r="O761" s="4"/>
      <c r="P761" s="4"/>
      <c r="Q761" s="4"/>
      <c r="R761" s="4"/>
      <c r="S761" s="4"/>
      <c r="T761" s="4"/>
      <c r="U761" s="4"/>
      <c r="V761" s="4"/>
      <c r="W761" s="4"/>
      <c r="X761" s="4"/>
      <c r="Y761" s="4"/>
      <c r="Z761" s="4"/>
      <c r="AA761" s="4"/>
      <c r="AB761" s="4"/>
      <c r="AC761" s="4"/>
      <c r="AD761" s="4"/>
      <c r="AE761" s="4"/>
      <c r="AF761" s="4"/>
      <c r="AG761" s="4"/>
      <c r="AH761" s="4"/>
    </row>
    <row r="762" spans="1:34" ht="15.75" customHeight="1" x14ac:dyDescent="0.2">
      <c r="A762" s="3"/>
      <c r="B762" s="4"/>
      <c r="C762" s="4"/>
      <c r="D762" s="4"/>
      <c r="E762" s="4"/>
      <c r="F762" s="4"/>
      <c r="G762" s="4"/>
      <c r="H762" s="4"/>
      <c r="I762" s="4"/>
      <c r="J762" s="4"/>
      <c r="K762" s="4"/>
      <c r="L762" s="4"/>
      <c r="M762" s="4"/>
      <c r="N762" s="4"/>
      <c r="O762" s="4"/>
      <c r="P762" s="4"/>
      <c r="Q762" s="4"/>
      <c r="R762" s="4"/>
      <c r="S762" s="4"/>
      <c r="T762" s="4"/>
      <c r="U762" s="4"/>
      <c r="V762" s="4"/>
      <c r="W762" s="4"/>
      <c r="X762" s="4"/>
      <c r="Y762" s="4"/>
      <c r="Z762" s="4"/>
      <c r="AA762" s="4"/>
      <c r="AB762" s="4"/>
      <c r="AC762" s="4"/>
      <c r="AD762" s="4"/>
      <c r="AE762" s="4"/>
      <c r="AF762" s="4"/>
      <c r="AG762" s="4"/>
      <c r="AH762" s="4"/>
    </row>
    <row r="763" spans="1:34" ht="15.75" customHeight="1" x14ac:dyDescent="0.2">
      <c r="A763" s="3"/>
      <c r="B763" s="4"/>
      <c r="C763" s="4"/>
      <c r="D763" s="4"/>
      <c r="E763" s="4"/>
      <c r="F763" s="4"/>
      <c r="G763" s="4"/>
      <c r="H763" s="4"/>
      <c r="I763" s="4"/>
      <c r="J763" s="4"/>
      <c r="K763" s="4"/>
      <c r="L763" s="4"/>
      <c r="M763" s="4"/>
      <c r="N763" s="4"/>
      <c r="O763" s="4"/>
      <c r="P763" s="4"/>
      <c r="Q763" s="4"/>
      <c r="R763" s="4"/>
      <c r="S763" s="4"/>
      <c r="T763" s="4"/>
      <c r="U763" s="4"/>
      <c r="V763" s="4"/>
      <c r="W763" s="4"/>
      <c r="X763" s="4"/>
      <c r="Y763" s="4"/>
      <c r="Z763" s="4"/>
      <c r="AA763" s="4"/>
      <c r="AB763" s="4"/>
      <c r="AC763" s="4"/>
      <c r="AD763" s="4"/>
      <c r="AE763" s="4"/>
      <c r="AF763" s="4"/>
      <c r="AG763" s="4"/>
      <c r="AH763" s="4"/>
    </row>
    <row r="764" spans="1:34" ht="15.75" customHeight="1" x14ac:dyDescent="0.2">
      <c r="A764" s="3"/>
      <c r="B764" s="4"/>
      <c r="C764" s="4"/>
      <c r="D764" s="4"/>
      <c r="E764" s="4"/>
      <c r="F764" s="4"/>
      <c r="G764" s="4"/>
      <c r="H764" s="4"/>
      <c r="I764" s="4"/>
      <c r="J764" s="4"/>
      <c r="K764" s="4"/>
      <c r="L764" s="4"/>
      <c r="M764" s="4"/>
      <c r="N764" s="4"/>
      <c r="O764" s="4"/>
      <c r="P764" s="4"/>
      <c r="Q764" s="4"/>
      <c r="R764" s="4"/>
      <c r="S764" s="4"/>
      <c r="T764" s="4"/>
      <c r="U764" s="4"/>
      <c r="V764" s="4"/>
      <c r="W764" s="4"/>
      <c r="X764" s="4"/>
      <c r="Y764" s="4"/>
      <c r="Z764" s="4"/>
      <c r="AA764" s="4"/>
      <c r="AB764" s="4"/>
      <c r="AC764" s="4"/>
      <c r="AD764" s="4"/>
      <c r="AE764" s="4"/>
      <c r="AF764" s="4"/>
      <c r="AG764" s="4"/>
      <c r="AH764" s="4"/>
    </row>
    <row r="765" spans="1:34" ht="15.75" customHeight="1" x14ac:dyDescent="0.2">
      <c r="A765" s="3"/>
      <c r="B765" s="4"/>
      <c r="C765" s="4"/>
      <c r="D765" s="4"/>
      <c r="E765" s="4"/>
      <c r="F765" s="4"/>
      <c r="G765" s="4"/>
      <c r="H765" s="4"/>
      <c r="I765" s="4"/>
      <c r="J765" s="4"/>
      <c r="K765" s="4"/>
      <c r="L765" s="4"/>
      <c r="M765" s="4"/>
      <c r="N765" s="4"/>
      <c r="O765" s="4"/>
      <c r="P765" s="4"/>
      <c r="Q765" s="4"/>
      <c r="R765" s="4"/>
      <c r="S765" s="4"/>
      <c r="T765" s="4"/>
      <c r="U765" s="4"/>
      <c r="V765" s="4"/>
      <c r="W765" s="4"/>
      <c r="X765" s="4"/>
      <c r="Y765" s="4"/>
      <c r="Z765" s="4"/>
      <c r="AA765" s="4"/>
      <c r="AB765" s="4"/>
      <c r="AC765" s="4"/>
      <c r="AD765" s="4"/>
      <c r="AE765" s="4"/>
      <c r="AF765" s="4"/>
      <c r="AG765" s="4"/>
      <c r="AH765" s="4"/>
    </row>
    <row r="766" spans="1:34" ht="15.75" customHeight="1" x14ac:dyDescent="0.2">
      <c r="A766" s="3"/>
      <c r="B766" s="4"/>
      <c r="C766" s="4"/>
      <c r="D766" s="4"/>
      <c r="E766" s="4"/>
      <c r="F766" s="4"/>
      <c r="G766" s="4"/>
      <c r="H766" s="4"/>
      <c r="I766" s="4"/>
      <c r="J766" s="4"/>
      <c r="K766" s="4"/>
      <c r="L766" s="4"/>
      <c r="M766" s="4"/>
      <c r="N766" s="4"/>
      <c r="O766" s="4"/>
      <c r="P766" s="4"/>
      <c r="Q766" s="4"/>
      <c r="R766" s="4"/>
      <c r="S766" s="4"/>
      <c r="T766" s="4"/>
      <c r="U766" s="4"/>
      <c r="V766" s="4"/>
      <c r="W766" s="4"/>
      <c r="X766" s="4"/>
      <c r="Y766" s="4"/>
      <c r="Z766" s="4"/>
      <c r="AA766" s="4"/>
      <c r="AB766" s="4"/>
      <c r="AC766" s="4"/>
      <c r="AD766" s="4"/>
      <c r="AE766" s="4"/>
      <c r="AF766" s="4"/>
      <c r="AG766" s="4"/>
      <c r="AH766" s="4"/>
    </row>
    <row r="767" spans="1:34" ht="15.75" customHeight="1" x14ac:dyDescent="0.2">
      <c r="A767" s="3"/>
      <c r="B767" s="4"/>
      <c r="C767" s="4"/>
      <c r="D767" s="4"/>
      <c r="E767" s="4"/>
      <c r="F767" s="4"/>
      <c r="G767" s="4"/>
      <c r="H767" s="4"/>
      <c r="I767" s="4"/>
      <c r="J767" s="4"/>
      <c r="K767" s="4"/>
      <c r="L767" s="4"/>
      <c r="M767" s="4"/>
      <c r="N767" s="4"/>
      <c r="O767" s="4"/>
      <c r="P767" s="4"/>
      <c r="Q767" s="4"/>
      <c r="R767" s="4"/>
      <c r="S767" s="4"/>
      <c r="T767" s="4"/>
      <c r="U767" s="4"/>
      <c r="V767" s="4"/>
      <c r="W767" s="4"/>
      <c r="X767" s="4"/>
      <c r="Y767" s="4"/>
      <c r="Z767" s="4"/>
      <c r="AA767" s="4"/>
      <c r="AB767" s="4"/>
      <c r="AC767" s="4"/>
      <c r="AD767" s="4"/>
      <c r="AE767" s="4"/>
      <c r="AF767" s="4"/>
      <c r="AG767" s="4"/>
      <c r="AH767" s="4"/>
    </row>
    <row r="768" spans="1:34" ht="15.75" customHeight="1" x14ac:dyDescent="0.2">
      <c r="A768" s="3"/>
      <c r="B768" s="4"/>
      <c r="C768" s="4"/>
      <c r="D768" s="4"/>
      <c r="E768" s="4"/>
      <c r="F768" s="4"/>
      <c r="G768" s="4"/>
      <c r="H768" s="4"/>
      <c r="I768" s="4"/>
      <c r="J768" s="4"/>
      <c r="K768" s="4"/>
      <c r="L768" s="4"/>
      <c r="M768" s="4"/>
      <c r="N768" s="4"/>
      <c r="O768" s="4"/>
      <c r="P768" s="4"/>
      <c r="Q768" s="4"/>
      <c r="R768" s="4"/>
      <c r="S768" s="4"/>
      <c r="T768" s="4"/>
      <c r="U768" s="4"/>
      <c r="V768" s="4"/>
      <c r="W768" s="4"/>
      <c r="X768" s="4"/>
      <c r="Y768" s="4"/>
      <c r="Z768" s="4"/>
      <c r="AA768" s="4"/>
      <c r="AB768" s="4"/>
      <c r="AC768" s="4"/>
      <c r="AD768" s="4"/>
      <c r="AE768" s="4"/>
      <c r="AF768" s="4"/>
      <c r="AG768" s="4"/>
      <c r="AH768" s="4"/>
    </row>
    <row r="769" spans="1:34" ht="15.75" customHeight="1" x14ac:dyDescent="0.2">
      <c r="A769" s="3"/>
      <c r="B769" s="4"/>
      <c r="C769" s="4"/>
      <c r="D769" s="4"/>
      <c r="E769" s="4"/>
      <c r="F769" s="4"/>
      <c r="G769" s="4"/>
      <c r="H769" s="4"/>
      <c r="I769" s="4"/>
      <c r="J769" s="4"/>
      <c r="K769" s="4"/>
      <c r="L769" s="4"/>
      <c r="M769" s="4"/>
      <c r="N769" s="4"/>
      <c r="O769" s="4"/>
      <c r="P769" s="4"/>
      <c r="Q769" s="4"/>
      <c r="R769" s="4"/>
      <c r="S769" s="4"/>
      <c r="T769" s="4"/>
      <c r="U769" s="4"/>
      <c r="V769" s="4"/>
      <c r="W769" s="4"/>
      <c r="X769" s="4"/>
      <c r="Y769" s="4"/>
      <c r="Z769" s="4"/>
      <c r="AA769" s="4"/>
      <c r="AB769" s="4"/>
      <c r="AC769" s="4"/>
      <c r="AD769" s="4"/>
      <c r="AE769" s="4"/>
      <c r="AF769" s="4"/>
      <c r="AG769" s="4"/>
      <c r="AH769" s="4"/>
    </row>
    <row r="770" spans="1:34" ht="15.75" customHeight="1" x14ac:dyDescent="0.2">
      <c r="A770" s="3"/>
      <c r="B770" s="4"/>
      <c r="C770" s="4"/>
      <c r="D770" s="4"/>
      <c r="E770" s="4"/>
      <c r="F770" s="4"/>
      <c r="G770" s="4"/>
      <c r="H770" s="4"/>
      <c r="I770" s="4"/>
      <c r="J770" s="4"/>
      <c r="K770" s="4"/>
      <c r="L770" s="4"/>
      <c r="M770" s="4"/>
      <c r="N770" s="4"/>
      <c r="O770" s="4"/>
      <c r="P770" s="4"/>
      <c r="Q770" s="4"/>
      <c r="R770" s="4"/>
      <c r="S770" s="4"/>
      <c r="T770" s="4"/>
      <c r="U770" s="4"/>
      <c r="V770" s="4"/>
      <c r="W770" s="4"/>
      <c r="X770" s="4"/>
      <c r="Y770" s="4"/>
      <c r="Z770" s="4"/>
      <c r="AA770" s="4"/>
      <c r="AB770" s="4"/>
      <c r="AC770" s="4"/>
      <c r="AD770" s="4"/>
      <c r="AE770" s="4"/>
      <c r="AF770" s="4"/>
      <c r="AG770" s="4"/>
      <c r="AH770" s="4"/>
    </row>
    <row r="771" spans="1:34" ht="15.75" customHeight="1" x14ac:dyDescent="0.2">
      <c r="A771" s="3"/>
      <c r="B771" s="4"/>
      <c r="C771" s="4"/>
      <c r="D771" s="4"/>
      <c r="E771" s="4"/>
      <c r="F771" s="4"/>
      <c r="G771" s="4"/>
      <c r="H771" s="4"/>
      <c r="I771" s="4"/>
      <c r="J771" s="4"/>
      <c r="K771" s="4"/>
      <c r="L771" s="4"/>
      <c r="M771" s="4"/>
      <c r="N771" s="4"/>
      <c r="O771" s="4"/>
      <c r="P771" s="4"/>
      <c r="Q771" s="4"/>
      <c r="R771" s="4"/>
      <c r="S771" s="4"/>
      <c r="T771" s="4"/>
      <c r="U771" s="4"/>
      <c r="V771" s="4"/>
      <c r="W771" s="4"/>
      <c r="X771" s="4"/>
      <c r="Y771" s="4"/>
      <c r="Z771" s="4"/>
      <c r="AA771" s="4"/>
      <c r="AB771" s="4"/>
      <c r="AC771" s="4"/>
      <c r="AD771" s="4"/>
      <c r="AE771" s="4"/>
      <c r="AF771" s="4"/>
      <c r="AG771" s="4"/>
      <c r="AH771" s="4"/>
    </row>
    <row r="772" spans="1:34" ht="15.75" customHeight="1" x14ac:dyDescent="0.2">
      <c r="A772" s="3"/>
      <c r="B772" s="4"/>
      <c r="C772" s="4"/>
      <c r="D772" s="4"/>
      <c r="E772" s="4"/>
      <c r="F772" s="4"/>
      <c r="G772" s="4"/>
      <c r="H772" s="4"/>
      <c r="I772" s="4"/>
      <c r="J772" s="4"/>
      <c r="K772" s="4"/>
      <c r="L772" s="4"/>
      <c r="M772" s="4"/>
      <c r="N772" s="4"/>
      <c r="O772" s="4"/>
      <c r="P772" s="4"/>
      <c r="Q772" s="4"/>
      <c r="R772" s="4"/>
      <c r="S772" s="4"/>
      <c r="T772" s="4"/>
      <c r="U772" s="4"/>
      <c r="V772" s="4"/>
      <c r="W772" s="4"/>
      <c r="X772" s="4"/>
      <c r="Y772" s="4"/>
      <c r="Z772" s="4"/>
      <c r="AA772" s="4"/>
      <c r="AB772" s="4"/>
      <c r="AC772" s="4"/>
      <c r="AD772" s="4"/>
      <c r="AE772" s="4"/>
      <c r="AF772" s="4"/>
      <c r="AG772" s="4"/>
      <c r="AH772" s="4"/>
    </row>
    <row r="773" spans="1:34" ht="15.75" customHeight="1" x14ac:dyDescent="0.2">
      <c r="A773" s="3"/>
      <c r="B773" s="4"/>
      <c r="C773" s="4"/>
      <c r="D773" s="4"/>
      <c r="E773" s="4"/>
      <c r="F773" s="4"/>
      <c r="G773" s="4"/>
      <c r="H773" s="4"/>
      <c r="I773" s="4"/>
      <c r="J773" s="4"/>
      <c r="K773" s="4"/>
      <c r="L773" s="4"/>
      <c r="M773" s="4"/>
      <c r="N773" s="4"/>
      <c r="O773" s="4"/>
      <c r="P773" s="4"/>
      <c r="Q773" s="4"/>
      <c r="R773" s="4"/>
      <c r="S773" s="4"/>
      <c r="T773" s="4"/>
      <c r="U773" s="4"/>
      <c r="V773" s="4"/>
      <c r="W773" s="4"/>
      <c r="X773" s="4"/>
      <c r="Y773" s="4"/>
      <c r="Z773" s="4"/>
      <c r="AA773" s="4"/>
      <c r="AB773" s="4"/>
      <c r="AC773" s="4"/>
      <c r="AD773" s="4"/>
      <c r="AE773" s="4"/>
      <c r="AF773" s="4"/>
      <c r="AG773" s="4"/>
      <c r="AH773" s="4"/>
    </row>
    <row r="774" spans="1:34" ht="15.75" customHeight="1" x14ac:dyDescent="0.2">
      <c r="A774" s="3"/>
      <c r="B774" s="4"/>
      <c r="C774" s="4"/>
      <c r="D774" s="4"/>
      <c r="E774" s="4"/>
      <c r="F774" s="4"/>
      <c r="G774" s="4"/>
      <c r="H774" s="4"/>
      <c r="I774" s="4"/>
      <c r="J774" s="4"/>
      <c r="K774" s="4"/>
      <c r="L774" s="4"/>
      <c r="M774" s="4"/>
      <c r="N774" s="4"/>
      <c r="O774" s="4"/>
      <c r="P774" s="4"/>
      <c r="Q774" s="4"/>
      <c r="R774" s="4"/>
      <c r="S774" s="4"/>
      <c r="T774" s="4"/>
      <c r="U774" s="4"/>
      <c r="V774" s="4"/>
      <c r="W774" s="4"/>
      <c r="X774" s="4"/>
      <c r="Y774" s="4"/>
      <c r="Z774" s="4"/>
      <c r="AA774" s="4"/>
      <c r="AB774" s="4"/>
      <c r="AC774" s="4"/>
      <c r="AD774" s="4"/>
      <c r="AE774" s="4"/>
      <c r="AF774" s="4"/>
      <c r="AG774" s="4"/>
      <c r="AH774" s="4"/>
    </row>
    <row r="775" spans="1:34" ht="15.75" customHeight="1" x14ac:dyDescent="0.2">
      <c r="A775" s="3"/>
      <c r="B775" s="4"/>
      <c r="C775" s="4"/>
      <c r="D775" s="4"/>
      <c r="E775" s="4"/>
      <c r="F775" s="4"/>
      <c r="G775" s="4"/>
      <c r="H775" s="4"/>
      <c r="I775" s="4"/>
      <c r="J775" s="4"/>
      <c r="K775" s="4"/>
      <c r="L775" s="4"/>
      <c r="M775" s="4"/>
      <c r="N775" s="4"/>
      <c r="O775" s="4"/>
      <c r="P775" s="4"/>
      <c r="Q775" s="4"/>
      <c r="R775" s="4"/>
      <c r="S775" s="4"/>
      <c r="T775" s="4"/>
      <c r="U775" s="4"/>
      <c r="V775" s="4"/>
      <c r="W775" s="4"/>
      <c r="X775" s="4"/>
      <c r="Y775" s="4"/>
      <c r="Z775" s="4"/>
      <c r="AA775" s="4"/>
      <c r="AB775" s="4"/>
      <c r="AC775" s="4"/>
      <c r="AD775" s="4"/>
      <c r="AE775" s="4"/>
      <c r="AF775" s="4"/>
      <c r="AG775" s="4"/>
      <c r="AH775" s="4"/>
    </row>
    <row r="776" spans="1:34" ht="15.75" customHeight="1" x14ac:dyDescent="0.2">
      <c r="A776" s="3"/>
      <c r="B776" s="4"/>
      <c r="C776" s="4"/>
      <c r="D776" s="4"/>
      <c r="E776" s="4"/>
      <c r="F776" s="4"/>
      <c r="G776" s="4"/>
      <c r="H776" s="4"/>
      <c r="I776" s="4"/>
      <c r="J776" s="4"/>
      <c r="K776" s="4"/>
      <c r="L776" s="4"/>
      <c r="M776" s="4"/>
      <c r="N776" s="4"/>
      <c r="O776" s="4"/>
      <c r="P776" s="4"/>
      <c r="Q776" s="4"/>
      <c r="R776" s="4"/>
      <c r="S776" s="4"/>
      <c r="T776" s="4"/>
      <c r="U776" s="4"/>
      <c r="V776" s="4"/>
      <c r="W776" s="4"/>
      <c r="X776" s="4"/>
      <c r="Y776" s="4"/>
      <c r="Z776" s="4"/>
      <c r="AA776" s="4"/>
      <c r="AB776" s="4"/>
      <c r="AC776" s="4"/>
      <c r="AD776" s="4"/>
      <c r="AE776" s="4"/>
      <c r="AF776" s="4"/>
      <c r="AG776" s="4"/>
      <c r="AH776" s="4"/>
    </row>
    <row r="777" spans="1:34" ht="15.75" customHeight="1" x14ac:dyDescent="0.2">
      <c r="A777" s="3"/>
      <c r="B777" s="4"/>
      <c r="C777" s="4"/>
      <c r="D777" s="4"/>
      <c r="E777" s="4"/>
      <c r="F777" s="4"/>
      <c r="G777" s="4"/>
      <c r="H777" s="4"/>
      <c r="I777" s="4"/>
      <c r="J777" s="4"/>
      <c r="K777" s="4"/>
      <c r="L777" s="4"/>
      <c r="M777" s="4"/>
      <c r="N777" s="4"/>
      <c r="O777" s="4"/>
      <c r="P777" s="4"/>
      <c r="Q777" s="4"/>
      <c r="R777" s="4"/>
      <c r="S777" s="4"/>
      <c r="T777" s="4"/>
      <c r="U777" s="4"/>
      <c r="V777" s="4"/>
      <c r="W777" s="4"/>
      <c r="X777" s="4"/>
      <c r="Y777" s="4"/>
      <c r="Z777" s="4"/>
      <c r="AA777" s="4"/>
      <c r="AB777" s="4"/>
      <c r="AC777" s="4"/>
      <c r="AD777" s="4"/>
      <c r="AE777" s="4"/>
      <c r="AF777" s="4"/>
      <c r="AG777" s="4"/>
      <c r="AH777" s="4"/>
    </row>
    <row r="778" spans="1:34" ht="15.75" customHeight="1" x14ac:dyDescent="0.2">
      <c r="A778" s="3"/>
      <c r="B778" s="4"/>
      <c r="C778" s="4"/>
      <c r="D778" s="4"/>
      <c r="E778" s="4"/>
      <c r="F778" s="4"/>
      <c r="G778" s="4"/>
      <c r="H778" s="4"/>
      <c r="I778" s="4"/>
      <c r="J778" s="4"/>
      <c r="K778" s="4"/>
      <c r="L778" s="4"/>
      <c r="M778" s="4"/>
      <c r="N778" s="4"/>
      <c r="O778" s="4"/>
      <c r="P778" s="4"/>
      <c r="Q778" s="4"/>
      <c r="R778" s="4"/>
      <c r="S778" s="4"/>
      <c r="T778" s="4"/>
      <c r="U778" s="4"/>
      <c r="V778" s="4"/>
      <c r="W778" s="4"/>
      <c r="X778" s="4"/>
      <c r="Y778" s="4"/>
      <c r="Z778" s="4"/>
      <c r="AA778" s="4"/>
      <c r="AB778" s="4"/>
      <c r="AC778" s="4"/>
      <c r="AD778" s="4"/>
      <c r="AE778" s="4"/>
      <c r="AF778" s="4"/>
      <c r="AG778" s="4"/>
      <c r="AH778" s="4"/>
    </row>
    <row r="779" spans="1:34" ht="15.75" customHeight="1" x14ac:dyDescent="0.2">
      <c r="A779" s="3"/>
      <c r="B779" s="4"/>
      <c r="C779" s="4"/>
      <c r="D779" s="4"/>
      <c r="E779" s="4"/>
      <c r="F779" s="4"/>
      <c r="G779" s="4"/>
      <c r="H779" s="4"/>
      <c r="I779" s="4"/>
      <c r="J779" s="4"/>
      <c r="K779" s="4"/>
      <c r="L779" s="4"/>
      <c r="M779" s="4"/>
      <c r="N779" s="4"/>
      <c r="O779" s="4"/>
      <c r="P779" s="4"/>
      <c r="Q779" s="4"/>
      <c r="R779" s="4"/>
      <c r="S779" s="4"/>
      <c r="T779" s="4"/>
      <c r="U779" s="4"/>
      <c r="V779" s="4"/>
      <c r="W779" s="4"/>
      <c r="X779" s="4"/>
      <c r="Y779" s="4"/>
      <c r="Z779" s="4"/>
      <c r="AA779" s="4"/>
      <c r="AB779" s="4"/>
      <c r="AC779" s="4"/>
      <c r="AD779" s="4"/>
      <c r="AE779" s="4"/>
      <c r="AF779" s="4"/>
      <c r="AG779" s="4"/>
      <c r="AH779" s="4"/>
    </row>
    <row r="780" spans="1:34" ht="15.75" customHeight="1" x14ac:dyDescent="0.2">
      <c r="A780" s="3"/>
      <c r="B780" s="4"/>
      <c r="C780" s="4"/>
      <c r="D780" s="4"/>
      <c r="E780" s="4"/>
      <c r="F780" s="4"/>
      <c r="G780" s="4"/>
      <c r="H780" s="4"/>
      <c r="I780" s="4"/>
      <c r="J780" s="4"/>
      <c r="K780" s="4"/>
      <c r="L780" s="4"/>
      <c r="M780" s="4"/>
      <c r="N780" s="4"/>
      <c r="O780" s="4"/>
      <c r="P780" s="4"/>
      <c r="Q780" s="4"/>
      <c r="R780" s="4"/>
      <c r="S780" s="4"/>
      <c r="T780" s="4"/>
      <c r="U780" s="4"/>
      <c r="V780" s="4"/>
      <c r="W780" s="4"/>
      <c r="X780" s="4"/>
      <c r="Y780" s="4"/>
      <c r="Z780" s="4"/>
      <c r="AA780" s="4"/>
      <c r="AB780" s="4"/>
      <c r="AC780" s="4"/>
      <c r="AD780" s="4"/>
      <c r="AE780" s="4"/>
      <c r="AF780" s="4"/>
      <c r="AG780" s="4"/>
      <c r="AH780" s="4"/>
    </row>
    <row r="781" spans="1:34" ht="15.75" customHeight="1" x14ac:dyDescent="0.2">
      <c r="A781" s="3"/>
      <c r="B781" s="4"/>
      <c r="C781" s="4"/>
      <c r="D781" s="4"/>
      <c r="E781" s="4"/>
      <c r="F781" s="4"/>
      <c r="G781" s="4"/>
      <c r="H781" s="4"/>
      <c r="I781" s="4"/>
      <c r="J781" s="4"/>
      <c r="K781" s="4"/>
      <c r="L781" s="4"/>
      <c r="M781" s="4"/>
      <c r="N781" s="4"/>
      <c r="O781" s="4"/>
      <c r="P781" s="4"/>
      <c r="Q781" s="4"/>
      <c r="R781" s="4"/>
      <c r="S781" s="4"/>
      <c r="T781" s="4"/>
      <c r="U781" s="4"/>
      <c r="V781" s="4"/>
      <c r="W781" s="4"/>
      <c r="X781" s="4"/>
      <c r="Y781" s="4"/>
      <c r="Z781" s="4"/>
      <c r="AA781" s="4"/>
      <c r="AB781" s="4"/>
      <c r="AC781" s="4"/>
      <c r="AD781" s="4"/>
      <c r="AE781" s="4"/>
      <c r="AF781" s="4"/>
      <c r="AG781" s="4"/>
      <c r="AH781" s="4"/>
    </row>
    <row r="782" spans="1:34" ht="15.75" customHeight="1" x14ac:dyDescent="0.2">
      <c r="A782" s="3"/>
      <c r="B782" s="4"/>
      <c r="C782" s="4"/>
      <c r="D782" s="4"/>
      <c r="E782" s="4"/>
      <c r="F782" s="4"/>
      <c r="G782" s="4"/>
      <c r="H782" s="4"/>
      <c r="I782" s="4"/>
      <c r="J782" s="4"/>
      <c r="K782" s="4"/>
      <c r="L782" s="4"/>
      <c r="M782" s="4"/>
      <c r="N782" s="4"/>
      <c r="O782" s="4"/>
      <c r="P782" s="4"/>
      <c r="Q782" s="4"/>
      <c r="R782" s="4"/>
      <c r="S782" s="4"/>
      <c r="T782" s="4"/>
      <c r="U782" s="4"/>
      <c r="V782" s="4"/>
      <c r="W782" s="4"/>
      <c r="X782" s="4"/>
      <c r="Y782" s="4"/>
      <c r="Z782" s="4"/>
      <c r="AA782" s="4"/>
      <c r="AB782" s="4"/>
      <c r="AC782" s="4"/>
      <c r="AD782" s="4"/>
      <c r="AE782" s="4"/>
      <c r="AF782" s="4"/>
      <c r="AG782" s="4"/>
      <c r="AH782" s="4"/>
    </row>
    <row r="783" spans="1:34" ht="15.75" customHeight="1" x14ac:dyDescent="0.2">
      <c r="A783" s="3"/>
      <c r="B783" s="4"/>
      <c r="C783" s="4"/>
      <c r="D783" s="4"/>
      <c r="E783" s="4"/>
      <c r="F783" s="4"/>
      <c r="G783" s="4"/>
      <c r="H783" s="4"/>
      <c r="I783" s="4"/>
      <c r="J783" s="4"/>
      <c r="K783" s="4"/>
      <c r="L783" s="4"/>
      <c r="M783" s="4"/>
      <c r="N783" s="4"/>
      <c r="O783" s="4"/>
      <c r="P783" s="4"/>
      <c r="Q783" s="4"/>
      <c r="R783" s="4"/>
      <c r="S783" s="4"/>
      <c r="T783" s="4"/>
      <c r="U783" s="4"/>
      <c r="V783" s="4"/>
      <c r="W783" s="4"/>
      <c r="X783" s="4"/>
      <c r="Y783" s="4"/>
      <c r="Z783" s="4"/>
      <c r="AA783" s="4"/>
      <c r="AB783" s="4"/>
      <c r="AC783" s="4"/>
      <c r="AD783" s="4"/>
      <c r="AE783" s="4"/>
      <c r="AF783" s="4"/>
      <c r="AG783" s="4"/>
      <c r="AH783" s="4"/>
    </row>
    <row r="784" spans="1:34" ht="15.75" customHeight="1" x14ac:dyDescent="0.2">
      <c r="A784" s="3"/>
      <c r="B784" s="4"/>
      <c r="C784" s="4"/>
      <c r="D784" s="4"/>
      <c r="E784" s="4"/>
      <c r="F784" s="4"/>
      <c r="G784" s="4"/>
      <c r="H784" s="4"/>
      <c r="I784" s="4"/>
      <c r="J784" s="4"/>
      <c r="K784" s="4"/>
      <c r="L784" s="4"/>
      <c r="M784" s="4"/>
      <c r="N784" s="4"/>
      <c r="O784" s="4"/>
      <c r="P784" s="4"/>
      <c r="Q784" s="4"/>
      <c r="R784" s="4"/>
      <c r="S784" s="4"/>
      <c r="T784" s="4"/>
      <c r="U784" s="4"/>
      <c r="V784" s="4"/>
      <c r="W784" s="4"/>
      <c r="X784" s="4"/>
      <c r="Y784" s="4"/>
      <c r="Z784" s="4"/>
      <c r="AA784" s="4"/>
      <c r="AB784" s="4"/>
      <c r="AC784" s="4"/>
      <c r="AD784" s="4"/>
      <c r="AE784" s="4"/>
      <c r="AF784" s="4"/>
      <c r="AG784" s="4"/>
      <c r="AH784" s="4"/>
    </row>
    <row r="785" spans="1:34" ht="15.75" customHeight="1" x14ac:dyDescent="0.2">
      <c r="A785" s="3"/>
      <c r="B785" s="4"/>
      <c r="C785" s="4"/>
      <c r="D785" s="4"/>
      <c r="E785" s="4"/>
      <c r="F785" s="4"/>
      <c r="G785" s="4"/>
      <c r="H785" s="4"/>
      <c r="I785" s="4"/>
      <c r="J785" s="4"/>
      <c r="K785" s="4"/>
      <c r="L785" s="4"/>
      <c r="M785" s="4"/>
      <c r="N785" s="4"/>
      <c r="O785" s="4"/>
      <c r="P785" s="4"/>
      <c r="Q785" s="4"/>
      <c r="R785" s="4"/>
      <c r="S785" s="4"/>
      <c r="T785" s="4"/>
      <c r="U785" s="4"/>
      <c r="V785" s="4"/>
      <c r="W785" s="4"/>
      <c r="X785" s="4"/>
      <c r="Y785" s="4"/>
      <c r="Z785" s="4"/>
      <c r="AA785" s="4"/>
      <c r="AB785" s="4"/>
      <c r="AC785" s="4"/>
      <c r="AD785" s="4"/>
      <c r="AE785" s="4"/>
      <c r="AF785" s="4"/>
      <c r="AG785" s="4"/>
      <c r="AH785" s="4"/>
    </row>
    <row r="786" spans="1:34" ht="15.75" customHeight="1" x14ac:dyDescent="0.2">
      <c r="A786" s="3"/>
      <c r="B786" s="4"/>
      <c r="C786" s="4"/>
      <c r="D786" s="4"/>
      <c r="E786" s="4"/>
      <c r="F786" s="4"/>
      <c r="G786" s="4"/>
      <c r="H786" s="4"/>
      <c r="I786" s="4"/>
      <c r="J786" s="4"/>
      <c r="K786" s="4"/>
      <c r="L786" s="4"/>
      <c r="M786" s="4"/>
      <c r="N786" s="4"/>
      <c r="O786" s="4"/>
      <c r="P786" s="4"/>
      <c r="Q786" s="4"/>
      <c r="R786" s="4"/>
      <c r="S786" s="4"/>
      <c r="T786" s="4"/>
      <c r="U786" s="4"/>
      <c r="V786" s="4"/>
      <c r="W786" s="4"/>
      <c r="X786" s="4"/>
      <c r="Y786" s="4"/>
      <c r="Z786" s="4"/>
      <c r="AA786" s="4"/>
      <c r="AB786" s="4"/>
      <c r="AC786" s="4"/>
      <c r="AD786" s="4"/>
      <c r="AE786" s="4"/>
      <c r="AF786" s="4"/>
      <c r="AG786" s="4"/>
      <c r="AH786" s="4"/>
    </row>
    <row r="787" spans="1:34" ht="15.75" customHeight="1" x14ac:dyDescent="0.2">
      <c r="A787" s="3"/>
      <c r="B787" s="4"/>
      <c r="C787" s="4"/>
      <c r="D787" s="4"/>
      <c r="E787" s="4"/>
      <c r="F787" s="4"/>
      <c r="G787" s="4"/>
      <c r="H787" s="4"/>
      <c r="I787" s="4"/>
      <c r="J787" s="4"/>
      <c r="K787" s="4"/>
      <c r="L787" s="4"/>
      <c r="M787" s="4"/>
      <c r="N787" s="4"/>
      <c r="O787" s="4"/>
      <c r="P787" s="4"/>
      <c r="Q787" s="4"/>
      <c r="R787" s="4"/>
      <c r="S787" s="4"/>
      <c r="T787" s="4"/>
      <c r="U787" s="4"/>
      <c r="V787" s="4"/>
      <c r="W787" s="4"/>
      <c r="X787" s="4"/>
      <c r="Y787" s="4"/>
      <c r="Z787" s="4"/>
      <c r="AA787" s="4"/>
      <c r="AB787" s="4"/>
      <c r="AC787" s="4"/>
      <c r="AD787" s="4"/>
      <c r="AE787" s="4"/>
      <c r="AF787" s="4"/>
      <c r="AG787" s="4"/>
      <c r="AH787" s="4"/>
    </row>
    <row r="788" spans="1:34" ht="15.75" customHeight="1" x14ac:dyDescent="0.2">
      <c r="A788" s="3"/>
      <c r="B788" s="4"/>
      <c r="C788" s="4"/>
      <c r="D788" s="4"/>
      <c r="E788" s="4"/>
      <c r="F788" s="4"/>
      <c r="G788" s="4"/>
      <c r="H788" s="4"/>
      <c r="I788" s="4"/>
      <c r="J788" s="4"/>
      <c r="K788" s="4"/>
      <c r="L788" s="4"/>
      <c r="M788" s="4"/>
      <c r="N788" s="4"/>
      <c r="O788" s="4"/>
      <c r="P788" s="4"/>
      <c r="Q788" s="4"/>
      <c r="R788" s="4"/>
      <c r="S788" s="4"/>
      <c r="T788" s="4"/>
      <c r="U788" s="4"/>
      <c r="V788" s="4"/>
      <c r="W788" s="4"/>
      <c r="X788" s="4"/>
      <c r="Y788" s="4"/>
      <c r="Z788" s="4"/>
      <c r="AA788" s="4"/>
      <c r="AB788" s="4"/>
      <c r="AC788" s="4"/>
      <c r="AD788" s="4"/>
      <c r="AE788" s="4"/>
      <c r="AF788" s="4"/>
      <c r="AG788" s="4"/>
      <c r="AH788" s="4"/>
    </row>
    <row r="789" spans="1:34" ht="15.75" customHeight="1" x14ac:dyDescent="0.2">
      <c r="A789" s="3"/>
      <c r="B789" s="4"/>
      <c r="C789" s="4"/>
      <c r="D789" s="4"/>
      <c r="E789" s="4"/>
      <c r="F789" s="4"/>
      <c r="G789" s="4"/>
      <c r="H789" s="4"/>
      <c r="I789" s="4"/>
      <c r="J789" s="4"/>
      <c r="K789" s="4"/>
      <c r="L789" s="4"/>
      <c r="M789" s="4"/>
      <c r="N789" s="4"/>
      <c r="O789" s="4"/>
      <c r="P789" s="4"/>
      <c r="Q789" s="4"/>
      <c r="R789" s="4"/>
      <c r="S789" s="4"/>
      <c r="T789" s="4"/>
      <c r="U789" s="4"/>
      <c r="V789" s="4"/>
      <c r="W789" s="4"/>
      <c r="X789" s="4"/>
      <c r="Y789" s="4"/>
      <c r="Z789" s="4"/>
      <c r="AA789" s="4"/>
      <c r="AB789" s="4"/>
      <c r="AC789" s="4"/>
      <c r="AD789" s="4"/>
      <c r="AE789" s="4"/>
      <c r="AF789" s="4"/>
      <c r="AG789" s="4"/>
      <c r="AH789" s="4"/>
    </row>
    <row r="790" spans="1:34" ht="15.75" customHeight="1" x14ac:dyDescent="0.2">
      <c r="A790" s="3"/>
      <c r="B790" s="4"/>
      <c r="C790" s="4"/>
      <c r="D790" s="4"/>
      <c r="E790" s="4"/>
      <c r="F790" s="4"/>
      <c r="G790" s="4"/>
      <c r="H790" s="4"/>
      <c r="I790" s="4"/>
      <c r="J790" s="4"/>
      <c r="K790" s="4"/>
      <c r="L790" s="4"/>
      <c r="M790" s="4"/>
      <c r="N790" s="4"/>
      <c r="O790" s="4"/>
      <c r="P790" s="4"/>
      <c r="Q790" s="4"/>
      <c r="R790" s="4"/>
      <c r="S790" s="4"/>
      <c r="T790" s="4"/>
      <c r="U790" s="4"/>
      <c r="V790" s="4"/>
      <c r="W790" s="4"/>
      <c r="X790" s="4"/>
      <c r="Y790" s="4"/>
      <c r="Z790" s="4"/>
      <c r="AA790" s="4"/>
      <c r="AB790" s="4"/>
      <c r="AC790" s="4"/>
      <c r="AD790" s="4"/>
      <c r="AE790" s="4"/>
      <c r="AF790" s="4"/>
      <c r="AG790" s="4"/>
      <c r="AH790" s="4"/>
    </row>
    <row r="791" spans="1:34" ht="15.75" customHeight="1" x14ac:dyDescent="0.2">
      <c r="A791" s="3"/>
      <c r="B791" s="4"/>
      <c r="C791" s="4"/>
      <c r="D791" s="4"/>
      <c r="E791" s="4"/>
      <c r="F791" s="4"/>
      <c r="G791" s="4"/>
      <c r="H791" s="4"/>
      <c r="I791" s="4"/>
      <c r="J791" s="4"/>
      <c r="K791" s="4"/>
      <c r="L791" s="4"/>
      <c r="M791" s="4"/>
      <c r="N791" s="4"/>
      <c r="O791" s="4"/>
      <c r="P791" s="4"/>
      <c r="Q791" s="4"/>
      <c r="R791" s="4"/>
      <c r="S791" s="4"/>
      <c r="T791" s="4"/>
      <c r="U791" s="4"/>
      <c r="V791" s="4"/>
      <c r="W791" s="4"/>
      <c r="X791" s="4"/>
      <c r="Y791" s="4"/>
      <c r="Z791" s="4"/>
      <c r="AA791" s="4"/>
      <c r="AB791" s="4"/>
      <c r="AC791" s="4"/>
      <c r="AD791" s="4"/>
      <c r="AE791" s="4"/>
      <c r="AF791" s="4"/>
      <c r="AG791" s="4"/>
      <c r="AH791" s="4"/>
    </row>
    <row r="792" spans="1:34" ht="15.75" customHeight="1" x14ac:dyDescent="0.2">
      <c r="A792" s="3"/>
      <c r="B792" s="4"/>
      <c r="C792" s="4"/>
      <c r="D792" s="4"/>
      <c r="E792" s="4"/>
      <c r="F792" s="4"/>
      <c r="G792" s="4"/>
      <c r="H792" s="4"/>
      <c r="I792" s="4"/>
      <c r="J792" s="4"/>
      <c r="K792" s="4"/>
      <c r="L792" s="4"/>
      <c r="M792" s="4"/>
      <c r="N792" s="4"/>
      <c r="O792" s="4"/>
      <c r="P792" s="4"/>
      <c r="Q792" s="4"/>
      <c r="R792" s="4"/>
      <c r="S792" s="4"/>
      <c r="T792" s="4"/>
      <c r="U792" s="4"/>
      <c r="V792" s="4"/>
      <c r="W792" s="4"/>
      <c r="X792" s="4"/>
      <c r="Y792" s="4"/>
      <c r="Z792" s="4"/>
      <c r="AA792" s="4"/>
      <c r="AB792" s="4"/>
      <c r="AC792" s="4"/>
      <c r="AD792" s="4"/>
      <c r="AE792" s="4"/>
      <c r="AF792" s="4"/>
      <c r="AG792" s="4"/>
      <c r="AH792" s="4"/>
    </row>
    <row r="793" spans="1:34" ht="15.75" customHeight="1" x14ac:dyDescent="0.2">
      <c r="A793" s="3"/>
      <c r="B793" s="4"/>
      <c r="C793" s="4"/>
      <c r="D793" s="4"/>
      <c r="E793" s="4"/>
      <c r="F793" s="4"/>
      <c r="G793" s="4"/>
      <c r="H793" s="4"/>
      <c r="I793" s="4"/>
      <c r="J793" s="4"/>
      <c r="K793" s="4"/>
      <c r="L793" s="4"/>
      <c r="M793" s="4"/>
      <c r="N793" s="4"/>
      <c r="O793" s="4"/>
      <c r="P793" s="4"/>
      <c r="Q793" s="4"/>
      <c r="R793" s="4"/>
      <c r="S793" s="4"/>
      <c r="T793" s="4"/>
      <c r="U793" s="4"/>
      <c r="V793" s="4"/>
      <c r="W793" s="4"/>
      <c r="X793" s="4"/>
      <c r="Y793" s="4"/>
      <c r="Z793" s="4"/>
      <c r="AA793" s="4"/>
      <c r="AB793" s="4"/>
      <c r="AC793" s="4"/>
      <c r="AD793" s="4"/>
      <c r="AE793" s="4"/>
      <c r="AF793" s="4"/>
      <c r="AG793" s="4"/>
      <c r="AH793" s="4"/>
    </row>
    <row r="794" spans="1:34" ht="15.75" customHeight="1" x14ac:dyDescent="0.2">
      <c r="A794" s="3"/>
      <c r="B794" s="4"/>
      <c r="C794" s="4"/>
      <c r="D794" s="4"/>
      <c r="E794" s="4"/>
      <c r="F794" s="4"/>
      <c r="G794" s="4"/>
      <c r="H794" s="4"/>
      <c r="I794" s="4"/>
      <c r="J794" s="4"/>
      <c r="K794" s="4"/>
      <c r="L794" s="4"/>
      <c r="M794" s="4"/>
      <c r="N794" s="4"/>
      <c r="O794" s="4"/>
      <c r="P794" s="4"/>
      <c r="Q794" s="4"/>
      <c r="R794" s="4"/>
      <c r="S794" s="4"/>
      <c r="T794" s="4"/>
      <c r="U794" s="4"/>
      <c r="V794" s="4"/>
      <c r="W794" s="4"/>
      <c r="X794" s="4"/>
      <c r="Y794" s="4"/>
      <c r="Z794" s="4"/>
      <c r="AA794" s="4"/>
      <c r="AB794" s="4"/>
      <c r="AC794" s="4"/>
      <c r="AD794" s="4"/>
      <c r="AE794" s="4"/>
      <c r="AF794" s="4"/>
      <c r="AG794" s="4"/>
      <c r="AH794" s="4"/>
    </row>
    <row r="795" spans="1:34" ht="15.75" customHeight="1" x14ac:dyDescent="0.2">
      <c r="A795" s="3"/>
      <c r="B795" s="4"/>
      <c r="C795" s="4"/>
      <c r="D795" s="4"/>
      <c r="E795" s="4"/>
      <c r="F795" s="4"/>
      <c r="G795" s="4"/>
      <c r="H795" s="4"/>
      <c r="I795" s="4"/>
      <c r="J795" s="4"/>
      <c r="K795" s="4"/>
      <c r="L795" s="4"/>
      <c r="M795" s="4"/>
      <c r="N795" s="4"/>
      <c r="O795" s="4"/>
      <c r="P795" s="4"/>
      <c r="Q795" s="4"/>
      <c r="R795" s="4"/>
      <c r="S795" s="4"/>
      <c r="T795" s="4"/>
      <c r="U795" s="4"/>
      <c r="V795" s="4"/>
      <c r="W795" s="4"/>
      <c r="X795" s="4"/>
      <c r="Y795" s="4"/>
      <c r="Z795" s="4"/>
      <c r="AA795" s="4"/>
      <c r="AB795" s="4"/>
      <c r="AC795" s="4"/>
      <c r="AD795" s="4"/>
      <c r="AE795" s="4"/>
      <c r="AF795" s="4"/>
      <c r="AG795" s="4"/>
      <c r="AH795" s="4"/>
    </row>
    <row r="796" spans="1:34" ht="15.75" customHeight="1" x14ac:dyDescent="0.2">
      <c r="A796" s="3"/>
      <c r="B796" s="4"/>
      <c r="C796" s="4"/>
      <c r="D796" s="4"/>
      <c r="E796" s="4"/>
      <c r="F796" s="4"/>
      <c r="G796" s="4"/>
      <c r="H796" s="4"/>
      <c r="I796" s="4"/>
      <c r="J796" s="4"/>
      <c r="K796" s="4"/>
      <c r="L796" s="4"/>
      <c r="M796" s="4"/>
      <c r="N796" s="4"/>
      <c r="O796" s="4"/>
      <c r="P796" s="4"/>
      <c r="Q796" s="4"/>
      <c r="R796" s="4"/>
      <c r="S796" s="4"/>
      <c r="T796" s="4"/>
      <c r="U796" s="4"/>
      <c r="V796" s="4"/>
      <c r="W796" s="4"/>
      <c r="X796" s="4"/>
      <c r="Y796" s="4"/>
      <c r="Z796" s="4"/>
      <c r="AA796" s="4"/>
      <c r="AB796" s="4"/>
      <c r="AC796" s="4"/>
      <c r="AD796" s="4"/>
      <c r="AE796" s="4"/>
      <c r="AF796" s="4"/>
      <c r="AG796" s="4"/>
      <c r="AH796" s="4"/>
    </row>
    <row r="797" spans="1:34" ht="15.75" customHeight="1" x14ac:dyDescent="0.2">
      <c r="A797" s="3"/>
      <c r="B797" s="4"/>
      <c r="C797" s="4"/>
      <c r="D797" s="4"/>
      <c r="E797" s="4"/>
      <c r="F797" s="4"/>
      <c r="G797" s="4"/>
      <c r="H797" s="4"/>
      <c r="I797" s="4"/>
      <c r="J797" s="4"/>
      <c r="K797" s="4"/>
      <c r="L797" s="4"/>
      <c r="M797" s="4"/>
      <c r="N797" s="4"/>
      <c r="O797" s="4"/>
      <c r="P797" s="4"/>
      <c r="Q797" s="4"/>
      <c r="R797" s="4"/>
      <c r="S797" s="4"/>
      <c r="T797" s="4"/>
      <c r="U797" s="4"/>
      <c r="V797" s="4"/>
      <c r="W797" s="4"/>
      <c r="X797" s="4"/>
      <c r="Y797" s="4"/>
      <c r="Z797" s="4"/>
      <c r="AA797" s="4"/>
      <c r="AB797" s="4"/>
      <c r="AC797" s="4"/>
      <c r="AD797" s="4"/>
      <c r="AE797" s="4"/>
      <c r="AF797" s="4"/>
      <c r="AG797" s="4"/>
      <c r="AH797" s="4"/>
    </row>
    <row r="798" spans="1:34" ht="15.75" customHeight="1" x14ac:dyDescent="0.2">
      <c r="A798" s="3"/>
      <c r="B798" s="4"/>
      <c r="C798" s="4"/>
      <c r="D798" s="4"/>
      <c r="E798" s="4"/>
      <c r="F798" s="4"/>
      <c r="G798" s="4"/>
      <c r="H798" s="4"/>
      <c r="I798" s="4"/>
      <c r="J798" s="4"/>
      <c r="K798" s="4"/>
      <c r="L798" s="4"/>
      <c r="M798" s="4"/>
      <c r="N798" s="4"/>
      <c r="O798" s="4"/>
      <c r="P798" s="4"/>
      <c r="Q798" s="4"/>
      <c r="R798" s="4"/>
      <c r="S798" s="4"/>
      <c r="T798" s="4"/>
      <c r="U798" s="4"/>
      <c r="V798" s="4"/>
      <c r="W798" s="4"/>
      <c r="X798" s="4"/>
      <c r="Y798" s="4"/>
      <c r="Z798" s="4"/>
      <c r="AA798" s="4"/>
      <c r="AB798" s="4"/>
      <c r="AC798" s="4"/>
      <c r="AD798" s="4"/>
      <c r="AE798" s="4"/>
      <c r="AF798" s="4"/>
      <c r="AG798" s="4"/>
      <c r="AH798" s="4"/>
    </row>
    <row r="799" spans="1:34" ht="15.75" customHeight="1" x14ac:dyDescent="0.2">
      <c r="A799" s="3"/>
      <c r="B799" s="4"/>
      <c r="C799" s="4"/>
      <c r="D799" s="4"/>
      <c r="E799" s="4"/>
      <c r="F799" s="4"/>
      <c r="G799" s="4"/>
      <c r="H799" s="4"/>
      <c r="I799" s="4"/>
      <c r="J799" s="4"/>
      <c r="K799" s="4"/>
      <c r="L799" s="4"/>
      <c r="M799" s="4"/>
      <c r="N799" s="4"/>
      <c r="O799" s="4"/>
      <c r="P799" s="4"/>
      <c r="Q799" s="4"/>
      <c r="R799" s="4"/>
      <c r="S799" s="4"/>
      <c r="T799" s="4"/>
      <c r="U799" s="4"/>
      <c r="V799" s="4"/>
      <c r="W799" s="4"/>
      <c r="X799" s="4"/>
      <c r="Y799" s="4"/>
      <c r="Z799" s="4"/>
      <c r="AA799" s="4"/>
      <c r="AB799" s="4"/>
      <c r="AC799" s="4"/>
      <c r="AD799" s="4"/>
      <c r="AE799" s="4"/>
      <c r="AF799" s="4"/>
      <c r="AG799" s="4"/>
      <c r="AH799" s="4"/>
    </row>
    <row r="800" spans="1:34" ht="15.75" customHeight="1" x14ac:dyDescent="0.2">
      <c r="A800" s="3"/>
      <c r="B800" s="4"/>
      <c r="C800" s="4"/>
      <c r="D800" s="4"/>
      <c r="E800" s="4"/>
      <c r="F800" s="4"/>
      <c r="G800" s="4"/>
      <c r="H800" s="4"/>
      <c r="I800" s="4"/>
      <c r="J800" s="4"/>
      <c r="K800" s="4"/>
      <c r="L800" s="4"/>
      <c r="M800" s="4"/>
      <c r="N800" s="4"/>
      <c r="O800" s="4"/>
      <c r="P800" s="4"/>
      <c r="Q800" s="4"/>
      <c r="R800" s="4"/>
      <c r="S800" s="4"/>
      <c r="T800" s="4"/>
      <c r="U800" s="4"/>
      <c r="V800" s="4"/>
      <c r="W800" s="4"/>
      <c r="X800" s="4"/>
      <c r="Y800" s="4"/>
      <c r="Z800" s="4"/>
      <c r="AA800" s="4"/>
      <c r="AB800" s="4"/>
      <c r="AC800" s="4"/>
      <c r="AD800" s="4"/>
      <c r="AE800" s="4"/>
      <c r="AF800" s="4"/>
      <c r="AG800" s="4"/>
      <c r="AH800" s="4"/>
    </row>
    <row r="801" spans="1:34" ht="15.75" customHeight="1" x14ac:dyDescent="0.2">
      <c r="A801" s="3"/>
      <c r="B801" s="4"/>
      <c r="C801" s="4"/>
      <c r="D801" s="4"/>
      <c r="E801" s="4"/>
      <c r="F801" s="4"/>
      <c r="G801" s="4"/>
      <c r="H801" s="4"/>
      <c r="I801" s="4"/>
      <c r="J801" s="4"/>
      <c r="K801" s="4"/>
      <c r="L801" s="4"/>
      <c r="M801" s="4"/>
      <c r="N801" s="4"/>
      <c r="O801" s="4"/>
      <c r="P801" s="4"/>
      <c r="Q801" s="4"/>
      <c r="R801" s="4"/>
      <c r="S801" s="4"/>
      <c r="T801" s="4"/>
      <c r="U801" s="4"/>
      <c r="V801" s="4"/>
      <c r="W801" s="4"/>
      <c r="X801" s="4"/>
      <c r="Y801" s="4"/>
      <c r="Z801" s="4"/>
      <c r="AA801" s="4"/>
      <c r="AB801" s="4"/>
      <c r="AC801" s="4"/>
      <c r="AD801" s="4"/>
      <c r="AE801" s="4"/>
      <c r="AF801" s="4"/>
      <c r="AG801" s="4"/>
      <c r="AH801" s="4"/>
    </row>
    <row r="802" spans="1:34" ht="15.75" customHeight="1" x14ac:dyDescent="0.2">
      <c r="A802" s="3"/>
      <c r="B802" s="4"/>
      <c r="C802" s="4"/>
      <c r="D802" s="4"/>
      <c r="E802" s="4"/>
      <c r="F802" s="4"/>
      <c r="G802" s="4"/>
      <c r="H802" s="4"/>
      <c r="I802" s="4"/>
      <c r="J802" s="4"/>
      <c r="K802" s="4"/>
      <c r="L802" s="4"/>
      <c r="M802" s="4"/>
      <c r="N802" s="4"/>
      <c r="O802" s="4"/>
      <c r="P802" s="4"/>
      <c r="Q802" s="4"/>
      <c r="R802" s="4"/>
      <c r="S802" s="4"/>
      <c r="T802" s="4"/>
      <c r="U802" s="4"/>
      <c r="V802" s="4"/>
      <c r="W802" s="4"/>
      <c r="X802" s="4"/>
      <c r="Y802" s="4"/>
      <c r="Z802" s="4"/>
      <c r="AA802" s="4"/>
      <c r="AB802" s="4"/>
      <c r="AC802" s="4"/>
      <c r="AD802" s="4"/>
      <c r="AE802" s="4"/>
      <c r="AF802" s="4"/>
      <c r="AG802" s="4"/>
      <c r="AH802" s="4"/>
    </row>
    <row r="803" spans="1:34" ht="15.75" customHeight="1" x14ac:dyDescent="0.2">
      <c r="A803" s="3"/>
      <c r="B803" s="4"/>
      <c r="C803" s="4"/>
      <c r="D803" s="4"/>
      <c r="E803" s="4"/>
      <c r="F803" s="4"/>
      <c r="G803" s="4"/>
      <c r="H803" s="4"/>
      <c r="I803" s="4"/>
      <c r="J803" s="4"/>
      <c r="K803" s="4"/>
      <c r="L803" s="4"/>
      <c r="M803" s="4"/>
      <c r="N803" s="4"/>
      <c r="O803" s="4"/>
      <c r="P803" s="4"/>
      <c r="Q803" s="4"/>
      <c r="R803" s="4"/>
      <c r="S803" s="4"/>
      <c r="T803" s="4"/>
      <c r="U803" s="4"/>
      <c r="V803" s="4"/>
      <c r="W803" s="4"/>
      <c r="X803" s="4"/>
      <c r="Y803" s="4"/>
      <c r="Z803" s="4"/>
      <c r="AA803" s="4"/>
      <c r="AB803" s="4"/>
      <c r="AC803" s="4"/>
      <c r="AD803" s="4"/>
      <c r="AE803" s="4"/>
      <c r="AF803" s="4"/>
      <c r="AG803" s="4"/>
      <c r="AH803" s="4"/>
    </row>
    <row r="804" spans="1:34" ht="15.75" customHeight="1" x14ac:dyDescent="0.2">
      <c r="A804" s="3"/>
      <c r="B804" s="4"/>
      <c r="C804" s="4"/>
      <c r="D804" s="4"/>
      <c r="E804" s="4"/>
      <c r="F804" s="4"/>
      <c r="G804" s="4"/>
      <c r="H804" s="4"/>
      <c r="I804" s="4"/>
      <c r="J804" s="4"/>
      <c r="K804" s="4"/>
      <c r="L804" s="4"/>
      <c r="M804" s="4"/>
      <c r="N804" s="4"/>
      <c r="O804" s="4"/>
      <c r="P804" s="4"/>
      <c r="Q804" s="4"/>
      <c r="R804" s="4"/>
      <c r="S804" s="4"/>
      <c r="T804" s="4"/>
      <c r="U804" s="4"/>
      <c r="V804" s="4"/>
      <c r="W804" s="4"/>
      <c r="X804" s="4"/>
      <c r="Y804" s="4"/>
      <c r="Z804" s="4"/>
      <c r="AA804" s="4"/>
      <c r="AB804" s="4"/>
      <c r="AC804" s="4"/>
      <c r="AD804" s="4"/>
      <c r="AE804" s="4"/>
      <c r="AF804" s="4"/>
      <c r="AG804" s="4"/>
      <c r="AH804" s="4"/>
    </row>
    <row r="805" spans="1:34" ht="15.75" customHeight="1" x14ac:dyDescent="0.2">
      <c r="A805" s="3"/>
      <c r="B805" s="4"/>
      <c r="C805" s="4"/>
      <c r="D805" s="4"/>
      <c r="E805" s="4"/>
      <c r="F805" s="4"/>
      <c r="G805" s="4"/>
      <c r="H805" s="4"/>
      <c r="I805" s="4"/>
      <c r="J805" s="4"/>
      <c r="K805" s="4"/>
      <c r="L805" s="4"/>
      <c r="M805" s="4"/>
      <c r="N805" s="4"/>
      <c r="O805" s="4"/>
      <c r="P805" s="4"/>
      <c r="Q805" s="4"/>
      <c r="R805" s="4"/>
      <c r="S805" s="4"/>
      <c r="T805" s="4"/>
      <c r="U805" s="4"/>
      <c r="V805" s="4"/>
      <c r="W805" s="4"/>
      <c r="X805" s="4"/>
      <c r="Y805" s="4"/>
      <c r="Z805" s="4"/>
      <c r="AA805" s="4"/>
      <c r="AB805" s="4"/>
      <c r="AC805" s="4"/>
      <c r="AD805" s="4"/>
      <c r="AE805" s="4"/>
      <c r="AF805" s="4"/>
      <c r="AG805" s="4"/>
      <c r="AH805" s="4"/>
    </row>
    <row r="806" spans="1:34" ht="15.75" customHeight="1" x14ac:dyDescent="0.2">
      <c r="A806" s="3"/>
      <c r="B806" s="4"/>
      <c r="C806" s="4"/>
      <c r="D806" s="4"/>
      <c r="E806" s="4"/>
      <c r="F806" s="4"/>
      <c r="G806" s="4"/>
      <c r="H806" s="4"/>
      <c r="I806" s="4"/>
      <c r="J806" s="4"/>
      <c r="K806" s="4"/>
      <c r="L806" s="4"/>
      <c r="M806" s="4"/>
      <c r="N806" s="4"/>
      <c r="O806" s="4"/>
      <c r="P806" s="4"/>
      <c r="Q806" s="4"/>
      <c r="R806" s="4"/>
      <c r="S806" s="4"/>
      <c r="T806" s="4"/>
      <c r="U806" s="4"/>
      <c r="V806" s="4"/>
      <c r="W806" s="4"/>
      <c r="X806" s="4"/>
      <c r="Y806" s="4"/>
      <c r="Z806" s="4"/>
      <c r="AA806" s="4"/>
      <c r="AB806" s="4"/>
      <c r="AC806" s="4"/>
      <c r="AD806" s="4"/>
      <c r="AE806" s="4"/>
      <c r="AF806" s="4"/>
      <c r="AG806" s="4"/>
      <c r="AH806" s="4"/>
    </row>
    <row r="807" spans="1:34" ht="15.75" customHeight="1" x14ac:dyDescent="0.2">
      <c r="A807" s="3"/>
      <c r="B807" s="4"/>
      <c r="C807" s="4"/>
      <c r="D807" s="4"/>
      <c r="E807" s="4"/>
      <c r="F807" s="4"/>
      <c r="G807" s="4"/>
      <c r="H807" s="4"/>
      <c r="I807" s="4"/>
      <c r="J807" s="4"/>
      <c r="K807" s="4"/>
      <c r="L807" s="4"/>
      <c r="M807" s="4"/>
      <c r="N807" s="4"/>
      <c r="O807" s="4"/>
      <c r="P807" s="4"/>
      <c r="Q807" s="4"/>
      <c r="R807" s="4"/>
      <c r="S807" s="4"/>
      <c r="T807" s="4"/>
      <c r="U807" s="4"/>
      <c r="V807" s="4"/>
      <c r="W807" s="4"/>
      <c r="X807" s="4"/>
      <c r="Y807" s="4"/>
      <c r="Z807" s="4"/>
      <c r="AA807" s="4"/>
      <c r="AB807" s="4"/>
      <c r="AC807" s="4"/>
      <c r="AD807" s="4"/>
      <c r="AE807" s="4"/>
      <c r="AF807" s="4"/>
      <c r="AG807" s="4"/>
      <c r="AH807" s="4"/>
    </row>
    <row r="808" spans="1:34" ht="15.75" customHeight="1" x14ac:dyDescent="0.2">
      <c r="A808" s="3"/>
      <c r="B808" s="4"/>
      <c r="C808" s="4"/>
      <c r="D808" s="4"/>
      <c r="E808" s="4"/>
      <c r="F808" s="4"/>
      <c r="G808" s="4"/>
      <c r="H808" s="4"/>
      <c r="I808" s="4"/>
      <c r="J808" s="4"/>
      <c r="K808" s="4"/>
      <c r="L808" s="4"/>
      <c r="M808" s="4"/>
      <c r="N808" s="4"/>
      <c r="O808" s="4"/>
      <c r="P808" s="4"/>
      <c r="Q808" s="4"/>
      <c r="R808" s="4"/>
      <c r="S808" s="4"/>
      <c r="T808" s="4"/>
      <c r="U808" s="4"/>
      <c r="V808" s="4"/>
      <c r="W808" s="4"/>
      <c r="X808" s="4"/>
      <c r="Y808" s="4"/>
      <c r="Z808" s="4"/>
      <c r="AA808" s="4"/>
      <c r="AB808" s="4"/>
      <c r="AC808" s="4"/>
      <c r="AD808" s="4"/>
      <c r="AE808" s="4"/>
      <c r="AF808" s="4"/>
      <c r="AG808" s="4"/>
      <c r="AH808" s="4"/>
    </row>
    <row r="809" spans="1:34" ht="15.75" customHeight="1" x14ac:dyDescent="0.2">
      <c r="A809" s="3"/>
      <c r="B809" s="4"/>
      <c r="C809" s="4"/>
      <c r="D809" s="4"/>
      <c r="E809" s="4"/>
      <c r="F809" s="4"/>
      <c r="G809" s="4"/>
      <c r="H809" s="4"/>
      <c r="I809" s="4"/>
      <c r="J809" s="4"/>
      <c r="K809" s="4"/>
      <c r="L809" s="4"/>
      <c r="M809" s="4"/>
      <c r="N809" s="4"/>
      <c r="O809" s="4"/>
      <c r="P809" s="4"/>
      <c r="Q809" s="4"/>
      <c r="R809" s="4"/>
      <c r="S809" s="4"/>
      <c r="T809" s="4"/>
      <c r="U809" s="4"/>
      <c r="V809" s="4"/>
      <c r="W809" s="4"/>
      <c r="X809" s="4"/>
      <c r="Y809" s="4"/>
      <c r="Z809" s="4"/>
      <c r="AA809" s="4"/>
      <c r="AB809" s="4"/>
      <c r="AC809" s="4"/>
      <c r="AD809" s="4"/>
      <c r="AE809" s="4"/>
      <c r="AF809" s="4"/>
      <c r="AG809" s="4"/>
      <c r="AH809" s="4"/>
    </row>
    <row r="810" spans="1:34" ht="15.75" customHeight="1" x14ac:dyDescent="0.2">
      <c r="A810" s="3"/>
      <c r="B810" s="4"/>
      <c r="C810" s="4"/>
      <c r="D810" s="4"/>
      <c r="E810" s="4"/>
      <c r="F810" s="4"/>
      <c r="G810" s="4"/>
      <c r="H810" s="4"/>
      <c r="I810" s="4"/>
      <c r="J810" s="4"/>
      <c r="K810" s="4"/>
      <c r="L810" s="4"/>
      <c r="M810" s="4"/>
      <c r="N810" s="4"/>
      <c r="O810" s="4"/>
      <c r="P810" s="4"/>
      <c r="Q810" s="4"/>
      <c r="R810" s="4"/>
      <c r="S810" s="4"/>
      <c r="T810" s="4"/>
      <c r="U810" s="4"/>
      <c r="V810" s="4"/>
      <c r="W810" s="4"/>
      <c r="X810" s="4"/>
      <c r="Y810" s="4"/>
      <c r="Z810" s="4"/>
      <c r="AA810" s="4"/>
      <c r="AB810" s="4"/>
      <c r="AC810" s="4"/>
      <c r="AD810" s="4"/>
      <c r="AE810" s="4"/>
      <c r="AF810" s="4"/>
      <c r="AG810" s="4"/>
      <c r="AH810" s="4"/>
    </row>
    <row r="811" spans="1:34" ht="15.75" customHeight="1" x14ac:dyDescent="0.2">
      <c r="A811" s="3"/>
      <c r="B811" s="4"/>
      <c r="C811" s="4"/>
      <c r="D811" s="4"/>
      <c r="E811" s="4"/>
      <c r="F811" s="4"/>
      <c r="G811" s="4"/>
      <c r="H811" s="4"/>
      <c r="I811" s="4"/>
      <c r="J811" s="4"/>
      <c r="K811" s="4"/>
      <c r="L811" s="4"/>
      <c r="M811" s="4"/>
      <c r="N811" s="4"/>
      <c r="O811" s="4"/>
      <c r="P811" s="4"/>
      <c r="Q811" s="4"/>
      <c r="R811" s="4"/>
      <c r="S811" s="4"/>
      <c r="T811" s="4"/>
      <c r="U811" s="4"/>
      <c r="V811" s="4"/>
      <c r="W811" s="4"/>
      <c r="X811" s="4"/>
      <c r="Y811" s="4"/>
      <c r="Z811" s="4"/>
      <c r="AA811" s="4"/>
      <c r="AB811" s="4"/>
      <c r="AC811" s="4"/>
      <c r="AD811" s="4"/>
      <c r="AE811" s="4"/>
      <c r="AF811" s="4"/>
      <c r="AG811" s="4"/>
      <c r="AH811" s="4"/>
    </row>
    <row r="812" spans="1:34" ht="15.75" customHeight="1" x14ac:dyDescent="0.2">
      <c r="A812" s="3"/>
      <c r="B812" s="4"/>
      <c r="C812" s="4"/>
      <c r="D812" s="4"/>
      <c r="E812" s="4"/>
      <c r="F812" s="4"/>
      <c r="G812" s="4"/>
      <c r="H812" s="4"/>
      <c r="I812" s="4"/>
      <c r="J812" s="4"/>
      <c r="K812" s="4"/>
      <c r="L812" s="4"/>
      <c r="M812" s="4"/>
      <c r="N812" s="4"/>
      <c r="O812" s="4"/>
      <c r="P812" s="4"/>
      <c r="Q812" s="4"/>
      <c r="R812" s="4"/>
      <c r="S812" s="4"/>
      <c r="T812" s="4"/>
      <c r="U812" s="4"/>
      <c r="V812" s="4"/>
      <c r="W812" s="4"/>
      <c r="X812" s="4"/>
      <c r="Y812" s="4"/>
      <c r="Z812" s="4"/>
      <c r="AA812" s="4"/>
      <c r="AB812" s="4"/>
      <c r="AC812" s="4"/>
      <c r="AD812" s="4"/>
      <c r="AE812" s="4"/>
      <c r="AF812" s="4"/>
      <c r="AG812" s="4"/>
      <c r="AH812" s="4"/>
    </row>
    <row r="813" spans="1:34" ht="15.75" customHeight="1" x14ac:dyDescent="0.2">
      <c r="A813" s="3"/>
      <c r="B813" s="4"/>
      <c r="C813" s="4"/>
      <c r="D813" s="4"/>
      <c r="E813" s="4"/>
      <c r="F813" s="4"/>
      <c r="G813" s="4"/>
      <c r="H813" s="4"/>
      <c r="I813" s="4"/>
      <c r="J813" s="4"/>
      <c r="K813" s="4"/>
      <c r="L813" s="4"/>
      <c r="M813" s="4"/>
      <c r="N813" s="4"/>
      <c r="O813" s="4"/>
      <c r="P813" s="4"/>
      <c r="Q813" s="4"/>
      <c r="R813" s="4"/>
      <c r="S813" s="4"/>
      <c r="T813" s="4"/>
      <c r="U813" s="4"/>
      <c r="V813" s="4"/>
      <c r="W813" s="4"/>
      <c r="X813" s="4"/>
      <c r="Y813" s="4"/>
      <c r="Z813" s="4"/>
      <c r="AA813" s="4"/>
      <c r="AB813" s="4"/>
      <c r="AC813" s="4"/>
      <c r="AD813" s="4"/>
      <c r="AE813" s="4"/>
      <c r="AF813" s="4"/>
      <c r="AG813" s="4"/>
      <c r="AH813" s="4"/>
    </row>
    <row r="814" spans="1:34" ht="15.75" customHeight="1" x14ac:dyDescent="0.2">
      <c r="A814" s="3"/>
      <c r="B814" s="4"/>
      <c r="C814" s="4"/>
      <c r="D814" s="4"/>
      <c r="E814" s="4"/>
      <c r="F814" s="4"/>
      <c r="G814" s="4"/>
      <c r="H814" s="4"/>
      <c r="I814" s="4"/>
      <c r="J814" s="4"/>
      <c r="K814" s="4"/>
      <c r="L814" s="4"/>
      <c r="M814" s="4"/>
      <c r="N814" s="4"/>
      <c r="O814" s="4"/>
      <c r="P814" s="4"/>
      <c r="Q814" s="4"/>
      <c r="R814" s="4"/>
      <c r="S814" s="4"/>
      <c r="T814" s="4"/>
      <c r="U814" s="4"/>
      <c r="V814" s="4"/>
      <c r="W814" s="4"/>
      <c r="X814" s="4"/>
      <c r="Y814" s="4"/>
      <c r="Z814" s="4"/>
      <c r="AA814" s="4"/>
      <c r="AB814" s="4"/>
      <c r="AC814" s="4"/>
      <c r="AD814" s="4"/>
      <c r="AE814" s="4"/>
      <c r="AF814" s="4"/>
      <c r="AG814" s="4"/>
      <c r="AH814" s="4"/>
    </row>
    <row r="815" spans="1:34" ht="15.75" customHeight="1" x14ac:dyDescent="0.2">
      <c r="A815" s="3"/>
      <c r="B815" s="4"/>
      <c r="C815" s="4"/>
      <c r="D815" s="4"/>
      <c r="E815" s="4"/>
      <c r="F815" s="4"/>
      <c r="G815" s="4"/>
      <c r="H815" s="4"/>
      <c r="I815" s="4"/>
      <c r="J815" s="4"/>
      <c r="K815" s="4"/>
      <c r="L815" s="4"/>
      <c r="M815" s="4"/>
      <c r="N815" s="4"/>
      <c r="O815" s="4"/>
      <c r="P815" s="4"/>
      <c r="Q815" s="4"/>
      <c r="R815" s="4"/>
      <c r="S815" s="4"/>
      <c r="T815" s="4"/>
      <c r="U815" s="4"/>
      <c r="V815" s="4"/>
      <c r="W815" s="4"/>
      <c r="X815" s="4"/>
      <c r="Y815" s="4"/>
      <c r="Z815" s="4"/>
      <c r="AA815" s="4"/>
      <c r="AB815" s="4"/>
      <c r="AC815" s="4"/>
      <c r="AD815" s="4"/>
      <c r="AE815" s="4"/>
      <c r="AF815" s="4"/>
      <c r="AG815" s="4"/>
      <c r="AH815" s="4"/>
    </row>
    <row r="816" spans="1:34" ht="15.75" customHeight="1" x14ac:dyDescent="0.2">
      <c r="A816" s="3"/>
      <c r="B816" s="4"/>
      <c r="C816" s="4"/>
      <c r="D816" s="4"/>
      <c r="E816" s="4"/>
      <c r="F816" s="4"/>
      <c r="G816" s="4"/>
      <c r="H816" s="4"/>
      <c r="I816" s="4"/>
      <c r="J816" s="4"/>
      <c r="K816" s="4"/>
      <c r="L816" s="4"/>
      <c r="M816" s="4"/>
      <c r="N816" s="4"/>
      <c r="O816" s="4"/>
      <c r="P816" s="4"/>
      <c r="Q816" s="4"/>
      <c r="R816" s="4"/>
      <c r="S816" s="4"/>
      <c r="T816" s="4"/>
      <c r="U816" s="4"/>
      <c r="V816" s="4"/>
      <c r="W816" s="4"/>
      <c r="X816" s="4"/>
      <c r="Y816" s="4"/>
      <c r="Z816" s="4"/>
      <c r="AA816" s="4"/>
      <c r="AB816" s="4"/>
      <c r="AC816" s="4"/>
      <c r="AD816" s="4"/>
      <c r="AE816" s="4"/>
      <c r="AF816" s="4"/>
      <c r="AG816" s="4"/>
      <c r="AH816" s="4"/>
    </row>
    <row r="817" spans="1:34" ht="15.75" customHeight="1" x14ac:dyDescent="0.2">
      <c r="A817" s="3"/>
      <c r="B817" s="4"/>
      <c r="C817" s="4"/>
      <c r="D817" s="4"/>
      <c r="E817" s="4"/>
      <c r="F817" s="4"/>
      <c r="G817" s="4"/>
      <c r="H817" s="4"/>
      <c r="I817" s="4"/>
      <c r="J817" s="4"/>
      <c r="K817" s="4"/>
      <c r="L817" s="4"/>
      <c r="M817" s="4"/>
      <c r="N817" s="4"/>
      <c r="O817" s="4"/>
      <c r="P817" s="4"/>
      <c r="Q817" s="4"/>
      <c r="R817" s="4"/>
      <c r="S817" s="4"/>
      <c r="T817" s="4"/>
      <c r="U817" s="4"/>
      <c r="V817" s="4"/>
      <c r="W817" s="4"/>
      <c r="X817" s="4"/>
      <c r="Y817" s="4"/>
      <c r="Z817" s="4"/>
      <c r="AA817" s="4"/>
      <c r="AB817" s="4"/>
      <c r="AC817" s="4"/>
      <c r="AD817" s="4"/>
      <c r="AE817" s="4"/>
      <c r="AF817" s="4"/>
      <c r="AG817" s="4"/>
      <c r="AH817" s="4"/>
    </row>
    <row r="818" spans="1:34" ht="15.75" customHeight="1" x14ac:dyDescent="0.2">
      <c r="A818" s="3"/>
      <c r="B818" s="4"/>
      <c r="C818" s="4"/>
      <c r="D818" s="4"/>
      <c r="E818" s="4"/>
      <c r="F818" s="4"/>
      <c r="G818" s="4"/>
      <c r="H818" s="4"/>
      <c r="I818" s="4"/>
      <c r="J818" s="4"/>
      <c r="K818" s="4"/>
      <c r="L818" s="4"/>
      <c r="M818" s="4"/>
      <c r="N818" s="4"/>
      <c r="O818" s="4"/>
      <c r="P818" s="4"/>
      <c r="Q818" s="4"/>
      <c r="R818" s="4"/>
      <c r="S818" s="4"/>
      <c r="T818" s="4"/>
      <c r="U818" s="4"/>
      <c r="V818" s="4"/>
      <c r="W818" s="4"/>
      <c r="X818" s="4"/>
      <c r="Y818" s="4"/>
      <c r="Z818" s="4"/>
      <c r="AA818" s="4"/>
      <c r="AB818" s="4"/>
      <c r="AC818" s="4"/>
      <c r="AD818" s="4"/>
      <c r="AE818" s="4"/>
      <c r="AF818" s="4"/>
      <c r="AG818" s="4"/>
      <c r="AH818" s="4"/>
    </row>
    <row r="819" spans="1:34" ht="15.75" customHeight="1" x14ac:dyDescent="0.2">
      <c r="A819" s="3"/>
      <c r="B819" s="4"/>
      <c r="C819" s="4"/>
      <c r="D819" s="4"/>
      <c r="E819" s="4"/>
      <c r="F819" s="4"/>
      <c r="G819" s="4"/>
      <c r="H819" s="4"/>
      <c r="I819" s="4"/>
      <c r="J819" s="4"/>
      <c r="K819" s="4"/>
      <c r="L819" s="4"/>
      <c r="M819" s="4"/>
      <c r="N819" s="4"/>
      <c r="O819" s="4"/>
      <c r="P819" s="4"/>
      <c r="Q819" s="4"/>
      <c r="R819" s="4"/>
      <c r="S819" s="4"/>
      <c r="T819" s="4"/>
      <c r="U819" s="4"/>
      <c r="V819" s="4"/>
      <c r="W819" s="4"/>
      <c r="X819" s="4"/>
      <c r="Y819" s="4"/>
      <c r="Z819" s="4"/>
      <c r="AA819" s="4"/>
      <c r="AB819" s="4"/>
      <c r="AC819" s="4"/>
      <c r="AD819" s="4"/>
      <c r="AE819" s="4"/>
      <c r="AF819" s="4"/>
      <c r="AG819" s="4"/>
      <c r="AH819" s="4"/>
    </row>
    <row r="820" spans="1:34" ht="15.75" customHeight="1" x14ac:dyDescent="0.2">
      <c r="A820" s="3"/>
      <c r="B820" s="4"/>
      <c r="C820" s="4"/>
      <c r="D820" s="4"/>
      <c r="E820" s="4"/>
      <c r="F820" s="4"/>
      <c r="G820" s="4"/>
      <c r="H820" s="4"/>
      <c r="I820" s="4"/>
      <c r="J820" s="4"/>
      <c r="K820" s="4"/>
      <c r="L820" s="4"/>
      <c r="M820" s="4"/>
      <c r="N820" s="4"/>
      <c r="O820" s="4"/>
      <c r="P820" s="4"/>
      <c r="Q820" s="4"/>
      <c r="R820" s="4"/>
      <c r="S820" s="4"/>
      <c r="T820" s="4"/>
      <c r="U820" s="4"/>
      <c r="V820" s="4"/>
      <c r="W820" s="4"/>
      <c r="X820" s="4"/>
      <c r="Y820" s="4"/>
      <c r="Z820" s="4"/>
      <c r="AA820" s="4"/>
      <c r="AB820" s="4"/>
      <c r="AC820" s="4"/>
      <c r="AD820" s="4"/>
      <c r="AE820" s="4"/>
      <c r="AF820" s="4"/>
      <c r="AG820" s="4"/>
      <c r="AH820" s="4"/>
    </row>
    <row r="821" spans="1:34" ht="15.75" customHeight="1" x14ac:dyDescent="0.2">
      <c r="A821" s="3"/>
      <c r="B821" s="4"/>
      <c r="C821" s="4"/>
      <c r="D821" s="4"/>
      <c r="E821" s="4"/>
      <c r="F821" s="4"/>
      <c r="G821" s="4"/>
      <c r="H821" s="4"/>
      <c r="I821" s="4"/>
      <c r="J821" s="4"/>
      <c r="K821" s="4"/>
      <c r="L821" s="4"/>
      <c r="M821" s="4"/>
      <c r="N821" s="4"/>
      <c r="O821" s="4"/>
      <c r="P821" s="4"/>
      <c r="Q821" s="4"/>
      <c r="R821" s="4"/>
      <c r="S821" s="4"/>
      <c r="T821" s="4"/>
      <c r="U821" s="4"/>
      <c r="V821" s="4"/>
      <c r="W821" s="4"/>
      <c r="X821" s="4"/>
      <c r="Y821" s="4"/>
      <c r="Z821" s="4"/>
      <c r="AA821" s="4"/>
      <c r="AB821" s="4"/>
      <c r="AC821" s="4"/>
      <c r="AD821" s="4"/>
      <c r="AE821" s="4"/>
      <c r="AF821" s="4"/>
      <c r="AG821" s="4"/>
      <c r="AH821" s="4"/>
    </row>
    <row r="822" spans="1:34" ht="15.75" customHeight="1" x14ac:dyDescent="0.2">
      <c r="A822" s="3"/>
      <c r="B822" s="4"/>
      <c r="C822" s="4"/>
      <c r="D822" s="4"/>
      <c r="E822" s="4"/>
      <c r="F822" s="4"/>
      <c r="G822" s="4"/>
      <c r="H822" s="4"/>
      <c r="I822" s="4"/>
      <c r="J822" s="4"/>
      <c r="K822" s="4"/>
      <c r="L822" s="4"/>
      <c r="M822" s="4"/>
      <c r="N822" s="4"/>
      <c r="O822" s="4"/>
      <c r="P822" s="4"/>
      <c r="Q822" s="4"/>
      <c r="R822" s="4"/>
      <c r="S822" s="4"/>
      <c r="T822" s="4"/>
      <c r="U822" s="4"/>
      <c r="V822" s="4"/>
      <c r="W822" s="4"/>
      <c r="X822" s="4"/>
      <c r="Y822" s="4"/>
      <c r="Z822" s="4"/>
      <c r="AA822" s="4"/>
      <c r="AB822" s="4"/>
      <c r="AC822" s="4"/>
      <c r="AD822" s="4"/>
      <c r="AE822" s="4"/>
      <c r="AF822" s="4"/>
      <c r="AG822" s="4"/>
      <c r="AH822" s="4"/>
    </row>
    <row r="823" spans="1:34" ht="15.75" customHeight="1" x14ac:dyDescent="0.2">
      <c r="A823" s="3"/>
      <c r="B823" s="4"/>
      <c r="C823" s="4"/>
      <c r="D823" s="4"/>
      <c r="E823" s="4"/>
      <c r="F823" s="4"/>
      <c r="G823" s="4"/>
      <c r="H823" s="4"/>
      <c r="I823" s="4"/>
      <c r="J823" s="4"/>
      <c r="K823" s="4"/>
      <c r="L823" s="4"/>
      <c r="M823" s="4"/>
      <c r="N823" s="4"/>
      <c r="O823" s="4"/>
      <c r="P823" s="4"/>
      <c r="Q823" s="4"/>
      <c r="R823" s="4"/>
      <c r="S823" s="4"/>
      <c r="T823" s="4"/>
      <c r="U823" s="4"/>
      <c r="V823" s="4"/>
      <c r="W823" s="4"/>
      <c r="X823" s="4"/>
      <c r="Y823" s="4"/>
      <c r="Z823" s="4"/>
      <c r="AA823" s="4"/>
      <c r="AB823" s="4"/>
      <c r="AC823" s="4"/>
      <c r="AD823" s="4"/>
      <c r="AE823" s="4"/>
      <c r="AF823" s="4"/>
      <c r="AG823" s="4"/>
      <c r="AH823" s="4"/>
    </row>
    <row r="824" spans="1:34" ht="15.75" customHeight="1" x14ac:dyDescent="0.2">
      <c r="A824" s="3"/>
      <c r="B824" s="4"/>
      <c r="C824" s="4"/>
      <c r="D824" s="4"/>
      <c r="E824" s="4"/>
      <c r="F824" s="4"/>
      <c r="G824" s="4"/>
      <c r="H824" s="4"/>
      <c r="I824" s="4"/>
      <c r="J824" s="4"/>
      <c r="K824" s="4"/>
      <c r="L824" s="4"/>
      <c r="M824" s="4"/>
      <c r="N824" s="4"/>
      <c r="O824" s="4"/>
      <c r="P824" s="4"/>
      <c r="Q824" s="4"/>
      <c r="R824" s="4"/>
      <c r="S824" s="4"/>
      <c r="T824" s="4"/>
      <c r="U824" s="4"/>
      <c r="V824" s="4"/>
      <c r="W824" s="4"/>
      <c r="X824" s="4"/>
      <c r="Y824" s="4"/>
      <c r="Z824" s="4"/>
      <c r="AA824" s="4"/>
      <c r="AB824" s="4"/>
      <c r="AC824" s="4"/>
      <c r="AD824" s="4"/>
      <c r="AE824" s="4"/>
      <c r="AF824" s="4"/>
      <c r="AG824" s="4"/>
      <c r="AH824" s="4"/>
    </row>
    <row r="825" spans="1:34" ht="15.75" customHeight="1" x14ac:dyDescent="0.2">
      <c r="A825" s="3"/>
      <c r="B825" s="4"/>
      <c r="C825" s="4"/>
      <c r="D825" s="4"/>
      <c r="E825" s="4"/>
      <c r="F825" s="4"/>
      <c r="G825" s="4"/>
      <c r="H825" s="4"/>
      <c r="I825" s="4"/>
      <c r="J825" s="4"/>
      <c r="K825" s="4"/>
      <c r="L825" s="4"/>
      <c r="M825" s="4"/>
      <c r="N825" s="4"/>
      <c r="O825" s="4"/>
      <c r="P825" s="4"/>
      <c r="Q825" s="4"/>
      <c r="R825" s="4"/>
      <c r="S825" s="4"/>
      <c r="T825" s="4"/>
      <c r="U825" s="4"/>
      <c r="V825" s="4"/>
      <c r="W825" s="4"/>
      <c r="X825" s="4"/>
      <c r="Y825" s="4"/>
      <c r="Z825" s="4"/>
      <c r="AA825" s="4"/>
      <c r="AB825" s="4"/>
      <c r="AC825" s="4"/>
      <c r="AD825" s="4"/>
      <c r="AE825" s="4"/>
      <c r="AF825" s="4"/>
      <c r="AG825" s="4"/>
      <c r="AH825" s="4"/>
    </row>
    <row r="826" spans="1:34" ht="15.75" customHeight="1" x14ac:dyDescent="0.2">
      <c r="A826" s="3"/>
      <c r="B826" s="4"/>
      <c r="C826" s="4"/>
      <c r="D826" s="4"/>
      <c r="E826" s="4"/>
      <c r="F826" s="4"/>
      <c r="G826" s="4"/>
      <c r="H826" s="4"/>
      <c r="I826" s="4"/>
      <c r="J826" s="4"/>
      <c r="K826" s="4"/>
      <c r="L826" s="4"/>
      <c r="M826" s="4"/>
      <c r="N826" s="4"/>
      <c r="O826" s="4"/>
      <c r="P826" s="4"/>
      <c r="Q826" s="4"/>
      <c r="R826" s="4"/>
      <c r="S826" s="4"/>
      <c r="T826" s="4"/>
      <c r="U826" s="4"/>
      <c r="V826" s="4"/>
      <c r="W826" s="4"/>
      <c r="X826" s="4"/>
      <c r="Y826" s="4"/>
      <c r="Z826" s="4"/>
      <c r="AA826" s="4"/>
      <c r="AB826" s="4"/>
      <c r="AC826" s="4"/>
      <c r="AD826" s="4"/>
      <c r="AE826" s="4"/>
      <c r="AF826" s="4"/>
      <c r="AG826" s="4"/>
      <c r="AH826" s="4"/>
    </row>
    <row r="827" spans="1:34" ht="15.75" customHeight="1" x14ac:dyDescent="0.2">
      <c r="A827" s="3"/>
      <c r="B827" s="4"/>
      <c r="C827" s="4"/>
      <c r="D827" s="4"/>
      <c r="E827" s="4"/>
      <c r="F827" s="4"/>
      <c r="G827" s="4"/>
      <c r="H827" s="4"/>
      <c r="I827" s="4"/>
      <c r="J827" s="4"/>
      <c r="K827" s="4"/>
      <c r="L827" s="4"/>
      <c r="M827" s="4"/>
      <c r="N827" s="4"/>
      <c r="O827" s="4"/>
      <c r="P827" s="4"/>
      <c r="Q827" s="4"/>
      <c r="R827" s="4"/>
      <c r="S827" s="4"/>
      <c r="T827" s="4"/>
      <c r="U827" s="4"/>
      <c r="V827" s="4"/>
      <c r="W827" s="4"/>
      <c r="X827" s="4"/>
      <c r="Y827" s="4"/>
      <c r="Z827" s="4"/>
      <c r="AA827" s="4"/>
      <c r="AB827" s="4"/>
      <c r="AC827" s="4"/>
      <c r="AD827" s="4"/>
      <c r="AE827" s="4"/>
      <c r="AF827" s="4"/>
      <c r="AG827" s="4"/>
      <c r="AH827" s="4"/>
    </row>
    <row r="828" spans="1:34" ht="15.75" customHeight="1" x14ac:dyDescent="0.2">
      <c r="A828" s="3"/>
      <c r="B828" s="4"/>
      <c r="C828" s="4"/>
      <c r="D828" s="4"/>
      <c r="E828" s="4"/>
      <c r="F828" s="4"/>
      <c r="G828" s="4"/>
      <c r="H828" s="4"/>
      <c r="I828" s="4"/>
      <c r="J828" s="4"/>
      <c r="K828" s="4"/>
      <c r="L828" s="4"/>
      <c r="M828" s="4"/>
      <c r="N828" s="4"/>
      <c r="O828" s="4"/>
      <c r="P828" s="4"/>
      <c r="Q828" s="4"/>
      <c r="R828" s="4"/>
      <c r="S828" s="4"/>
      <c r="T828" s="4"/>
      <c r="U828" s="4"/>
      <c r="V828" s="4"/>
      <c r="W828" s="4"/>
      <c r="X828" s="4"/>
      <c r="Y828" s="4"/>
      <c r="Z828" s="4"/>
      <c r="AA828" s="4"/>
      <c r="AB828" s="4"/>
      <c r="AC828" s="4"/>
      <c r="AD828" s="4"/>
      <c r="AE828" s="4"/>
      <c r="AF828" s="4"/>
      <c r="AG828" s="4"/>
      <c r="AH828" s="4"/>
    </row>
    <row r="829" spans="1:34" ht="15.75" customHeight="1" x14ac:dyDescent="0.2">
      <c r="A829" s="3"/>
      <c r="B829" s="4"/>
      <c r="C829" s="4"/>
      <c r="D829" s="4"/>
      <c r="E829" s="4"/>
      <c r="F829" s="4"/>
      <c r="G829" s="4"/>
      <c r="H829" s="4"/>
      <c r="I829" s="4"/>
      <c r="J829" s="4"/>
      <c r="K829" s="4"/>
      <c r="L829" s="4"/>
      <c r="M829" s="4"/>
      <c r="N829" s="4"/>
      <c r="O829" s="4"/>
      <c r="P829" s="4"/>
      <c r="Q829" s="4"/>
      <c r="R829" s="4"/>
      <c r="S829" s="4"/>
      <c r="T829" s="4"/>
      <c r="U829" s="4"/>
      <c r="V829" s="4"/>
      <c r="W829" s="4"/>
      <c r="X829" s="4"/>
      <c r="Y829" s="4"/>
      <c r="Z829" s="4"/>
      <c r="AA829" s="4"/>
      <c r="AB829" s="4"/>
      <c r="AC829" s="4"/>
      <c r="AD829" s="4"/>
      <c r="AE829" s="4"/>
      <c r="AF829" s="4"/>
      <c r="AG829" s="4"/>
      <c r="AH829" s="4"/>
    </row>
    <row r="830" spans="1:34" ht="15.75" customHeight="1" x14ac:dyDescent="0.2">
      <c r="A830" s="3"/>
      <c r="B830" s="4"/>
      <c r="C830" s="4"/>
      <c r="D830" s="4"/>
      <c r="E830" s="4"/>
      <c r="F830" s="4"/>
      <c r="G830" s="4"/>
      <c r="H830" s="4"/>
      <c r="I830" s="4"/>
      <c r="J830" s="4"/>
      <c r="K830" s="4"/>
      <c r="L830" s="4"/>
      <c r="M830" s="4"/>
      <c r="N830" s="4"/>
      <c r="O830" s="4"/>
      <c r="P830" s="4"/>
      <c r="Q830" s="4"/>
      <c r="R830" s="4"/>
      <c r="S830" s="4"/>
      <c r="T830" s="4"/>
      <c r="U830" s="4"/>
      <c r="V830" s="4"/>
      <c r="W830" s="4"/>
      <c r="X830" s="4"/>
      <c r="Y830" s="4"/>
      <c r="Z830" s="4"/>
      <c r="AA830" s="4"/>
      <c r="AB830" s="4"/>
      <c r="AC830" s="4"/>
      <c r="AD830" s="4"/>
      <c r="AE830" s="4"/>
      <c r="AF830" s="4"/>
      <c r="AG830" s="4"/>
      <c r="AH830" s="4"/>
    </row>
    <row r="831" spans="1:34" ht="15.75" customHeight="1" x14ac:dyDescent="0.2">
      <c r="A831" s="3"/>
      <c r="B831" s="4"/>
      <c r="C831" s="4"/>
      <c r="D831" s="4"/>
      <c r="E831" s="4"/>
      <c r="F831" s="4"/>
      <c r="G831" s="4"/>
      <c r="H831" s="4"/>
      <c r="I831" s="4"/>
      <c r="J831" s="4"/>
      <c r="K831" s="4"/>
      <c r="L831" s="4"/>
      <c r="M831" s="4"/>
      <c r="N831" s="4"/>
      <c r="O831" s="4"/>
      <c r="P831" s="4"/>
      <c r="Q831" s="4"/>
      <c r="R831" s="4"/>
      <c r="S831" s="4"/>
      <c r="T831" s="4"/>
      <c r="U831" s="4"/>
      <c r="V831" s="4"/>
      <c r="W831" s="4"/>
      <c r="X831" s="4"/>
      <c r="Y831" s="4"/>
      <c r="Z831" s="4"/>
      <c r="AA831" s="4"/>
      <c r="AB831" s="4"/>
      <c r="AC831" s="4"/>
      <c r="AD831" s="4"/>
      <c r="AE831" s="4"/>
      <c r="AF831" s="4"/>
      <c r="AG831" s="4"/>
      <c r="AH831" s="4"/>
    </row>
    <row r="832" spans="1:34" ht="15.75" customHeight="1" x14ac:dyDescent="0.2">
      <c r="A832" s="3"/>
      <c r="B832" s="4"/>
      <c r="C832" s="4"/>
      <c r="D832" s="4"/>
      <c r="E832" s="4"/>
      <c r="F832" s="4"/>
      <c r="G832" s="4"/>
      <c r="H832" s="4"/>
      <c r="I832" s="4"/>
      <c r="J832" s="4"/>
      <c r="K832" s="4"/>
      <c r="L832" s="4"/>
      <c r="M832" s="4"/>
      <c r="N832" s="4"/>
      <c r="O832" s="4"/>
      <c r="P832" s="4"/>
      <c r="Q832" s="4"/>
      <c r="R832" s="4"/>
      <c r="S832" s="4"/>
      <c r="T832" s="4"/>
      <c r="U832" s="4"/>
      <c r="V832" s="4"/>
      <c r="W832" s="4"/>
      <c r="X832" s="4"/>
      <c r="Y832" s="4"/>
      <c r="Z832" s="4"/>
      <c r="AA832" s="4"/>
      <c r="AB832" s="4"/>
      <c r="AC832" s="4"/>
      <c r="AD832" s="4"/>
      <c r="AE832" s="4"/>
      <c r="AF832" s="4"/>
      <c r="AG832" s="4"/>
      <c r="AH832" s="4"/>
    </row>
    <row r="833" spans="1:34" ht="15.75" customHeight="1" x14ac:dyDescent="0.2">
      <c r="A833" s="3"/>
      <c r="B833" s="4"/>
      <c r="C833" s="4"/>
      <c r="D833" s="4"/>
      <c r="E833" s="4"/>
      <c r="F833" s="4"/>
      <c r="G833" s="4"/>
      <c r="H833" s="4"/>
      <c r="I833" s="4"/>
      <c r="J833" s="4"/>
      <c r="K833" s="4"/>
      <c r="L833" s="4"/>
      <c r="M833" s="4"/>
      <c r="N833" s="4"/>
      <c r="O833" s="4"/>
      <c r="P833" s="4"/>
      <c r="Q833" s="4"/>
      <c r="R833" s="4"/>
      <c r="S833" s="4"/>
      <c r="T833" s="4"/>
      <c r="U833" s="4"/>
      <c r="V833" s="4"/>
      <c r="W833" s="4"/>
      <c r="X833" s="4"/>
      <c r="Y833" s="4"/>
      <c r="Z833" s="4"/>
      <c r="AA833" s="4"/>
      <c r="AB833" s="4"/>
      <c r="AC833" s="4"/>
      <c r="AD833" s="4"/>
      <c r="AE833" s="4"/>
      <c r="AF833" s="4"/>
      <c r="AG833" s="4"/>
      <c r="AH833" s="4"/>
    </row>
    <row r="834" spans="1:34" ht="15.75" customHeight="1" x14ac:dyDescent="0.2">
      <c r="A834" s="3"/>
      <c r="B834" s="4"/>
      <c r="C834" s="4"/>
      <c r="D834" s="4"/>
      <c r="E834" s="4"/>
      <c r="F834" s="4"/>
      <c r="G834" s="4"/>
      <c r="H834" s="4"/>
      <c r="I834" s="4"/>
      <c r="J834" s="4"/>
      <c r="K834" s="4"/>
      <c r="L834" s="4"/>
      <c r="M834" s="4"/>
      <c r="N834" s="4"/>
      <c r="O834" s="4"/>
      <c r="P834" s="4"/>
      <c r="Q834" s="4"/>
      <c r="R834" s="4"/>
      <c r="S834" s="4"/>
      <c r="T834" s="4"/>
      <c r="U834" s="4"/>
      <c r="V834" s="4"/>
      <c r="W834" s="4"/>
      <c r="X834" s="4"/>
      <c r="Y834" s="4"/>
      <c r="Z834" s="4"/>
      <c r="AA834" s="4"/>
      <c r="AB834" s="4"/>
      <c r="AC834" s="4"/>
      <c r="AD834" s="4"/>
      <c r="AE834" s="4"/>
      <c r="AF834" s="4"/>
      <c r="AG834" s="4"/>
      <c r="AH834" s="4"/>
    </row>
    <row r="835" spans="1:34" ht="15.75" customHeight="1" x14ac:dyDescent="0.2">
      <c r="A835" s="3"/>
      <c r="B835" s="4"/>
      <c r="C835" s="4"/>
      <c r="D835" s="4"/>
      <c r="E835" s="4"/>
      <c r="F835" s="4"/>
      <c r="G835" s="4"/>
      <c r="H835" s="4"/>
      <c r="I835" s="4"/>
      <c r="J835" s="4"/>
      <c r="K835" s="4"/>
      <c r="L835" s="4"/>
      <c r="M835" s="4"/>
      <c r="N835" s="4"/>
      <c r="O835" s="4"/>
      <c r="P835" s="4"/>
      <c r="Q835" s="4"/>
      <c r="R835" s="4"/>
      <c r="S835" s="4"/>
      <c r="T835" s="4"/>
      <c r="U835" s="4"/>
      <c r="V835" s="4"/>
      <c r="W835" s="4"/>
      <c r="X835" s="4"/>
      <c r="Y835" s="4"/>
      <c r="Z835" s="4"/>
      <c r="AA835" s="4"/>
      <c r="AB835" s="4"/>
      <c r="AC835" s="4"/>
      <c r="AD835" s="4"/>
      <c r="AE835" s="4"/>
      <c r="AF835" s="4"/>
      <c r="AG835" s="4"/>
      <c r="AH835" s="4"/>
    </row>
    <row r="836" spans="1:34" ht="15.75" customHeight="1" x14ac:dyDescent="0.2">
      <c r="A836" s="3"/>
      <c r="B836" s="4"/>
      <c r="C836" s="4"/>
      <c r="D836" s="4"/>
      <c r="E836" s="4"/>
      <c r="F836" s="4"/>
      <c r="G836" s="4"/>
      <c r="H836" s="4"/>
      <c r="I836" s="4"/>
      <c r="J836" s="4"/>
      <c r="K836" s="4"/>
      <c r="L836" s="4"/>
      <c r="M836" s="4"/>
      <c r="N836" s="4"/>
      <c r="O836" s="4"/>
      <c r="P836" s="4"/>
      <c r="Q836" s="4"/>
      <c r="R836" s="4"/>
      <c r="S836" s="4"/>
      <c r="T836" s="4"/>
      <c r="U836" s="4"/>
      <c r="V836" s="4"/>
      <c r="W836" s="4"/>
      <c r="X836" s="4"/>
      <c r="Y836" s="4"/>
      <c r="Z836" s="4"/>
      <c r="AA836" s="4"/>
      <c r="AB836" s="4"/>
      <c r="AC836" s="4"/>
      <c r="AD836" s="4"/>
      <c r="AE836" s="4"/>
      <c r="AF836" s="4"/>
      <c r="AG836" s="4"/>
      <c r="AH836" s="4"/>
    </row>
    <row r="837" spans="1:34" ht="15.75" customHeight="1" x14ac:dyDescent="0.2">
      <c r="A837" s="3"/>
      <c r="B837" s="4"/>
      <c r="C837" s="4"/>
      <c r="D837" s="4"/>
      <c r="E837" s="4"/>
      <c r="F837" s="4"/>
      <c r="G837" s="4"/>
      <c r="H837" s="4"/>
      <c r="I837" s="4"/>
      <c r="J837" s="4"/>
      <c r="K837" s="4"/>
      <c r="L837" s="4"/>
      <c r="M837" s="4"/>
      <c r="N837" s="4"/>
      <c r="O837" s="4"/>
      <c r="P837" s="4"/>
      <c r="Q837" s="4"/>
      <c r="R837" s="4"/>
      <c r="S837" s="4"/>
      <c r="T837" s="4"/>
      <c r="U837" s="4"/>
      <c r="V837" s="4"/>
      <c r="W837" s="4"/>
      <c r="X837" s="4"/>
      <c r="Y837" s="4"/>
      <c r="Z837" s="4"/>
      <c r="AA837" s="4"/>
      <c r="AB837" s="4"/>
      <c r="AC837" s="4"/>
      <c r="AD837" s="4"/>
      <c r="AE837" s="4"/>
      <c r="AF837" s="4"/>
      <c r="AG837" s="4"/>
      <c r="AH837" s="4"/>
    </row>
    <row r="838" spans="1:34" ht="15.75" customHeight="1" x14ac:dyDescent="0.2">
      <c r="A838" s="3"/>
      <c r="B838" s="4"/>
      <c r="C838" s="4"/>
      <c r="D838" s="4"/>
      <c r="E838" s="4"/>
      <c r="F838" s="4"/>
      <c r="G838" s="4"/>
      <c r="H838" s="4"/>
      <c r="I838" s="4"/>
      <c r="J838" s="4"/>
      <c r="K838" s="4"/>
      <c r="L838" s="4"/>
      <c r="M838" s="4"/>
      <c r="N838" s="4"/>
      <c r="O838" s="4"/>
      <c r="P838" s="4"/>
      <c r="Q838" s="4"/>
      <c r="R838" s="4"/>
      <c r="S838" s="4"/>
      <c r="T838" s="4"/>
      <c r="U838" s="4"/>
      <c r="V838" s="4"/>
      <c r="W838" s="4"/>
      <c r="X838" s="4"/>
      <c r="Y838" s="4"/>
      <c r="Z838" s="4"/>
      <c r="AA838" s="4"/>
      <c r="AB838" s="4"/>
      <c r="AC838" s="4"/>
      <c r="AD838" s="4"/>
      <c r="AE838" s="4"/>
      <c r="AF838" s="4"/>
      <c r="AG838" s="4"/>
      <c r="AH838" s="4"/>
    </row>
    <row r="839" spans="1:34" ht="15.75" customHeight="1" x14ac:dyDescent="0.2">
      <c r="A839" s="3"/>
      <c r="B839" s="4"/>
      <c r="C839" s="4"/>
      <c r="D839" s="4"/>
      <c r="E839" s="4"/>
      <c r="F839" s="4"/>
      <c r="G839" s="4"/>
      <c r="H839" s="4"/>
      <c r="I839" s="4"/>
      <c r="J839" s="4"/>
      <c r="K839" s="4"/>
      <c r="L839" s="4"/>
      <c r="M839" s="4"/>
      <c r="N839" s="4"/>
      <c r="O839" s="4"/>
      <c r="P839" s="4"/>
      <c r="Q839" s="4"/>
      <c r="R839" s="4"/>
      <c r="S839" s="4"/>
      <c r="T839" s="4"/>
      <c r="U839" s="4"/>
      <c r="V839" s="4"/>
      <c r="W839" s="4"/>
      <c r="X839" s="4"/>
      <c r="Y839" s="4"/>
      <c r="Z839" s="4"/>
      <c r="AA839" s="4"/>
      <c r="AB839" s="4"/>
      <c r="AC839" s="4"/>
      <c r="AD839" s="4"/>
      <c r="AE839" s="4"/>
      <c r="AF839" s="4"/>
      <c r="AG839" s="4"/>
      <c r="AH839" s="4"/>
    </row>
    <row r="840" spans="1:34" ht="15.75" customHeight="1" x14ac:dyDescent="0.2">
      <c r="A840" s="3"/>
      <c r="B840" s="4"/>
      <c r="C840" s="4"/>
      <c r="D840" s="4"/>
      <c r="E840" s="4"/>
      <c r="F840" s="4"/>
      <c r="G840" s="4"/>
      <c r="H840" s="4"/>
      <c r="I840" s="4"/>
      <c r="J840" s="4"/>
      <c r="K840" s="4"/>
      <c r="L840" s="4"/>
      <c r="M840" s="4"/>
      <c r="N840" s="4"/>
      <c r="O840" s="4"/>
      <c r="P840" s="4"/>
      <c r="Q840" s="4"/>
      <c r="R840" s="4"/>
      <c r="S840" s="4"/>
      <c r="T840" s="4"/>
      <c r="U840" s="4"/>
      <c r="V840" s="4"/>
      <c r="W840" s="4"/>
      <c r="X840" s="4"/>
      <c r="Y840" s="4"/>
      <c r="Z840" s="4"/>
      <c r="AA840" s="4"/>
      <c r="AB840" s="4"/>
      <c r="AC840" s="4"/>
      <c r="AD840" s="4"/>
      <c r="AE840" s="4"/>
      <c r="AF840" s="4"/>
      <c r="AG840" s="4"/>
      <c r="AH840" s="4"/>
    </row>
    <row r="841" spans="1:34" ht="15.75" customHeight="1" x14ac:dyDescent="0.2">
      <c r="A841" s="3"/>
      <c r="B841" s="4"/>
      <c r="C841" s="4"/>
      <c r="D841" s="4"/>
      <c r="E841" s="4"/>
      <c r="F841" s="4"/>
      <c r="G841" s="4"/>
      <c r="H841" s="4"/>
      <c r="I841" s="4"/>
      <c r="J841" s="4"/>
      <c r="K841" s="4"/>
      <c r="L841" s="4"/>
      <c r="M841" s="4"/>
      <c r="N841" s="4"/>
      <c r="O841" s="4"/>
      <c r="P841" s="4"/>
      <c r="Q841" s="4"/>
      <c r="R841" s="4"/>
      <c r="S841" s="4"/>
      <c r="T841" s="4"/>
      <c r="U841" s="4"/>
      <c r="V841" s="4"/>
      <c r="W841" s="4"/>
      <c r="X841" s="4"/>
      <c r="Y841" s="4"/>
      <c r="Z841" s="4"/>
      <c r="AA841" s="4"/>
      <c r="AB841" s="4"/>
      <c r="AC841" s="4"/>
      <c r="AD841" s="4"/>
      <c r="AE841" s="4"/>
      <c r="AF841" s="4"/>
      <c r="AG841" s="4"/>
      <c r="AH841" s="4"/>
    </row>
    <row r="842" spans="1:34" ht="15.75" customHeight="1" x14ac:dyDescent="0.2">
      <c r="A842" s="3"/>
      <c r="B842" s="4"/>
      <c r="C842" s="4"/>
      <c r="D842" s="4"/>
      <c r="E842" s="4"/>
      <c r="F842" s="4"/>
      <c r="G842" s="4"/>
      <c r="H842" s="4"/>
      <c r="I842" s="4"/>
      <c r="J842" s="4"/>
      <c r="K842" s="4"/>
      <c r="L842" s="4"/>
      <c r="M842" s="4"/>
      <c r="N842" s="4"/>
      <c r="O842" s="4"/>
      <c r="P842" s="4"/>
      <c r="Q842" s="4"/>
      <c r="R842" s="4"/>
      <c r="S842" s="4"/>
      <c r="T842" s="4"/>
      <c r="U842" s="4"/>
      <c r="V842" s="4"/>
      <c r="W842" s="4"/>
      <c r="X842" s="4"/>
      <c r="Y842" s="4"/>
      <c r="Z842" s="4"/>
      <c r="AA842" s="4"/>
      <c r="AB842" s="4"/>
      <c r="AC842" s="4"/>
      <c r="AD842" s="4"/>
      <c r="AE842" s="4"/>
      <c r="AF842" s="4"/>
      <c r="AG842" s="4"/>
      <c r="AH842" s="4"/>
    </row>
    <row r="843" spans="1:34" ht="15.75" customHeight="1" x14ac:dyDescent="0.2">
      <c r="A843" s="3"/>
      <c r="B843" s="4"/>
      <c r="C843" s="4"/>
      <c r="D843" s="4"/>
      <c r="E843" s="4"/>
      <c r="F843" s="4"/>
      <c r="G843" s="4"/>
      <c r="H843" s="4"/>
      <c r="I843" s="4"/>
      <c r="J843" s="4"/>
      <c r="K843" s="4"/>
      <c r="L843" s="4"/>
      <c r="M843" s="4"/>
      <c r="N843" s="4"/>
      <c r="O843" s="4"/>
      <c r="P843" s="4"/>
      <c r="Q843" s="4"/>
      <c r="R843" s="4"/>
      <c r="S843" s="4"/>
      <c r="T843" s="4"/>
      <c r="U843" s="4"/>
      <c r="V843" s="4"/>
      <c r="W843" s="4"/>
      <c r="X843" s="4"/>
      <c r="Y843" s="4"/>
      <c r="Z843" s="4"/>
      <c r="AA843" s="4"/>
      <c r="AB843" s="4"/>
      <c r="AC843" s="4"/>
      <c r="AD843" s="4"/>
      <c r="AE843" s="4"/>
      <c r="AF843" s="4"/>
      <c r="AG843" s="4"/>
      <c r="AH843" s="4"/>
    </row>
    <row r="844" spans="1:34" ht="15.75" customHeight="1" x14ac:dyDescent="0.2">
      <c r="A844" s="3"/>
      <c r="B844" s="4"/>
      <c r="C844" s="4"/>
      <c r="D844" s="4"/>
      <c r="E844" s="4"/>
      <c r="F844" s="4"/>
      <c r="G844" s="4"/>
      <c r="H844" s="4"/>
      <c r="I844" s="4"/>
      <c r="J844" s="4"/>
      <c r="K844" s="4"/>
      <c r="L844" s="4"/>
      <c r="M844" s="4"/>
      <c r="N844" s="4"/>
      <c r="O844" s="4"/>
      <c r="P844" s="4"/>
      <c r="Q844" s="4"/>
      <c r="R844" s="4"/>
      <c r="S844" s="4"/>
      <c r="T844" s="4"/>
      <c r="U844" s="4"/>
      <c r="V844" s="4"/>
      <c r="W844" s="4"/>
      <c r="X844" s="4"/>
      <c r="Y844" s="4"/>
      <c r="Z844" s="4"/>
      <c r="AA844" s="4"/>
      <c r="AB844" s="4"/>
      <c r="AC844" s="4"/>
      <c r="AD844" s="4"/>
      <c r="AE844" s="4"/>
      <c r="AF844" s="4"/>
      <c r="AG844" s="4"/>
      <c r="AH844" s="4"/>
    </row>
    <row r="845" spans="1:34" ht="15.75" customHeight="1" x14ac:dyDescent="0.2">
      <c r="A845" s="3"/>
      <c r="B845" s="4"/>
      <c r="C845" s="4"/>
      <c r="D845" s="4"/>
      <c r="E845" s="4"/>
      <c r="F845" s="4"/>
      <c r="G845" s="4"/>
      <c r="H845" s="4"/>
      <c r="I845" s="4"/>
      <c r="J845" s="4"/>
      <c r="K845" s="4"/>
      <c r="L845" s="4"/>
      <c r="M845" s="4"/>
      <c r="N845" s="4"/>
      <c r="O845" s="4"/>
      <c r="P845" s="4"/>
      <c r="Q845" s="4"/>
      <c r="R845" s="4"/>
      <c r="S845" s="4"/>
      <c r="T845" s="4"/>
      <c r="U845" s="4"/>
      <c r="V845" s="4"/>
      <c r="W845" s="4"/>
      <c r="X845" s="4"/>
      <c r="Y845" s="4"/>
      <c r="Z845" s="4"/>
      <c r="AA845" s="4"/>
      <c r="AB845" s="4"/>
      <c r="AC845" s="4"/>
      <c r="AD845" s="4"/>
      <c r="AE845" s="4"/>
      <c r="AF845" s="4"/>
      <c r="AG845" s="4"/>
      <c r="AH845" s="4"/>
    </row>
    <row r="846" spans="1:34" ht="15.75" customHeight="1" x14ac:dyDescent="0.2">
      <c r="A846" s="3"/>
      <c r="B846" s="4"/>
      <c r="C846" s="4"/>
      <c r="D846" s="4"/>
      <c r="E846" s="4"/>
      <c r="F846" s="4"/>
      <c r="G846" s="4"/>
      <c r="H846" s="4"/>
      <c r="I846" s="4"/>
      <c r="J846" s="4"/>
      <c r="K846" s="4"/>
      <c r="L846" s="4"/>
      <c r="M846" s="4"/>
      <c r="N846" s="4"/>
      <c r="O846" s="4"/>
      <c r="P846" s="4"/>
      <c r="Q846" s="4"/>
      <c r="R846" s="4"/>
      <c r="S846" s="4"/>
      <c r="T846" s="4"/>
      <c r="U846" s="4"/>
      <c r="V846" s="4"/>
      <c r="W846" s="4"/>
      <c r="X846" s="4"/>
      <c r="Y846" s="4"/>
      <c r="Z846" s="4"/>
      <c r="AA846" s="4"/>
      <c r="AB846" s="4"/>
      <c r="AC846" s="4"/>
      <c r="AD846" s="4"/>
      <c r="AE846" s="4"/>
      <c r="AF846" s="4"/>
      <c r="AG846" s="4"/>
      <c r="AH846" s="4"/>
    </row>
    <row r="847" spans="1:34" ht="15.75" customHeight="1" x14ac:dyDescent="0.2">
      <c r="A847" s="3"/>
      <c r="B847" s="4"/>
      <c r="C847" s="4"/>
      <c r="D847" s="4"/>
      <c r="E847" s="4"/>
      <c r="F847" s="4"/>
      <c r="G847" s="4"/>
      <c r="H847" s="4"/>
      <c r="I847" s="4"/>
      <c r="J847" s="4"/>
      <c r="K847" s="4"/>
      <c r="L847" s="4"/>
      <c r="M847" s="4"/>
      <c r="N847" s="4"/>
      <c r="O847" s="4"/>
      <c r="P847" s="4"/>
      <c r="Q847" s="4"/>
      <c r="R847" s="4"/>
      <c r="S847" s="4"/>
      <c r="T847" s="4"/>
      <c r="U847" s="4"/>
      <c r="V847" s="4"/>
      <c r="W847" s="4"/>
      <c r="X847" s="4"/>
      <c r="Y847" s="4"/>
      <c r="Z847" s="4"/>
      <c r="AA847" s="4"/>
      <c r="AB847" s="4"/>
      <c r="AC847" s="4"/>
      <c r="AD847" s="4"/>
      <c r="AE847" s="4"/>
      <c r="AF847" s="4"/>
      <c r="AG847" s="4"/>
      <c r="AH847" s="4"/>
    </row>
    <row r="848" spans="1:34" ht="15.75" customHeight="1" x14ac:dyDescent="0.2">
      <c r="A848" s="3"/>
      <c r="B848" s="4"/>
      <c r="C848" s="4"/>
      <c r="D848" s="4"/>
      <c r="E848" s="4"/>
      <c r="F848" s="4"/>
      <c r="G848" s="4"/>
      <c r="H848" s="4"/>
      <c r="I848" s="4"/>
      <c r="J848" s="4"/>
      <c r="K848" s="4"/>
      <c r="L848" s="4"/>
      <c r="M848" s="4"/>
      <c r="N848" s="4"/>
      <c r="O848" s="4"/>
      <c r="P848" s="4"/>
      <c r="Q848" s="4"/>
      <c r="R848" s="4"/>
      <c r="S848" s="4"/>
      <c r="T848" s="4"/>
      <c r="U848" s="4"/>
      <c r="V848" s="4"/>
      <c r="W848" s="4"/>
      <c r="X848" s="4"/>
      <c r="Y848" s="4"/>
      <c r="Z848" s="4"/>
      <c r="AA848" s="4"/>
      <c r="AB848" s="4"/>
      <c r="AC848" s="4"/>
      <c r="AD848" s="4"/>
      <c r="AE848" s="4"/>
      <c r="AF848" s="4"/>
      <c r="AG848" s="4"/>
      <c r="AH848" s="4"/>
    </row>
    <row r="849" spans="1:34" ht="15.75" customHeight="1" x14ac:dyDescent="0.2">
      <c r="A849" s="3"/>
      <c r="B849" s="4"/>
      <c r="C849" s="4"/>
      <c r="D849" s="4"/>
      <c r="E849" s="4"/>
      <c r="F849" s="4"/>
      <c r="G849" s="4"/>
      <c r="H849" s="4"/>
      <c r="I849" s="4"/>
      <c r="J849" s="4"/>
      <c r="K849" s="4"/>
      <c r="L849" s="4"/>
      <c r="M849" s="4"/>
      <c r="N849" s="4"/>
      <c r="O849" s="4"/>
      <c r="P849" s="4"/>
      <c r="Q849" s="4"/>
      <c r="R849" s="4"/>
      <c r="S849" s="4"/>
      <c r="T849" s="4"/>
      <c r="U849" s="4"/>
      <c r="V849" s="4"/>
      <c r="W849" s="4"/>
      <c r="X849" s="4"/>
      <c r="Y849" s="4"/>
      <c r="Z849" s="4"/>
      <c r="AA849" s="4"/>
      <c r="AB849" s="4"/>
      <c r="AC849" s="4"/>
      <c r="AD849" s="4"/>
      <c r="AE849" s="4"/>
      <c r="AF849" s="4"/>
      <c r="AG849" s="4"/>
      <c r="AH849" s="4"/>
    </row>
    <row r="850" spans="1:34" ht="15.75" customHeight="1" x14ac:dyDescent="0.2">
      <c r="A850" s="3"/>
      <c r="B850" s="4"/>
      <c r="C850" s="4"/>
      <c r="D850" s="4"/>
      <c r="E850" s="4"/>
      <c r="F850" s="4"/>
      <c r="G850" s="4"/>
      <c r="H850" s="4"/>
      <c r="I850" s="4"/>
      <c r="J850" s="4"/>
      <c r="K850" s="4"/>
      <c r="L850" s="4"/>
      <c r="M850" s="4"/>
      <c r="N850" s="4"/>
      <c r="O850" s="4"/>
      <c r="P850" s="4"/>
      <c r="Q850" s="4"/>
      <c r="R850" s="4"/>
      <c r="S850" s="4"/>
      <c r="T850" s="4"/>
      <c r="U850" s="4"/>
      <c r="V850" s="4"/>
      <c r="W850" s="4"/>
      <c r="X850" s="4"/>
      <c r="Y850" s="4"/>
      <c r="Z850" s="4"/>
      <c r="AA850" s="4"/>
      <c r="AB850" s="4"/>
      <c r="AC850" s="4"/>
      <c r="AD850" s="4"/>
      <c r="AE850" s="4"/>
      <c r="AF850" s="4"/>
      <c r="AG850" s="4"/>
      <c r="AH850" s="4"/>
    </row>
    <row r="851" spans="1:34" ht="15.75" customHeight="1" x14ac:dyDescent="0.2">
      <c r="A851" s="3"/>
      <c r="B851" s="4"/>
      <c r="C851" s="4"/>
      <c r="D851" s="4"/>
      <c r="E851" s="4"/>
      <c r="F851" s="4"/>
      <c r="G851" s="4"/>
      <c r="H851" s="4"/>
      <c r="I851" s="4"/>
      <c r="J851" s="4"/>
      <c r="K851" s="4"/>
      <c r="L851" s="4"/>
      <c r="M851" s="4"/>
      <c r="N851" s="4"/>
      <c r="O851" s="4"/>
      <c r="P851" s="4"/>
      <c r="Q851" s="4"/>
      <c r="R851" s="4"/>
      <c r="S851" s="4"/>
      <c r="T851" s="4"/>
      <c r="U851" s="4"/>
      <c r="V851" s="4"/>
      <c r="W851" s="4"/>
      <c r="X851" s="4"/>
      <c r="Y851" s="4"/>
      <c r="Z851" s="4"/>
      <c r="AA851" s="4"/>
      <c r="AB851" s="4"/>
      <c r="AC851" s="4"/>
      <c r="AD851" s="4"/>
      <c r="AE851" s="4"/>
      <c r="AF851" s="4"/>
      <c r="AG851" s="4"/>
      <c r="AH851" s="4"/>
    </row>
    <row r="852" spans="1:34" ht="15.75" customHeight="1" x14ac:dyDescent="0.2">
      <c r="A852" s="3"/>
      <c r="B852" s="4"/>
      <c r="C852" s="4"/>
      <c r="D852" s="4"/>
      <c r="E852" s="4"/>
      <c r="F852" s="4"/>
      <c r="G852" s="4"/>
      <c r="H852" s="4"/>
      <c r="I852" s="4"/>
      <c r="J852" s="4"/>
      <c r="K852" s="4"/>
      <c r="L852" s="4"/>
      <c r="M852" s="4"/>
      <c r="N852" s="4"/>
      <c r="O852" s="4"/>
      <c r="P852" s="4"/>
      <c r="Q852" s="4"/>
      <c r="R852" s="4"/>
      <c r="S852" s="4"/>
      <c r="T852" s="4"/>
      <c r="U852" s="4"/>
      <c r="V852" s="4"/>
      <c r="W852" s="4"/>
      <c r="X852" s="4"/>
      <c r="Y852" s="4"/>
      <c r="Z852" s="4"/>
      <c r="AA852" s="4"/>
      <c r="AB852" s="4"/>
      <c r="AC852" s="4"/>
      <c r="AD852" s="4"/>
      <c r="AE852" s="4"/>
      <c r="AF852" s="4"/>
      <c r="AG852" s="4"/>
      <c r="AH852" s="4"/>
    </row>
    <row r="853" spans="1:34" ht="15.75" customHeight="1" x14ac:dyDescent="0.2">
      <c r="A853" s="3"/>
      <c r="B853" s="4"/>
      <c r="C853" s="4"/>
      <c r="D853" s="4"/>
      <c r="E853" s="4"/>
      <c r="F853" s="4"/>
      <c r="G853" s="4"/>
      <c r="H853" s="4"/>
      <c r="I853" s="4"/>
      <c r="J853" s="4"/>
      <c r="K853" s="4"/>
      <c r="L853" s="4"/>
      <c r="M853" s="4"/>
      <c r="N853" s="4"/>
      <c r="O853" s="4"/>
      <c r="P853" s="4"/>
      <c r="Q853" s="4"/>
      <c r="R853" s="4"/>
      <c r="S853" s="4"/>
      <c r="T853" s="4"/>
      <c r="U853" s="4"/>
      <c r="V853" s="4"/>
      <c r="W853" s="4"/>
      <c r="X853" s="4"/>
      <c r="Y853" s="4"/>
      <c r="Z853" s="4"/>
      <c r="AA853" s="4"/>
      <c r="AB853" s="4"/>
      <c r="AC853" s="4"/>
      <c r="AD853" s="4"/>
      <c r="AE853" s="4"/>
      <c r="AF853" s="4"/>
      <c r="AG853" s="4"/>
      <c r="AH853" s="4"/>
    </row>
    <row r="854" spans="1:34" ht="15.75" customHeight="1" x14ac:dyDescent="0.2">
      <c r="A854" s="3"/>
      <c r="B854" s="4"/>
      <c r="C854" s="4"/>
      <c r="D854" s="4"/>
      <c r="E854" s="4"/>
      <c r="F854" s="4"/>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row>
    <row r="855" spans="1:34" ht="15.75" customHeight="1" x14ac:dyDescent="0.2">
      <c r="A855" s="3"/>
      <c r="B855" s="4"/>
      <c r="C855" s="4"/>
      <c r="D855" s="4"/>
      <c r="E855" s="4"/>
      <c r="F855" s="4"/>
      <c r="G855" s="4"/>
      <c r="H855" s="4"/>
      <c r="I855" s="4"/>
      <c r="J855" s="4"/>
      <c r="K855" s="4"/>
      <c r="L855" s="4"/>
      <c r="M855" s="4"/>
      <c r="N855" s="4"/>
      <c r="O855" s="4"/>
      <c r="P855" s="4"/>
      <c r="Q855" s="4"/>
      <c r="R855" s="4"/>
      <c r="S855" s="4"/>
      <c r="T855" s="4"/>
      <c r="U855" s="4"/>
      <c r="V855" s="4"/>
      <c r="W855" s="4"/>
      <c r="X855" s="4"/>
      <c r="Y855" s="4"/>
      <c r="Z855" s="4"/>
      <c r="AA855" s="4"/>
      <c r="AB855" s="4"/>
      <c r="AC855" s="4"/>
      <c r="AD855" s="4"/>
      <c r="AE855" s="4"/>
      <c r="AF855" s="4"/>
      <c r="AG855" s="4"/>
      <c r="AH855" s="4"/>
    </row>
    <row r="856" spans="1:34" ht="15.75" customHeight="1" x14ac:dyDescent="0.2">
      <c r="A856" s="3"/>
      <c r="B856" s="4"/>
      <c r="C856" s="4"/>
      <c r="D856" s="4"/>
      <c r="E856" s="4"/>
      <c r="F856" s="4"/>
      <c r="G856" s="4"/>
      <c r="H856" s="4"/>
      <c r="I856" s="4"/>
      <c r="J856" s="4"/>
      <c r="K856" s="4"/>
      <c r="L856" s="4"/>
      <c r="M856" s="4"/>
      <c r="N856" s="4"/>
      <c r="O856" s="4"/>
      <c r="P856" s="4"/>
      <c r="Q856" s="4"/>
      <c r="R856" s="4"/>
      <c r="S856" s="4"/>
      <c r="T856" s="4"/>
      <c r="U856" s="4"/>
      <c r="V856" s="4"/>
      <c r="W856" s="4"/>
      <c r="X856" s="4"/>
      <c r="Y856" s="4"/>
      <c r="Z856" s="4"/>
      <c r="AA856" s="4"/>
      <c r="AB856" s="4"/>
      <c r="AC856" s="4"/>
      <c r="AD856" s="4"/>
      <c r="AE856" s="4"/>
      <c r="AF856" s="4"/>
      <c r="AG856" s="4"/>
      <c r="AH856" s="4"/>
    </row>
    <row r="857" spans="1:34" ht="15.75" customHeight="1" x14ac:dyDescent="0.2">
      <c r="A857" s="3"/>
      <c r="B857" s="4"/>
      <c r="C857" s="4"/>
      <c r="D857" s="4"/>
      <c r="E857" s="4"/>
      <c r="F857" s="4"/>
      <c r="G857" s="4"/>
      <c r="H857" s="4"/>
      <c r="I857" s="4"/>
      <c r="J857" s="4"/>
      <c r="K857" s="4"/>
      <c r="L857" s="4"/>
      <c r="M857" s="4"/>
      <c r="N857" s="4"/>
      <c r="O857" s="4"/>
      <c r="P857" s="4"/>
      <c r="Q857" s="4"/>
      <c r="R857" s="4"/>
      <c r="S857" s="4"/>
      <c r="T857" s="4"/>
      <c r="U857" s="4"/>
      <c r="V857" s="4"/>
      <c r="W857" s="4"/>
      <c r="X857" s="4"/>
      <c r="Y857" s="4"/>
      <c r="Z857" s="4"/>
      <c r="AA857" s="4"/>
      <c r="AB857" s="4"/>
      <c r="AC857" s="4"/>
      <c r="AD857" s="4"/>
      <c r="AE857" s="4"/>
      <c r="AF857" s="4"/>
      <c r="AG857" s="4"/>
      <c r="AH857" s="4"/>
    </row>
    <row r="858" spans="1:34" ht="15.75" customHeight="1" x14ac:dyDescent="0.2">
      <c r="A858" s="3"/>
      <c r="B858" s="4"/>
      <c r="C858" s="4"/>
      <c r="D858" s="4"/>
      <c r="E858" s="4"/>
      <c r="F858" s="4"/>
      <c r="G858" s="4"/>
      <c r="H858" s="4"/>
      <c r="I858" s="4"/>
      <c r="J858" s="4"/>
      <c r="K858" s="4"/>
      <c r="L858" s="4"/>
      <c r="M858" s="4"/>
      <c r="N858" s="4"/>
      <c r="O858" s="4"/>
      <c r="P858" s="4"/>
      <c r="Q858" s="4"/>
      <c r="R858" s="4"/>
      <c r="S858" s="4"/>
      <c r="T858" s="4"/>
      <c r="U858" s="4"/>
      <c r="V858" s="4"/>
      <c r="W858" s="4"/>
      <c r="X858" s="4"/>
      <c r="Y858" s="4"/>
      <c r="Z858" s="4"/>
      <c r="AA858" s="4"/>
      <c r="AB858" s="4"/>
      <c r="AC858" s="4"/>
      <c r="AD858" s="4"/>
      <c r="AE858" s="4"/>
      <c r="AF858" s="4"/>
      <c r="AG858" s="4"/>
      <c r="AH858" s="4"/>
    </row>
    <row r="859" spans="1:34" ht="15.75" customHeight="1" x14ac:dyDescent="0.2">
      <c r="A859" s="3"/>
      <c r="B859" s="4"/>
      <c r="C859" s="4"/>
      <c r="D859" s="4"/>
      <c r="E859" s="4"/>
      <c r="F859" s="4"/>
      <c r="G859" s="4"/>
      <c r="H859" s="4"/>
      <c r="I859" s="4"/>
      <c r="J859" s="4"/>
      <c r="K859" s="4"/>
      <c r="L859" s="4"/>
      <c r="M859" s="4"/>
      <c r="N859" s="4"/>
      <c r="O859" s="4"/>
      <c r="P859" s="4"/>
      <c r="Q859" s="4"/>
      <c r="R859" s="4"/>
      <c r="S859" s="4"/>
      <c r="T859" s="4"/>
      <c r="U859" s="4"/>
      <c r="V859" s="4"/>
      <c r="W859" s="4"/>
      <c r="X859" s="4"/>
      <c r="Y859" s="4"/>
      <c r="Z859" s="4"/>
      <c r="AA859" s="4"/>
      <c r="AB859" s="4"/>
      <c r="AC859" s="4"/>
      <c r="AD859" s="4"/>
      <c r="AE859" s="4"/>
      <c r="AF859" s="4"/>
      <c r="AG859" s="4"/>
      <c r="AH859" s="4"/>
    </row>
    <row r="860" spans="1:34" ht="15.75" customHeight="1" x14ac:dyDescent="0.2">
      <c r="A860" s="3"/>
      <c r="B860" s="4"/>
      <c r="C860" s="4"/>
      <c r="D860" s="4"/>
      <c r="E860" s="4"/>
      <c r="F860" s="4"/>
      <c r="G860" s="4"/>
      <c r="H860" s="4"/>
      <c r="I860" s="4"/>
      <c r="J860" s="4"/>
      <c r="K860" s="4"/>
      <c r="L860" s="4"/>
      <c r="M860" s="4"/>
      <c r="N860" s="4"/>
      <c r="O860" s="4"/>
      <c r="P860" s="4"/>
      <c r="Q860" s="4"/>
      <c r="R860" s="4"/>
      <c r="S860" s="4"/>
      <c r="T860" s="4"/>
      <c r="U860" s="4"/>
      <c r="V860" s="4"/>
      <c r="W860" s="4"/>
      <c r="X860" s="4"/>
      <c r="Y860" s="4"/>
      <c r="Z860" s="4"/>
      <c r="AA860" s="4"/>
      <c r="AB860" s="4"/>
      <c r="AC860" s="4"/>
      <c r="AD860" s="4"/>
      <c r="AE860" s="4"/>
      <c r="AF860" s="4"/>
      <c r="AG860" s="4"/>
      <c r="AH860" s="4"/>
    </row>
    <row r="861" spans="1:34" ht="15.75" customHeight="1" x14ac:dyDescent="0.2">
      <c r="A861" s="3"/>
      <c r="B861" s="4"/>
      <c r="C861" s="4"/>
      <c r="D861" s="4"/>
      <c r="E861" s="4"/>
      <c r="F861" s="4"/>
      <c r="G861" s="4"/>
      <c r="H861" s="4"/>
      <c r="I861" s="4"/>
      <c r="J861" s="4"/>
      <c r="K861" s="4"/>
      <c r="L861" s="4"/>
      <c r="M861" s="4"/>
      <c r="N861" s="4"/>
      <c r="O861" s="4"/>
      <c r="P861" s="4"/>
      <c r="Q861" s="4"/>
      <c r="R861" s="4"/>
      <c r="S861" s="4"/>
      <c r="T861" s="4"/>
      <c r="U861" s="4"/>
      <c r="V861" s="4"/>
      <c r="W861" s="4"/>
      <c r="X861" s="4"/>
      <c r="Y861" s="4"/>
      <c r="Z861" s="4"/>
      <c r="AA861" s="4"/>
      <c r="AB861" s="4"/>
      <c r="AC861" s="4"/>
      <c r="AD861" s="4"/>
      <c r="AE861" s="4"/>
      <c r="AF861" s="4"/>
      <c r="AG861" s="4"/>
      <c r="AH861" s="4"/>
    </row>
    <row r="862" spans="1:34" ht="15.75" customHeight="1" x14ac:dyDescent="0.2">
      <c r="A862" s="3"/>
      <c r="B862" s="4"/>
      <c r="C862" s="4"/>
      <c r="D862" s="4"/>
      <c r="E862" s="4"/>
      <c r="F862" s="4"/>
      <c r="G862" s="4"/>
      <c r="H862" s="4"/>
      <c r="I862" s="4"/>
      <c r="J862" s="4"/>
      <c r="K862" s="4"/>
      <c r="L862" s="4"/>
      <c r="M862" s="4"/>
      <c r="N862" s="4"/>
      <c r="O862" s="4"/>
      <c r="P862" s="4"/>
      <c r="Q862" s="4"/>
      <c r="R862" s="4"/>
      <c r="S862" s="4"/>
      <c r="T862" s="4"/>
      <c r="U862" s="4"/>
      <c r="V862" s="4"/>
      <c r="W862" s="4"/>
      <c r="X862" s="4"/>
      <c r="Y862" s="4"/>
      <c r="Z862" s="4"/>
      <c r="AA862" s="4"/>
      <c r="AB862" s="4"/>
      <c r="AC862" s="4"/>
      <c r="AD862" s="4"/>
      <c r="AE862" s="4"/>
      <c r="AF862" s="4"/>
      <c r="AG862" s="4"/>
      <c r="AH862" s="4"/>
    </row>
    <row r="863" spans="1:34" ht="15.75" customHeight="1" x14ac:dyDescent="0.2">
      <c r="A863" s="3"/>
      <c r="B863" s="4"/>
      <c r="C863" s="4"/>
      <c r="D863" s="4"/>
      <c r="E863" s="4"/>
      <c r="F863" s="4"/>
      <c r="G863" s="4"/>
      <c r="H863" s="4"/>
      <c r="I863" s="4"/>
      <c r="J863" s="4"/>
      <c r="K863" s="4"/>
      <c r="L863" s="4"/>
      <c r="M863" s="4"/>
      <c r="N863" s="4"/>
      <c r="O863" s="4"/>
      <c r="P863" s="4"/>
      <c r="Q863" s="4"/>
      <c r="R863" s="4"/>
      <c r="S863" s="4"/>
      <c r="T863" s="4"/>
      <c r="U863" s="4"/>
      <c r="V863" s="4"/>
      <c r="W863" s="4"/>
      <c r="X863" s="4"/>
      <c r="Y863" s="4"/>
      <c r="Z863" s="4"/>
      <c r="AA863" s="4"/>
      <c r="AB863" s="4"/>
      <c r="AC863" s="4"/>
      <c r="AD863" s="4"/>
      <c r="AE863" s="4"/>
      <c r="AF863" s="4"/>
      <c r="AG863" s="4"/>
      <c r="AH863" s="4"/>
    </row>
    <row r="864" spans="1:34" ht="15.75" customHeight="1" x14ac:dyDescent="0.2">
      <c r="A864" s="3"/>
      <c r="B864" s="4"/>
      <c r="C864" s="4"/>
      <c r="D864" s="4"/>
      <c r="E864" s="4"/>
      <c r="F864" s="4"/>
      <c r="G864" s="4"/>
      <c r="H864" s="4"/>
      <c r="I864" s="4"/>
      <c r="J864" s="4"/>
      <c r="K864" s="4"/>
      <c r="L864" s="4"/>
      <c r="M864" s="4"/>
      <c r="N864" s="4"/>
      <c r="O864" s="4"/>
      <c r="P864" s="4"/>
      <c r="Q864" s="4"/>
      <c r="R864" s="4"/>
      <c r="S864" s="4"/>
      <c r="T864" s="4"/>
      <c r="U864" s="4"/>
      <c r="V864" s="4"/>
      <c r="W864" s="4"/>
      <c r="X864" s="4"/>
      <c r="Y864" s="4"/>
      <c r="Z864" s="4"/>
      <c r="AA864" s="4"/>
      <c r="AB864" s="4"/>
      <c r="AC864" s="4"/>
      <c r="AD864" s="4"/>
      <c r="AE864" s="4"/>
      <c r="AF864" s="4"/>
      <c r="AG864" s="4"/>
      <c r="AH864" s="4"/>
    </row>
    <row r="865" spans="1:34" ht="15.75" customHeight="1" x14ac:dyDescent="0.2">
      <c r="A865" s="3"/>
      <c r="B865" s="4"/>
      <c r="C865" s="4"/>
      <c r="D865" s="4"/>
      <c r="E865" s="4"/>
      <c r="F865" s="4"/>
      <c r="G865" s="4"/>
      <c r="H865" s="4"/>
      <c r="I865" s="4"/>
      <c r="J865" s="4"/>
      <c r="K865" s="4"/>
      <c r="L865" s="4"/>
      <c r="M865" s="4"/>
      <c r="N865" s="4"/>
      <c r="O865" s="4"/>
      <c r="P865" s="4"/>
      <c r="Q865" s="4"/>
      <c r="R865" s="4"/>
      <c r="S865" s="4"/>
      <c r="T865" s="4"/>
      <c r="U865" s="4"/>
      <c r="V865" s="4"/>
      <c r="W865" s="4"/>
      <c r="X865" s="4"/>
      <c r="Y865" s="4"/>
      <c r="Z865" s="4"/>
      <c r="AA865" s="4"/>
      <c r="AB865" s="4"/>
      <c r="AC865" s="4"/>
      <c r="AD865" s="4"/>
      <c r="AE865" s="4"/>
      <c r="AF865" s="4"/>
      <c r="AG865" s="4"/>
      <c r="AH865" s="4"/>
    </row>
    <row r="866" spans="1:34" ht="15.75" customHeight="1" x14ac:dyDescent="0.2">
      <c r="A866" s="3"/>
      <c r="B866" s="4"/>
      <c r="C866" s="4"/>
      <c r="D866" s="4"/>
      <c r="E866" s="4"/>
      <c r="F866" s="4"/>
      <c r="G866" s="4"/>
      <c r="H866" s="4"/>
      <c r="I866" s="4"/>
      <c r="J866" s="4"/>
      <c r="K866" s="4"/>
      <c r="L866" s="4"/>
      <c r="M866" s="4"/>
      <c r="N866" s="4"/>
      <c r="O866" s="4"/>
      <c r="P866" s="4"/>
      <c r="Q866" s="4"/>
      <c r="R866" s="4"/>
      <c r="S866" s="4"/>
      <c r="T866" s="4"/>
      <c r="U866" s="4"/>
      <c r="V866" s="4"/>
      <c r="W866" s="4"/>
      <c r="X866" s="4"/>
      <c r="Y866" s="4"/>
      <c r="Z866" s="4"/>
      <c r="AA866" s="4"/>
      <c r="AB866" s="4"/>
      <c r="AC866" s="4"/>
      <c r="AD866" s="4"/>
      <c r="AE866" s="4"/>
      <c r="AF866" s="4"/>
      <c r="AG866" s="4"/>
      <c r="AH866" s="4"/>
    </row>
    <row r="867" spans="1:34" ht="15.75" customHeight="1" x14ac:dyDescent="0.2">
      <c r="A867" s="3"/>
      <c r="B867" s="4"/>
      <c r="C867" s="4"/>
      <c r="D867" s="4"/>
      <c r="E867" s="4"/>
      <c r="F867" s="4"/>
      <c r="G867" s="4"/>
      <c r="H867" s="4"/>
      <c r="I867" s="4"/>
      <c r="J867" s="4"/>
      <c r="K867" s="4"/>
      <c r="L867" s="4"/>
      <c r="M867" s="4"/>
      <c r="N867" s="4"/>
      <c r="O867" s="4"/>
      <c r="P867" s="4"/>
      <c r="Q867" s="4"/>
      <c r="R867" s="4"/>
      <c r="S867" s="4"/>
      <c r="T867" s="4"/>
      <c r="U867" s="4"/>
      <c r="V867" s="4"/>
      <c r="W867" s="4"/>
      <c r="X867" s="4"/>
      <c r="Y867" s="4"/>
      <c r="Z867" s="4"/>
      <c r="AA867" s="4"/>
      <c r="AB867" s="4"/>
      <c r="AC867" s="4"/>
      <c r="AD867" s="4"/>
      <c r="AE867" s="4"/>
      <c r="AF867" s="4"/>
      <c r="AG867" s="4"/>
      <c r="AH867" s="4"/>
    </row>
    <row r="868" spans="1:34" ht="15.75" customHeight="1" x14ac:dyDescent="0.2">
      <c r="A868" s="3"/>
      <c r="B868" s="4"/>
      <c r="C868" s="4"/>
      <c r="D868" s="4"/>
      <c r="E868" s="4"/>
      <c r="F868" s="4"/>
      <c r="G868" s="4"/>
      <c r="H868" s="4"/>
      <c r="I868" s="4"/>
      <c r="J868" s="4"/>
      <c r="K868" s="4"/>
      <c r="L868" s="4"/>
      <c r="M868" s="4"/>
      <c r="N868" s="4"/>
      <c r="O868" s="4"/>
      <c r="P868" s="4"/>
      <c r="Q868" s="4"/>
      <c r="R868" s="4"/>
      <c r="S868" s="4"/>
      <c r="T868" s="4"/>
      <c r="U868" s="4"/>
      <c r="V868" s="4"/>
      <c r="W868" s="4"/>
      <c r="X868" s="4"/>
      <c r="Y868" s="4"/>
      <c r="Z868" s="4"/>
      <c r="AA868" s="4"/>
      <c r="AB868" s="4"/>
      <c r="AC868" s="4"/>
      <c r="AD868" s="4"/>
      <c r="AE868" s="4"/>
      <c r="AF868" s="4"/>
      <c r="AG868" s="4"/>
      <c r="AH868" s="4"/>
    </row>
    <row r="869" spans="1:34" ht="15.75" customHeight="1" x14ac:dyDescent="0.2">
      <c r="A869" s="3"/>
      <c r="B869" s="4"/>
      <c r="C869" s="4"/>
      <c r="D869" s="4"/>
      <c r="E869" s="4"/>
      <c r="F869" s="4"/>
      <c r="G869" s="4"/>
      <c r="H869" s="4"/>
      <c r="I869" s="4"/>
      <c r="J869" s="4"/>
      <c r="K869" s="4"/>
      <c r="L869" s="4"/>
      <c r="M869" s="4"/>
      <c r="N869" s="4"/>
      <c r="O869" s="4"/>
      <c r="P869" s="4"/>
      <c r="Q869" s="4"/>
      <c r="R869" s="4"/>
      <c r="S869" s="4"/>
      <c r="T869" s="4"/>
      <c r="U869" s="4"/>
      <c r="V869" s="4"/>
      <c r="W869" s="4"/>
      <c r="X869" s="4"/>
      <c r="Y869" s="4"/>
      <c r="Z869" s="4"/>
      <c r="AA869" s="4"/>
      <c r="AB869" s="4"/>
      <c r="AC869" s="4"/>
      <c r="AD869" s="4"/>
      <c r="AE869" s="4"/>
      <c r="AF869" s="4"/>
      <c r="AG869" s="4"/>
      <c r="AH869" s="4"/>
    </row>
    <row r="870" spans="1:34" ht="15.75" customHeight="1" x14ac:dyDescent="0.2">
      <c r="A870" s="3"/>
      <c r="B870" s="4"/>
      <c r="C870" s="4"/>
      <c r="D870" s="4"/>
      <c r="E870" s="4"/>
      <c r="F870" s="4"/>
      <c r="G870" s="4"/>
      <c r="H870" s="4"/>
      <c r="I870" s="4"/>
      <c r="J870" s="4"/>
      <c r="K870" s="4"/>
      <c r="L870" s="4"/>
      <c r="M870" s="4"/>
      <c r="N870" s="4"/>
      <c r="O870" s="4"/>
      <c r="P870" s="4"/>
      <c r="Q870" s="4"/>
      <c r="R870" s="4"/>
      <c r="S870" s="4"/>
      <c r="T870" s="4"/>
      <c r="U870" s="4"/>
      <c r="V870" s="4"/>
      <c r="W870" s="4"/>
      <c r="X870" s="4"/>
      <c r="Y870" s="4"/>
      <c r="Z870" s="4"/>
      <c r="AA870" s="4"/>
      <c r="AB870" s="4"/>
      <c r="AC870" s="4"/>
      <c r="AD870" s="4"/>
      <c r="AE870" s="4"/>
      <c r="AF870" s="4"/>
      <c r="AG870" s="4"/>
      <c r="AH870" s="4"/>
    </row>
    <row r="871" spans="1:34" ht="15.75" customHeight="1" x14ac:dyDescent="0.2">
      <c r="A871" s="3"/>
      <c r="B871" s="4"/>
      <c r="C871" s="4"/>
      <c r="D871" s="4"/>
      <c r="E871" s="4"/>
      <c r="F871" s="4"/>
      <c r="G871" s="4"/>
      <c r="H871" s="4"/>
      <c r="I871" s="4"/>
      <c r="J871" s="4"/>
      <c r="K871" s="4"/>
      <c r="L871" s="4"/>
      <c r="M871" s="4"/>
      <c r="N871" s="4"/>
      <c r="O871" s="4"/>
      <c r="P871" s="4"/>
      <c r="Q871" s="4"/>
      <c r="R871" s="4"/>
      <c r="S871" s="4"/>
      <c r="T871" s="4"/>
      <c r="U871" s="4"/>
      <c r="V871" s="4"/>
      <c r="W871" s="4"/>
      <c r="X871" s="4"/>
      <c r="Y871" s="4"/>
      <c r="Z871" s="4"/>
      <c r="AA871" s="4"/>
      <c r="AB871" s="4"/>
      <c r="AC871" s="4"/>
      <c r="AD871" s="4"/>
      <c r="AE871" s="4"/>
      <c r="AF871" s="4"/>
      <c r="AG871" s="4"/>
      <c r="AH871" s="4"/>
    </row>
    <row r="872" spans="1:34" ht="15.75" customHeight="1" x14ac:dyDescent="0.2">
      <c r="A872" s="3"/>
      <c r="B872" s="4"/>
      <c r="C872" s="4"/>
      <c r="D872" s="4"/>
      <c r="E872" s="4"/>
      <c r="F872" s="4"/>
      <c r="G872" s="4"/>
      <c r="H872" s="4"/>
      <c r="I872" s="4"/>
      <c r="J872" s="4"/>
      <c r="K872" s="4"/>
      <c r="L872" s="4"/>
      <c r="M872" s="4"/>
      <c r="N872" s="4"/>
      <c r="O872" s="4"/>
      <c r="P872" s="4"/>
      <c r="Q872" s="4"/>
      <c r="R872" s="4"/>
      <c r="S872" s="4"/>
      <c r="T872" s="4"/>
      <c r="U872" s="4"/>
      <c r="V872" s="4"/>
      <c r="W872" s="4"/>
      <c r="X872" s="4"/>
      <c r="Y872" s="4"/>
      <c r="Z872" s="4"/>
      <c r="AA872" s="4"/>
      <c r="AB872" s="4"/>
      <c r="AC872" s="4"/>
      <c r="AD872" s="4"/>
      <c r="AE872" s="4"/>
      <c r="AF872" s="4"/>
      <c r="AG872" s="4"/>
      <c r="AH872" s="4"/>
    </row>
    <row r="873" spans="1:34" ht="15.75" customHeight="1" x14ac:dyDescent="0.2">
      <c r="A873" s="3"/>
      <c r="B873" s="4"/>
      <c r="C873" s="4"/>
      <c r="D873" s="4"/>
      <c r="E873" s="4"/>
      <c r="F873" s="4"/>
      <c r="G873" s="4"/>
      <c r="H873" s="4"/>
      <c r="I873" s="4"/>
      <c r="J873" s="4"/>
      <c r="K873" s="4"/>
      <c r="L873" s="4"/>
      <c r="M873" s="4"/>
      <c r="N873" s="4"/>
      <c r="O873" s="4"/>
      <c r="P873" s="4"/>
      <c r="Q873" s="4"/>
      <c r="R873" s="4"/>
      <c r="S873" s="4"/>
      <c r="T873" s="4"/>
      <c r="U873" s="4"/>
      <c r="V873" s="4"/>
      <c r="W873" s="4"/>
      <c r="X873" s="4"/>
      <c r="Y873" s="4"/>
      <c r="Z873" s="4"/>
      <c r="AA873" s="4"/>
      <c r="AB873" s="4"/>
      <c r="AC873" s="4"/>
      <c r="AD873" s="4"/>
      <c r="AE873" s="4"/>
      <c r="AF873" s="4"/>
      <c r="AG873" s="4"/>
      <c r="AH873" s="4"/>
    </row>
    <row r="874" spans="1:34" ht="15.75" customHeight="1" x14ac:dyDescent="0.2">
      <c r="A874" s="3"/>
      <c r="B874" s="4"/>
      <c r="C874" s="4"/>
      <c r="D874" s="4"/>
      <c r="E874" s="4"/>
      <c r="F874" s="4"/>
      <c r="G874" s="4"/>
      <c r="H874" s="4"/>
      <c r="I874" s="4"/>
      <c r="J874" s="4"/>
      <c r="K874" s="4"/>
      <c r="L874" s="4"/>
      <c r="M874" s="4"/>
      <c r="N874" s="4"/>
      <c r="O874" s="4"/>
      <c r="P874" s="4"/>
      <c r="Q874" s="4"/>
      <c r="R874" s="4"/>
      <c r="S874" s="4"/>
      <c r="T874" s="4"/>
      <c r="U874" s="4"/>
      <c r="V874" s="4"/>
      <c r="W874" s="4"/>
      <c r="X874" s="4"/>
      <c r="Y874" s="4"/>
      <c r="Z874" s="4"/>
      <c r="AA874" s="4"/>
      <c r="AB874" s="4"/>
      <c r="AC874" s="4"/>
      <c r="AD874" s="4"/>
      <c r="AE874" s="4"/>
      <c r="AF874" s="4"/>
      <c r="AG874" s="4"/>
      <c r="AH874" s="4"/>
    </row>
    <row r="875" spans="1:34" ht="15.75" customHeight="1" x14ac:dyDescent="0.2">
      <c r="A875" s="3"/>
      <c r="B875" s="4"/>
      <c r="C875" s="4"/>
      <c r="D875" s="4"/>
      <c r="E875" s="4"/>
      <c r="F875" s="4"/>
      <c r="G875" s="4"/>
      <c r="H875" s="4"/>
      <c r="I875" s="4"/>
      <c r="J875" s="4"/>
      <c r="K875" s="4"/>
      <c r="L875" s="4"/>
      <c r="M875" s="4"/>
      <c r="N875" s="4"/>
      <c r="O875" s="4"/>
      <c r="P875" s="4"/>
      <c r="Q875" s="4"/>
      <c r="R875" s="4"/>
      <c r="S875" s="4"/>
      <c r="T875" s="4"/>
      <c r="U875" s="4"/>
      <c r="V875" s="4"/>
      <c r="W875" s="4"/>
      <c r="X875" s="4"/>
      <c r="Y875" s="4"/>
      <c r="Z875" s="4"/>
      <c r="AA875" s="4"/>
      <c r="AB875" s="4"/>
      <c r="AC875" s="4"/>
      <c r="AD875" s="4"/>
      <c r="AE875" s="4"/>
      <c r="AF875" s="4"/>
      <c r="AG875" s="4"/>
      <c r="AH875" s="4"/>
    </row>
    <row r="876" spans="1:34" ht="15.75" customHeight="1" x14ac:dyDescent="0.2">
      <c r="A876" s="3"/>
      <c r="B876" s="4"/>
      <c r="C876" s="4"/>
      <c r="D876" s="4"/>
      <c r="E876" s="4"/>
      <c r="F876" s="4"/>
      <c r="G876" s="4"/>
      <c r="H876" s="4"/>
      <c r="I876" s="4"/>
      <c r="J876" s="4"/>
      <c r="K876" s="4"/>
      <c r="L876" s="4"/>
      <c r="M876" s="4"/>
      <c r="N876" s="4"/>
      <c r="O876" s="4"/>
      <c r="P876" s="4"/>
      <c r="Q876" s="4"/>
      <c r="R876" s="4"/>
      <c r="S876" s="4"/>
      <c r="T876" s="4"/>
      <c r="U876" s="4"/>
      <c r="V876" s="4"/>
      <c r="W876" s="4"/>
      <c r="X876" s="4"/>
      <c r="Y876" s="4"/>
      <c r="Z876" s="4"/>
      <c r="AA876" s="4"/>
      <c r="AB876" s="4"/>
      <c r="AC876" s="4"/>
      <c r="AD876" s="4"/>
      <c r="AE876" s="4"/>
      <c r="AF876" s="4"/>
      <c r="AG876" s="4"/>
      <c r="AH876" s="4"/>
    </row>
    <row r="877" spans="1:34" ht="15.75" customHeight="1" x14ac:dyDescent="0.2">
      <c r="A877" s="3"/>
      <c r="B877" s="4"/>
      <c r="C877" s="4"/>
      <c r="D877" s="4"/>
      <c r="E877" s="4"/>
      <c r="F877" s="4"/>
      <c r="G877" s="4"/>
      <c r="H877" s="4"/>
      <c r="I877" s="4"/>
      <c r="J877" s="4"/>
      <c r="K877" s="4"/>
      <c r="L877" s="4"/>
      <c r="M877" s="4"/>
      <c r="N877" s="4"/>
      <c r="O877" s="4"/>
      <c r="P877" s="4"/>
      <c r="Q877" s="4"/>
      <c r="R877" s="4"/>
      <c r="S877" s="4"/>
      <c r="T877" s="4"/>
      <c r="U877" s="4"/>
      <c r="V877" s="4"/>
      <c r="W877" s="4"/>
      <c r="X877" s="4"/>
      <c r="Y877" s="4"/>
      <c r="Z877" s="4"/>
      <c r="AA877" s="4"/>
      <c r="AB877" s="4"/>
      <c r="AC877" s="4"/>
      <c r="AD877" s="4"/>
      <c r="AE877" s="4"/>
      <c r="AF877" s="4"/>
      <c r="AG877" s="4"/>
      <c r="AH877" s="4"/>
    </row>
    <row r="878" spans="1:34" ht="15.75" customHeight="1" x14ac:dyDescent="0.2">
      <c r="A878" s="3"/>
      <c r="B878" s="4"/>
      <c r="C878" s="4"/>
      <c r="D878" s="4"/>
      <c r="E878" s="4"/>
      <c r="F878" s="4"/>
      <c r="G878" s="4"/>
      <c r="H878" s="4"/>
      <c r="I878" s="4"/>
      <c r="J878" s="4"/>
      <c r="K878" s="4"/>
      <c r="L878" s="4"/>
      <c r="M878" s="4"/>
      <c r="N878" s="4"/>
      <c r="O878" s="4"/>
      <c r="P878" s="4"/>
      <c r="Q878" s="4"/>
      <c r="R878" s="4"/>
      <c r="S878" s="4"/>
      <c r="T878" s="4"/>
      <c r="U878" s="4"/>
      <c r="V878" s="4"/>
      <c r="W878" s="4"/>
      <c r="X878" s="4"/>
      <c r="Y878" s="4"/>
      <c r="Z878" s="4"/>
      <c r="AA878" s="4"/>
      <c r="AB878" s="4"/>
      <c r="AC878" s="4"/>
      <c r="AD878" s="4"/>
      <c r="AE878" s="4"/>
      <c r="AF878" s="4"/>
      <c r="AG878" s="4"/>
      <c r="AH878" s="4"/>
    </row>
    <row r="879" spans="1:34" ht="15.75" customHeight="1" x14ac:dyDescent="0.2">
      <c r="A879" s="3"/>
      <c r="B879" s="4"/>
      <c r="C879" s="4"/>
      <c r="D879" s="4"/>
      <c r="E879" s="4"/>
      <c r="F879" s="4"/>
      <c r="G879" s="4"/>
      <c r="H879" s="4"/>
      <c r="I879" s="4"/>
      <c r="J879" s="4"/>
      <c r="K879" s="4"/>
      <c r="L879" s="4"/>
      <c r="M879" s="4"/>
      <c r="N879" s="4"/>
      <c r="O879" s="4"/>
      <c r="P879" s="4"/>
      <c r="Q879" s="4"/>
      <c r="R879" s="4"/>
      <c r="S879" s="4"/>
      <c r="T879" s="4"/>
      <c r="U879" s="4"/>
      <c r="V879" s="4"/>
      <c r="W879" s="4"/>
      <c r="X879" s="4"/>
      <c r="Y879" s="4"/>
      <c r="Z879" s="4"/>
      <c r="AA879" s="4"/>
      <c r="AB879" s="4"/>
      <c r="AC879" s="4"/>
      <c r="AD879" s="4"/>
      <c r="AE879" s="4"/>
      <c r="AF879" s="4"/>
      <c r="AG879" s="4"/>
      <c r="AH879" s="4"/>
    </row>
    <row r="880" spans="1:34" ht="15.75" customHeight="1" x14ac:dyDescent="0.2">
      <c r="A880" s="3"/>
      <c r="B880" s="4"/>
      <c r="C880" s="4"/>
      <c r="D880" s="4"/>
      <c r="E880" s="4"/>
      <c r="F880" s="4"/>
      <c r="G880" s="4"/>
      <c r="H880" s="4"/>
      <c r="I880" s="4"/>
      <c r="J880" s="4"/>
      <c r="K880" s="4"/>
      <c r="L880" s="4"/>
      <c r="M880" s="4"/>
      <c r="N880" s="4"/>
      <c r="O880" s="4"/>
      <c r="P880" s="4"/>
      <c r="Q880" s="4"/>
      <c r="R880" s="4"/>
      <c r="S880" s="4"/>
      <c r="T880" s="4"/>
      <c r="U880" s="4"/>
      <c r="V880" s="4"/>
      <c r="W880" s="4"/>
      <c r="X880" s="4"/>
      <c r="Y880" s="4"/>
      <c r="Z880" s="4"/>
      <c r="AA880" s="4"/>
      <c r="AB880" s="4"/>
      <c r="AC880" s="4"/>
      <c r="AD880" s="4"/>
      <c r="AE880" s="4"/>
      <c r="AF880" s="4"/>
      <c r="AG880" s="4"/>
      <c r="AH880" s="4"/>
    </row>
    <row r="881" spans="1:34" ht="15.75" customHeight="1" x14ac:dyDescent="0.2">
      <c r="A881" s="3"/>
      <c r="B881" s="4"/>
      <c r="C881" s="4"/>
      <c r="D881" s="4"/>
      <c r="E881" s="4"/>
      <c r="F881" s="4"/>
      <c r="G881" s="4"/>
      <c r="H881" s="4"/>
      <c r="I881" s="4"/>
      <c r="J881" s="4"/>
      <c r="K881" s="4"/>
      <c r="L881" s="4"/>
      <c r="M881" s="4"/>
      <c r="N881" s="4"/>
      <c r="O881" s="4"/>
      <c r="P881" s="4"/>
      <c r="Q881" s="4"/>
      <c r="R881" s="4"/>
      <c r="S881" s="4"/>
      <c r="T881" s="4"/>
      <c r="U881" s="4"/>
      <c r="V881" s="4"/>
      <c r="W881" s="4"/>
      <c r="X881" s="4"/>
      <c r="Y881" s="4"/>
      <c r="Z881" s="4"/>
      <c r="AA881" s="4"/>
      <c r="AB881" s="4"/>
      <c r="AC881" s="4"/>
      <c r="AD881" s="4"/>
      <c r="AE881" s="4"/>
      <c r="AF881" s="4"/>
      <c r="AG881" s="4"/>
      <c r="AH881" s="4"/>
    </row>
    <row r="882" spans="1:34" ht="15.75" customHeight="1" x14ac:dyDescent="0.2">
      <c r="A882" s="3"/>
      <c r="B882" s="4"/>
      <c r="C882" s="4"/>
      <c r="D882" s="4"/>
      <c r="E882" s="4"/>
      <c r="F882" s="4"/>
      <c r="G882" s="4"/>
      <c r="H882" s="4"/>
      <c r="I882" s="4"/>
      <c r="J882" s="4"/>
      <c r="K882" s="4"/>
      <c r="L882" s="4"/>
      <c r="M882" s="4"/>
      <c r="N882" s="4"/>
      <c r="O882" s="4"/>
      <c r="P882" s="4"/>
      <c r="Q882" s="4"/>
      <c r="R882" s="4"/>
      <c r="S882" s="4"/>
      <c r="T882" s="4"/>
      <c r="U882" s="4"/>
      <c r="V882" s="4"/>
      <c r="W882" s="4"/>
      <c r="X882" s="4"/>
      <c r="Y882" s="4"/>
      <c r="Z882" s="4"/>
      <c r="AA882" s="4"/>
      <c r="AB882" s="4"/>
      <c r="AC882" s="4"/>
      <c r="AD882" s="4"/>
      <c r="AE882" s="4"/>
      <c r="AF882" s="4"/>
      <c r="AG882" s="4"/>
      <c r="AH882" s="4"/>
    </row>
    <row r="883" spans="1:34" ht="15.75" customHeight="1" x14ac:dyDescent="0.2">
      <c r="A883" s="3"/>
      <c r="B883" s="4"/>
      <c r="C883" s="4"/>
      <c r="D883" s="4"/>
      <c r="E883" s="4"/>
      <c r="F883" s="4"/>
      <c r="G883" s="4"/>
      <c r="H883" s="4"/>
      <c r="I883" s="4"/>
      <c r="J883" s="4"/>
      <c r="K883" s="4"/>
      <c r="L883" s="4"/>
      <c r="M883" s="4"/>
      <c r="N883" s="4"/>
      <c r="O883" s="4"/>
      <c r="P883" s="4"/>
      <c r="Q883" s="4"/>
      <c r="R883" s="4"/>
      <c r="S883" s="4"/>
      <c r="T883" s="4"/>
      <c r="U883" s="4"/>
      <c r="V883" s="4"/>
      <c r="W883" s="4"/>
      <c r="X883" s="4"/>
      <c r="Y883" s="4"/>
      <c r="Z883" s="4"/>
      <c r="AA883" s="4"/>
      <c r="AB883" s="4"/>
      <c r="AC883" s="4"/>
      <c r="AD883" s="4"/>
      <c r="AE883" s="4"/>
      <c r="AF883" s="4"/>
      <c r="AG883" s="4"/>
      <c r="AH883" s="4"/>
    </row>
    <row r="884" spans="1:34" ht="15.75" customHeight="1" x14ac:dyDescent="0.2">
      <c r="A884" s="3"/>
      <c r="B884" s="4"/>
      <c r="C884" s="4"/>
      <c r="D884" s="4"/>
      <c r="E884" s="4"/>
      <c r="F884" s="4"/>
      <c r="G884" s="4"/>
      <c r="H884" s="4"/>
      <c r="I884" s="4"/>
      <c r="J884" s="4"/>
      <c r="K884" s="4"/>
      <c r="L884" s="4"/>
      <c r="M884" s="4"/>
      <c r="N884" s="4"/>
      <c r="O884" s="4"/>
      <c r="P884" s="4"/>
      <c r="Q884" s="4"/>
      <c r="R884" s="4"/>
      <c r="S884" s="4"/>
      <c r="T884" s="4"/>
      <c r="U884" s="4"/>
      <c r="V884" s="4"/>
      <c r="W884" s="4"/>
      <c r="X884" s="4"/>
      <c r="Y884" s="4"/>
      <c r="Z884" s="4"/>
      <c r="AA884" s="4"/>
      <c r="AB884" s="4"/>
      <c r="AC884" s="4"/>
      <c r="AD884" s="4"/>
      <c r="AE884" s="4"/>
      <c r="AF884" s="4"/>
      <c r="AG884" s="4"/>
      <c r="AH884" s="4"/>
    </row>
    <row r="885" spans="1:34" ht="15.75" customHeight="1" x14ac:dyDescent="0.2">
      <c r="A885" s="3"/>
      <c r="B885" s="4"/>
      <c r="C885" s="4"/>
      <c r="D885" s="4"/>
      <c r="E885" s="4"/>
      <c r="F885" s="4"/>
      <c r="G885" s="4"/>
      <c r="H885" s="4"/>
      <c r="I885" s="4"/>
      <c r="J885" s="4"/>
      <c r="K885" s="4"/>
      <c r="L885" s="4"/>
      <c r="M885" s="4"/>
      <c r="N885" s="4"/>
      <c r="O885" s="4"/>
      <c r="P885" s="4"/>
      <c r="Q885" s="4"/>
      <c r="R885" s="4"/>
      <c r="S885" s="4"/>
      <c r="T885" s="4"/>
      <c r="U885" s="4"/>
      <c r="V885" s="4"/>
      <c r="W885" s="4"/>
      <c r="X885" s="4"/>
      <c r="Y885" s="4"/>
      <c r="Z885" s="4"/>
      <c r="AA885" s="4"/>
      <c r="AB885" s="4"/>
      <c r="AC885" s="4"/>
      <c r="AD885" s="4"/>
      <c r="AE885" s="4"/>
      <c r="AF885" s="4"/>
      <c r="AG885" s="4"/>
      <c r="AH885" s="4"/>
    </row>
    <row r="886" spans="1:34" ht="15.75" customHeight="1" x14ac:dyDescent="0.2">
      <c r="A886" s="3"/>
      <c r="B886" s="4"/>
      <c r="C886" s="4"/>
      <c r="D886" s="4"/>
      <c r="E886" s="4"/>
      <c r="F886" s="4"/>
      <c r="G886" s="4"/>
      <c r="H886" s="4"/>
      <c r="I886" s="4"/>
      <c r="J886" s="4"/>
      <c r="K886" s="4"/>
      <c r="L886" s="4"/>
      <c r="M886" s="4"/>
      <c r="N886" s="4"/>
      <c r="O886" s="4"/>
      <c r="P886" s="4"/>
      <c r="Q886" s="4"/>
      <c r="R886" s="4"/>
      <c r="S886" s="4"/>
      <c r="T886" s="4"/>
      <c r="U886" s="4"/>
      <c r="V886" s="4"/>
      <c r="W886" s="4"/>
      <c r="X886" s="4"/>
      <c r="Y886" s="4"/>
      <c r="Z886" s="4"/>
      <c r="AA886" s="4"/>
      <c r="AB886" s="4"/>
      <c r="AC886" s="4"/>
      <c r="AD886" s="4"/>
      <c r="AE886" s="4"/>
      <c r="AF886" s="4"/>
      <c r="AG886" s="4"/>
      <c r="AH886" s="4"/>
    </row>
    <row r="887" spans="1:34" ht="15.75" customHeight="1" x14ac:dyDescent="0.2">
      <c r="A887" s="3"/>
      <c r="B887" s="4"/>
      <c r="C887" s="4"/>
      <c r="D887" s="4"/>
      <c r="E887" s="4"/>
      <c r="F887" s="4"/>
      <c r="G887" s="4"/>
      <c r="H887" s="4"/>
      <c r="I887" s="4"/>
      <c r="J887" s="4"/>
      <c r="K887" s="4"/>
      <c r="L887" s="4"/>
      <c r="M887" s="4"/>
      <c r="N887" s="4"/>
      <c r="O887" s="4"/>
      <c r="P887" s="4"/>
      <c r="Q887" s="4"/>
      <c r="R887" s="4"/>
      <c r="S887" s="4"/>
      <c r="T887" s="4"/>
      <c r="U887" s="4"/>
      <c r="V887" s="4"/>
      <c r="W887" s="4"/>
      <c r="X887" s="4"/>
      <c r="Y887" s="4"/>
      <c r="Z887" s="4"/>
      <c r="AA887" s="4"/>
      <c r="AB887" s="4"/>
      <c r="AC887" s="4"/>
      <c r="AD887" s="4"/>
      <c r="AE887" s="4"/>
      <c r="AF887" s="4"/>
      <c r="AG887" s="4"/>
      <c r="AH887" s="4"/>
    </row>
    <row r="888" spans="1:34" ht="15.75" customHeight="1" x14ac:dyDescent="0.2">
      <c r="A888" s="3"/>
      <c r="B888" s="4"/>
      <c r="C888" s="4"/>
      <c r="D888" s="4"/>
      <c r="E888" s="4"/>
      <c r="F888" s="4"/>
      <c r="G888" s="4"/>
      <c r="H888" s="4"/>
      <c r="I888" s="4"/>
      <c r="J888" s="4"/>
      <c r="K888" s="4"/>
      <c r="L888" s="4"/>
      <c r="M888" s="4"/>
      <c r="N888" s="4"/>
      <c r="O888" s="4"/>
      <c r="P888" s="4"/>
      <c r="Q888" s="4"/>
      <c r="R888" s="4"/>
      <c r="S888" s="4"/>
      <c r="T888" s="4"/>
      <c r="U888" s="4"/>
      <c r="V888" s="4"/>
      <c r="W888" s="4"/>
      <c r="X888" s="4"/>
      <c r="Y888" s="4"/>
      <c r="Z888" s="4"/>
      <c r="AA888" s="4"/>
      <c r="AB888" s="4"/>
      <c r="AC888" s="4"/>
      <c r="AD888" s="4"/>
      <c r="AE888" s="4"/>
      <c r="AF888" s="4"/>
      <c r="AG888" s="4"/>
      <c r="AH888" s="4"/>
    </row>
    <row r="889" spans="1:34" ht="15.75" customHeight="1" x14ac:dyDescent="0.2">
      <c r="A889" s="3"/>
      <c r="B889" s="4"/>
      <c r="C889" s="4"/>
      <c r="D889" s="4"/>
      <c r="E889" s="4"/>
      <c r="F889" s="4"/>
      <c r="G889" s="4"/>
      <c r="H889" s="4"/>
      <c r="I889" s="4"/>
      <c r="J889" s="4"/>
      <c r="K889" s="4"/>
      <c r="L889" s="4"/>
      <c r="M889" s="4"/>
      <c r="N889" s="4"/>
      <c r="O889" s="4"/>
      <c r="P889" s="4"/>
      <c r="Q889" s="4"/>
      <c r="R889" s="4"/>
      <c r="S889" s="4"/>
      <c r="T889" s="4"/>
      <c r="U889" s="4"/>
      <c r="V889" s="4"/>
      <c r="W889" s="4"/>
      <c r="X889" s="4"/>
      <c r="Y889" s="4"/>
      <c r="Z889" s="4"/>
      <c r="AA889" s="4"/>
      <c r="AB889" s="4"/>
      <c r="AC889" s="4"/>
      <c r="AD889" s="4"/>
      <c r="AE889" s="4"/>
      <c r="AF889" s="4"/>
      <c r="AG889" s="4"/>
      <c r="AH889" s="4"/>
    </row>
    <row r="890" spans="1:34" ht="15.75" customHeight="1" x14ac:dyDescent="0.2">
      <c r="A890" s="3"/>
      <c r="B890" s="4"/>
      <c r="C890" s="4"/>
      <c r="D890" s="4"/>
      <c r="E890" s="4"/>
      <c r="F890" s="4"/>
      <c r="G890" s="4"/>
      <c r="H890" s="4"/>
      <c r="I890" s="4"/>
      <c r="J890" s="4"/>
      <c r="K890" s="4"/>
      <c r="L890" s="4"/>
      <c r="M890" s="4"/>
      <c r="N890" s="4"/>
      <c r="O890" s="4"/>
      <c r="P890" s="4"/>
      <c r="Q890" s="4"/>
      <c r="R890" s="4"/>
      <c r="S890" s="4"/>
      <c r="T890" s="4"/>
      <c r="U890" s="4"/>
      <c r="V890" s="4"/>
      <c r="W890" s="4"/>
      <c r="X890" s="4"/>
      <c r="Y890" s="4"/>
      <c r="Z890" s="4"/>
      <c r="AA890" s="4"/>
      <c r="AB890" s="4"/>
      <c r="AC890" s="4"/>
      <c r="AD890" s="4"/>
      <c r="AE890" s="4"/>
      <c r="AF890" s="4"/>
      <c r="AG890" s="4"/>
      <c r="AH890" s="4"/>
    </row>
    <row r="891" spans="1:34" ht="15.75" customHeight="1" x14ac:dyDescent="0.2">
      <c r="A891" s="3"/>
      <c r="B891" s="4"/>
      <c r="C891" s="4"/>
      <c r="D891" s="4"/>
      <c r="E891" s="4"/>
      <c r="F891" s="4"/>
      <c r="G891" s="4"/>
      <c r="H891" s="4"/>
      <c r="I891" s="4"/>
      <c r="J891" s="4"/>
      <c r="K891" s="4"/>
      <c r="L891" s="4"/>
      <c r="M891" s="4"/>
      <c r="N891" s="4"/>
      <c r="O891" s="4"/>
      <c r="P891" s="4"/>
      <c r="Q891" s="4"/>
      <c r="R891" s="4"/>
      <c r="S891" s="4"/>
      <c r="T891" s="4"/>
      <c r="U891" s="4"/>
      <c r="V891" s="4"/>
      <c r="W891" s="4"/>
      <c r="X891" s="4"/>
      <c r="Y891" s="4"/>
      <c r="Z891" s="4"/>
      <c r="AA891" s="4"/>
      <c r="AB891" s="4"/>
      <c r="AC891" s="4"/>
      <c r="AD891" s="4"/>
      <c r="AE891" s="4"/>
      <c r="AF891" s="4"/>
      <c r="AG891" s="4"/>
      <c r="AH891" s="4"/>
    </row>
    <row r="892" spans="1:34" ht="15.75" customHeight="1" x14ac:dyDescent="0.2">
      <c r="A892" s="3"/>
      <c r="B892" s="4"/>
      <c r="C892" s="4"/>
      <c r="D892" s="4"/>
      <c r="E892" s="4"/>
      <c r="F892" s="4"/>
      <c r="G892" s="4"/>
      <c r="H892" s="4"/>
      <c r="I892" s="4"/>
      <c r="J892" s="4"/>
      <c r="K892" s="4"/>
      <c r="L892" s="4"/>
      <c r="M892" s="4"/>
      <c r="N892" s="4"/>
      <c r="O892" s="4"/>
      <c r="P892" s="4"/>
      <c r="Q892" s="4"/>
      <c r="R892" s="4"/>
      <c r="S892" s="4"/>
      <c r="T892" s="4"/>
      <c r="U892" s="4"/>
      <c r="V892" s="4"/>
      <c r="W892" s="4"/>
      <c r="X892" s="4"/>
      <c r="Y892" s="4"/>
      <c r="Z892" s="4"/>
      <c r="AA892" s="4"/>
      <c r="AB892" s="4"/>
      <c r="AC892" s="4"/>
      <c r="AD892" s="4"/>
      <c r="AE892" s="4"/>
      <c r="AF892" s="4"/>
      <c r="AG892" s="4"/>
      <c r="AH892" s="4"/>
    </row>
    <row r="893" spans="1:34" ht="15.75" customHeight="1" x14ac:dyDescent="0.2">
      <c r="A893" s="3"/>
      <c r="B893" s="4"/>
      <c r="C893" s="4"/>
      <c r="D893" s="4"/>
      <c r="E893" s="4"/>
      <c r="F893" s="4"/>
      <c r="G893" s="4"/>
      <c r="H893" s="4"/>
      <c r="I893" s="4"/>
      <c r="J893" s="4"/>
      <c r="K893" s="4"/>
      <c r="L893" s="4"/>
      <c r="M893" s="4"/>
      <c r="N893" s="4"/>
      <c r="O893" s="4"/>
      <c r="P893" s="4"/>
      <c r="Q893" s="4"/>
      <c r="R893" s="4"/>
      <c r="S893" s="4"/>
      <c r="T893" s="4"/>
      <c r="U893" s="4"/>
      <c r="V893" s="4"/>
      <c r="W893" s="4"/>
      <c r="X893" s="4"/>
      <c r="Y893" s="4"/>
      <c r="Z893" s="4"/>
      <c r="AA893" s="4"/>
      <c r="AB893" s="4"/>
      <c r="AC893" s="4"/>
      <c r="AD893" s="4"/>
      <c r="AE893" s="4"/>
      <c r="AF893" s="4"/>
      <c r="AG893" s="4"/>
      <c r="AH893" s="4"/>
    </row>
    <row r="894" spans="1:34" ht="15.75" customHeight="1" x14ac:dyDescent="0.2">
      <c r="A894" s="3"/>
      <c r="B894" s="4"/>
      <c r="C894" s="4"/>
      <c r="D894" s="4"/>
      <c r="E894" s="4"/>
      <c r="F894" s="4"/>
      <c r="G894" s="4"/>
      <c r="H894" s="4"/>
      <c r="I894" s="4"/>
      <c r="J894" s="4"/>
      <c r="K894" s="4"/>
      <c r="L894" s="4"/>
      <c r="M894" s="4"/>
      <c r="N894" s="4"/>
      <c r="O894" s="4"/>
      <c r="P894" s="4"/>
      <c r="Q894" s="4"/>
      <c r="R894" s="4"/>
      <c r="S894" s="4"/>
      <c r="T894" s="4"/>
      <c r="U894" s="4"/>
      <c r="V894" s="4"/>
      <c r="W894" s="4"/>
      <c r="X894" s="4"/>
      <c r="Y894" s="4"/>
      <c r="Z894" s="4"/>
      <c r="AA894" s="4"/>
      <c r="AB894" s="4"/>
      <c r="AC894" s="4"/>
      <c r="AD894" s="4"/>
      <c r="AE894" s="4"/>
      <c r="AF894" s="4"/>
      <c r="AG894" s="4"/>
      <c r="AH894" s="4"/>
    </row>
    <row r="895" spans="1:34" ht="15.75" customHeight="1" x14ac:dyDescent="0.2">
      <c r="A895" s="3"/>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row>
    <row r="896" spans="1:34" ht="15.75" customHeight="1" x14ac:dyDescent="0.2">
      <c r="A896" s="3"/>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row>
    <row r="897" spans="1:34" ht="15.75" customHeight="1" x14ac:dyDescent="0.2">
      <c r="A897" s="3"/>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row>
    <row r="898" spans="1:34" ht="15.75" customHeight="1" x14ac:dyDescent="0.2">
      <c r="A898" s="3"/>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row>
    <row r="899" spans="1:34" ht="15.75" customHeight="1" x14ac:dyDescent="0.2">
      <c r="A899" s="3"/>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row>
    <row r="900" spans="1:34" ht="15.75" customHeight="1" x14ac:dyDescent="0.2">
      <c r="A900" s="3"/>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row>
    <row r="901" spans="1:34" ht="15.75" customHeight="1" x14ac:dyDescent="0.2">
      <c r="A901" s="3"/>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row>
    <row r="902" spans="1:34" ht="15.75" customHeight="1" x14ac:dyDescent="0.2">
      <c r="A902" s="3"/>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row>
    <row r="903" spans="1:34" ht="15.75" customHeight="1" x14ac:dyDescent="0.2">
      <c r="A903" s="3"/>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row>
    <row r="904" spans="1:34" ht="15.75" customHeight="1" x14ac:dyDescent="0.2">
      <c r="A904" s="3"/>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row>
    <row r="905" spans="1:34" ht="15.75" customHeight="1" x14ac:dyDescent="0.2">
      <c r="A905" s="3"/>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row>
    <row r="906" spans="1:34" ht="15.75" customHeight="1" x14ac:dyDescent="0.2">
      <c r="A906" s="3"/>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row>
    <row r="907" spans="1:34" ht="15.75" customHeight="1" x14ac:dyDescent="0.2">
      <c r="A907" s="3"/>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row>
    <row r="908" spans="1:34" ht="15.75" customHeight="1" x14ac:dyDescent="0.2">
      <c r="A908" s="3"/>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row>
    <row r="909" spans="1:34" ht="15.75" customHeight="1" x14ac:dyDescent="0.2">
      <c r="A909" s="3"/>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row>
    <row r="910" spans="1:34" ht="15.75" customHeight="1" x14ac:dyDescent="0.2">
      <c r="A910" s="3"/>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row>
    <row r="911" spans="1:34" ht="15.75" customHeight="1" x14ac:dyDescent="0.2">
      <c r="A911" s="3"/>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row>
    <row r="912" spans="1:34" ht="15.75" customHeight="1" x14ac:dyDescent="0.2">
      <c r="A912" s="3"/>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row>
    <row r="913" spans="1:34" ht="15.75" customHeight="1" x14ac:dyDescent="0.2">
      <c r="A913" s="3"/>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row>
    <row r="914" spans="1:34" ht="15.75" customHeight="1" x14ac:dyDescent="0.2">
      <c r="A914" s="3"/>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row>
    <row r="915" spans="1:34" ht="15.75" customHeight="1" x14ac:dyDescent="0.2">
      <c r="A915" s="3"/>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row>
    <row r="916" spans="1:34" ht="15.75" customHeight="1" x14ac:dyDescent="0.2">
      <c r="A916" s="3"/>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row>
    <row r="917" spans="1:34" ht="15.75" customHeight="1" x14ac:dyDescent="0.2">
      <c r="A917" s="3"/>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row>
    <row r="918" spans="1:34" ht="15.75" customHeight="1" x14ac:dyDescent="0.2">
      <c r="A918" s="3"/>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row>
    <row r="919" spans="1:34" ht="15.75" customHeight="1" x14ac:dyDescent="0.2">
      <c r="A919" s="3"/>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row>
    <row r="920" spans="1:34" ht="15.75" customHeight="1" x14ac:dyDescent="0.2">
      <c r="A920" s="3"/>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row>
    <row r="921" spans="1:34" ht="15.75" customHeight="1" x14ac:dyDescent="0.2">
      <c r="A921" s="3"/>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row>
    <row r="922" spans="1:34" ht="15.75" customHeight="1" x14ac:dyDescent="0.2">
      <c r="A922" s="3"/>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row>
    <row r="923" spans="1:34" ht="15.75" customHeight="1" x14ac:dyDescent="0.2">
      <c r="A923" s="3"/>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row>
    <row r="924" spans="1:34" ht="15.75" customHeight="1" x14ac:dyDescent="0.2">
      <c r="A924" s="3"/>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row>
    <row r="925" spans="1:34" ht="15.75" customHeight="1" x14ac:dyDescent="0.2">
      <c r="A925" s="3"/>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row>
    <row r="926" spans="1:34" ht="15.75" customHeight="1" x14ac:dyDescent="0.2">
      <c r="A926" s="3"/>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row>
    <row r="927" spans="1:34" ht="15.75" customHeight="1" x14ac:dyDescent="0.2">
      <c r="A927" s="3"/>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row>
    <row r="928" spans="1:34" ht="15.75" customHeight="1" x14ac:dyDescent="0.2">
      <c r="A928" s="3"/>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row>
    <row r="929" spans="1:34" ht="15.75" customHeight="1" x14ac:dyDescent="0.2">
      <c r="A929" s="3"/>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row>
    <row r="930" spans="1:34" ht="15.75" customHeight="1" x14ac:dyDescent="0.2">
      <c r="A930" s="3"/>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row>
    <row r="931" spans="1:34" ht="15.75" customHeight="1" x14ac:dyDescent="0.2">
      <c r="A931" s="3"/>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row>
    <row r="932" spans="1:34" ht="15.75" customHeight="1" x14ac:dyDescent="0.2">
      <c r="A932" s="3"/>
      <c r="B932" s="4"/>
      <c r="C932" s="4"/>
      <c r="D932" s="4"/>
      <c r="E932" s="4"/>
      <c r="F932" s="4"/>
      <c r="G932" s="4"/>
      <c r="H932" s="4"/>
      <c r="I932" s="4"/>
      <c r="J932" s="4"/>
      <c r="K932" s="4"/>
      <c r="L932" s="4"/>
      <c r="M932" s="4"/>
      <c r="N932" s="4"/>
      <c r="O932" s="4"/>
      <c r="P932" s="4"/>
      <c r="Q932" s="4"/>
      <c r="R932" s="4"/>
      <c r="S932" s="4"/>
      <c r="T932" s="4"/>
      <c r="U932" s="4"/>
      <c r="V932" s="4"/>
      <c r="W932" s="4"/>
      <c r="X932" s="4"/>
      <c r="Y932" s="4"/>
      <c r="Z932" s="4"/>
      <c r="AA932" s="4"/>
      <c r="AB932" s="4"/>
      <c r="AC932" s="4"/>
      <c r="AD932" s="4"/>
      <c r="AE932" s="4"/>
      <c r="AF932" s="4"/>
      <c r="AG932" s="4"/>
      <c r="AH932" s="4"/>
    </row>
    <row r="933" spans="1:34" ht="15.75" customHeight="1" x14ac:dyDescent="0.2">
      <c r="A933" s="3"/>
      <c r="B933" s="4"/>
      <c r="C933" s="4"/>
      <c r="D933" s="4"/>
      <c r="E933" s="4"/>
      <c r="F933" s="4"/>
      <c r="G933" s="4"/>
      <c r="H933" s="4"/>
      <c r="I933" s="4"/>
      <c r="J933" s="4"/>
      <c r="K933" s="4"/>
      <c r="L933" s="4"/>
      <c r="M933" s="4"/>
      <c r="N933" s="4"/>
      <c r="O933" s="4"/>
      <c r="P933" s="4"/>
      <c r="Q933" s="4"/>
      <c r="R933" s="4"/>
      <c r="S933" s="4"/>
      <c r="T933" s="4"/>
      <c r="U933" s="4"/>
      <c r="V933" s="4"/>
      <c r="W933" s="4"/>
      <c r="X933" s="4"/>
      <c r="Y933" s="4"/>
      <c r="Z933" s="4"/>
      <c r="AA933" s="4"/>
      <c r="AB933" s="4"/>
      <c r="AC933" s="4"/>
      <c r="AD933" s="4"/>
      <c r="AE933" s="4"/>
      <c r="AF933" s="4"/>
      <c r="AG933" s="4"/>
      <c r="AH933" s="4"/>
    </row>
    <row r="934" spans="1:34" ht="15.75" customHeight="1" x14ac:dyDescent="0.2">
      <c r="A934" s="3"/>
      <c r="B934" s="4"/>
      <c r="C934" s="4"/>
      <c r="D934" s="4"/>
      <c r="E934" s="4"/>
      <c r="F934" s="4"/>
      <c r="G934" s="4"/>
      <c r="H934" s="4"/>
      <c r="I934" s="4"/>
      <c r="J934" s="4"/>
      <c r="K934" s="4"/>
      <c r="L934" s="4"/>
      <c r="M934" s="4"/>
      <c r="N934" s="4"/>
      <c r="O934" s="4"/>
      <c r="P934" s="4"/>
      <c r="Q934" s="4"/>
      <c r="R934" s="4"/>
      <c r="S934" s="4"/>
      <c r="T934" s="4"/>
      <c r="U934" s="4"/>
      <c r="V934" s="4"/>
      <c r="W934" s="4"/>
      <c r="X934" s="4"/>
      <c r="Y934" s="4"/>
      <c r="Z934" s="4"/>
      <c r="AA934" s="4"/>
      <c r="AB934" s="4"/>
      <c r="AC934" s="4"/>
      <c r="AD934" s="4"/>
      <c r="AE934" s="4"/>
      <c r="AF934" s="4"/>
      <c r="AG934" s="4"/>
      <c r="AH934" s="4"/>
    </row>
    <row r="935" spans="1:34" ht="15.75" customHeight="1" x14ac:dyDescent="0.2">
      <c r="A935" s="3"/>
      <c r="B935" s="4"/>
      <c r="C935" s="4"/>
      <c r="D935" s="4"/>
      <c r="E935" s="4"/>
      <c r="F935" s="4"/>
      <c r="G935" s="4"/>
      <c r="H935" s="4"/>
      <c r="I935" s="4"/>
      <c r="J935" s="4"/>
      <c r="K935" s="4"/>
      <c r="L935" s="4"/>
      <c r="M935" s="4"/>
      <c r="N935" s="4"/>
      <c r="O935" s="4"/>
      <c r="P935" s="4"/>
      <c r="Q935" s="4"/>
      <c r="R935" s="4"/>
      <c r="S935" s="4"/>
      <c r="T935" s="4"/>
      <c r="U935" s="4"/>
      <c r="V935" s="4"/>
      <c r="W935" s="4"/>
      <c r="X935" s="4"/>
      <c r="Y935" s="4"/>
      <c r="Z935" s="4"/>
      <c r="AA935" s="4"/>
      <c r="AB935" s="4"/>
      <c r="AC935" s="4"/>
      <c r="AD935" s="4"/>
      <c r="AE935" s="4"/>
      <c r="AF935" s="4"/>
      <c r="AG935" s="4"/>
      <c r="AH935" s="4"/>
    </row>
    <row r="936" spans="1:34" ht="15.75" customHeight="1" x14ac:dyDescent="0.2">
      <c r="A936" s="3"/>
      <c r="B936" s="4"/>
      <c r="C936" s="4"/>
      <c r="D936" s="4"/>
      <c r="E936" s="4"/>
      <c r="F936" s="4"/>
      <c r="G936" s="4"/>
      <c r="H936" s="4"/>
      <c r="I936" s="4"/>
      <c r="J936" s="4"/>
      <c r="K936" s="4"/>
      <c r="L936" s="4"/>
      <c r="M936" s="4"/>
      <c r="N936" s="4"/>
      <c r="O936" s="4"/>
      <c r="P936" s="4"/>
      <c r="Q936" s="4"/>
      <c r="R936" s="4"/>
      <c r="S936" s="4"/>
      <c r="T936" s="4"/>
      <c r="U936" s="4"/>
      <c r="V936" s="4"/>
      <c r="W936" s="4"/>
      <c r="X936" s="4"/>
      <c r="Y936" s="4"/>
      <c r="Z936" s="4"/>
      <c r="AA936" s="4"/>
      <c r="AB936" s="4"/>
      <c r="AC936" s="4"/>
      <c r="AD936" s="4"/>
      <c r="AE936" s="4"/>
      <c r="AF936" s="4"/>
      <c r="AG936" s="4"/>
      <c r="AH936" s="4"/>
    </row>
    <row r="937" spans="1:34" ht="15.75" customHeight="1" x14ac:dyDescent="0.2">
      <c r="A937" s="3"/>
      <c r="B937" s="4"/>
      <c r="C937" s="4"/>
      <c r="D937" s="4"/>
      <c r="E937" s="4"/>
      <c r="F937" s="4"/>
      <c r="G937" s="4"/>
      <c r="H937" s="4"/>
      <c r="I937" s="4"/>
      <c r="J937" s="4"/>
      <c r="K937" s="4"/>
      <c r="L937" s="4"/>
      <c r="M937" s="4"/>
      <c r="N937" s="4"/>
      <c r="O937" s="4"/>
      <c r="P937" s="4"/>
      <c r="Q937" s="4"/>
      <c r="R937" s="4"/>
      <c r="S937" s="4"/>
      <c r="T937" s="4"/>
      <c r="U937" s="4"/>
      <c r="V937" s="4"/>
      <c r="W937" s="4"/>
      <c r="X937" s="4"/>
      <c r="Y937" s="4"/>
      <c r="Z937" s="4"/>
      <c r="AA937" s="4"/>
      <c r="AB937" s="4"/>
      <c r="AC937" s="4"/>
      <c r="AD937" s="4"/>
      <c r="AE937" s="4"/>
      <c r="AF937" s="4"/>
      <c r="AG937" s="4"/>
      <c r="AH937" s="4"/>
    </row>
    <row r="938" spans="1:34" ht="15.75" customHeight="1" x14ac:dyDescent="0.2">
      <c r="A938" s="3"/>
      <c r="B938" s="4"/>
      <c r="C938" s="4"/>
      <c r="D938" s="4"/>
      <c r="E938" s="4"/>
      <c r="F938" s="4"/>
      <c r="G938" s="4"/>
      <c r="H938" s="4"/>
      <c r="I938" s="4"/>
      <c r="J938" s="4"/>
      <c r="K938" s="4"/>
      <c r="L938" s="4"/>
      <c r="M938" s="4"/>
      <c r="N938" s="4"/>
      <c r="O938" s="4"/>
      <c r="P938" s="4"/>
      <c r="Q938" s="4"/>
      <c r="R938" s="4"/>
      <c r="S938" s="4"/>
      <c r="T938" s="4"/>
      <c r="U938" s="4"/>
      <c r="V938" s="4"/>
      <c r="W938" s="4"/>
      <c r="X938" s="4"/>
      <c r="Y938" s="4"/>
      <c r="Z938" s="4"/>
      <c r="AA938" s="4"/>
      <c r="AB938" s="4"/>
      <c r="AC938" s="4"/>
      <c r="AD938" s="4"/>
      <c r="AE938" s="4"/>
      <c r="AF938" s="4"/>
      <c r="AG938" s="4"/>
      <c r="AH938" s="4"/>
    </row>
    <row r="939" spans="1:34" ht="15.75" customHeight="1" x14ac:dyDescent="0.2">
      <c r="A939" s="3"/>
      <c r="B939" s="4"/>
      <c r="C939" s="4"/>
      <c r="D939" s="4"/>
      <c r="E939" s="4"/>
      <c r="F939" s="4"/>
      <c r="G939" s="4"/>
      <c r="H939" s="4"/>
      <c r="I939" s="4"/>
      <c r="J939" s="4"/>
      <c r="K939" s="4"/>
      <c r="L939" s="4"/>
      <c r="M939" s="4"/>
      <c r="N939" s="4"/>
      <c r="O939" s="4"/>
      <c r="P939" s="4"/>
      <c r="Q939" s="4"/>
      <c r="R939" s="4"/>
      <c r="S939" s="4"/>
      <c r="T939" s="4"/>
      <c r="U939" s="4"/>
      <c r="V939" s="4"/>
      <c r="W939" s="4"/>
      <c r="X939" s="4"/>
      <c r="Y939" s="4"/>
      <c r="Z939" s="4"/>
      <c r="AA939" s="4"/>
      <c r="AB939" s="4"/>
      <c r="AC939" s="4"/>
      <c r="AD939" s="4"/>
      <c r="AE939" s="4"/>
      <c r="AF939" s="4"/>
      <c r="AG939" s="4"/>
      <c r="AH939" s="4"/>
    </row>
    <row r="940" spans="1:34" ht="15.75" customHeight="1" x14ac:dyDescent="0.2">
      <c r="A940" s="3"/>
      <c r="B940" s="4"/>
      <c r="C940" s="4"/>
      <c r="D940" s="4"/>
      <c r="E940" s="4"/>
      <c r="F940" s="4"/>
      <c r="G940" s="4"/>
      <c r="H940" s="4"/>
      <c r="I940" s="4"/>
      <c r="J940" s="4"/>
      <c r="K940" s="4"/>
      <c r="L940" s="4"/>
      <c r="M940" s="4"/>
      <c r="N940" s="4"/>
      <c r="O940" s="4"/>
      <c r="P940" s="4"/>
      <c r="Q940" s="4"/>
      <c r="R940" s="4"/>
      <c r="S940" s="4"/>
      <c r="T940" s="4"/>
      <c r="U940" s="4"/>
      <c r="V940" s="4"/>
      <c r="W940" s="4"/>
      <c r="X940" s="4"/>
      <c r="Y940" s="4"/>
      <c r="Z940" s="4"/>
      <c r="AA940" s="4"/>
      <c r="AB940" s="4"/>
      <c r="AC940" s="4"/>
      <c r="AD940" s="4"/>
      <c r="AE940" s="4"/>
      <c r="AF940" s="4"/>
      <c r="AG940" s="4"/>
      <c r="AH940" s="4"/>
    </row>
    <row r="941" spans="1:34" ht="15.75" customHeight="1" x14ac:dyDescent="0.2">
      <c r="A941" s="3"/>
      <c r="B941" s="4"/>
      <c r="C941" s="4"/>
      <c r="D941" s="4"/>
      <c r="E941" s="4"/>
      <c r="F941" s="4"/>
      <c r="G941" s="4"/>
      <c r="H941" s="4"/>
      <c r="I941" s="4"/>
      <c r="J941" s="4"/>
      <c r="K941" s="4"/>
      <c r="L941" s="4"/>
      <c r="M941" s="4"/>
      <c r="N941" s="4"/>
      <c r="O941" s="4"/>
      <c r="P941" s="4"/>
      <c r="Q941" s="4"/>
      <c r="R941" s="4"/>
      <c r="S941" s="4"/>
      <c r="T941" s="4"/>
      <c r="U941" s="4"/>
      <c r="V941" s="4"/>
      <c r="W941" s="4"/>
      <c r="X941" s="4"/>
      <c r="Y941" s="4"/>
      <c r="Z941" s="4"/>
      <c r="AA941" s="4"/>
      <c r="AB941" s="4"/>
      <c r="AC941" s="4"/>
      <c r="AD941" s="4"/>
      <c r="AE941" s="4"/>
      <c r="AF941" s="4"/>
      <c r="AG941" s="4"/>
      <c r="AH941" s="4"/>
    </row>
    <row r="942" spans="1:34" ht="15.75" customHeight="1" x14ac:dyDescent="0.2">
      <c r="A942" s="4"/>
      <c r="B942" s="4"/>
      <c r="C942" s="4"/>
      <c r="D942" s="4"/>
      <c r="E942" s="4"/>
      <c r="F942" s="4"/>
      <c r="G942" s="4"/>
      <c r="H942" s="4"/>
      <c r="I942" s="4"/>
      <c r="J942" s="4"/>
      <c r="K942" s="4"/>
      <c r="L942" s="4"/>
      <c r="M942" s="4"/>
      <c r="N942" s="4"/>
      <c r="O942" s="4"/>
      <c r="P942" s="4"/>
      <c r="Q942" s="4"/>
      <c r="R942" s="4"/>
      <c r="S942" s="4"/>
      <c r="T942" s="4"/>
      <c r="U942" s="4"/>
      <c r="V942" s="4"/>
      <c r="W942" s="4"/>
      <c r="X942" s="4"/>
      <c r="Y942" s="4"/>
      <c r="Z942" s="4"/>
      <c r="AA942" s="4"/>
      <c r="AB942" s="4"/>
      <c r="AC942" s="4"/>
      <c r="AD942" s="4"/>
      <c r="AE942" s="4"/>
      <c r="AF942" s="4"/>
      <c r="AG942" s="4"/>
      <c r="AH942" s="4"/>
    </row>
    <row r="943" spans="1:34" ht="15.75" customHeight="1" x14ac:dyDescent="0.2">
      <c r="A943" s="4"/>
      <c r="B943" s="4"/>
      <c r="C943" s="4"/>
      <c r="D943" s="4"/>
      <c r="E943" s="4"/>
      <c r="F943" s="4"/>
      <c r="G943" s="4"/>
      <c r="H943" s="4"/>
      <c r="I943" s="4"/>
      <c r="J943" s="4"/>
      <c r="K943" s="4"/>
      <c r="L943" s="4"/>
      <c r="M943" s="4"/>
      <c r="N943" s="4"/>
      <c r="O943" s="4"/>
      <c r="P943" s="4"/>
      <c r="Q943" s="4"/>
      <c r="R943" s="4"/>
      <c r="S943" s="4"/>
      <c r="T943" s="4"/>
      <c r="U943" s="4"/>
      <c r="V943" s="4"/>
      <c r="W943" s="4"/>
      <c r="X943" s="4"/>
      <c r="Y943" s="4"/>
      <c r="Z943" s="4"/>
      <c r="AA943" s="4"/>
      <c r="AB943" s="4"/>
      <c r="AC943" s="4"/>
      <c r="AD943" s="4"/>
      <c r="AE943" s="4"/>
      <c r="AF943" s="4"/>
      <c r="AG943" s="4"/>
      <c r="AH943" s="4"/>
    </row>
    <row r="944" spans="1:34" ht="15.75" customHeight="1" x14ac:dyDescent="0.2">
      <c r="A944" s="4"/>
      <c r="B944" s="4"/>
      <c r="C944" s="4"/>
      <c r="D944" s="4"/>
      <c r="E944" s="4"/>
      <c r="F944" s="4"/>
      <c r="G944" s="4"/>
      <c r="H944" s="4"/>
      <c r="I944" s="4"/>
      <c r="J944" s="4"/>
      <c r="K944" s="4"/>
      <c r="L944" s="4"/>
      <c r="M944" s="4"/>
      <c r="N944" s="4"/>
      <c r="O944" s="4"/>
      <c r="P944" s="4"/>
      <c r="Q944" s="4"/>
      <c r="R944" s="4"/>
      <c r="S944" s="4"/>
      <c r="T944" s="4"/>
      <c r="U944" s="4"/>
      <c r="V944" s="4"/>
      <c r="W944" s="4"/>
      <c r="X944" s="4"/>
      <c r="Y944" s="4"/>
      <c r="Z944" s="4"/>
      <c r="AA944" s="4"/>
      <c r="AB944" s="4"/>
      <c r="AC944" s="4"/>
      <c r="AD944" s="4"/>
      <c r="AE944" s="4"/>
      <c r="AF944" s="4"/>
      <c r="AG944" s="4"/>
      <c r="AH944" s="4"/>
    </row>
    <row r="945" spans="1:34" ht="19" x14ac:dyDescent="0.2">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c r="AA945" s="4"/>
      <c r="AB945" s="4"/>
      <c r="AC945" s="4"/>
      <c r="AD945" s="4"/>
      <c r="AE945" s="4"/>
      <c r="AF945" s="4"/>
      <c r="AG945" s="4"/>
      <c r="AH945" s="4"/>
    </row>
    <row r="946" spans="1:34" ht="19" x14ac:dyDescent="0.2">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c r="AA946" s="4"/>
      <c r="AB946" s="4"/>
      <c r="AC946" s="4"/>
      <c r="AD946" s="4"/>
      <c r="AE946" s="4"/>
      <c r="AF946" s="4"/>
      <c r="AG946" s="4"/>
      <c r="AH946" s="4"/>
    </row>
    <row r="947" spans="1:34" ht="19" x14ac:dyDescent="0.2">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c r="AA947" s="4"/>
      <c r="AB947" s="4"/>
      <c r="AC947" s="4"/>
      <c r="AD947" s="4"/>
      <c r="AE947" s="4"/>
      <c r="AF947" s="4"/>
      <c r="AG947" s="4"/>
      <c r="AH947" s="4"/>
    </row>
    <row r="948" spans="1:34" ht="19" x14ac:dyDescent="0.2">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c r="AA948" s="4"/>
      <c r="AB948" s="4"/>
      <c r="AC948" s="4"/>
      <c r="AD948" s="4"/>
      <c r="AE948" s="4"/>
      <c r="AF948" s="4"/>
      <c r="AG948" s="4"/>
      <c r="AH948" s="4"/>
    </row>
    <row r="949" spans="1:34" ht="19" x14ac:dyDescent="0.2">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c r="AA949" s="4"/>
      <c r="AB949" s="4"/>
      <c r="AC949" s="4"/>
      <c r="AD949" s="4"/>
      <c r="AE949" s="4"/>
      <c r="AF949" s="4"/>
      <c r="AG949" s="4"/>
      <c r="AH949" s="4"/>
    </row>
    <row r="950" spans="1:34" ht="19" x14ac:dyDescent="0.2">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c r="AA950" s="4"/>
      <c r="AB950" s="4"/>
      <c r="AC950" s="4"/>
      <c r="AD950" s="4"/>
      <c r="AE950" s="4"/>
      <c r="AF950" s="4"/>
      <c r="AG950" s="4"/>
      <c r="AH950" s="4"/>
    </row>
    <row r="951" spans="1:34" ht="19" x14ac:dyDescent="0.2">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c r="AA951" s="4"/>
      <c r="AB951" s="4"/>
      <c r="AC951" s="4"/>
      <c r="AD951" s="4"/>
      <c r="AE951" s="4"/>
      <c r="AF951" s="4"/>
      <c r="AG951" s="4"/>
      <c r="AH951" s="4"/>
    </row>
    <row r="952" spans="1:34" ht="15.75" customHeight="1" x14ac:dyDescent="0.2">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c r="AA952" s="4"/>
      <c r="AB952" s="4"/>
      <c r="AC952" s="4"/>
      <c r="AD952" s="4"/>
      <c r="AE952" s="4"/>
      <c r="AF952" s="4"/>
      <c r="AG952" s="4"/>
      <c r="AH952" s="4"/>
    </row>
    <row r="953" spans="1:34" ht="15.75" customHeight="1" x14ac:dyDescent="0.2">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c r="AA953" s="4"/>
      <c r="AB953" s="4"/>
      <c r="AC953" s="4"/>
      <c r="AD953" s="4"/>
      <c r="AE953" s="4"/>
      <c r="AF953" s="4"/>
      <c r="AG953" s="4"/>
      <c r="AH953" s="4"/>
    </row>
    <row r="954" spans="1:34" ht="15.75" customHeight="1" x14ac:dyDescent="0.2">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c r="AA954" s="4"/>
      <c r="AB954" s="4"/>
      <c r="AC954" s="4"/>
      <c r="AD954" s="4"/>
      <c r="AE954" s="4"/>
      <c r="AF954" s="4"/>
      <c r="AG954" s="4"/>
      <c r="AH954" s="4"/>
    </row>
    <row r="955" spans="1:34" ht="15.75" customHeight="1" x14ac:dyDescent="0.2">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c r="AA955" s="4"/>
      <c r="AB955" s="4"/>
      <c r="AC955" s="4"/>
      <c r="AD955" s="4"/>
      <c r="AE955" s="4"/>
      <c r="AF955" s="4"/>
      <c r="AG955" s="4"/>
      <c r="AH955" s="4"/>
    </row>
    <row r="956" spans="1:34" ht="15.75" customHeight="1" x14ac:dyDescent="0.2">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c r="AA956" s="4"/>
      <c r="AB956" s="4"/>
      <c r="AC956" s="4"/>
      <c r="AD956" s="4"/>
      <c r="AE956" s="4"/>
      <c r="AF956" s="4"/>
      <c r="AG956" s="4"/>
      <c r="AH956" s="4"/>
    </row>
    <row r="957" spans="1:34" ht="15.75" customHeight="1" x14ac:dyDescent="0.2">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c r="AA957" s="4"/>
      <c r="AB957" s="4"/>
      <c r="AC957" s="4"/>
      <c r="AD957" s="4"/>
      <c r="AE957" s="4"/>
      <c r="AF957" s="4"/>
      <c r="AG957" s="4"/>
      <c r="AH957" s="4"/>
    </row>
    <row r="958" spans="1:34" ht="15.75" customHeight="1" x14ac:dyDescent="0.2">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c r="AA958" s="4"/>
      <c r="AB958" s="4"/>
      <c r="AC958" s="4"/>
      <c r="AD958" s="4"/>
      <c r="AE958" s="4"/>
      <c r="AF958" s="4"/>
      <c r="AG958" s="4"/>
      <c r="AH958" s="4"/>
    </row>
    <row r="959" spans="1:34" ht="19" x14ac:dyDescent="0.2">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c r="AA959" s="4"/>
      <c r="AB959" s="4"/>
      <c r="AC959" s="4"/>
      <c r="AD959" s="4"/>
      <c r="AE959" s="4"/>
      <c r="AF959" s="4"/>
      <c r="AG959" s="4"/>
      <c r="AH959" s="4"/>
    </row>
    <row r="960" spans="1:34" ht="19" x14ac:dyDescent="0.2">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c r="AA960" s="4"/>
      <c r="AB960" s="4"/>
      <c r="AC960" s="4"/>
      <c r="AD960" s="4"/>
      <c r="AE960" s="4"/>
      <c r="AF960" s="4"/>
      <c r="AG960" s="4"/>
      <c r="AH960" s="4"/>
    </row>
    <row r="961" spans="1:34" ht="19" x14ac:dyDescent="0.2">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c r="AA961" s="4"/>
      <c r="AB961" s="4"/>
      <c r="AC961" s="4"/>
      <c r="AD961" s="4"/>
      <c r="AE961" s="4"/>
      <c r="AF961" s="4"/>
      <c r="AG961" s="4"/>
      <c r="AH961" s="4"/>
    </row>
    <row r="962" spans="1:34" ht="19" x14ac:dyDescent="0.2">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c r="AA962" s="4"/>
      <c r="AB962" s="4"/>
      <c r="AC962" s="4"/>
      <c r="AD962" s="4"/>
      <c r="AE962" s="4"/>
      <c r="AF962" s="4"/>
      <c r="AG962" s="4"/>
      <c r="AH962" s="4"/>
    </row>
    <row r="963" spans="1:34" ht="19" x14ac:dyDescent="0.2">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c r="AA963" s="4"/>
      <c r="AB963" s="4"/>
      <c r="AC963" s="4"/>
      <c r="AD963" s="4"/>
      <c r="AE963" s="4"/>
      <c r="AF963" s="4"/>
      <c r="AG963" s="4"/>
      <c r="AH963" s="4"/>
    </row>
    <row r="964" spans="1:34" ht="19" x14ac:dyDescent="0.2">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c r="AA964" s="4"/>
      <c r="AB964" s="4"/>
      <c r="AC964" s="4"/>
      <c r="AD964" s="4"/>
      <c r="AE964" s="4"/>
      <c r="AF964" s="4"/>
      <c r="AG964" s="4"/>
      <c r="AH964" s="4"/>
    </row>
    <row r="965" spans="1:34" ht="19" x14ac:dyDescent="0.2">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c r="AA965" s="4"/>
      <c r="AB965" s="4"/>
      <c r="AC965" s="4"/>
      <c r="AD965" s="4"/>
      <c r="AE965" s="4"/>
      <c r="AF965" s="4"/>
      <c r="AG965" s="4"/>
      <c r="AH965" s="4"/>
    </row>
    <row r="966" spans="1:34" ht="19" x14ac:dyDescent="0.2">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c r="AA966" s="4"/>
      <c r="AB966" s="4"/>
      <c r="AC966" s="4"/>
      <c r="AD966" s="4"/>
      <c r="AE966" s="4"/>
      <c r="AF966" s="4"/>
      <c r="AG966" s="4"/>
      <c r="AH966" s="4"/>
    </row>
    <row r="967" spans="1:34" ht="19" x14ac:dyDescent="0.2">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c r="AA967" s="4"/>
      <c r="AB967" s="4"/>
      <c r="AC967" s="4"/>
      <c r="AD967" s="4"/>
      <c r="AE967" s="4"/>
      <c r="AF967" s="4"/>
      <c r="AG967" s="4"/>
      <c r="AH967" s="4"/>
    </row>
    <row r="968" spans="1:34" ht="19" x14ac:dyDescent="0.2">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c r="AA968" s="4"/>
      <c r="AB968" s="4"/>
      <c r="AC968" s="4"/>
      <c r="AD968" s="4"/>
      <c r="AE968" s="4"/>
      <c r="AF968" s="4"/>
      <c r="AG968" s="4"/>
      <c r="AH968" s="4"/>
    </row>
    <row r="969" spans="1:34" ht="19" x14ac:dyDescent="0.2">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c r="AA969" s="4"/>
      <c r="AB969" s="4"/>
      <c r="AC969" s="4"/>
      <c r="AD969" s="4"/>
      <c r="AE969" s="4"/>
      <c r="AF969" s="4"/>
      <c r="AG969" s="4"/>
      <c r="AH969" s="4"/>
    </row>
    <row r="970" spans="1:34" ht="19" x14ac:dyDescent="0.2">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c r="AA970" s="4"/>
      <c r="AB970" s="4"/>
      <c r="AC970" s="4"/>
      <c r="AD970" s="4"/>
      <c r="AE970" s="4"/>
      <c r="AF970" s="4"/>
      <c r="AG970" s="4"/>
      <c r="AH970" s="4"/>
    </row>
    <row r="971" spans="1:34" ht="19" x14ac:dyDescent="0.2">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c r="AA971" s="4"/>
      <c r="AB971" s="4"/>
      <c r="AC971" s="4"/>
      <c r="AD971" s="4"/>
      <c r="AE971" s="4"/>
      <c r="AF971" s="4"/>
      <c r="AG971" s="4"/>
      <c r="AH971" s="4"/>
    </row>
    <row r="972" spans="1:34" ht="19" x14ac:dyDescent="0.2">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row>
    <row r="973" spans="1:34" ht="19" x14ac:dyDescent="0.2">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row>
    <row r="974" spans="1:34" ht="19" x14ac:dyDescent="0.2">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row>
    <row r="975" spans="1:34" ht="19" x14ac:dyDescent="0.2">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row>
    <row r="976" spans="1:34" ht="19" x14ac:dyDescent="0.2">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row>
    <row r="977" spans="1:34" ht="19" x14ac:dyDescent="0.2">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row>
    <row r="978" spans="1:34" ht="19" x14ac:dyDescent="0.2">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row>
    <row r="979" spans="1:34" ht="19" x14ac:dyDescent="0.2">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row>
    <row r="980" spans="1:34" ht="19" x14ac:dyDescent="0.2">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row>
    <row r="981" spans="1:34" ht="19" x14ac:dyDescent="0.2">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row>
    <row r="982" spans="1:34" ht="19" x14ac:dyDescent="0.2">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row>
    <row r="983" spans="1:34" ht="19" x14ac:dyDescent="0.2">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row>
    <row r="984" spans="1:34" ht="19" x14ac:dyDescent="0.2">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row>
    <row r="985" spans="1:34" ht="19" x14ac:dyDescent="0.2">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row>
    <row r="986" spans="1:34" ht="19" x14ac:dyDescent="0.2">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row>
    <row r="987" spans="1:34" ht="19" x14ac:dyDescent="0.2">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row>
    <row r="988" spans="1:34" ht="19" x14ac:dyDescent="0.2">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row>
    <row r="989" spans="1:34" ht="19" x14ac:dyDescent="0.2">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row>
    <row r="990" spans="1:34" ht="19" x14ac:dyDescent="0.2">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row>
    <row r="991" spans="1:34" ht="19" x14ac:dyDescent="0.2">
      <c r="A991" s="4"/>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row>
    <row r="992" spans="1:34" ht="19" x14ac:dyDescent="0.2">
      <c r="A992" s="4"/>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row>
    <row r="993" spans="1:34" ht="19" x14ac:dyDescent="0.2">
      <c r="A993" s="4"/>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row>
    <row r="994" spans="1:34" ht="19" x14ac:dyDescent="0.2">
      <c r="A994" s="4"/>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row>
    <row r="995" spans="1:34" ht="19" x14ac:dyDescent="0.2">
      <c r="A995" s="4"/>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row>
    <row r="996" spans="1:34" ht="19" x14ac:dyDescent="0.2">
      <c r="A996" s="4"/>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row>
    <row r="997" spans="1:34" ht="19" x14ac:dyDescent="0.2">
      <c r="A997" s="4"/>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row>
    <row r="998" spans="1:34" ht="19" x14ac:dyDescent="0.2">
      <c r="A998" s="4"/>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row>
    <row r="999" spans="1:34" ht="15.75" customHeight="1" x14ac:dyDescent="0.2">
      <c r="A999" s="4"/>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row>
    <row r="1000" spans="1:34" ht="15.75" customHeight="1" x14ac:dyDescent="0.2">
      <c r="A1000" s="4"/>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row>
    <row r="1001" spans="1:34" ht="15.75" customHeight="1" x14ac:dyDescent="0.2">
      <c r="A1001" s="4"/>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row>
    <row r="1002" spans="1:34" ht="15.75" customHeight="1" x14ac:dyDescent="0.2">
      <c r="A1002" s="4"/>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row>
    <row r="1003" spans="1:34" ht="15.75" customHeight="1" x14ac:dyDescent="0.2">
      <c r="A1003" s="4"/>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row>
    <row r="1004" spans="1:34" ht="15.75" customHeight="1" x14ac:dyDescent="0.2">
      <c r="A1004" s="4"/>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row>
    <row r="1005" spans="1:34" ht="15.75" customHeight="1" x14ac:dyDescent="0.2">
      <c r="A1005" s="4"/>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row>
  </sheetData>
  <hyperlinks>
    <hyperlink ref="O2" r:id="rId1" xr:uid="{00000000-0004-0000-0300-000002000000}"/>
    <hyperlink ref="P3" r:id="rId2" xr:uid="{BE428B4E-51C9-1A40-8D81-0CF92FB2CA31}"/>
    <hyperlink ref="Q3" r:id="rId3" xr:uid="{ED815630-FD7E-2D4C-8955-46DA9082FEA8}"/>
    <hyperlink ref="R3" r:id="rId4" xr:uid="{5C357542-BE29-6147-8E82-A32B229D7300}"/>
    <hyperlink ref="S3" r:id="rId5" xr:uid="{ACE87E56-792B-2C49-950C-8C12141CC86A}"/>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5">
        <x14:dataValidation type="list" allowBlank="1" showErrorMessage="1" xr:uid="{00000000-0002-0000-0300-000000000000}">
          <x14:formula1>
            <xm:f>Dropdowns!$G$4:$G$5</xm:f>
          </x14:formula1>
          <xm:sqref>E2 E4:E1005 F3</xm:sqref>
        </x14:dataValidation>
        <x14:dataValidation type="list" allowBlank="1" showErrorMessage="1" xr:uid="{00000000-0002-0000-0300-000001000000}">
          <x14:formula1>
            <xm:f>Dropdowns!$K$4:$K$205</xm:f>
          </x14:formula1>
          <xm:sqref>I2 I4:I1005 J3</xm:sqref>
        </x14:dataValidation>
        <x14:dataValidation type="list" allowBlank="1" showErrorMessage="1" xr:uid="{00000000-0002-0000-0300-000003000000}">
          <x14:formula1>
            <xm:f>Dropdowns!$B$4:$B$9</xm:f>
          </x14:formula1>
          <xm:sqref>C2:C1005</xm:sqref>
        </x14:dataValidation>
        <x14:dataValidation type="list" allowBlank="1" showErrorMessage="1" xr:uid="{00000000-0002-0000-0300-000002000000}">
          <x14:formula1>
            <xm:f>Dropdowns!$L$6:$L$21</xm:f>
          </x14:formula1>
          <xm:sqref>J2 J4:J1005</xm:sqref>
        </x14:dataValidation>
        <x14:dataValidation type="list" allowBlank="1" showErrorMessage="1" xr:uid="{00000000-0002-0000-0200-000001000000}">
          <x14:formula1>
            <xm:f>Dropdowns!$F$4:$F$8</xm:f>
          </x14:formula1>
          <xm:sqref>E3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AI1000"/>
  <sheetViews>
    <sheetView workbookViewId="0">
      <pane ySplit="1" topLeftCell="A2" activePane="bottomLeft" state="frozen"/>
      <selection pane="bottomLeft" activeCell="C7" sqref="C7"/>
    </sheetView>
  </sheetViews>
  <sheetFormatPr baseColWidth="10" defaultColWidth="11.1640625" defaultRowHeight="15" customHeight="1" x14ac:dyDescent="0.2"/>
  <cols>
    <col min="1" max="1" width="16.6640625" customWidth="1"/>
    <col min="2" max="2" width="52.6640625" customWidth="1"/>
    <col min="3" max="3" width="45.33203125" customWidth="1"/>
    <col min="4" max="4" width="53.1640625" customWidth="1"/>
    <col min="5" max="5" width="16.83203125" customWidth="1"/>
    <col min="6" max="6" width="17.33203125" customWidth="1"/>
    <col min="7" max="7" width="16.6640625" customWidth="1"/>
    <col min="8" max="8" width="18" customWidth="1"/>
    <col min="9" max="9" width="22.83203125" customWidth="1"/>
    <col min="10" max="10" width="27" customWidth="1"/>
    <col min="11" max="11" width="32.83203125" customWidth="1"/>
    <col min="12" max="13" width="32" customWidth="1"/>
    <col min="14" max="14" width="23.83203125" customWidth="1"/>
    <col min="15" max="15" width="21.83203125" customWidth="1"/>
    <col min="16" max="16" width="20.6640625" customWidth="1"/>
    <col min="17" max="17" width="19.5" customWidth="1"/>
    <col min="18" max="18" width="18.83203125" customWidth="1"/>
    <col min="19" max="19" width="19.6640625" customWidth="1"/>
    <col min="20" max="20" width="15.1640625" customWidth="1"/>
    <col min="21" max="21" width="13.5" customWidth="1"/>
    <col min="22" max="22" width="14" customWidth="1"/>
    <col min="23" max="23" width="22.5" customWidth="1"/>
    <col min="24" max="24" width="27.5" customWidth="1"/>
    <col min="25" max="28" width="11" customWidth="1"/>
    <col min="29" max="35" width="11.1640625" customWidth="1"/>
  </cols>
  <sheetData>
    <row r="1" spans="1:35" ht="60" customHeight="1" x14ac:dyDescent="0.2">
      <c r="A1" s="45" t="s">
        <v>830</v>
      </c>
      <c r="B1" s="45" t="s">
        <v>1</v>
      </c>
      <c r="C1" s="45" t="s">
        <v>831</v>
      </c>
      <c r="D1" s="45" t="s">
        <v>832</v>
      </c>
      <c r="E1" s="45" t="s">
        <v>833</v>
      </c>
      <c r="F1" s="45" t="s">
        <v>16</v>
      </c>
      <c r="G1" s="45" t="s">
        <v>17</v>
      </c>
      <c r="H1" s="45" t="s">
        <v>834</v>
      </c>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row>
    <row r="2" spans="1:35" ht="60" customHeight="1" x14ac:dyDescent="0.2">
      <c r="A2" s="46">
        <v>43831</v>
      </c>
      <c r="B2" s="47" t="s">
        <v>835</v>
      </c>
      <c r="C2" s="47"/>
      <c r="D2" s="47" t="s">
        <v>836</v>
      </c>
      <c r="E2" s="20"/>
      <c r="F2" s="20" t="s">
        <v>837</v>
      </c>
      <c r="G2" s="47"/>
      <c r="H2" s="47"/>
      <c r="I2" s="47"/>
      <c r="J2" s="47"/>
      <c r="K2" s="47"/>
      <c r="L2" s="47"/>
      <c r="M2" s="47"/>
      <c r="N2" s="48"/>
      <c r="O2" s="49"/>
      <c r="P2" s="20"/>
      <c r="Q2" s="47"/>
      <c r="R2" s="50"/>
      <c r="S2" s="50"/>
      <c r="T2" s="50"/>
      <c r="U2" s="47"/>
      <c r="V2" s="47"/>
      <c r="W2" s="47"/>
      <c r="X2" s="47"/>
      <c r="Y2" s="47"/>
      <c r="Z2" s="47"/>
      <c r="AA2" s="47"/>
      <c r="AB2" s="47"/>
      <c r="AC2" s="47"/>
      <c r="AD2" s="47"/>
      <c r="AE2" s="47"/>
      <c r="AF2" s="47"/>
      <c r="AG2" s="47"/>
      <c r="AH2" s="47"/>
      <c r="AI2" s="47"/>
    </row>
    <row r="3" spans="1:35" ht="60" customHeight="1" x14ac:dyDescent="0.2">
      <c r="A3" s="46">
        <v>44093</v>
      </c>
      <c r="B3" s="47" t="s">
        <v>838</v>
      </c>
      <c r="C3" s="47" t="s">
        <v>1319</v>
      </c>
      <c r="D3" s="47" t="s">
        <v>839</v>
      </c>
      <c r="E3" s="20" t="s">
        <v>422</v>
      </c>
      <c r="F3" s="20" t="s">
        <v>840</v>
      </c>
      <c r="G3" s="20" t="s">
        <v>837</v>
      </c>
      <c r="H3" s="41"/>
      <c r="I3" s="47"/>
      <c r="J3" s="47"/>
      <c r="K3" s="47"/>
      <c r="L3" s="47"/>
      <c r="M3" s="47"/>
      <c r="N3" s="47"/>
      <c r="O3" s="47"/>
      <c r="P3" s="20"/>
      <c r="Q3" s="47"/>
      <c r="R3" s="50"/>
      <c r="S3" s="50"/>
      <c r="T3" s="50"/>
      <c r="U3" s="50"/>
      <c r="V3" s="47"/>
      <c r="W3" s="47"/>
      <c r="X3" s="47"/>
      <c r="Y3" s="47"/>
      <c r="Z3" s="47"/>
      <c r="AA3" s="47"/>
      <c r="AB3" s="47"/>
      <c r="AC3" s="47"/>
      <c r="AD3" s="47"/>
      <c r="AE3" s="47"/>
      <c r="AF3" s="47"/>
      <c r="AG3" s="47"/>
      <c r="AH3" s="47"/>
      <c r="AI3" s="47"/>
    </row>
    <row r="4" spans="1:35" ht="60" customHeight="1" x14ac:dyDescent="0.2">
      <c r="A4" s="46">
        <v>44121</v>
      </c>
      <c r="B4" s="47" t="s">
        <v>841</v>
      </c>
      <c r="C4" s="47"/>
      <c r="D4" s="47" t="s">
        <v>842</v>
      </c>
      <c r="E4" s="20" t="s">
        <v>843</v>
      </c>
      <c r="F4" s="20" t="s">
        <v>837</v>
      </c>
      <c r="G4" s="47"/>
      <c r="H4" s="47"/>
      <c r="I4" s="47"/>
      <c r="J4" s="47"/>
      <c r="K4" s="47"/>
      <c r="L4" s="47"/>
      <c r="M4" s="47"/>
      <c r="N4" s="47"/>
      <c r="O4" s="47"/>
      <c r="P4" s="20"/>
      <c r="Q4" s="20"/>
      <c r="R4" s="50"/>
      <c r="S4" s="50"/>
      <c r="T4" s="47"/>
      <c r="U4" s="47"/>
      <c r="V4" s="47"/>
      <c r="W4" s="47"/>
      <c r="X4" s="47"/>
      <c r="Y4" s="47"/>
      <c r="Z4" s="47"/>
      <c r="AA4" s="47"/>
      <c r="AB4" s="47"/>
      <c r="AC4" s="47"/>
      <c r="AD4" s="47"/>
      <c r="AE4" s="47"/>
      <c r="AF4" s="47"/>
      <c r="AG4" s="47"/>
      <c r="AH4" s="47"/>
      <c r="AI4" s="47"/>
    </row>
    <row r="5" spans="1:35" ht="60" customHeight="1" x14ac:dyDescent="0.2">
      <c r="A5" s="46">
        <v>44205</v>
      </c>
      <c r="B5" s="47" t="s">
        <v>844</v>
      </c>
      <c r="C5" s="47" t="s">
        <v>845</v>
      </c>
      <c r="D5" s="47" t="s">
        <v>846</v>
      </c>
      <c r="E5" s="20" t="s">
        <v>840</v>
      </c>
      <c r="F5" s="20" t="s">
        <v>837</v>
      </c>
      <c r="G5" s="47"/>
      <c r="H5" s="47"/>
      <c r="I5" s="47"/>
      <c r="J5" s="47"/>
      <c r="K5" s="47"/>
      <c r="L5" s="47"/>
      <c r="M5" s="47"/>
      <c r="N5" s="51"/>
      <c r="O5" s="51"/>
      <c r="P5" s="20"/>
      <c r="Q5" s="20"/>
      <c r="R5" s="47"/>
      <c r="S5" s="50"/>
      <c r="T5" s="47"/>
      <c r="U5" s="47"/>
      <c r="V5" s="47"/>
      <c r="W5" s="47"/>
      <c r="X5" s="47"/>
      <c r="Y5" s="47"/>
      <c r="Z5" s="47"/>
      <c r="AA5" s="47"/>
      <c r="AB5" s="47"/>
      <c r="AC5" s="47"/>
      <c r="AD5" s="47"/>
      <c r="AE5" s="47"/>
      <c r="AF5" s="47"/>
      <c r="AG5" s="47"/>
      <c r="AH5" s="47"/>
      <c r="AI5" s="47"/>
    </row>
    <row r="6" spans="1:35" ht="60" customHeight="1" x14ac:dyDescent="0.2">
      <c r="A6" s="46">
        <v>44357</v>
      </c>
      <c r="B6" s="47" t="s">
        <v>847</v>
      </c>
      <c r="C6" s="47"/>
      <c r="D6" s="47" t="s">
        <v>848</v>
      </c>
      <c r="E6" s="20"/>
      <c r="F6" s="20" t="s">
        <v>837</v>
      </c>
      <c r="G6" s="47"/>
      <c r="H6" s="47"/>
      <c r="I6" s="47"/>
      <c r="J6" s="47"/>
      <c r="K6" s="47"/>
      <c r="L6" s="47"/>
      <c r="M6" s="47"/>
      <c r="N6" s="47"/>
      <c r="O6" s="47"/>
      <c r="P6" s="20"/>
      <c r="Q6" s="47"/>
      <c r="R6" s="20"/>
      <c r="S6" s="47"/>
      <c r="T6" s="47"/>
      <c r="U6" s="47"/>
      <c r="V6" s="47"/>
      <c r="W6" s="47"/>
      <c r="X6" s="47"/>
      <c r="Y6" s="47"/>
      <c r="Z6" s="47"/>
      <c r="AA6" s="47"/>
      <c r="AB6" s="47"/>
      <c r="AC6" s="47"/>
      <c r="AD6" s="47"/>
      <c r="AE6" s="47"/>
      <c r="AF6" s="47"/>
      <c r="AG6" s="47"/>
      <c r="AH6" s="47"/>
      <c r="AI6" s="47"/>
    </row>
    <row r="7" spans="1:35" ht="60" customHeight="1" x14ac:dyDescent="0.2">
      <c r="A7" s="46">
        <v>44357</v>
      </c>
      <c r="B7" s="47" t="s">
        <v>849</v>
      </c>
      <c r="C7" s="47"/>
      <c r="D7" s="47" t="s">
        <v>850</v>
      </c>
      <c r="E7" s="20" t="s">
        <v>851</v>
      </c>
      <c r="F7" s="20"/>
      <c r="G7" s="47"/>
      <c r="H7" s="47"/>
      <c r="I7" s="47"/>
      <c r="J7" s="47"/>
      <c r="K7" s="47"/>
      <c r="L7" s="47"/>
      <c r="M7" s="47"/>
      <c r="N7" s="47"/>
      <c r="O7" s="47"/>
      <c r="P7" s="20"/>
      <c r="Q7" s="20"/>
      <c r="R7" s="47"/>
      <c r="S7" s="50"/>
      <c r="T7" s="47"/>
      <c r="U7" s="47"/>
      <c r="V7" s="47"/>
      <c r="W7" s="47"/>
      <c r="X7" s="47"/>
      <c r="Y7" s="47"/>
      <c r="Z7" s="47"/>
      <c r="AA7" s="47"/>
      <c r="AB7" s="47"/>
      <c r="AC7" s="47"/>
      <c r="AD7" s="47"/>
      <c r="AE7" s="47"/>
      <c r="AF7" s="47"/>
      <c r="AG7" s="47"/>
      <c r="AH7" s="47"/>
      <c r="AI7" s="47"/>
    </row>
    <row r="8" spans="1:35" ht="60" customHeight="1" x14ac:dyDescent="0.2">
      <c r="A8" s="46">
        <v>44559</v>
      </c>
      <c r="B8" s="52" t="s">
        <v>852</v>
      </c>
      <c r="C8" s="53"/>
      <c r="D8" s="47"/>
      <c r="E8" s="20" t="s">
        <v>853</v>
      </c>
      <c r="F8" s="20"/>
      <c r="G8" s="47"/>
      <c r="H8" s="47"/>
      <c r="I8" s="47"/>
      <c r="J8" s="47"/>
      <c r="K8" s="47"/>
      <c r="L8" s="47"/>
      <c r="M8" s="47"/>
      <c r="N8" s="47"/>
      <c r="O8" s="47"/>
      <c r="P8" s="20"/>
      <c r="Q8" s="20"/>
      <c r="R8" s="50"/>
      <c r="S8" s="47"/>
      <c r="T8" s="47"/>
      <c r="U8" s="47"/>
      <c r="V8" s="47"/>
      <c r="W8" s="47"/>
      <c r="X8" s="47"/>
      <c r="Y8" s="47"/>
      <c r="Z8" s="47"/>
      <c r="AA8" s="47"/>
      <c r="AB8" s="47"/>
      <c r="AC8" s="47"/>
      <c r="AD8" s="47"/>
      <c r="AE8" s="47"/>
      <c r="AF8" s="47"/>
      <c r="AG8" s="47"/>
      <c r="AH8" s="47"/>
      <c r="AI8" s="47"/>
    </row>
    <row r="9" spans="1:35" ht="60" customHeight="1" x14ac:dyDescent="0.2">
      <c r="A9" s="46" t="s">
        <v>854</v>
      </c>
      <c r="B9" s="47" t="s">
        <v>855</v>
      </c>
      <c r="C9" s="54"/>
      <c r="D9" s="47" t="s">
        <v>856</v>
      </c>
      <c r="E9" s="23"/>
      <c r="F9" s="20" t="s">
        <v>837</v>
      </c>
      <c r="G9" s="47"/>
      <c r="H9" s="47"/>
      <c r="I9" s="47"/>
      <c r="J9" s="47"/>
      <c r="K9" s="47"/>
      <c r="L9" s="55"/>
      <c r="M9" s="47"/>
      <c r="N9" s="47"/>
      <c r="O9" s="47"/>
      <c r="P9" s="20"/>
      <c r="Q9" s="20"/>
      <c r="R9" s="47"/>
      <c r="S9" s="50"/>
      <c r="T9" s="47"/>
      <c r="U9" s="47"/>
      <c r="V9" s="47"/>
      <c r="W9" s="47"/>
      <c r="X9" s="47"/>
      <c r="Y9" s="47"/>
      <c r="Z9" s="47"/>
      <c r="AA9" s="47"/>
      <c r="AB9" s="47"/>
      <c r="AC9" s="47"/>
      <c r="AD9" s="47"/>
      <c r="AE9" s="47"/>
      <c r="AF9" s="47"/>
      <c r="AG9" s="47"/>
      <c r="AH9" s="47"/>
      <c r="AI9" s="47"/>
    </row>
    <row r="10" spans="1:35" ht="60" customHeight="1" x14ac:dyDescent="0.2">
      <c r="A10" s="46">
        <v>45565</v>
      </c>
      <c r="B10" s="47" t="s">
        <v>857</v>
      </c>
      <c r="C10" s="56"/>
      <c r="D10" s="47" t="s">
        <v>858</v>
      </c>
      <c r="E10" s="20" t="s">
        <v>853</v>
      </c>
      <c r="F10" s="20" t="s">
        <v>859</v>
      </c>
      <c r="G10" s="20" t="s">
        <v>860</v>
      </c>
      <c r="H10" s="20" t="s">
        <v>604</v>
      </c>
      <c r="I10" s="47"/>
      <c r="J10" s="47"/>
      <c r="K10" s="47"/>
      <c r="L10" s="47"/>
      <c r="M10" s="47"/>
      <c r="N10" s="47"/>
      <c r="O10" s="47"/>
      <c r="P10" s="20"/>
      <c r="Q10" s="47"/>
      <c r="R10" s="50"/>
      <c r="S10" s="20"/>
      <c r="T10" s="47"/>
      <c r="U10" s="47"/>
      <c r="V10" s="47"/>
      <c r="W10" s="47"/>
      <c r="X10" s="47"/>
      <c r="Y10" s="47"/>
      <c r="Z10" s="47"/>
      <c r="AA10" s="47"/>
      <c r="AB10" s="47"/>
      <c r="AC10" s="47"/>
      <c r="AD10" s="47"/>
      <c r="AE10" s="47"/>
      <c r="AF10" s="47"/>
      <c r="AG10" s="47"/>
      <c r="AH10" s="47"/>
      <c r="AI10" s="47"/>
    </row>
    <row r="11" spans="1:35" ht="60" customHeight="1" x14ac:dyDescent="0.2">
      <c r="A11" s="57"/>
      <c r="B11" s="47"/>
      <c r="C11" s="47"/>
      <c r="D11" s="47"/>
      <c r="E11" s="41"/>
      <c r="F11" s="47"/>
      <c r="G11" s="47"/>
      <c r="H11" s="47"/>
      <c r="I11" s="47"/>
      <c r="J11" s="47"/>
      <c r="K11" s="47"/>
      <c r="L11" s="47"/>
      <c r="M11" s="47"/>
      <c r="N11" s="58"/>
      <c r="O11" s="59"/>
      <c r="P11" s="20"/>
      <c r="Q11" s="20"/>
      <c r="R11" s="47"/>
      <c r="S11" s="20"/>
      <c r="T11" s="47"/>
      <c r="U11" s="47"/>
      <c r="V11" s="47"/>
      <c r="W11" s="47"/>
      <c r="X11" s="47"/>
      <c r="Y11" s="47"/>
      <c r="Z11" s="47"/>
      <c r="AA11" s="47"/>
      <c r="AB11" s="47"/>
      <c r="AC11" s="47"/>
      <c r="AD11" s="47"/>
      <c r="AE11" s="47"/>
      <c r="AF11" s="47"/>
      <c r="AG11" s="47"/>
      <c r="AH11" s="47"/>
      <c r="AI11" s="47"/>
    </row>
    <row r="12" spans="1:35" ht="60" customHeight="1" x14ac:dyDescent="0.2">
      <c r="A12" s="57"/>
      <c r="B12" s="47"/>
      <c r="C12" s="47"/>
      <c r="D12" s="51"/>
      <c r="E12" s="47"/>
      <c r="F12" s="47"/>
      <c r="G12" s="47"/>
      <c r="H12" s="47"/>
      <c r="I12" s="47"/>
      <c r="J12" s="47"/>
      <c r="K12" s="47"/>
      <c r="L12" s="47"/>
      <c r="M12" s="47"/>
      <c r="N12" s="47"/>
      <c r="O12" s="47"/>
      <c r="P12" s="20"/>
      <c r="Q12" s="47"/>
      <c r="R12" s="50"/>
      <c r="S12" s="47"/>
      <c r="T12" s="47"/>
      <c r="U12" s="47"/>
      <c r="V12" s="47"/>
      <c r="W12" s="47"/>
      <c r="X12" s="47"/>
      <c r="Y12" s="47"/>
      <c r="Z12" s="47"/>
      <c r="AA12" s="47"/>
      <c r="AB12" s="47"/>
      <c r="AC12" s="47"/>
      <c r="AD12" s="47"/>
      <c r="AE12" s="47"/>
      <c r="AF12" s="47"/>
      <c r="AG12" s="47"/>
      <c r="AH12" s="47"/>
      <c r="AI12" s="47"/>
    </row>
    <row r="13" spans="1:35" ht="60" customHeight="1" x14ac:dyDescent="0.2">
      <c r="A13" s="57"/>
      <c r="B13" s="47"/>
      <c r="C13" s="47"/>
      <c r="D13" s="47"/>
      <c r="E13" s="47"/>
      <c r="F13" s="47"/>
      <c r="G13" s="47"/>
      <c r="H13" s="47"/>
      <c r="I13" s="47"/>
      <c r="J13" s="47"/>
      <c r="K13" s="47"/>
      <c r="L13" s="47"/>
      <c r="M13" s="47"/>
      <c r="N13" s="47"/>
      <c r="O13" s="47"/>
      <c r="P13" s="20"/>
      <c r="Q13" s="47"/>
      <c r="R13" s="50"/>
      <c r="S13" s="47"/>
      <c r="T13" s="47"/>
      <c r="U13" s="47"/>
      <c r="V13" s="47"/>
      <c r="W13" s="47"/>
      <c r="X13" s="47"/>
      <c r="Y13" s="47"/>
      <c r="Z13" s="47"/>
      <c r="AA13" s="47"/>
      <c r="AB13" s="47"/>
      <c r="AC13" s="47"/>
      <c r="AD13" s="47"/>
      <c r="AE13" s="47"/>
      <c r="AF13" s="47"/>
      <c r="AG13" s="47"/>
      <c r="AH13" s="47"/>
      <c r="AI13" s="47"/>
    </row>
    <row r="14" spans="1:35" ht="60" customHeight="1" x14ac:dyDescent="0.2">
      <c r="A14" s="57"/>
      <c r="B14" s="47"/>
      <c r="C14" s="47"/>
      <c r="D14" s="47"/>
      <c r="E14" s="47"/>
      <c r="F14" s="47"/>
      <c r="G14" s="47"/>
      <c r="H14" s="47"/>
      <c r="I14" s="47"/>
      <c r="J14" s="47"/>
      <c r="K14" s="47"/>
      <c r="L14" s="47"/>
      <c r="M14" s="60"/>
      <c r="N14" s="47"/>
      <c r="O14" s="47"/>
      <c r="P14" s="20"/>
      <c r="Q14" s="47"/>
      <c r="R14" s="50"/>
      <c r="S14" s="50"/>
      <c r="T14" s="47"/>
      <c r="U14" s="47"/>
      <c r="V14" s="47"/>
      <c r="W14" s="47"/>
      <c r="X14" s="47"/>
      <c r="Y14" s="47"/>
      <c r="Z14" s="47"/>
      <c r="AA14" s="47"/>
      <c r="AB14" s="47"/>
      <c r="AC14" s="47"/>
      <c r="AD14" s="47"/>
      <c r="AE14" s="47"/>
      <c r="AF14" s="47"/>
      <c r="AG14" s="47"/>
      <c r="AH14" s="47"/>
      <c r="AI14" s="47"/>
    </row>
    <row r="15" spans="1:35" ht="60" customHeight="1" x14ac:dyDescent="0.2">
      <c r="A15" s="46"/>
      <c r="B15" s="47"/>
      <c r="C15" s="47"/>
      <c r="D15" s="47"/>
      <c r="E15" s="47"/>
      <c r="F15" s="47"/>
      <c r="G15" s="47"/>
      <c r="H15" s="47"/>
      <c r="I15" s="47"/>
      <c r="J15" s="47"/>
      <c r="K15" s="47"/>
      <c r="L15" s="47"/>
      <c r="M15" s="47"/>
      <c r="N15" s="47"/>
      <c r="O15" s="47"/>
      <c r="P15" s="20"/>
      <c r="Q15" s="47"/>
      <c r="R15" s="47"/>
      <c r="S15" s="61"/>
      <c r="T15" s="61"/>
      <c r="U15" s="61"/>
      <c r="V15" s="61"/>
      <c r="W15" s="47"/>
      <c r="X15" s="47"/>
      <c r="Y15" s="47"/>
      <c r="Z15" s="47"/>
      <c r="AA15" s="47"/>
      <c r="AB15" s="47"/>
      <c r="AC15" s="47"/>
      <c r="AD15" s="47"/>
      <c r="AE15" s="47"/>
      <c r="AF15" s="47"/>
      <c r="AG15" s="47"/>
      <c r="AH15" s="47"/>
      <c r="AI15" s="47"/>
    </row>
    <row r="16" spans="1:35" ht="60" customHeight="1" x14ac:dyDescent="0.2">
      <c r="A16" s="57"/>
      <c r="B16" s="47"/>
      <c r="C16" s="47"/>
      <c r="D16" s="47"/>
      <c r="E16" s="47"/>
      <c r="F16" s="47"/>
      <c r="G16" s="47"/>
      <c r="H16" s="47"/>
      <c r="I16" s="47"/>
      <c r="J16" s="47"/>
      <c r="K16" s="47"/>
      <c r="L16" s="47"/>
      <c r="M16" s="47"/>
      <c r="N16" s="47"/>
      <c r="O16" s="47"/>
      <c r="P16" s="20"/>
      <c r="Q16" s="47"/>
      <c r="R16" s="20"/>
      <c r="S16" s="20"/>
      <c r="T16" s="47"/>
      <c r="U16" s="47"/>
      <c r="V16" s="47"/>
      <c r="W16" s="47"/>
      <c r="X16" s="47"/>
      <c r="Y16" s="47"/>
      <c r="Z16" s="47"/>
      <c r="AA16" s="47"/>
      <c r="AB16" s="47"/>
      <c r="AC16" s="47"/>
      <c r="AD16" s="47"/>
      <c r="AE16" s="47"/>
      <c r="AF16" s="47"/>
      <c r="AG16" s="47"/>
      <c r="AH16" s="47"/>
      <c r="AI16" s="47"/>
    </row>
    <row r="17" spans="1:35" ht="60" customHeight="1" x14ac:dyDescent="0.2">
      <c r="A17" s="57"/>
      <c r="B17" s="47"/>
      <c r="C17" s="47"/>
      <c r="D17" s="47"/>
      <c r="E17" s="47"/>
      <c r="F17" s="47"/>
      <c r="G17" s="47"/>
      <c r="H17" s="47"/>
      <c r="I17" s="47"/>
      <c r="J17" s="47"/>
      <c r="K17" s="47"/>
      <c r="L17" s="47"/>
      <c r="M17" s="47"/>
      <c r="N17" s="47"/>
      <c r="O17" s="47"/>
      <c r="P17" s="20"/>
      <c r="Q17" s="47"/>
      <c r="R17" s="50"/>
      <c r="S17" s="50"/>
      <c r="T17" s="50"/>
      <c r="U17" s="47"/>
      <c r="V17" s="47"/>
      <c r="W17" s="47"/>
      <c r="X17" s="47"/>
      <c r="Y17" s="47"/>
      <c r="Z17" s="47"/>
      <c r="AA17" s="47"/>
      <c r="AB17" s="47"/>
      <c r="AC17" s="47"/>
      <c r="AD17" s="47"/>
      <c r="AE17" s="47"/>
      <c r="AF17" s="47"/>
      <c r="AG17" s="47"/>
      <c r="AH17" s="47"/>
      <c r="AI17" s="47"/>
    </row>
    <row r="18" spans="1:35" ht="60" customHeight="1" x14ac:dyDescent="0.2">
      <c r="A18" s="46"/>
      <c r="B18" s="47"/>
      <c r="C18" s="47"/>
      <c r="D18" s="47"/>
      <c r="E18" s="47"/>
      <c r="F18" s="47"/>
      <c r="G18" s="47"/>
      <c r="H18" s="47"/>
      <c r="I18" s="47"/>
      <c r="J18" s="47"/>
      <c r="K18" s="47"/>
      <c r="L18" s="47"/>
      <c r="M18" s="47"/>
      <c r="N18" s="47"/>
      <c r="O18" s="47"/>
      <c r="P18" s="20"/>
      <c r="Q18" s="50"/>
      <c r="R18" s="50"/>
      <c r="S18" s="47"/>
      <c r="T18" s="47"/>
      <c r="U18" s="47"/>
      <c r="V18" s="47"/>
      <c r="W18" s="47"/>
      <c r="X18" s="47"/>
      <c r="Y18" s="47"/>
      <c r="Z18" s="47"/>
      <c r="AA18" s="47"/>
      <c r="AB18" s="47"/>
      <c r="AC18" s="47"/>
      <c r="AD18" s="47"/>
      <c r="AE18" s="47"/>
      <c r="AF18" s="47"/>
      <c r="AG18" s="47"/>
      <c r="AH18" s="47"/>
      <c r="AI18" s="47"/>
    </row>
    <row r="19" spans="1:35" ht="60" customHeight="1" x14ac:dyDescent="0.2">
      <c r="A19" s="57"/>
      <c r="B19" s="47"/>
      <c r="C19" s="47"/>
      <c r="D19" s="47"/>
      <c r="E19" s="47"/>
      <c r="F19" s="47"/>
      <c r="G19" s="47"/>
      <c r="H19" s="47"/>
      <c r="I19" s="47"/>
      <c r="J19" s="47"/>
      <c r="K19" s="47"/>
      <c r="L19" s="47"/>
      <c r="M19" s="60"/>
      <c r="N19" s="47"/>
      <c r="O19" s="47"/>
      <c r="P19" s="20"/>
      <c r="Q19" s="47"/>
      <c r="R19" s="50"/>
      <c r="S19" s="47"/>
      <c r="T19" s="47"/>
      <c r="U19" s="47"/>
      <c r="V19" s="47"/>
      <c r="W19" s="47"/>
      <c r="X19" s="47"/>
      <c r="Y19" s="47"/>
      <c r="Z19" s="47"/>
      <c r="AA19" s="47"/>
      <c r="AB19" s="47"/>
      <c r="AC19" s="47"/>
      <c r="AD19" s="47"/>
      <c r="AE19" s="47"/>
      <c r="AF19" s="47"/>
      <c r="AG19" s="47"/>
      <c r="AH19" s="47"/>
      <c r="AI19" s="47"/>
    </row>
    <row r="20" spans="1:35" ht="60" customHeight="1" x14ac:dyDescent="0.2">
      <c r="A20" s="46"/>
      <c r="B20" s="47"/>
      <c r="C20" s="47"/>
      <c r="D20" s="47"/>
      <c r="E20" s="47"/>
      <c r="F20" s="47"/>
      <c r="G20" s="47"/>
      <c r="H20" s="47"/>
      <c r="I20" s="47"/>
      <c r="J20" s="47"/>
      <c r="K20" s="47"/>
      <c r="L20" s="47"/>
      <c r="M20" s="47"/>
      <c r="N20" s="47"/>
      <c r="O20" s="56"/>
      <c r="P20" s="20"/>
      <c r="Q20" s="20"/>
      <c r="R20" s="56"/>
      <c r="S20" s="20"/>
      <c r="T20" s="20"/>
      <c r="U20" s="47"/>
      <c r="V20" s="47"/>
      <c r="W20" s="47"/>
      <c r="X20" s="47"/>
      <c r="Y20" s="47"/>
      <c r="Z20" s="47"/>
      <c r="AA20" s="47"/>
      <c r="AB20" s="47"/>
      <c r="AC20" s="47"/>
      <c r="AD20" s="47"/>
      <c r="AE20" s="47"/>
      <c r="AF20" s="47"/>
      <c r="AG20" s="47"/>
      <c r="AH20" s="47"/>
      <c r="AI20" s="56"/>
    </row>
    <row r="21" spans="1:35" ht="60" customHeight="1" x14ac:dyDescent="0.2">
      <c r="A21" s="57"/>
      <c r="B21" s="47"/>
      <c r="C21" s="47"/>
      <c r="D21" s="47"/>
      <c r="E21" s="47"/>
      <c r="F21" s="47"/>
      <c r="G21" s="47"/>
      <c r="H21" s="47"/>
      <c r="I21" s="47"/>
      <c r="J21" s="47"/>
      <c r="K21" s="47"/>
      <c r="L21" s="47"/>
      <c r="M21" s="47"/>
      <c r="N21" s="47"/>
      <c r="O21" s="47"/>
      <c r="P21" s="23"/>
      <c r="Q21" s="47"/>
      <c r="R21" s="50"/>
      <c r="S21" s="50"/>
      <c r="T21" s="47"/>
      <c r="U21" s="47"/>
      <c r="V21" s="47"/>
      <c r="W21" s="47"/>
      <c r="X21" s="47"/>
      <c r="Y21" s="47"/>
      <c r="Z21" s="47"/>
      <c r="AA21" s="47"/>
      <c r="AB21" s="47"/>
      <c r="AC21" s="47"/>
      <c r="AD21" s="47"/>
      <c r="AE21" s="47"/>
      <c r="AF21" s="47"/>
      <c r="AG21" s="47"/>
      <c r="AH21" s="47"/>
      <c r="AI21" s="47"/>
    </row>
    <row r="22" spans="1:35" ht="60" customHeight="1" x14ac:dyDescent="0.2">
      <c r="A22" s="57"/>
      <c r="B22" s="47"/>
      <c r="C22" s="47"/>
      <c r="D22" s="47"/>
      <c r="E22" s="47"/>
      <c r="F22" s="47"/>
      <c r="G22" s="47"/>
      <c r="H22" s="47"/>
      <c r="I22" s="47"/>
      <c r="J22" s="47"/>
      <c r="K22" s="47"/>
      <c r="L22" s="47"/>
      <c r="M22" s="47"/>
      <c r="N22" s="47"/>
      <c r="O22" s="47"/>
      <c r="P22" s="20"/>
      <c r="Q22" s="47"/>
      <c r="R22" s="20"/>
      <c r="S22" s="47"/>
      <c r="T22" s="47"/>
      <c r="U22" s="47"/>
      <c r="V22" s="47"/>
      <c r="W22" s="47"/>
      <c r="X22" s="47"/>
      <c r="Y22" s="47"/>
      <c r="Z22" s="47"/>
      <c r="AA22" s="47"/>
      <c r="AB22" s="47"/>
      <c r="AC22" s="47"/>
      <c r="AD22" s="47"/>
      <c r="AE22" s="47"/>
      <c r="AF22" s="47"/>
      <c r="AG22" s="47"/>
      <c r="AH22" s="47"/>
      <c r="AI22" s="47"/>
    </row>
    <row r="23" spans="1:35" ht="60" customHeight="1" x14ac:dyDescent="0.2">
      <c r="A23" s="57"/>
      <c r="B23" s="47"/>
      <c r="C23" s="47"/>
      <c r="D23" s="47"/>
      <c r="E23" s="47"/>
      <c r="F23" s="47"/>
      <c r="G23" s="47"/>
      <c r="H23" s="47"/>
      <c r="I23" s="47"/>
      <c r="J23" s="47"/>
      <c r="K23" s="47"/>
      <c r="L23" s="47"/>
      <c r="M23" s="47"/>
      <c r="N23" s="47"/>
      <c r="O23" s="47"/>
      <c r="P23" s="20"/>
      <c r="Q23" s="20"/>
      <c r="R23" s="47"/>
      <c r="S23" s="20"/>
      <c r="T23" s="47"/>
      <c r="U23" s="47"/>
      <c r="V23" s="47"/>
      <c r="W23" s="47"/>
      <c r="X23" s="47"/>
      <c r="Y23" s="47"/>
      <c r="Z23" s="47"/>
      <c r="AA23" s="47"/>
      <c r="AB23" s="47"/>
      <c r="AC23" s="47"/>
      <c r="AD23" s="47"/>
      <c r="AE23" s="47"/>
      <c r="AF23" s="47"/>
      <c r="AG23" s="47"/>
      <c r="AH23" s="47"/>
      <c r="AI23" s="47"/>
    </row>
    <row r="24" spans="1:35" ht="60" customHeight="1" x14ac:dyDescent="0.2">
      <c r="A24" s="57"/>
      <c r="B24" s="47"/>
      <c r="C24" s="47"/>
      <c r="D24" s="47"/>
      <c r="E24" s="47"/>
      <c r="F24" s="47"/>
      <c r="G24" s="47"/>
      <c r="H24" s="47"/>
      <c r="I24" s="47"/>
      <c r="J24" s="47"/>
      <c r="K24" s="47"/>
      <c r="L24" s="47"/>
      <c r="M24" s="47"/>
      <c r="N24" s="47"/>
      <c r="O24" s="47"/>
      <c r="P24" s="20"/>
      <c r="Q24" s="20"/>
      <c r="R24" s="20"/>
      <c r="S24" s="47"/>
      <c r="T24" s="47"/>
      <c r="U24" s="47"/>
      <c r="V24" s="47"/>
      <c r="W24" s="47"/>
      <c r="X24" s="47"/>
      <c r="Y24" s="47"/>
      <c r="Z24" s="47"/>
      <c r="AA24" s="47"/>
      <c r="AB24" s="47"/>
      <c r="AC24" s="47"/>
      <c r="AD24" s="47"/>
      <c r="AE24" s="47"/>
      <c r="AF24" s="47"/>
      <c r="AG24" s="47"/>
      <c r="AH24" s="47"/>
      <c r="AI24" s="47"/>
    </row>
    <row r="25" spans="1:35" ht="60" customHeight="1" x14ac:dyDescent="0.2">
      <c r="A25" s="57"/>
      <c r="B25" s="47"/>
      <c r="C25" s="47"/>
      <c r="D25" s="47"/>
      <c r="E25" s="47"/>
      <c r="F25" s="47"/>
      <c r="G25" s="47"/>
      <c r="H25" s="47"/>
      <c r="I25" s="47"/>
      <c r="J25" s="47"/>
      <c r="K25" s="47"/>
      <c r="L25" s="47"/>
      <c r="M25" s="47"/>
      <c r="N25" s="47"/>
      <c r="O25" s="47"/>
      <c r="P25" s="20"/>
      <c r="Q25" s="20"/>
      <c r="R25" s="20"/>
      <c r="S25" s="47"/>
      <c r="T25" s="47"/>
      <c r="U25" s="47"/>
      <c r="V25" s="47"/>
      <c r="W25" s="47"/>
      <c r="X25" s="47"/>
      <c r="Y25" s="47"/>
      <c r="Z25" s="47"/>
      <c r="AA25" s="47"/>
      <c r="AB25" s="47"/>
      <c r="AC25" s="47"/>
      <c r="AD25" s="47"/>
      <c r="AE25" s="47"/>
      <c r="AF25" s="47"/>
      <c r="AG25" s="47"/>
      <c r="AH25" s="47"/>
      <c r="AI25" s="47"/>
    </row>
    <row r="26" spans="1:35" ht="60" customHeight="1" x14ac:dyDescent="0.2">
      <c r="A26" s="57"/>
      <c r="B26" s="47"/>
      <c r="C26" s="47"/>
      <c r="D26" s="47"/>
      <c r="E26" s="47"/>
      <c r="F26" s="47"/>
      <c r="G26" s="47"/>
      <c r="H26" s="47"/>
      <c r="I26" s="47"/>
      <c r="J26" s="47"/>
      <c r="K26" s="47"/>
      <c r="L26" s="47"/>
      <c r="M26" s="47"/>
      <c r="N26" s="47"/>
      <c r="O26" s="53"/>
      <c r="P26" s="20"/>
      <c r="Q26" s="50"/>
      <c r="R26" s="53"/>
      <c r="S26" s="47"/>
      <c r="T26" s="47"/>
      <c r="U26" s="47"/>
      <c r="V26" s="47"/>
      <c r="W26" s="47"/>
      <c r="X26" s="47"/>
      <c r="Y26" s="47"/>
      <c r="Z26" s="47"/>
      <c r="AA26" s="47"/>
      <c r="AB26" s="47"/>
      <c r="AC26" s="47"/>
      <c r="AD26" s="47"/>
      <c r="AE26" s="47"/>
      <c r="AF26" s="47"/>
      <c r="AG26" s="47"/>
      <c r="AH26" s="47"/>
      <c r="AI26" s="53"/>
    </row>
    <row r="27" spans="1:35" ht="60" customHeight="1" x14ac:dyDescent="0.2">
      <c r="A27" s="57"/>
      <c r="B27" s="47"/>
      <c r="C27" s="47"/>
      <c r="D27" s="47"/>
      <c r="E27" s="47"/>
      <c r="F27" s="47"/>
      <c r="G27" s="47"/>
      <c r="H27" s="47"/>
      <c r="I27" s="47"/>
      <c r="J27" s="47"/>
      <c r="K27" s="47"/>
      <c r="L27" s="47"/>
      <c r="M27" s="47"/>
      <c r="N27" s="47"/>
      <c r="O27" s="47"/>
      <c r="P27" s="20"/>
      <c r="Q27" s="20"/>
      <c r="R27" s="20"/>
      <c r="S27" s="47"/>
      <c r="T27" s="47"/>
      <c r="U27" s="47"/>
      <c r="V27" s="47"/>
      <c r="W27" s="47"/>
      <c r="X27" s="47"/>
      <c r="Y27" s="47"/>
      <c r="Z27" s="47"/>
      <c r="AA27" s="47"/>
      <c r="AB27" s="47"/>
      <c r="AC27" s="47"/>
      <c r="AD27" s="47"/>
      <c r="AE27" s="47"/>
      <c r="AF27" s="47"/>
      <c r="AG27" s="47"/>
      <c r="AH27" s="47"/>
      <c r="AI27" s="47"/>
    </row>
    <row r="28" spans="1:35" ht="60" customHeight="1" x14ac:dyDescent="0.2">
      <c r="A28" s="57"/>
      <c r="B28" s="47"/>
      <c r="C28" s="47"/>
      <c r="D28" s="47"/>
      <c r="E28" s="47"/>
      <c r="F28" s="47"/>
      <c r="G28" s="47"/>
      <c r="H28" s="47"/>
      <c r="I28" s="47"/>
      <c r="J28" s="47"/>
      <c r="K28" s="47"/>
      <c r="L28" s="47"/>
      <c r="M28" s="47"/>
      <c r="N28" s="47"/>
      <c r="O28" s="47"/>
      <c r="P28" s="20"/>
      <c r="Q28" s="47"/>
      <c r="R28" s="20"/>
      <c r="S28" s="47"/>
      <c r="T28" s="47"/>
      <c r="U28" s="47"/>
      <c r="V28" s="47"/>
      <c r="W28" s="47"/>
      <c r="X28" s="47"/>
      <c r="Y28" s="47"/>
      <c r="Z28" s="47"/>
      <c r="AA28" s="47"/>
      <c r="AB28" s="47"/>
      <c r="AC28" s="47"/>
      <c r="AD28" s="47"/>
      <c r="AE28" s="47"/>
      <c r="AF28" s="47"/>
      <c r="AG28" s="47"/>
      <c r="AH28" s="47"/>
      <c r="AI28" s="47"/>
    </row>
    <row r="29" spans="1:35" ht="60" customHeight="1" x14ac:dyDescent="0.2">
      <c r="A29" s="57"/>
      <c r="B29" s="47"/>
      <c r="C29" s="47"/>
      <c r="D29" s="47"/>
      <c r="E29" s="47"/>
      <c r="F29" s="47"/>
      <c r="G29" s="47"/>
      <c r="H29" s="47"/>
      <c r="I29" s="47"/>
      <c r="J29" s="47"/>
      <c r="K29" s="47"/>
      <c r="L29" s="47"/>
      <c r="M29" s="47"/>
      <c r="N29" s="47"/>
      <c r="O29" s="47"/>
      <c r="P29" s="20"/>
      <c r="Q29" s="20"/>
      <c r="R29" s="47"/>
      <c r="S29" s="47"/>
      <c r="T29" s="47"/>
      <c r="U29" s="47"/>
      <c r="V29" s="47"/>
      <c r="W29" s="47"/>
      <c r="X29" s="47"/>
      <c r="Y29" s="47"/>
      <c r="Z29" s="47"/>
      <c r="AA29" s="47"/>
      <c r="AB29" s="47"/>
      <c r="AC29" s="47"/>
      <c r="AD29" s="47"/>
      <c r="AE29" s="47"/>
      <c r="AF29" s="47"/>
      <c r="AG29" s="47"/>
      <c r="AH29" s="47"/>
      <c r="AI29" s="47"/>
    </row>
    <row r="30" spans="1:35" ht="60" customHeight="1" x14ac:dyDescent="0.2">
      <c r="A30" s="57"/>
      <c r="B30" s="47"/>
      <c r="C30" s="47"/>
      <c r="D30" s="47"/>
      <c r="E30" s="47"/>
      <c r="F30" s="47"/>
      <c r="G30" s="47"/>
      <c r="H30" s="47"/>
      <c r="I30" s="47"/>
      <c r="J30" s="47"/>
      <c r="K30" s="47"/>
      <c r="L30" s="47"/>
      <c r="M30" s="47"/>
      <c r="N30" s="47"/>
      <c r="O30" s="47"/>
      <c r="P30" s="20"/>
      <c r="Q30" s="47"/>
      <c r="R30" s="50"/>
      <c r="S30" s="47"/>
      <c r="T30" s="47"/>
      <c r="U30" s="47"/>
      <c r="V30" s="47"/>
      <c r="W30" s="47"/>
      <c r="X30" s="47"/>
      <c r="Y30" s="47"/>
      <c r="Z30" s="47"/>
      <c r="AA30" s="47"/>
      <c r="AB30" s="47"/>
      <c r="AC30" s="47"/>
      <c r="AD30" s="47"/>
      <c r="AE30" s="47"/>
      <c r="AF30" s="47"/>
      <c r="AG30" s="47"/>
      <c r="AH30" s="47"/>
      <c r="AI30" s="47"/>
    </row>
    <row r="31" spans="1:35" ht="60" customHeight="1" x14ac:dyDescent="0.2">
      <c r="A31" s="57"/>
      <c r="B31" s="47"/>
      <c r="C31" s="47"/>
      <c r="D31" s="47"/>
      <c r="E31" s="47"/>
      <c r="F31" s="47"/>
      <c r="G31" s="47"/>
      <c r="H31" s="47"/>
      <c r="I31" s="47"/>
      <c r="J31" s="47"/>
      <c r="K31" s="47"/>
      <c r="L31" s="47"/>
      <c r="M31" s="47"/>
      <c r="N31" s="47"/>
      <c r="O31" s="47"/>
      <c r="P31" s="20"/>
      <c r="Q31" s="47"/>
      <c r="R31" s="50"/>
      <c r="S31" s="50"/>
      <c r="T31" s="47"/>
      <c r="U31" s="47"/>
      <c r="V31" s="47"/>
      <c r="W31" s="47"/>
      <c r="X31" s="47"/>
      <c r="Y31" s="47"/>
      <c r="Z31" s="47"/>
      <c r="AA31" s="47"/>
      <c r="AB31" s="47"/>
      <c r="AC31" s="47"/>
      <c r="AD31" s="47"/>
      <c r="AE31" s="47"/>
      <c r="AF31" s="47"/>
      <c r="AG31" s="47"/>
      <c r="AH31" s="47"/>
      <c r="AI31" s="47"/>
    </row>
    <row r="32" spans="1:35" ht="60" customHeight="1" x14ac:dyDescent="0.2">
      <c r="A32" s="57"/>
      <c r="B32" s="47"/>
      <c r="C32" s="47"/>
      <c r="D32" s="47"/>
      <c r="E32" s="47"/>
      <c r="F32" s="47"/>
      <c r="G32" s="47"/>
      <c r="H32" s="47"/>
      <c r="I32" s="47"/>
      <c r="J32" s="47"/>
      <c r="K32" s="47"/>
      <c r="L32" s="47"/>
      <c r="M32" s="47"/>
      <c r="N32" s="47"/>
      <c r="O32" s="47"/>
      <c r="P32" s="20"/>
      <c r="Q32" s="47"/>
      <c r="R32" s="20"/>
      <c r="S32" s="50"/>
      <c r="T32" s="50"/>
      <c r="U32" s="62"/>
      <c r="V32" s="47"/>
      <c r="W32" s="47"/>
      <c r="X32" s="47"/>
      <c r="Y32" s="47"/>
      <c r="Z32" s="47"/>
      <c r="AA32" s="47"/>
      <c r="AB32" s="47"/>
      <c r="AC32" s="47"/>
      <c r="AD32" s="47"/>
      <c r="AE32" s="47"/>
      <c r="AF32" s="47"/>
      <c r="AG32" s="47"/>
      <c r="AH32" s="47"/>
      <c r="AI32" s="47"/>
    </row>
    <row r="33" spans="1:35" ht="60" customHeight="1" x14ac:dyDescent="0.2">
      <c r="A33" s="57"/>
      <c r="B33" s="47"/>
      <c r="C33" s="47"/>
      <c r="D33" s="47"/>
      <c r="E33" s="47"/>
      <c r="F33" s="47"/>
      <c r="G33" s="47"/>
      <c r="H33" s="47"/>
      <c r="I33" s="47"/>
      <c r="J33" s="47"/>
      <c r="K33" s="47"/>
      <c r="L33" s="47"/>
      <c r="M33" s="60"/>
      <c r="N33" s="47"/>
      <c r="O33" s="47"/>
      <c r="P33" s="20"/>
      <c r="Q33" s="47"/>
      <c r="R33" s="20"/>
      <c r="S33" s="20"/>
      <c r="T33" s="47"/>
      <c r="U33" s="47"/>
      <c r="V33" s="47"/>
      <c r="W33" s="47"/>
      <c r="X33" s="47"/>
      <c r="Y33" s="47"/>
      <c r="Z33" s="47"/>
      <c r="AA33" s="47"/>
      <c r="AB33" s="47"/>
      <c r="AC33" s="47"/>
      <c r="AD33" s="47"/>
      <c r="AE33" s="47"/>
      <c r="AF33" s="47"/>
      <c r="AG33" s="47"/>
      <c r="AH33" s="47"/>
      <c r="AI33" s="47"/>
    </row>
    <row r="34" spans="1:35" ht="60" customHeight="1" x14ac:dyDescent="0.2">
      <c r="A34" s="57"/>
      <c r="B34" s="47"/>
      <c r="C34" s="47"/>
      <c r="D34" s="47"/>
      <c r="E34" s="47"/>
      <c r="F34" s="47"/>
      <c r="G34" s="47"/>
      <c r="H34" s="47"/>
      <c r="I34" s="47"/>
      <c r="J34" s="47"/>
      <c r="K34" s="47"/>
      <c r="L34" s="47"/>
      <c r="M34" s="47"/>
      <c r="N34" s="47"/>
      <c r="O34" s="47"/>
      <c r="P34" s="20"/>
      <c r="Q34" s="47"/>
      <c r="R34" s="20"/>
      <c r="S34" s="47"/>
      <c r="T34" s="47"/>
      <c r="U34" s="47"/>
      <c r="V34" s="47"/>
      <c r="W34" s="47"/>
      <c r="X34" s="47"/>
      <c r="Y34" s="47"/>
      <c r="Z34" s="47"/>
      <c r="AA34" s="47"/>
      <c r="AB34" s="47"/>
      <c r="AC34" s="47"/>
      <c r="AD34" s="47"/>
      <c r="AE34" s="47"/>
      <c r="AF34" s="47"/>
      <c r="AG34" s="47"/>
      <c r="AH34" s="47"/>
      <c r="AI34" s="47"/>
    </row>
    <row r="35" spans="1:35" ht="60" customHeight="1" x14ac:dyDescent="0.2">
      <c r="A35" s="57"/>
      <c r="B35" s="47"/>
      <c r="C35" s="47"/>
      <c r="D35" s="47"/>
      <c r="E35" s="47"/>
      <c r="F35" s="47"/>
      <c r="G35" s="47"/>
      <c r="H35" s="47"/>
      <c r="I35" s="47"/>
      <c r="J35" s="47"/>
      <c r="K35" s="47"/>
      <c r="L35" s="47"/>
      <c r="M35" s="47"/>
      <c r="N35" s="47"/>
      <c r="O35" s="47"/>
      <c r="P35" s="20"/>
      <c r="Q35" s="47"/>
      <c r="R35" s="20"/>
      <c r="S35" s="47"/>
      <c r="T35" s="47"/>
      <c r="U35" s="47"/>
      <c r="V35" s="47"/>
      <c r="W35" s="47"/>
      <c r="X35" s="47"/>
      <c r="Y35" s="47"/>
      <c r="Z35" s="47"/>
      <c r="AA35" s="47"/>
      <c r="AB35" s="47"/>
      <c r="AC35" s="47"/>
      <c r="AD35" s="47"/>
      <c r="AE35" s="47"/>
      <c r="AF35" s="47"/>
      <c r="AG35" s="47"/>
      <c r="AH35" s="47"/>
      <c r="AI35" s="47"/>
    </row>
    <row r="36" spans="1:35" ht="60" customHeight="1" x14ac:dyDescent="0.2">
      <c r="A36" s="57"/>
      <c r="B36" s="47"/>
      <c r="C36" s="47"/>
      <c r="D36" s="47"/>
      <c r="E36" s="47"/>
      <c r="F36" s="47"/>
      <c r="G36" s="47"/>
      <c r="H36" s="47"/>
      <c r="I36" s="47"/>
      <c r="J36" s="47"/>
      <c r="K36" s="47"/>
      <c r="L36" s="47"/>
      <c r="M36" s="47"/>
      <c r="N36" s="47"/>
      <c r="O36" s="47"/>
      <c r="P36" s="20"/>
      <c r="Q36" s="50"/>
      <c r="R36" s="47"/>
      <c r="S36" s="47"/>
      <c r="T36" s="47"/>
      <c r="U36" s="47"/>
      <c r="V36" s="47"/>
      <c r="W36" s="47"/>
      <c r="X36" s="47"/>
      <c r="Y36" s="47"/>
      <c r="Z36" s="47"/>
      <c r="AA36" s="47"/>
      <c r="AB36" s="47"/>
      <c r="AC36" s="47"/>
      <c r="AD36" s="47"/>
      <c r="AE36" s="47"/>
      <c r="AF36" s="47"/>
      <c r="AG36" s="47"/>
      <c r="AH36" s="47"/>
      <c r="AI36" s="47"/>
    </row>
    <row r="37" spans="1:35" ht="60" customHeight="1" x14ac:dyDescent="0.2">
      <c r="A37" s="57"/>
      <c r="B37" s="47"/>
      <c r="C37" s="47"/>
      <c r="D37" s="47"/>
      <c r="E37" s="47"/>
      <c r="F37" s="47"/>
      <c r="G37" s="47"/>
      <c r="H37" s="47"/>
      <c r="I37" s="47"/>
      <c r="J37" s="47"/>
      <c r="K37" s="47"/>
      <c r="L37" s="47"/>
      <c r="M37" s="47"/>
      <c r="N37" s="47"/>
      <c r="O37" s="47"/>
      <c r="P37" s="20"/>
      <c r="Q37" s="47"/>
      <c r="R37" s="50"/>
      <c r="S37" s="50"/>
      <c r="T37" s="20"/>
      <c r="U37" s="47"/>
      <c r="V37" s="47"/>
      <c r="W37" s="47"/>
      <c r="X37" s="47"/>
      <c r="Y37" s="47"/>
      <c r="Z37" s="47"/>
      <c r="AA37" s="47"/>
      <c r="AB37" s="47"/>
      <c r="AC37" s="47"/>
      <c r="AD37" s="47"/>
      <c r="AE37" s="47"/>
      <c r="AF37" s="47"/>
      <c r="AG37" s="47"/>
      <c r="AH37" s="47"/>
      <c r="AI37" s="47"/>
    </row>
    <row r="38" spans="1:35" ht="60" customHeight="1" x14ac:dyDescent="0.2">
      <c r="A38" s="57"/>
      <c r="B38" s="47"/>
      <c r="C38" s="47"/>
      <c r="D38" s="47"/>
      <c r="E38" s="47"/>
      <c r="F38" s="47"/>
      <c r="G38" s="47"/>
      <c r="H38" s="47"/>
      <c r="I38" s="47"/>
      <c r="J38" s="47"/>
      <c r="K38" s="47"/>
      <c r="L38" s="47"/>
      <c r="M38" s="47"/>
      <c r="N38" s="47"/>
      <c r="O38" s="47"/>
      <c r="P38" s="20"/>
      <c r="Q38" s="20"/>
      <c r="R38" s="47"/>
      <c r="S38" s="47"/>
      <c r="T38" s="47"/>
      <c r="U38" s="47"/>
      <c r="V38" s="47"/>
      <c r="W38" s="47"/>
      <c r="X38" s="47"/>
      <c r="Y38" s="47"/>
      <c r="Z38" s="47"/>
      <c r="AA38" s="47"/>
      <c r="AB38" s="47"/>
      <c r="AC38" s="47"/>
      <c r="AD38" s="47"/>
      <c r="AE38" s="47"/>
      <c r="AF38" s="47"/>
      <c r="AG38" s="47"/>
      <c r="AH38" s="47"/>
      <c r="AI38" s="47"/>
    </row>
    <row r="39" spans="1:35" ht="60" customHeight="1" x14ac:dyDescent="0.2">
      <c r="A39" s="57"/>
      <c r="B39" s="47"/>
      <c r="C39" s="47"/>
      <c r="D39" s="47"/>
      <c r="E39" s="47"/>
      <c r="F39" s="47"/>
      <c r="G39" s="47"/>
      <c r="H39" s="47"/>
      <c r="I39" s="47"/>
      <c r="J39" s="47"/>
      <c r="K39" s="47"/>
      <c r="L39" s="47"/>
      <c r="M39" s="47"/>
      <c r="N39" s="47"/>
      <c r="O39" s="47"/>
      <c r="P39" s="20"/>
      <c r="Q39" s="47"/>
      <c r="R39" s="20"/>
      <c r="S39" s="47"/>
      <c r="T39" s="47"/>
      <c r="U39" s="47"/>
      <c r="V39" s="47"/>
      <c r="W39" s="47"/>
      <c r="X39" s="47"/>
      <c r="Y39" s="47"/>
      <c r="Z39" s="47"/>
      <c r="AA39" s="47"/>
      <c r="AB39" s="47"/>
      <c r="AC39" s="47"/>
      <c r="AD39" s="47"/>
      <c r="AE39" s="47"/>
      <c r="AF39" s="47"/>
      <c r="AG39" s="47"/>
      <c r="AH39" s="47"/>
      <c r="AI39" s="47"/>
    </row>
    <row r="40" spans="1:35" ht="60" customHeight="1" x14ac:dyDescent="0.2">
      <c r="A40" s="57"/>
      <c r="B40" s="47"/>
      <c r="C40" s="47"/>
      <c r="D40" s="47"/>
      <c r="E40" s="47"/>
      <c r="F40" s="47"/>
      <c r="G40" s="47"/>
      <c r="H40" s="47"/>
      <c r="I40" s="47"/>
      <c r="J40" s="47"/>
      <c r="K40" s="47"/>
      <c r="L40" s="47"/>
      <c r="M40" s="47"/>
      <c r="N40" s="47"/>
      <c r="O40" s="47"/>
      <c r="P40" s="20"/>
      <c r="Q40" s="20"/>
      <c r="R40" s="20"/>
      <c r="S40" s="50"/>
      <c r="T40" s="50"/>
      <c r="U40" s="47"/>
      <c r="V40" s="47"/>
      <c r="W40" s="47"/>
      <c r="X40" s="47"/>
      <c r="Y40" s="47"/>
      <c r="Z40" s="47"/>
      <c r="AA40" s="47"/>
      <c r="AB40" s="47"/>
      <c r="AC40" s="47"/>
      <c r="AD40" s="47"/>
      <c r="AE40" s="47"/>
      <c r="AF40" s="47"/>
      <c r="AG40" s="47"/>
      <c r="AH40" s="47"/>
      <c r="AI40" s="47"/>
    </row>
    <row r="41" spans="1:35" ht="60" customHeight="1" x14ac:dyDescent="0.2">
      <c r="A41" s="57"/>
      <c r="B41" s="47"/>
      <c r="C41" s="47"/>
      <c r="D41" s="47"/>
      <c r="E41" s="47"/>
      <c r="F41" s="47"/>
      <c r="G41" s="47"/>
      <c r="H41" s="47"/>
      <c r="I41" s="47"/>
      <c r="J41" s="47"/>
      <c r="K41" s="47"/>
      <c r="L41" s="47"/>
      <c r="M41" s="47"/>
      <c r="N41" s="47"/>
      <c r="O41" s="47"/>
      <c r="P41" s="20"/>
      <c r="Q41" s="20"/>
      <c r="R41" s="47"/>
      <c r="S41" s="47"/>
      <c r="T41" s="47"/>
      <c r="U41" s="47"/>
      <c r="V41" s="47"/>
      <c r="W41" s="47"/>
      <c r="X41" s="47"/>
      <c r="Y41" s="47"/>
      <c r="Z41" s="47"/>
      <c r="AA41" s="47"/>
      <c r="AB41" s="47"/>
      <c r="AC41" s="47"/>
      <c r="AD41" s="47"/>
      <c r="AE41" s="47"/>
      <c r="AF41" s="47"/>
      <c r="AG41" s="47"/>
      <c r="AH41" s="47"/>
      <c r="AI41" s="47"/>
    </row>
    <row r="42" spans="1:35" ht="60" customHeight="1" x14ac:dyDescent="0.2">
      <c r="A42" s="57"/>
      <c r="B42" s="47"/>
      <c r="C42" s="47"/>
      <c r="D42" s="47"/>
      <c r="E42" s="47"/>
      <c r="F42" s="47"/>
      <c r="G42" s="47"/>
      <c r="H42" s="47"/>
      <c r="I42" s="47"/>
      <c r="J42" s="60"/>
      <c r="K42" s="47"/>
      <c r="L42" s="47"/>
      <c r="M42" s="47"/>
      <c r="N42" s="47"/>
      <c r="O42" s="47"/>
      <c r="P42" s="20"/>
      <c r="Q42" s="20"/>
      <c r="R42" s="20"/>
      <c r="S42" s="20"/>
      <c r="T42" s="53"/>
      <c r="U42" s="47"/>
      <c r="V42" s="47"/>
      <c r="W42" s="47"/>
      <c r="X42" s="47"/>
      <c r="Y42" s="47"/>
      <c r="Z42" s="47"/>
      <c r="AA42" s="47"/>
      <c r="AB42" s="47"/>
      <c r="AC42" s="47"/>
      <c r="AD42" s="47"/>
      <c r="AE42" s="47"/>
      <c r="AF42" s="47"/>
      <c r="AG42" s="47"/>
      <c r="AH42" s="47"/>
      <c r="AI42" s="47"/>
    </row>
    <row r="43" spans="1:35" ht="60" customHeight="1" x14ac:dyDescent="0.2">
      <c r="A43" s="57"/>
      <c r="B43" s="47"/>
      <c r="C43" s="47"/>
      <c r="D43" s="47"/>
      <c r="E43" s="47"/>
      <c r="F43" s="47"/>
      <c r="G43" s="47"/>
      <c r="H43" s="47"/>
      <c r="I43" s="47"/>
      <c r="J43" s="47"/>
      <c r="K43" s="47"/>
      <c r="L43" s="47"/>
      <c r="M43" s="47"/>
      <c r="N43" s="47"/>
      <c r="O43" s="47"/>
      <c r="P43" s="20"/>
      <c r="Q43" s="20"/>
      <c r="R43" s="20"/>
      <c r="S43" s="47"/>
      <c r="T43" s="47"/>
      <c r="U43" s="47"/>
      <c r="V43" s="47"/>
      <c r="W43" s="47"/>
      <c r="X43" s="47"/>
      <c r="Y43" s="47"/>
      <c r="Z43" s="47"/>
      <c r="AA43" s="47"/>
      <c r="AB43" s="47"/>
      <c r="AC43" s="47"/>
      <c r="AD43" s="47"/>
      <c r="AE43" s="47"/>
      <c r="AF43" s="47"/>
      <c r="AG43" s="47"/>
      <c r="AH43" s="47"/>
      <c r="AI43" s="47"/>
    </row>
    <row r="44" spans="1:35" ht="60" customHeight="1" x14ac:dyDescent="0.2">
      <c r="A44" s="57"/>
      <c r="B44" s="47"/>
      <c r="C44" s="47"/>
      <c r="D44" s="47"/>
      <c r="E44" s="47"/>
      <c r="F44" s="47"/>
      <c r="G44" s="47"/>
      <c r="H44" s="47"/>
      <c r="I44" s="47"/>
      <c r="J44" s="47"/>
      <c r="K44" s="47"/>
      <c r="L44" s="47"/>
      <c r="M44" s="60"/>
      <c r="N44" s="47"/>
      <c r="O44" s="47"/>
      <c r="P44" s="20"/>
      <c r="Q44" s="20"/>
      <c r="R44" s="47"/>
      <c r="S44" s="50"/>
      <c r="T44" s="47"/>
      <c r="U44" s="47"/>
      <c r="V44" s="47"/>
      <c r="W44" s="47"/>
      <c r="X44" s="47"/>
      <c r="Y44" s="47"/>
      <c r="Z44" s="47"/>
      <c r="AA44" s="47"/>
      <c r="AB44" s="47"/>
      <c r="AC44" s="47"/>
      <c r="AD44" s="47"/>
      <c r="AE44" s="47"/>
      <c r="AF44" s="47"/>
      <c r="AG44" s="47"/>
      <c r="AH44" s="47"/>
      <c r="AI44" s="47"/>
    </row>
    <row r="45" spans="1:35" ht="60" customHeight="1" x14ac:dyDescent="0.2">
      <c r="A45" s="57"/>
      <c r="B45" s="47"/>
      <c r="C45" s="47"/>
      <c r="D45" s="47"/>
      <c r="E45" s="47"/>
      <c r="F45" s="47"/>
      <c r="G45" s="47"/>
      <c r="H45" s="47"/>
      <c r="I45" s="47"/>
      <c r="J45" s="47"/>
      <c r="K45" s="47"/>
      <c r="L45" s="47"/>
      <c r="M45" s="47"/>
      <c r="N45" s="47"/>
      <c r="O45" s="47"/>
      <c r="P45" s="20"/>
      <c r="Q45" s="20"/>
      <c r="R45" s="47"/>
      <c r="S45" s="20"/>
      <c r="T45" s="47"/>
      <c r="U45" s="47"/>
      <c r="V45" s="47"/>
      <c r="W45" s="47"/>
      <c r="X45" s="47"/>
      <c r="Y45" s="47"/>
      <c r="Z45" s="47"/>
      <c r="AA45" s="47"/>
      <c r="AB45" s="47"/>
      <c r="AC45" s="47"/>
      <c r="AD45" s="47"/>
      <c r="AE45" s="47"/>
      <c r="AF45" s="47"/>
      <c r="AG45" s="47"/>
      <c r="AH45" s="47"/>
      <c r="AI45" s="47"/>
    </row>
    <row r="46" spans="1:35" ht="60" customHeight="1" x14ac:dyDescent="0.2">
      <c r="A46" s="57"/>
      <c r="B46" s="47"/>
      <c r="C46" s="47"/>
      <c r="D46" s="47"/>
      <c r="E46" s="47"/>
      <c r="F46" s="47"/>
      <c r="G46" s="47"/>
      <c r="H46" s="47"/>
      <c r="I46" s="47"/>
      <c r="J46" s="47"/>
      <c r="K46" s="47"/>
      <c r="L46" s="47"/>
      <c r="M46" s="47"/>
      <c r="N46" s="47"/>
      <c r="O46" s="47"/>
      <c r="P46" s="20"/>
      <c r="Q46" s="48"/>
      <c r="R46" s="50"/>
      <c r="S46" s="47"/>
      <c r="T46" s="56"/>
      <c r="U46" s="47"/>
      <c r="V46" s="47"/>
      <c r="W46" s="47"/>
      <c r="X46" s="47"/>
      <c r="Y46" s="47"/>
      <c r="Z46" s="47"/>
      <c r="AA46" s="47"/>
      <c r="AB46" s="47"/>
      <c r="AC46" s="47"/>
      <c r="AD46" s="47"/>
      <c r="AE46" s="47"/>
      <c r="AF46" s="47"/>
      <c r="AG46" s="47"/>
      <c r="AH46" s="47"/>
      <c r="AI46" s="47"/>
    </row>
    <row r="47" spans="1:35" ht="60" customHeight="1" x14ac:dyDescent="0.2">
      <c r="A47" s="57"/>
      <c r="B47" s="47"/>
      <c r="C47" s="47"/>
      <c r="D47" s="47"/>
      <c r="E47" s="47"/>
      <c r="F47" s="47"/>
      <c r="G47" s="47"/>
      <c r="H47" s="47"/>
      <c r="I47" s="47"/>
      <c r="J47" s="47"/>
      <c r="K47" s="47"/>
      <c r="L47" s="47"/>
      <c r="M47" s="47"/>
      <c r="N47" s="47"/>
      <c r="O47" s="47"/>
      <c r="P47" s="47"/>
      <c r="Q47" s="47"/>
      <c r="R47" s="20"/>
      <c r="S47" s="20"/>
      <c r="T47" s="47"/>
      <c r="U47" s="47"/>
      <c r="V47" s="47"/>
      <c r="W47" s="47"/>
      <c r="X47" s="47"/>
      <c r="Y47" s="47"/>
      <c r="Z47" s="47"/>
      <c r="AA47" s="47"/>
      <c r="AB47" s="47"/>
      <c r="AC47" s="47"/>
      <c r="AD47" s="47"/>
      <c r="AE47" s="47"/>
      <c r="AF47" s="47"/>
      <c r="AG47" s="47"/>
      <c r="AH47" s="47"/>
      <c r="AI47" s="47"/>
    </row>
    <row r="48" spans="1:35" ht="60" customHeight="1" x14ac:dyDescent="0.2">
      <c r="A48" s="57"/>
      <c r="B48" s="47"/>
      <c r="C48" s="47"/>
      <c r="D48" s="47"/>
      <c r="E48" s="47"/>
      <c r="F48" s="47"/>
      <c r="G48" s="47"/>
      <c r="H48" s="47"/>
      <c r="I48" s="47"/>
      <c r="J48" s="47"/>
      <c r="K48" s="47"/>
      <c r="L48" s="47"/>
      <c r="M48" s="47"/>
      <c r="N48" s="47"/>
      <c r="O48" s="47"/>
      <c r="P48" s="47"/>
      <c r="Q48" s="47"/>
      <c r="R48" s="50"/>
      <c r="S48" s="47"/>
      <c r="T48" s="47"/>
      <c r="U48" s="47"/>
      <c r="V48" s="47"/>
      <c r="W48" s="47"/>
      <c r="X48" s="47"/>
      <c r="Y48" s="47"/>
      <c r="Z48" s="47"/>
      <c r="AA48" s="47"/>
      <c r="AB48" s="47"/>
      <c r="AC48" s="47"/>
      <c r="AD48" s="47"/>
      <c r="AE48" s="47"/>
      <c r="AF48" s="47"/>
      <c r="AG48" s="47"/>
      <c r="AH48" s="47"/>
      <c r="AI48" s="47"/>
    </row>
    <row r="49" spans="1:35" ht="60" customHeight="1" x14ac:dyDescent="0.2">
      <c r="A49" s="57"/>
      <c r="B49" s="47"/>
      <c r="C49" s="47"/>
      <c r="D49" s="47"/>
      <c r="E49" s="47"/>
      <c r="F49" s="47"/>
      <c r="G49" s="47"/>
      <c r="H49" s="47"/>
      <c r="I49" s="47"/>
      <c r="J49" s="47"/>
      <c r="K49" s="47"/>
      <c r="L49" s="47"/>
      <c r="M49" s="47"/>
      <c r="N49" s="47"/>
      <c r="O49" s="47"/>
      <c r="P49" s="47"/>
      <c r="Q49" s="47"/>
      <c r="R49" s="50"/>
      <c r="S49" s="47"/>
      <c r="T49" s="47"/>
      <c r="U49" s="47"/>
      <c r="V49" s="47"/>
      <c r="W49" s="47"/>
      <c r="X49" s="47"/>
      <c r="Y49" s="47"/>
      <c r="Z49" s="47"/>
      <c r="AA49" s="47"/>
      <c r="AB49" s="47"/>
      <c r="AC49" s="47"/>
      <c r="AD49" s="47"/>
      <c r="AE49" s="47"/>
      <c r="AF49" s="47"/>
      <c r="AG49" s="47"/>
      <c r="AH49" s="47"/>
      <c r="AI49" s="47"/>
    </row>
    <row r="50" spans="1:35" ht="60" customHeight="1" x14ac:dyDescent="0.2">
      <c r="A50" s="57"/>
      <c r="B50" s="47"/>
      <c r="C50" s="47"/>
      <c r="D50" s="47"/>
      <c r="E50" s="47"/>
      <c r="F50" s="47"/>
      <c r="G50" s="47"/>
      <c r="H50" s="47"/>
      <c r="I50" s="47"/>
      <c r="J50" s="47"/>
      <c r="K50" s="47"/>
      <c r="L50" s="47"/>
      <c r="M50" s="47"/>
      <c r="N50" s="47"/>
      <c r="O50" s="47"/>
      <c r="P50" s="47"/>
      <c r="Q50" s="47"/>
      <c r="R50" s="20"/>
      <c r="S50" s="47"/>
      <c r="T50" s="47"/>
      <c r="U50" s="47"/>
      <c r="V50" s="47"/>
      <c r="W50" s="47"/>
      <c r="X50" s="47"/>
      <c r="Y50" s="47"/>
      <c r="Z50" s="47"/>
      <c r="AA50" s="47"/>
      <c r="AB50" s="47"/>
      <c r="AC50" s="47"/>
      <c r="AD50" s="47"/>
      <c r="AE50" s="47"/>
      <c r="AF50" s="47"/>
      <c r="AG50" s="47"/>
      <c r="AH50" s="47"/>
      <c r="AI50" s="47"/>
    </row>
    <row r="51" spans="1:35" ht="60" customHeight="1" x14ac:dyDescent="0.2">
      <c r="A51" s="57"/>
      <c r="B51" s="47"/>
      <c r="C51" s="47"/>
      <c r="D51" s="47"/>
      <c r="E51" s="47"/>
      <c r="F51" s="47"/>
      <c r="G51" s="47"/>
      <c r="H51" s="47"/>
      <c r="I51" s="47"/>
      <c r="J51" s="47"/>
      <c r="K51" s="47"/>
      <c r="L51" s="47"/>
      <c r="M51" s="47"/>
      <c r="N51" s="47"/>
      <c r="O51" s="47"/>
      <c r="P51" s="47"/>
      <c r="Q51" s="47"/>
      <c r="R51" s="20"/>
      <c r="S51" s="50"/>
      <c r="T51" s="47"/>
      <c r="U51" s="47"/>
      <c r="V51" s="47"/>
      <c r="W51" s="47"/>
      <c r="X51" s="47"/>
      <c r="Y51" s="47"/>
      <c r="Z51" s="47"/>
      <c r="AA51" s="47"/>
      <c r="AB51" s="47"/>
      <c r="AC51" s="47"/>
      <c r="AD51" s="47"/>
      <c r="AE51" s="47"/>
      <c r="AF51" s="47"/>
      <c r="AG51" s="47"/>
      <c r="AH51" s="47"/>
      <c r="AI51" s="47"/>
    </row>
    <row r="52" spans="1:35" ht="60" customHeight="1" x14ac:dyDescent="0.2">
      <c r="A52" s="57"/>
      <c r="B52" s="47"/>
      <c r="C52" s="47"/>
      <c r="D52" s="47"/>
      <c r="E52" s="47"/>
      <c r="F52" s="47"/>
      <c r="G52" s="47"/>
      <c r="H52" s="47"/>
      <c r="I52" s="47"/>
      <c r="J52" s="47"/>
      <c r="K52" s="47"/>
      <c r="L52" s="47"/>
      <c r="M52" s="47"/>
      <c r="N52" s="47"/>
      <c r="O52" s="47"/>
      <c r="P52" s="47"/>
      <c r="Q52" s="47"/>
      <c r="R52" s="20"/>
      <c r="S52" s="47"/>
      <c r="T52" s="47"/>
      <c r="U52" s="47"/>
      <c r="V52" s="47"/>
      <c r="W52" s="47"/>
      <c r="X52" s="47"/>
      <c r="Y52" s="47"/>
      <c r="Z52" s="47"/>
      <c r="AA52" s="47"/>
      <c r="AB52" s="47"/>
      <c r="AC52" s="47"/>
      <c r="AD52" s="47"/>
      <c r="AE52" s="47"/>
      <c r="AF52" s="47"/>
      <c r="AG52" s="47"/>
      <c r="AH52" s="47"/>
      <c r="AI52" s="47"/>
    </row>
    <row r="53" spans="1:35" ht="66" customHeight="1" x14ac:dyDescent="0.2">
      <c r="A53" s="57"/>
      <c r="B53" s="47"/>
      <c r="C53" s="47"/>
      <c r="D53" s="47"/>
      <c r="E53" s="47"/>
      <c r="F53" s="47"/>
      <c r="G53" s="47"/>
      <c r="H53" s="47"/>
      <c r="I53" s="47"/>
      <c r="J53" s="47"/>
      <c r="K53" s="47"/>
      <c r="L53" s="47"/>
      <c r="M53" s="47"/>
      <c r="N53" s="47"/>
      <c r="O53" s="47"/>
      <c r="P53" s="47"/>
      <c r="Q53" s="47"/>
      <c r="R53" s="20"/>
      <c r="S53" s="20"/>
      <c r="T53" s="47"/>
      <c r="U53" s="47"/>
      <c r="V53" s="47"/>
      <c r="W53" s="47"/>
      <c r="X53" s="47"/>
      <c r="Y53" s="47"/>
      <c r="Z53" s="47"/>
      <c r="AA53" s="47"/>
      <c r="AB53" s="47"/>
      <c r="AC53" s="47"/>
      <c r="AD53" s="47"/>
      <c r="AE53" s="47"/>
      <c r="AF53" s="47"/>
      <c r="AG53" s="47"/>
      <c r="AH53" s="47"/>
      <c r="AI53" s="47"/>
    </row>
    <row r="54" spans="1:35" ht="60" customHeight="1" x14ac:dyDescent="0.2">
      <c r="A54" s="57"/>
      <c r="B54" s="47"/>
      <c r="C54" s="47"/>
      <c r="D54" s="47"/>
      <c r="E54" s="47"/>
      <c r="F54" s="47"/>
      <c r="G54" s="47"/>
      <c r="H54" s="47"/>
      <c r="I54" s="47"/>
      <c r="J54" s="47"/>
      <c r="K54" s="47"/>
      <c r="L54" s="47"/>
      <c r="M54" s="47"/>
      <c r="N54" s="47"/>
      <c r="O54" s="47"/>
      <c r="P54" s="47"/>
      <c r="Q54" s="47"/>
      <c r="R54" s="20"/>
      <c r="S54" s="47"/>
      <c r="T54" s="47"/>
      <c r="U54" s="47"/>
      <c r="V54" s="47"/>
      <c r="W54" s="47"/>
      <c r="X54" s="47"/>
      <c r="Y54" s="47"/>
      <c r="Z54" s="47"/>
      <c r="AA54" s="47"/>
      <c r="AB54" s="47"/>
      <c r="AC54" s="47"/>
      <c r="AD54" s="47"/>
      <c r="AE54" s="47"/>
      <c r="AF54" s="47"/>
      <c r="AG54" s="47"/>
      <c r="AH54" s="47"/>
      <c r="AI54" s="47"/>
    </row>
    <row r="55" spans="1:35" ht="60" customHeight="1" x14ac:dyDescent="0.2">
      <c r="A55" s="57"/>
      <c r="B55" s="47"/>
      <c r="C55" s="47"/>
      <c r="D55" s="47"/>
      <c r="E55" s="47"/>
      <c r="F55" s="47"/>
      <c r="G55" s="47"/>
      <c r="H55" s="47"/>
      <c r="I55" s="47"/>
      <c r="J55" s="47"/>
      <c r="K55" s="47"/>
      <c r="L55" s="47"/>
      <c r="M55" s="47"/>
      <c r="N55" s="47"/>
      <c r="O55" s="47"/>
      <c r="P55" s="47"/>
      <c r="Q55" s="47"/>
      <c r="R55" s="20"/>
      <c r="S55" s="20"/>
      <c r="T55" s="20"/>
      <c r="U55" s="47"/>
      <c r="V55" s="47"/>
      <c r="W55" s="47"/>
      <c r="X55" s="47"/>
      <c r="Y55" s="47"/>
      <c r="Z55" s="47"/>
      <c r="AA55" s="47"/>
      <c r="AB55" s="47"/>
      <c r="AC55" s="47"/>
      <c r="AD55" s="47"/>
      <c r="AE55" s="47"/>
      <c r="AF55" s="47"/>
      <c r="AG55" s="47"/>
      <c r="AH55" s="47"/>
      <c r="AI55" s="47"/>
    </row>
    <row r="56" spans="1:35" ht="60" customHeight="1" x14ac:dyDescent="0.2">
      <c r="A56" s="57"/>
      <c r="B56" s="47"/>
      <c r="C56" s="47"/>
      <c r="D56" s="47"/>
      <c r="E56" s="47"/>
      <c r="F56" s="47"/>
      <c r="G56" s="47"/>
      <c r="H56" s="47"/>
      <c r="I56" s="47"/>
      <c r="J56" s="47"/>
      <c r="K56" s="47"/>
      <c r="L56" s="47"/>
      <c r="M56" s="47"/>
      <c r="N56" s="47"/>
      <c r="O56" s="47"/>
      <c r="P56" s="47"/>
      <c r="Q56" s="47"/>
      <c r="R56" s="20"/>
      <c r="S56" s="47"/>
      <c r="T56" s="47"/>
      <c r="U56" s="47"/>
      <c r="V56" s="47"/>
      <c r="W56" s="47"/>
      <c r="X56" s="47"/>
      <c r="Y56" s="47"/>
      <c r="Z56" s="47"/>
      <c r="AA56" s="47"/>
      <c r="AB56" s="47"/>
      <c r="AC56" s="47"/>
      <c r="AD56" s="47"/>
      <c r="AE56" s="47"/>
      <c r="AF56" s="47"/>
      <c r="AG56" s="47"/>
      <c r="AH56" s="47"/>
      <c r="AI56" s="47"/>
    </row>
    <row r="57" spans="1:35" ht="60" customHeight="1" x14ac:dyDescent="0.2">
      <c r="A57" s="57"/>
      <c r="B57" s="47"/>
      <c r="C57" s="47"/>
      <c r="D57" s="47"/>
      <c r="E57" s="47"/>
      <c r="F57" s="47"/>
      <c r="G57" s="47"/>
      <c r="H57" s="47"/>
      <c r="I57" s="47"/>
      <c r="J57" s="47"/>
      <c r="K57" s="47"/>
      <c r="L57" s="47"/>
      <c r="M57" s="47"/>
      <c r="N57" s="47"/>
      <c r="O57" s="47"/>
      <c r="P57" s="47"/>
      <c r="Q57" s="47"/>
      <c r="R57" s="20"/>
      <c r="S57" s="47"/>
      <c r="T57" s="47"/>
      <c r="U57" s="47"/>
      <c r="V57" s="47"/>
      <c r="W57" s="47"/>
      <c r="X57" s="47"/>
      <c r="Y57" s="47"/>
      <c r="Z57" s="47"/>
      <c r="AA57" s="47"/>
      <c r="AB57" s="47"/>
      <c r="AC57" s="47"/>
      <c r="AD57" s="47"/>
      <c r="AE57" s="47"/>
      <c r="AF57" s="47"/>
      <c r="AG57" s="47"/>
      <c r="AH57" s="47"/>
      <c r="AI57" s="47"/>
    </row>
    <row r="58" spans="1:35" ht="60" customHeight="1" x14ac:dyDescent="0.2">
      <c r="A58" s="57"/>
      <c r="B58" s="47"/>
      <c r="C58" s="47"/>
      <c r="D58" s="47"/>
      <c r="E58" s="47"/>
      <c r="F58" s="47"/>
      <c r="G58" s="47"/>
      <c r="H58" s="47"/>
      <c r="I58" s="47"/>
      <c r="J58" s="47"/>
      <c r="K58" s="47"/>
      <c r="L58" s="47"/>
      <c r="M58" s="47"/>
      <c r="N58" s="47"/>
      <c r="O58" s="47"/>
      <c r="P58" s="47"/>
      <c r="Q58" s="47"/>
      <c r="R58" s="20"/>
      <c r="S58" s="47"/>
      <c r="T58" s="47"/>
      <c r="U58" s="47"/>
      <c r="V58" s="47"/>
      <c r="W58" s="47"/>
      <c r="X58" s="47"/>
      <c r="Y58" s="47"/>
      <c r="Z58" s="47"/>
      <c r="AA58" s="47"/>
      <c r="AB58" s="47"/>
      <c r="AC58" s="47"/>
      <c r="AD58" s="47"/>
      <c r="AE58" s="47"/>
      <c r="AF58" s="47"/>
      <c r="AG58" s="47"/>
      <c r="AH58" s="47"/>
      <c r="AI58" s="47"/>
    </row>
    <row r="59" spans="1:35" ht="60" customHeight="1" x14ac:dyDescent="0.2">
      <c r="A59" s="57"/>
      <c r="B59" s="47"/>
      <c r="C59" s="47"/>
      <c r="D59" s="47"/>
      <c r="E59" s="47"/>
      <c r="F59" s="47"/>
      <c r="G59" s="47"/>
      <c r="H59" s="47"/>
      <c r="I59" s="47"/>
      <c r="J59" s="47"/>
      <c r="K59" s="47"/>
      <c r="L59" s="47"/>
      <c r="M59" s="47"/>
      <c r="N59" s="47"/>
      <c r="O59" s="47"/>
      <c r="P59" s="47"/>
      <c r="Q59" s="47"/>
      <c r="R59" s="50"/>
      <c r="S59" s="47"/>
      <c r="T59" s="47"/>
      <c r="U59" s="47"/>
      <c r="V59" s="47"/>
      <c r="W59" s="47"/>
      <c r="X59" s="47"/>
      <c r="Y59" s="47"/>
      <c r="Z59" s="47"/>
      <c r="AA59" s="47"/>
      <c r="AB59" s="47"/>
      <c r="AC59" s="47"/>
      <c r="AD59" s="47"/>
      <c r="AE59" s="47"/>
      <c r="AF59" s="47"/>
      <c r="AG59" s="47"/>
      <c r="AH59" s="47"/>
      <c r="AI59" s="47"/>
    </row>
    <row r="60" spans="1:35" ht="60" customHeight="1" x14ac:dyDescent="0.2">
      <c r="A60" s="57"/>
      <c r="B60" s="47"/>
      <c r="C60" s="47"/>
      <c r="D60" s="47"/>
      <c r="E60" s="47"/>
      <c r="F60" s="47"/>
      <c r="G60" s="47"/>
      <c r="H60" s="47"/>
      <c r="I60" s="47"/>
      <c r="J60" s="47"/>
      <c r="K60" s="47"/>
      <c r="L60" s="47"/>
      <c r="M60" s="47"/>
      <c r="N60" s="47"/>
      <c r="O60" s="47"/>
      <c r="P60" s="47"/>
      <c r="Q60" s="47"/>
      <c r="R60" s="50"/>
      <c r="S60" s="47"/>
      <c r="T60" s="47"/>
      <c r="U60" s="47"/>
      <c r="V60" s="47"/>
      <c r="W60" s="47"/>
      <c r="X60" s="47"/>
      <c r="Y60" s="47"/>
      <c r="Z60" s="47"/>
      <c r="AA60" s="47"/>
      <c r="AB60" s="47"/>
      <c r="AC60" s="47"/>
      <c r="AD60" s="47"/>
      <c r="AE60" s="47"/>
      <c r="AF60" s="47"/>
      <c r="AG60" s="47"/>
      <c r="AH60" s="47"/>
      <c r="AI60" s="47"/>
    </row>
    <row r="61" spans="1:35" ht="60" customHeight="1" x14ac:dyDescent="0.2">
      <c r="A61" s="57"/>
      <c r="B61" s="47"/>
      <c r="C61" s="47"/>
      <c r="D61" s="47"/>
      <c r="E61" s="47"/>
      <c r="F61" s="47"/>
      <c r="G61" s="47"/>
      <c r="H61" s="47"/>
      <c r="I61" s="47"/>
      <c r="J61" s="47"/>
      <c r="K61" s="47"/>
      <c r="L61" s="47"/>
      <c r="M61" s="47"/>
      <c r="N61" s="47"/>
      <c r="O61" s="47"/>
      <c r="P61" s="47"/>
      <c r="Q61" s="47"/>
      <c r="R61" s="50"/>
      <c r="S61" s="50"/>
      <c r="T61" s="50"/>
      <c r="U61" s="50"/>
      <c r="V61" s="47"/>
      <c r="W61" s="47"/>
      <c r="X61" s="47"/>
      <c r="Y61" s="47"/>
      <c r="Z61" s="47"/>
      <c r="AA61" s="47"/>
      <c r="AB61" s="47"/>
      <c r="AC61" s="47"/>
      <c r="AD61" s="47"/>
      <c r="AE61" s="47"/>
      <c r="AF61" s="47"/>
      <c r="AG61" s="47"/>
      <c r="AH61" s="47"/>
      <c r="AI61" s="47"/>
    </row>
    <row r="62" spans="1:35" ht="60" customHeight="1" x14ac:dyDescent="0.2">
      <c r="A62" s="57"/>
      <c r="B62" s="63"/>
      <c r="C62" s="47"/>
      <c r="D62" s="47"/>
      <c r="E62" s="47"/>
      <c r="F62" s="47"/>
      <c r="G62" s="47"/>
      <c r="H62" s="47"/>
      <c r="I62" s="47"/>
      <c r="J62" s="47"/>
      <c r="K62" s="47"/>
      <c r="L62" s="47"/>
      <c r="M62" s="47"/>
      <c r="N62" s="47"/>
      <c r="O62" s="47"/>
      <c r="P62" s="47"/>
      <c r="Q62" s="47"/>
      <c r="R62" s="50"/>
      <c r="S62" s="50"/>
      <c r="T62" s="50"/>
      <c r="U62" s="50"/>
      <c r="V62" s="47"/>
      <c r="W62" s="47"/>
      <c r="X62" s="47"/>
      <c r="Y62" s="47"/>
      <c r="Z62" s="47"/>
      <c r="AA62" s="47"/>
      <c r="AB62" s="47"/>
      <c r="AC62" s="47"/>
      <c r="AD62" s="47"/>
      <c r="AE62" s="47"/>
      <c r="AF62" s="47"/>
      <c r="AG62" s="47"/>
      <c r="AH62" s="47"/>
      <c r="AI62" s="47"/>
    </row>
    <row r="63" spans="1:35" ht="60" customHeight="1" x14ac:dyDescent="0.2">
      <c r="A63" s="57"/>
      <c r="B63" s="63"/>
      <c r="C63" s="47"/>
      <c r="D63" s="47"/>
      <c r="E63" s="47"/>
      <c r="F63" s="47"/>
      <c r="G63" s="47"/>
      <c r="H63" s="47"/>
      <c r="I63" s="47"/>
      <c r="J63" s="47"/>
      <c r="K63" s="47"/>
      <c r="L63" s="47"/>
      <c r="M63" s="47"/>
      <c r="N63" s="47"/>
      <c r="O63" s="47"/>
      <c r="P63" s="47"/>
      <c r="Q63" s="47"/>
      <c r="R63" s="50"/>
      <c r="S63" s="47"/>
      <c r="T63" s="47"/>
      <c r="U63" s="47"/>
      <c r="V63" s="47"/>
      <c r="W63" s="47"/>
      <c r="X63" s="47"/>
      <c r="Y63" s="47"/>
      <c r="Z63" s="47"/>
      <c r="AA63" s="47"/>
      <c r="AB63" s="47"/>
      <c r="AC63" s="47"/>
      <c r="AD63" s="47"/>
      <c r="AE63" s="47"/>
      <c r="AF63" s="47"/>
      <c r="AG63" s="47"/>
      <c r="AH63" s="47"/>
      <c r="AI63" s="47"/>
    </row>
    <row r="64" spans="1:35" ht="60" customHeight="1" x14ac:dyDescent="0.2">
      <c r="A64" s="57"/>
      <c r="B64" s="47"/>
      <c r="C64" s="47"/>
      <c r="D64" s="47"/>
      <c r="E64" s="47"/>
      <c r="F64" s="47"/>
      <c r="G64" s="47"/>
      <c r="H64" s="47"/>
      <c r="I64" s="47"/>
      <c r="J64" s="47"/>
      <c r="K64" s="47"/>
      <c r="L64" s="47"/>
      <c r="M64" s="47"/>
      <c r="N64" s="47"/>
      <c r="O64" s="47"/>
      <c r="P64" s="47"/>
      <c r="Q64" s="47"/>
      <c r="R64" s="50"/>
      <c r="S64" s="47"/>
      <c r="T64" s="47"/>
      <c r="U64" s="47"/>
      <c r="V64" s="47"/>
      <c r="W64" s="47"/>
      <c r="X64" s="47"/>
      <c r="Y64" s="47"/>
      <c r="Z64" s="47"/>
      <c r="AA64" s="47"/>
      <c r="AB64" s="47"/>
      <c r="AC64" s="47"/>
      <c r="AD64" s="47"/>
      <c r="AE64" s="47"/>
      <c r="AF64" s="47"/>
      <c r="AG64" s="47"/>
      <c r="AH64" s="47"/>
      <c r="AI64" s="47"/>
    </row>
    <row r="65" spans="1:35" ht="60" customHeight="1" x14ac:dyDescent="0.2">
      <c r="A65" s="57"/>
      <c r="B65" s="47"/>
      <c r="C65" s="47"/>
      <c r="D65" s="47"/>
      <c r="E65" s="47"/>
      <c r="F65" s="47"/>
      <c r="G65" s="47"/>
      <c r="H65" s="47"/>
      <c r="I65" s="47"/>
      <c r="J65" s="47"/>
      <c r="K65" s="47"/>
      <c r="L65" s="47"/>
      <c r="M65" s="47"/>
      <c r="N65" s="47"/>
      <c r="O65" s="47"/>
      <c r="P65" s="47"/>
      <c r="Q65" s="47"/>
      <c r="R65" s="20"/>
      <c r="S65" s="62"/>
      <c r="T65" s="20"/>
      <c r="U65" s="47"/>
      <c r="V65" s="47"/>
      <c r="W65" s="47"/>
      <c r="X65" s="47"/>
      <c r="Y65" s="47"/>
      <c r="Z65" s="47"/>
      <c r="AA65" s="47"/>
      <c r="AB65" s="47"/>
      <c r="AC65" s="47"/>
      <c r="AD65" s="47"/>
      <c r="AE65" s="47"/>
      <c r="AF65" s="47"/>
      <c r="AG65" s="47"/>
      <c r="AH65" s="47"/>
      <c r="AI65" s="47"/>
    </row>
    <row r="66" spans="1:35" ht="60" customHeight="1" x14ac:dyDescent="0.2">
      <c r="A66" s="57"/>
      <c r="B66" s="47"/>
      <c r="C66" s="47"/>
      <c r="D66" s="47"/>
      <c r="E66" s="47"/>
      <c r="F66" s="47"/>
      <c r="G66" s="47"/>
      <c r="H66" s="47"/>
      <c r="I66" s="47"/>
      <c r="J66" s="47"/>
      <c r="K66" s="47"/>
      <c r="L66" s="47"/>
      <c r="M66" s="47"/>
      <c r="N66" s="47"/>
      <c r="O66" s="47"/>
      <c r="P66" s="47"/>
      <c r="Q66" s="47"/>
      <c r="R66" s="50"/>
      <c r="S66" s="50"/>
      <c r="T66" s="47"/>
      <c r="U66" s="47"/>
      <c r="V66" s="47"/>
      <c r="W66" s="47"/>
      <c r="X66" s="47"/>
      <c r="Y66" s="47"/>
      <c r="Z66" s="47"/>
      <c r="AA66" s="47"/>
      <c r="AB66" s="47"/>
      <c r="AC66" s="47"/>
      <c r="AD66" s="47"/>
      <c r="AE66" s="47"/>
      <c r="AF66" s="47"/>
      <c r="AG66" s="47"/>
      <c r="AH66" s="47"/>
      <c r="AI66" s="47"/>
    </row>
    <row r="67" spans="1:35" ht="60" customHeight="1" x14ac:dyDescent="0.2">
      <c r="A67" s="57"/>
      <c r="B67" s="47"/>
      <c r="C67" s="47"/>
      <c r="D67" s="47"/>
      <c r="E67" s="47"/>
      <c r="F67" s="47"/>
      <c r="G67" s="47"/>
      <c r="H67" s="47"/>
      <c r="I67" s="47"/>
      <c r="J67" s="47"/>
      <c r="K67" s="47"/>
      <c r="L67" s="47"/>
      <c r="M67" s="47"/>
      <c r="N67" s="47"/>
      <c r="O67" s="47"/>
      <c r="P67" s="47"/>
      <c r="Q67" s="47"/>
      <c r="R67" s="50"/>
      <c r="S67" s="47"/>
      <c r="T67" s="47"/>
      <c r="U67" s="47"/>
      <c r="V67" s="47"/>
      <c r="W67" s="47"/>
      <c r="X67" s="47"/>
      <c r="Y67" s="47"/>
      <c r="Z67" s="47"/>
      <c r="AA67" s="47"/>
      <c r="AB67" s="47"/>
      <c r="AC67" s="47"/>
      <c r="AD67" s="47"/>
      <c r="AE67" s="47"/>
      <c r="AF67" s="47"/>
      <c r="AG67" s="47"/>
      <c r="AH67" s="47"/>
      <c r="AI67" s="47"/>
    </row>
    <row r="68" spans="1:35" ht="60" customHeight="1" x14ac:dyDescent="0.2">
      <c r="A68" s="57"/>
      <c r="B68" s="47"/>
      <c r="C68" s="47"/>
      <c r="D68" s="47"/>
      <c r="E68" s="47"/>
      <c r="F68" s="47"/>
      <c r="G68" s="47"/>
      <c r="H68" s="47"/>
      <c r="I68" s="47"/>
      <c r="J68" s="47"/>
      <c r="K68" s="47"/>
      <c r="L68" s="47"/>
      <c r="M68" s="47"/>
      <c r="N68" s="47"/>
      <c r="O68" s="47"/>
      <c r="P68" s="47"/>
      <c r="Q68" s="47"/>
      <c r="R68" s="20"/>
      <c r="S68" s="20"/>
      <c r="T68" s="47"/>
      <c r="U68" s="47"/>
      <c r="V68" s="47"/>
      <c r="W68" s="47"/>
      <c r="X68" s="47"/>
      <c r="Y68" s="47"/>
      <c r="Z68" s="47"/>
      <c r="AA68" s="47"/>
      <c r="AB68" s="47"/>
      <c r="AC68" s="47"/>
      <c r="AD68" s="47"/>
      <c r="AE68" s="47"/>
      <c r="AF68" s="47"/>
      <c r="AG68" s="47"/>
      <c r="AH68" s="47"/>
      <c r="AI68" s="47"/>
    </row>
    <row r="69" spans="1:35" ht="60" customHeight="1" x14ac:dyDescent="0.2">
      <c r="A69" s="57"/>
      <c r="B69" s="47"/>
      <c r="C69" s="47"/>
      <c r="D69" s="47"/>
      <c r="E69" s="47"/>
      <c r="F69" s="47"/>
      <c r="G69" s="47"/>
      <c r="H69" s="47"/>
      <c r="I69" s="47"/>
      <c r="J69" s="47"/>
      <c r="K69" s="47"/>
      <c r="L69" s="47"/>
      <c r="M69" s="47"/>
      <c r="N69" s="47"/>
      <c r="O69" s="47"/>
      <c r="P69" s="47"/>
      <c r="Q69" s="47"/>
      <c r="R69" s="20"/>
      <c r="S69" s="47"/>
      <c r="T69" s="47"/>
      <c r="U69" s="47"/>
      <c r="V69" s="47"/>
      <c r="W69" s="47"/>
      <c r="X69" s="47"/>
      <c r="Y69" s="47"/>
      <c r="Z69" s="47"/>
      <c r="AA69" s="47"/>
      <c r="AB69" s="47"/>
      <c r="AC69" s="47"/>
      <c r="AD69" s="47"/>
      <c r="AE69" s="47"/>
      <c r="AF69" s="47"/>
      <c r="AG69" s="47"/>
      <c r="AH69" s="47"/>
      <c r="AI69" s="47"/>
    </row>
    <row r="70" spans="1:35" ht="60" customHeight="1" x14ac:dyDescent="0.2">
      <c r="A70" s="57"/>
      <c r="B70" s="47"/>
      <c r="C70" s="47"/>
      <c r="D70" s="47"/>
      <c r="E70" s="47"/>
      <c r="F70" s="47"/>
      <c r="G70" s="47"/>
      <c r="H70" s="47"/>
      <c r="I70" s="47"/>
      <c r="J70" s="47"/>
      <c r="K70" s="47"/>
      <c r="L70" s="47"/>
      <c r="M70" s="47"/>
      <c r="N70" s="47"/>
      <c r="O70" s="47"/>
      <c r="P70" s="47"/>
      <c r="Q70" s="47"/>
      <c r="R70" s="50"/>
      <c r="S70" s="47"/>
      <c r="T70" s="47"/>
      <c r="U70" s="47"/>
      <c r="V70" s="47"/>
      <c r="W70" s="47"/>
      <c r="X70" s="47"/>
      <c r="Y70" s="47"/>
      <c r="Z70" s="47"/>
      <c r="AA70" s="47"/>
      <c r="AB70" s="47"/>
      <c r="AC70" s="47"/>
      <c r="AD70" s="47"/>
      <c r="AE70" s="47"/>
      <c r="AF70" s="47"/>
      <c r="AG70" s="47"/>
      <c r="AH70" s="47"/>
      <c r="AI70" s="47"/>
    </row>
    <row r="71" spans="1:35" ht="60" customHeight="1" x14ac:dyDescent="0.2">
      <c r="A71" s="57"/>
      <c r="B71" s="47"/>
      <c r="C71" s="47"/>
      <c r="D71" s="47"/>
      <c r="E71" s="47"/>
      <c r="F71" s="47"/>
      <c r="G71" s="47"/>
      <c r="H71" s="47"/>
      <c r="I71" s="47"/>
      <c r="J71" s="47"/>
      <c r="K71" s="47"/>
      <c r="L71" s="47"/>
      <c r="M71" s="47"/>
      <c r="N71" s="47"/>
      <c r="O71" s="47"/>
      <c r="P71" s="47"/>
      <c r="Q71" s="47"/>
      <c r="R71" s="20"/>
      <c r="S71" s="20"/>
      <c r="T71" s="20"/>
      <c r="U71" s="47"/>
      <c r="V71" s="47"/>
      <c r="W71" s="47"/>
      <c r="X71" s="47"/>
      <c r="Y71" s="47"/>
      <c r="Z71" s="47"/>
      <c r="AA71" s="47"/>
      <c r="AB71" s="47"/>
      <c r="AC71" s="47"/>
      <c r="AD71" s="47"/>
      <c r="AE71" s="47"/>
      <c r="AF71" s="47"/>
      <c r="AG71" s="47"/>
      <c r="AH71" s="47"/>
      <c r="AI71" s="47"/>
    </row>
    <row r="72" spans="1:35" ht="60" customHeight="1" x14ac:dyDescent="0.2">
      <c r="A72" s="57"/>
      <c r="B72" s="47"/>
      <c r="C72" s="47"/>
      <c r="D72" s="47"/>
      <c r="E72" s="47"/>
      <c r="F72" s="47"/>
      <c r="G72" s="47"/>
      <c r="H72" s="47"/>
      <c r="I72" s="47"/>
      <c r="J72" s="47"/>
      <c r="K72" s="47"/>
      <c r="L72" s="47"/>
      <c r="M72" s="47"/>
      <c r="N72" s="47"/>
      <c r="O72" s="47"/>
      <c r="P72" s="47"/>
      <c r="Q72" s="47"/>
      <c r="R72" s="50"/>
      <c r="S72" s="50"/>
      <c r="T72" s="47"/>
      <c r="U72" s="47"/>
      <c r="V72" s="47"/>
      <c r="W72" s="47"/>
      <c r="X72" s="47"/>
      <c r="Y72" s="47"/>
      <c r="Z72" s="47"/>
      <c r="AA72" s="47"/>
      <c r="AB72" s="47"/>
      <c r="AC72" s="47"/>
      <c r="AD72" s="47"/>
      <c r="AE72" s="47"/>
      <c r="AF72" s="47"/>
      <c r="AG72" s="47"/>
      <c r="AH72" s="47"/>
      <c r="AI72" s="47"/>
    </row>
    <row r="73" spans="1:35" ht="60" customHeight="1" x14ac:dyDescent="0.2">
      <c r="A73" s="57"/>
      <c r="B73" s="47"/>
      <c r="C73" s="47"/>
      <c r="D73" s="47"/>
      <c r="E73" s="47"/>
      <c r="F73" s="47"/>
      <c r="G73" s="47"/>
      <c r="H73" s="47"/>
      <c r="I73" s="47"/>
      <c r="J73" s="47"/>
      <c r="K73" s="47"/>
      <c r="L73" s="47"/>
      <c r="M73" s="47"/>
      <c r="N73" s="47"/>
      <c r="O73" s="47"/>
      <c r="P73" s="47"/>
      <c r="Q73" s="47"/>
      <c r="R73" s="50"/>
      <c r="S73" s="50"/>
      <c r="T73" s="47"/>
      <c r="U73" s="47"/>
      <c r="V73" s="47"/>
      <c r="W73" s="47"/>
      <c r="X73" s="47"/>
      <c r="Y73" s="47"/>
      <c r="Z73" s="47"/>
      <c r="AA73" s="47"/>
      <c r="AB73" s="47"/>
      <c r="AC73" s="47"/>
      <c r="AD73" s="47"/>
      <c r="AE73" s="47"/>
      <c r="AF73" s="47"/>
      <c r="AG73" s="47"/>
      <c r="AH73" s="47"/>
      <c r="AI73" s="47"/>
    </row>
    <row r="74" spans="1:35" ht="60" customHeight="1" x14ac:dyDescent="0.2">
      <c r="A74" s="57"/>
      <c r="B74" s="47"/>
      <c r="C74" s="47"/>
      <c r="D74" s="47"/>
      <c r="E74" s="47"/>
      <c r="F74" s="47"/>
      <c r="G74" s="47"/>
      <c r="H74" s="47"/>
      <c r="I74" s="47"/>
      <c r="J74" s="47"/>
      <c r="K74" s="47"/>
      <c r="L74" s="47"/>
      <c r="M74" s="47"/>
      <c r="N74" s="47"/>
      <c r="O74" s="47"/>
      <c r="P74" s="47"/>
      <c r="Q74" s="47"/>
      <c r="R74" s="50"/>
      <c r="S74" s="47"/>
      <c r="T74" s="47"/>
      <c r="U74" s="47"/>
      <c r="V74" s="47"/>
      <c r="W74" s="47"/>
      <c r="X74" s="47"/>
      <c r="Y74" s="47"/>
      <c r="Z74" s="47"/>
      <c r="AA74" s="47"/>
      <c r="AB74" s="47"/>
      <c r="AC74" s="47"/>
      <c r="AD74" s="47"/>
      <c r="AE74" s="47"/>
      <c r="AF74" s="47"/>
      <c r="AG74" s="47"/>
      <c r="AH74" s="47"/>
      <c r="AI74" s="47"/>
    </row>
    <row r="75" spans="1:35" ht="60" customHeight="1" x14ac:dyDescent="0.2">
      <c r="A75" s="57"/>
      <c r="B75" s="47"/>
      <c r="C75" s="47"/>
      <c r="D75" s="47"/>
      <c r="E75" s="47"/>
      <c r="F75" s="47"/>
      <c r="G75" s="47"/>
      <c r="H75" s="47"/>
      <c r="I75" s="47"/>
      <c r="J75" s="47"/>
      <c r="K75" s="47"/>
      <c r="L75" s="47"/>
      <c r="M75" s="47"/>
      <c r="N75" s="47"/>
      <c r="O75" s="47"/>
      <c r="P75" s="47"/>
      <c r="Q75" s="47"/>
      <c r="R75" s="50"/>
      <c r="S75" s="50"/>
      <c r="T75" s="20"/>
      <c r="U75" s="47"/>
      <c r="V75" s="47"/>
      <c r="W75" s="47"/>
      <c r="X75" s="47"/>
      <c r="Y75" s="47"/>
      <c r="Z75" s="47"/>
      <c r="AA75" s="47"/>
      <c r="AB75" s="47"/>
      <c r="AC75" s="47"/>
      <c r="AD75" s="47"/>
      <c r="AE75" s="47"/>
      <c r="AF75" s="47"/>
      <c r="AG75" s="47"/>
      <c r="AH75" s="47"/>
      <c r="AI75" s="47"/>
    </row>
    <row r="76" spans="1:35" ht="60" customHeight="1" x14ac:dyDescent="0.2">
      <c r="A76" s="57"/>
      <c r="B76" s="47"/>
      <c r="C76" s="47"/>
      <c r="D76" s="47"/>
      <c r="E76" s="47"/>
      <c r="F76" s="47"/>
      <c r="G76" s="47"/>
      <c r="H76" s="47"/>
      <c r="I76" s="47"/>
      <c r="J76" s="47"/>
      <c r="K76" s="47"/>
      <c r="L76" s="47"/>
      <c r="M76" s="47"/>
      <c r="N76" s="47"/>
      <c r="O76" s="47"/>
      <c r="P76" s="47"/>
      <c r="Q76" s="47"/>
      <c r="R76" s="50"/>
      <c r="S76" s="47"/>
      <c r="T76" s="47"/>
      <c r="U76" s="47"/>
      <c r="V76" s="47"/>
      <c r="W76" s="47"/>
      <c r="X76" s="47"/>
      <c r="Y76" s="47"/>
      <c r="Z76" s="47"/>
      <c r="AA76" s="47"/>
      <c r="AB76" s="47"/>
      <c r="AC76" s="47"/>
      <c r="AD76" s="47"/>
      <c r="AE76" s="47"/>
      <c r="AF76" s="47"/>
      <c r="AG76" s="47"/>
      <c r="AH76" s="47"/>
      <c r="AI76" s="47"/>
    </row>
    <row r="77" spans="1:35" ht="60" customHeight="1" x14ac:dyDescent="0.2">
      <c r="A77" s="57"/>
      <c r="B77" s="47"/>
      <c r="C77" s="47"/>
      <c r="D77" s="47"/>
      <c r="E77" s="47"/>
      <c r="F77" s="47"/>
      <c r="G77" s="47"/>
      <c r="H77" s="47"/>
      <c r="I77" s="47"/>
      <c r="J77" s="47"/>
      <c r="K77" s="47"/>
      <c r="L77" s="47"/>
      <c r="M77" s="47"/>
      <c r="N77" s="47"/>
      <c r="O77" s="47"/>
      <c r="P77" s="47"/>
      <c r="Q77" s="47"/>
      <c r="R77" s="50"/>
      <c r="S77" s="50"/>
      <c r="T77" s="47"/>
      <c r="U77" s="47"/>
      <c r="V77" s="47"/>
      <c r="W77" s="47"/>
      <c r="X77" s="47"/>
      <c r="Y77" s="47"/>
      <c r="Z77" s="47"/>
      <c r="AA77" s="47"/>
      <c r="AB77" s="47"/>
      <c r="AC77" s="47"/>
      <c r="AD77" s="47"/>
      <c r="AE77" s="47"/>
      <c r="AF77" s="47"/>
      <c r="AG77" s="47"/>
      <c r="AH77" s="47"/>
      <c r="AI77" s="47"/>
    </row>
    <row r="78" spans="1:35" ht="60" customHeight="1" x14ac:dyDescent="0.2">
      <c r="A78" s="57"/>
      <c r="B78" s="47"/>
      <c r="C78" s="47"/>
      <c r="D78" s="47"/>
      <c r="E78" s="47"/>
      <c r="F78" s="47"/>
      <c r="G78" s="47"/>
      <c r="H78" s="47"/>
      <c r="I78" s="47"/>
      <c r="J78" s="47"/>
      <c r="K78" s="47"/>
      <c r="L78" s="47"/>
      <c r="M78" s="47"/>
      <c r="N78" s="47"/>
      <c r="O78" s="47"/>
      <c r="P78" s="47"/>
      <c r="Q78" s="47"/>
      <c r="R78" s="50"/>
      <c r="S78" s="47"/>
      <c r="T78" s="47"/>
      <c r="U78" s="47"/>
      <c r="V78" s="47"/>
      <c r="W78" s="47"/>
      <c r="X78" s="47"/>
      <c r="Y78" s="47"/>
      <c r="Z78" s="47"/>
      <c r="AA78" s="47"/>
      <c r="AB78" s="47"/>
      <c r="AC78" s="47"/>
      <c r="AD78" s="47"/>
      <c r="AE78" s="47"/>
      <c r="AF78" s="47"/>
      <c r="AG78" s="47"/>
      <c r="AH78" s="47"/>
      <c r="AI78" s="47"/>
    </row>
    <row r="79" spans="1:35" ht="60" customHeight="1" x14ac:dyDescent="0.2">
      <c r="A79" s="57"/>
      <c r="B79" s="47"/>
      <c r="C79" s="47"/>
      <c r="D79" s="47"/>
      <c r="E79" s="47"/>
      <c r="F79" s="47"/>
      <c r="G79" s="47"/>
      <c r="H79" s="47"/>
      <c r="I79" s="47"/>
      <c r="J79" s="47"/>
      <c r="K79" s="47"/>
      <c r="L79" s="47"/>
      <c r="M79" s="47"/>
      <c r="N79" s="47"/>
      <c r="O79" s="47"/>
      <c r="P79" s="47"/>
      <c r="Q79" s="47"/>
      <c r="R79" s="50"/>
      <c r="S79" s="47"/>
      <c r="T79" s="47"/>
      <c r="U79" s="47"/>
      <c r="V79" s="47"/>
      <c r="W79" s="47"/>
      <c r="X79" s="47"/>
      <c r="Y79" s="47"/>
      <c r="Z79" s="47"/>
      <c r="AA79" s="47"/>
      <c r="AB79" s="47"/>
      <c r="AC79" s="47"/>
      <c r="AD79" s="47"/>
      <c r="AE79" s="47"/>
      <c r="AF79" s="47"/>
      <c r="AG79" s="47"/>
      <c r="AH79" s="47"/>
      <c r="AI79" s="47"/>
    </row>
    <row r="80" spans="1:35" ht="60" customHeight="1" x14ac:dyDescent="0.2">
      <c r="A80" s="57"/>
      <c r="B80" s="47"/>
      <c r="C80" s="47"/>
      <c r="D80" s="47"/>
      <c r="E80" s="47"/>
      <c r="F80" s="47"/>
      <c r="G80" s="47"/>
      <c r="H80" s="47"/>
      <c r="I80" s="47"/>
      <c r="J80" s="47"/>
      <c r="K80" s="47"/>
      <c r="L80" s="47"/>
      <c r="M80" s="47"/>
      <c r="N80" s="47"/>
      <c r="O80" s="47"/>
      <c r="P80" s="47"/>
      <c r="Q80" s="47"/>
      <c r="R80" s="50"/>
      <c r="S80" s="47"/>
      <c r="T80" s="47"/>
      <c r="U80" s="47"/>
      <c r="V80" s="47"/>
      <c r="W80" s="47"/>
      <c r="X80" s="47"/>
      <c r="Y80" s="47"/>
      <c r="Z80" s="47"/>
      <c r="AA80" s="47"/>
      <c r="AB80" s="47"/>
      <c r="AC80" s="47"/>
      <c r="AD80" s="47"/>
      <c r="AE80" s="47"/>
      <c r="AF80" s="47"/>
      <c r="AG80" s="47"/>
      <c r="AH80" s="47"/>
      <c r="AI80" s="47"/>
    </row>
    <row r="81" spans="1:35" ht="60" customHeight="1" x14ac:dyDescent="0.2">
      <c r="A81" s="57"/>
      <c r="B81" s="47"/>
      <c r="C81" s="47"/>
      <c r="D81" s="47"/>
      <c r="E81" s="47"/>
      <c r="F81" s="47"/>
      <c r="G81" s="47"/>
      <c r="H81" s="47"/>
      <c r="I81" s="47"/>
      <c r="J81" s="47"/>
      <c r="K81" s="47"/>
      <c r="L81" s="47"/>
      <c r="M81" s="47"/>
      <c r="N81" s="47"/>
      <c r="O81" s="47"/>
      <c r="P81" s="47"/>
      <c r="Q81" s="47"/>
      <c r="R81" s="20"/>
      <c r="S81" s="20"/>
      <c r="T81" s="47"/>
      <c r="U81" s="47"/>
      <c r="V81" s="47"/>
      <c r="W81" s="47"/>
      <c r="X81" s="47"/>
      <c r="Y81" s="47"/>
      <c r="Z81" s="47"/>
      <c r="AA81" s="47"/>
      <c r="AB81" s="47"/>
      <c r="AC81" s="47"/>
      <c r="AD81" s="47"/>
      <c r="AE81" s="47"/>
      <c r="AF81" s="47"/>
      <c r="AG81" s="47"/>
      <c r="AH81" s="47"/>
      <c r="AI81" s="47"/>
    </row>
    <row r="82" spans="1:35" ht="60" customHeight="1" x14ac:dyDescent="0.2">
      <c r="A82" s="57"/>
      <c r="B82" s="47"/>
      <c r="C82" s="47"/>
      <c r="D82" s="47"/>
      <c r="E82" s="47"/>
      <c r="F82" s="47"/>
      <c r="G82" s="47"/>
      <c r="H82" s="47"/>
      <c r="I82" s="47"/>
      <c r="J82" s="47"/>
      <c r="K82" s="47"/>
      <c r="L82" s="47"/>
      <c r="M82" s="47"/>
      <c r="N82" s="47"/>
      <c r="O82" s="47"/>
      <c r="P82" s="47"/>
      <c r="Q82" s="47"/>
      <c r="R82" s="50"/>
      <c r="S82" s="47"/>
      <c r="T82" s="47"/>
      <c r="U82" s="47"/>
      <c r="V82" s="47"/>
      <c r="W82" s="47"/>
      <c r="X82" s="47"/>
      <c r="Y82" s="47"/>
      <c r="Z82" s="47"/>
      <c r="AA82" s="47"/>
      <c r="AB82" s="47"/>
      <c r="AC82" s="47"/>
      <c r="AD82" s="47"/>
      <c r="AE82" s="47"/>
      <c r="AF82" s="47"/>
      <c r="AG82" s="47"/>
      <c r="AH82" s="47"/>
      <c r="AI82" s="47"/>
    </row>
    <row r="83" spans="1:35" ht="60" customHeight="1" x14ac:dyDescent="0.2">
      <c r="A83" s="57"/>
      <c r="B83" s="47"/>
      <c r="C83" s="47"/>
      <c r="D83" s="47"/>
      <c r="E83" s="47"/>
      <c r="F83" s="47"/>
      <c r="G83" s="47"/>
      <c r="H83" s="47"/>
      <c r="I83" s="47"/>
      <c r="J83" s="47"/>
      <c r="K83" s="47"/>
      <c r="L83" s="47"/>
      <c r="M83" s="47"/>
      <c r="N83" s="47"/>
      <c r="O83" s="47"/>
      <c r="P83" s="47"/>
      <c r="Q83" s="47"/>
      <c r="R83" s="50"/>
      <c r="S83" s="62"/>
      <c r="T83" s="62"/>
      <c r="U83" s="62"/>
      <c r="V83" s="62"/>
      <c r="W83" s="47"/>
      <c r="X83" s="47"/>
      <c r="Y83" s="47"/>
      <c r="Z83" s="47"/>
      <c r="AA83" s="47"/>
      <c r="AB83" s="47"/>
      <c r="AC83" s="47"/>
      <c r="AD83" s="47"/>
      <c r="AE83" s="47"/>
      <c r="AF83" s="47"/>
      <c r="AG83" s="47"/>
      <c r="AH83" s="47"/>
      <c r="AI83" s="47"/>
    </row>
    <row r="84" spans="1:35" ht="60" customHeight="1" x14ac:dyDescent="0.2">
      <c r="A84" s="57"/>
      <c r="B84" s="47"/>
      <c r="C84" s="47"/>
      <c r="D84" s="47"/>
      <c r="E84" s="47"/>
      <c r="F84" s="47"/>
      <c r="G84" s="47"/>
      <c r="H84" s="47"/>
      <c r="I84" s="47"/>
      <c r="J84" s="47"/>
      <c r="K84" s="47"/>
      <c r="L84" s="47"/>
      <c r="M84" s="47"/>
      <c r="N84" s="47"/>
      <c r="O84" s="47"/>
      <c r="P84" s="47"/>
      <c r="Q84" s="47"/>
      <c r="R84" s="50"/>
      <c r="S84" s="47"/>
      <c r="T84" s="47"/>
      <c r="U84" s="47"/>
      <c r="V84" s="47"/>
      <c r="W84" s="47"/>
      <c r="X84" s="47"/>
      <c r="Y84" s="47"/>
      <c r="Z84" s="47"/>
      <c r="AA84" s="47"/>
      <c r="AB84" s="47"/>
      <c r="AC84" s="47"/>
      <c r="AD84" s="47"/>
      <c r="AE84" s="47"/>
      <c r="AF84" s="47"/>
      <c r="AG84" s="47"/>
      <c r="AH84" s="47"/>
      <c r="AI84" s="47"/>
    </row>
    <row r="85" spans="1:35" ht="60" customHeight="1" x14ac:dyDescent="0.2">
      <c r="A85" s="57"/>
      <c r="B85" s="47"/>
      <c r="C85" s="47"/>
      <c r="D85" s="47"/>
      <c r="E85" s="47"/>
      <c r="F85" s="47"/>
      <c r="G85" s="47"/>
      <c r="H85" s="47"/>
      <c r="I85" s="47"/>
      <c r="J85" s="47"/>
      <c r="K85" s="47"/>
      <c r="L85" s="47"/>
      <c r="M85" s="47"/>
      <c r="N85" s="47"/>
      <c r="O85" s="47"/>
      <c r="P85" s="47"/>
      <c r="Q85" s="47"/>
      <c r="R85" s="50"/>
      <c r="S85" s="50"/>
      <c r="T85" s="61"/>
      <c r="U85" s="47"/>
      <c r="V85" s="47"/>
      <c r="W85" s="47"/>
      <c r="X85" s="47"/>
      <c r="Y85" s="47"/>
      <c r="Z85" s="47"/>
      <c r="AA85" s="47"/>
      <c r="AB85" s="47"/>
      <c r="AC85" s="47"/>
      <c r="AD85" s="47"/>
      <c r="AE85" s="47"/>
      <c r="AF85" s="47"/>
      <c r="AG85" s="47"/>
      <c r="AH85" s="47"/>
      <c r="AI85" s="47"/>
    </row>
    <row r="86" spans="1:35" ht="60" customHeight="1" x14ac:dyDescent="0.2">
      <c r="A86" s="57"/>
      <c r="B86" s="47"/>
      <c r="C86" s="47"/>
      <c r="D86" s="47"/>
      <c r="E86" s="47"/>
      <c r="F86" s="47"/>
      <c r="G86" s="47"/>
      <c r="H86" s="47"/>
      <c r="I86" s="47"/>
      <c r="J86" s="47"/>
      <c r="K86" s="47"/>
      <c r="L86" s="47"/>
      <c r="M86" s="47"/>
      <c r="N86" s="47"/>
      <c r="O86" s="47"/>
      <c r="P86" s="47"/>
      <c r="Q86" s="47"/>
      <c r="R86" s="50"/>
      <c r="S86" s="50"/>
      <c r="T86" s="61"/>
      <c r="U86" s="47"/>
      <c r="V86" s="47"/>
      <c r="W86" s="47"/>
      <c r="X86" s="47"/>
      <c r="Y86" s="47"/>
      <c r="Z86" s="47"/>
      <c r="AA86" s="47"/>
      <c r="AB86" s="47"/>
      <c r="AC86" s="47"/>
      <c r="AD86" s="47"/>
      <c r="AE86" s="47"/>
      <c r="AF86" s="47"/>
      <c r="AG86" s="47"/>
      <c r="AH86" s="47"/>
      <c r="AI86" s="47"/>
    </row>
    <row r="87" spans="1:35" ht="60" customHeight="1" x14ac:dyDescent="0.2">
      <c r="A87" s="57"/>
      <c r="B87" s="47"/>
      <c r="C87" s="47"/>
      <c r="D87" s="47"/>
      <c r="E87" s="47"/>
      <c r="F87" s="47"/>
      <c r="G87" s="47"/>
      <c r="H87" s="47"/>
      <c r="I87" s="47"/>
      <c r="J87" s="47"/>
      <c r="K87" s="47"/>
      <c r="L87" s="47"/>
      <c r="M87" s="47"/>
      <c r="N87" s="47"/>
      <c r="O87" s="47"/>
      <c r="P87" s="47"/>
      <c r="Q87" s="47"/>
      <c r="R87" s="50"/>
      <c r="S87" s="47"/>
      <c r="T87" s="47"/>
      <c r="U87" s="47"/>
      <c r="V87" s="47"/>
      <c r="W87" s="47"/>
      <c r="X87" s="47"/>
      <c r="Y87" s="47"/>
      <c r="Z87" s="47"/>
      <c r="AA87" s="47"/>
      <c r="AB87" s="47"/>
      <c r="AC87" s="47"/>
      <c r="AD87" s="47"/>
      <c r="AE87" s="47"/>
      <c r="AF87" s="47"/>
      <c r="AG87" s="47"/>
      <c r="AH87" s="47"/>
      <c r="AI87" s="47"/>
    </row>
    <row r="88" spans="1:35" ht="60" customHeight="1" x14ac:dyDescent="0.2">
      <c r="A88" s="57"/>
      <c r="B88" s="47"/>
      <c r="C88" s="47"/>
      <c r="D88" s="47"/>
      <c r="E88" s="47"/>
      <c r="F88" s="47"/>
      <c r="G88" s="47"/>
      <c r="H88" s="47"/>
      <c r="I88" s="47"/>
      <c r="J88" s="47"/>
      <c r="K88" s="47"/>
      <c r="L88" s="47"/>
      <c r="M88" s="47"/>
      <c r="N88" s="47"/>
      <c r="O88" s="47"/>
      <c r="P88" s="47"/>
      <c r="Q88" s="47"/>
      <c r="R88" s="50"/>
      <c r="S88" s="61"/>
      <c r="T88" s="50"/>
      <c r="U88" s="50"/>
      <c r="V88" s="47"/>
      <c r="W88" s="47"/>
      <c r="X88" s="47"/>
      <c r="Y88" s="47"/>
      <c r="Z88" s="47"/>
      <c r="AA88" s="47"/>
      <c r="AB88" s="47"/>
      <c r="AC88" s="47"/>
      <c r="AD88" s="47"/>
      <c r="AE88" s="47"/>
      <c r="AF88" s="47"/>
      <c r="AG88" s="47"/>
      <c r="AH88" s="47"/>
      <c r="AI88" s="47"/>
    </row>
    <row r="89" spans="1:35" ht="60" customHeight="1" x14ac:dyDescent="0.2">
      <c r="A89" s="57"/>
      <c r="B89" s="47"/>
      <c r="C89" s="47"/>
      <c r="D89" s="47"/>
      <c r="E89" s="47"/>
      <c r="F89" s="47"/>
      <c r="G89" s="47"/>
      <c r="H89" s="47"/>
      <c r="I89" s="47"/>
      <c r="J89" s="47"/>
      <c r="K89" s="47"/>
      <c r="L89" s="47"/>
      <c r="M89" s="47"/>
      <c r="N89" s="47"/>
      <c r="O89" s="47"/>
      <c r="P89" s="47"/>
      <c r="Q89" s="47"/>
      <c r="R89" s="50"/>
      <c r="S89" s="50"/>
      <c r="T89" s="47"/>
      <c r="U89" s="47"/>
      <c r="V89" s="47"/>
      <c r="W89" s="47"/>
      <c r="X89" s="47"/>
      <c r="Y89" s="47"/>
      <c r="Z89" s="47"/>
      <c r="AA89" s="47"/>
      <c r="AB89" s="47"/>
      <c r="AC89" s="47"/>
      <c r="AD89" s="47"/>
      <c r="AE89" s="47"/>
      <c r="AF89" s="47"/>
      <c r="AG89" s="47"/>
      <c r="AH89" s="47"/>
      <c r="AI89" s="47"/>
    </row>
    <row r="90" spans="1:35" ht="60" customHeight="1" x14ac:dyDescent="0.2">
      <c r="A90" s="57"/>
      <c r="B90" s="47"/>
      <c r="C90" s="47"/>
      <c r="D90" s="47"/>
      <c r="E90" s="47"/>
      <c r="F90" s="47"/>
      <c r="G90" s="47"/>
      <c r="H90" s="47"/>
      <c r="I90" s="47"/>
      <c r="J90" s="47"/>
      <c r="K90" s="47"/>
      <c r="L90" s="47"/>
      <c r="M90" s="47"/>
      <c r="N90" s="47"/>
      <c r="O90" s="47"/>
      <c r="P90" s="47"/>
      <c r="Q90" s="47"/>
      <c r="R90" s="50"/>
      <c r="S90" s="50"/>
      <c r="T90" s="47"/>
      <c r="U90" s="47"/>
      <c r="V90" s="47"/>
      <c r="W90" s="47"/>
      <c r="X90" s="47"/>
      <c r="Y90" s="47"/>
      <c r="Z90" s="47"/>
      <c r="AA90" s="47"/>
      <c r="AB90" s="47"/>
      <c r="AC90" s="47"/>
      <c r="AD90" s="47"/>
      <c r="AE90" s="47"/>
      <c r="AF90" s="47"/>
      <c r="AG90" s="47"/>
      <c r="AH90" s="47"/>
      <c r="AI90" s="47"/>
    </row>
    <row r="91" spans="1:35" ht="60" customHeight="1" x14ac:dyDescent="0.2">
      <c r="A91" s="57"/>
      <c r="B91" s="47"/>
      <c r="C91" s="47"/>
      <c r="D91" s="47"/>
      <c r="E91" s="47"/>
      <c r="F91" s="47"/>
      <c r="G91" s="47"/>
      <c r="H91" s="47"/>
      <c r="I91" s="47"/>
      <c r="J91" s="47"/>
      <c r="K91" s="47"/>
      <c r="L91" s="47"/>
      <c r="M91" s="47"/>
      <c r="N91" s="47"/>
      <c r="O91" s="47"/>
      <c r="P91" s="47"/>
      <c r="Q91" s="47"/>
      <c r="R91" s="50"/>
      <c r="S91" s="47"/>
      <c r="T91" s="47"/>
      <c r="U91" s="47"/>
      <c r="V91" s="47"/>
      <c r="W91" s="47"/>
      <c r="X91" s="47"/>
      <c r="Y91" s="47"/>
      <c r="Z91" s="47"/>
      <c r="AA91" s="47"/>
      <c r="AB91" s="47"/>
      <c r="AC91" s="47"/>
      <c r="AD91" s="47"/>
      <c r="AE91" s="47"/>
      <c r="AF91" s="47"/>
      <c r="AG91" s="47"/>
      <c r="AH91" s="47"/>
      <c r="AI91" s="47"/>
    </row>
    <row r="92" spans="1:35" ht="60" customHeight="1" x14ac:dyDescent="0.2">
      <c r="A92" s="57"/>
      <c r="B92" s="47"/>
      <c r="C92" s="47"/>
      <c r="D92" s="47"/>
      <c r="E92" s="47"/>
      <c r="F92" s="47"/>
      <c r="G92" s="47"/>
      <c r="H92" s="47"/>
      <c r="I92" s="47"/>
      <c r="J92" s="47"/>
      <c r="K92" s="47"/>
      <c r="L92" s="47"/>
      <c r="M92" s="47"/>
      <c r="N92" s="47"/>
      <c r="O92" s="47"/>
      <c r="P92" s="47"/>
      <c r="Q92" s="47"/>
      <c r="R92" s="50"/>
      <c r="S92" s="50"/>
      <c r="T92" s="62"/>
      <c r="U92" s="47"/>
      <c r="V92" s="47"/>
      <c r="W92" s="47"/>
      <c r="X92" s="47"/>
      <c r="Y92" s="47"/>
      <c r="Z92" s="47"/>
      <c r="AA92" s="47"/>
      <c r="AB92" s="47"/>
      <c r="AC92" s="47"/>
      <c r="AD92" s="47"/>
      <c r="AE92" s="47"/>
      <c r="AF92" s="47"/>
      <c r="AG92" s="47"/>
      <c r="AH92" s="47"/>
      <c r="AI92" s="47"/>
    </row>
    <row r="93" spans="1:35" ht="60" customHeight="1" x14ac:dyDescent="0.2">
      <c r="A93" s="57"/>
      <c r="B93" s="47"/>
      <c r="C93" s="47"/>
      <c r="D93" s="47"/>
      <c r="E93" s="47"/>
      <c r="F93" s="47"/>
      <c r="G93" s="47"/>
      <c r="H93" s="47"/>
      <c r="I93" s="47"/>
      <c r="J93" s="47"/>
      <c r="K93" s="47"/>
      <c r="L93" s="47"/>
      <c r="M93" s="47"/>
      <c r="N93" s="47"/>
      <c r="O93" s="47"/>
      <c r="P93" s="47"/>
      <c r="Q93" s="47"/>
      <c r="R93" s="20"/>
      <c r="S93" s="47"/>
      <c r="T93" s="47"/>
      <c r="U93" s="47"/>
      <c r="V93" s="47"/>
      <c r="W93" s="47"/>
      <c r="X93" s="47"/>
      <c r="Y93" s="47"/>
      <c r="Z93" s="47"/>
      <c r="AA93" s="47"/>
      <c r="AB93" s="47"/>
      <c r="AC93" s="47"/>
      <c r="AD93" s="47"/>
      <c r="AE93" s="47"/>
      <c r="AF93" s="47"/>
      <c r="AG93" s="47"/>
      <c r="AH93" s="47"/>
      <c r="AI93" s="47"/>
    </row>
    <row r="94" spans="1:35" ht="60" customHeight="1" x14ac:dyDescent="0.2">
      <c r="A94" s="57"/>
      <c r="B94" s="47"/>
      <c r="C94" s="47"/>
      <c r="D94" s="47"/>
      <c r="E94" s="47"/>
      <c r="F94" s="47"/>
      <c r="G94" s="47"/>
      <c r="H94" s="47"/>
      <c r="I94" s="47"/>
      <c r="J94" s="47"/>
      <c r="K94" s="47"/>
      <c r="L94" s="47"/>
      <c r="M94" s="47"/>
      <c r="N94" s="47"/>
      <c r="O94" s="47"/>
      <c r="P94" s="47"/>
      <c r="Q94" s="47"/>
      <c r="R94" s="50"/>
      <c r="S94" s="20"/>
      <c r="T94" s="47"/>
      <c r="U94" s="47"/>
      <c r="V94" s="47"/>
      <c r="W94" s="47"/>
      <c r="X94" s="47"/>
      <c r="Y94" s="47"/>
      <c r="Z94" s="47"/>
      <c r="AA94" s="47"/>
      <c r="AB94" s="47"/>
      <c r="AC94" s="47"/>
      <c r="AD94" s="47"/>
      <c r="AE94" s="47"/>
      <c r="AF94" s="47"/>
      <c r="AG94" s="47"/>
      <c r="AH94" s="47"/>
      <c r="AI94" s="47"/>
    </row>
    <row r="95" spans="1:35" ht="60" customHeight="1" x14ac:dyDescent="0.2">
      <c r="A95" s="57"/>
      <c r="B95" s="47"/>
      <c r="C95" s="47"/>
      <c r="D95" s="47"/>
      <c r="E95" s="47"/>
      <c r="F95" s="47"/>
      <c r="G95" s="47"/>
      <c r="H95" s="47"/>
      <c r="I95" s="47"/>
      <c r="J95" s="47"/>
      <c r="K95" s="47"/>
      <c r="L95" s="47"/>
      <c r="M95" s="47"/>
      <c r="N95" s="47"/>
      <c r="O95" s="47"/>
      <c r="P95" s="47"/>
      <c r="Q95" s="47"/>
      <c r="R95" s="50"/>
      <c r="S95" s="50"/>
      <c r="T95" s="47"/>
      <c r="U95" s="47"/>
      <c r="V95" s="47"/>
      <c r="W95" s="47"/>
      <c r="X95" s="47"/>
      <c r="Y95" s="47"/>
      <c r="Z95" s="47"/>
      <c r="AA95" s="47"/>
      <c r="AB95" s="47"/>
      <c r="AC95" s="47"/>
      <c r="AD95" s="47"/>
      <c r="AE95" s="47"/>
      <c r="AF95" s="47"/>
      <c r="AG95" s="47"/>
      <c r="AH95" s="47"/>
      <c r="AI95" s="47"/>
    </row>
    <row r="96" spans="1:35" ht="60" customHeight="1" x14ac:dyDescent="0.2">
      <c r="A96" s="57"/>
      <c r="B96" s="47"/>
      <c r="C96" s="47"/>
      <c r="D96" s="47"/>
      <c r="E96" s="47"/>
      <c r="F96" s="47"/>
      <c r="G96" s="47"/>
      <c r="H96" s="47"/>
      <c r="I96" s="47"/>
      <c r="J96" s="47"/>
      <c r="K96" s="47"/>
      <c r="L96" s="47"/>
      <c r="M96" s="47"/>
      <c r="N96" s="47"/>
      <c r="O96" s="47"/>
      <c r="P96" s="47"/>
      <c r="Q96" s="47"/>
      <c r="R96" s="20"/>
      <c r="S96" s="20"/>
      <c r="T96" s="20"/>
      <c r="U96" s="20"/>
      <c r="V96" s="47"/>
      <c r="W96" s="47"/>
      <c r="X96" s="47"/>
      <c r="Y96" s="47"/>
      <c r="Z96" s="47"/>
      <c r="AA96" s="47"/>
      <c r="AB96" s="47"/>
      <c r="AC96" s="47"/>
      <c r="AD96" s="47"/>
      <c r="AE96" s="47"/>
      <c r="AF96" s="47"/>
      <c r="AG96" s="47"/>
      <c r="AH96" s="47"/>
      <c r="AI96" s="47"/>
    </row>
    <row r="97" spans="1:35" ht="60" customHeight="1" x14ac:dyDescent="0.2">
      <c r="A97" s="57"/>
      <c r="B97" s="47"/>
      <c r="C97" s="47"/>
      <c r="D97" s="47"/>
      <c r="E97" s="47"/>
      <c r="F97" s="47"/>
      <c r="G97" s="47"/>
      <c r="H97" s="47"/>
      <c r="I97" s="47"/>
      <c r="J97" s="47"/>
      <c r="K97" s="47"/>
      <c r="L97" s="47"/>
      <c r="M97" s="47"/>
      <c r="N97" s="47"/>
      <c r="O97" s="47"/>
      <c r="P97" s="47"/>
      <c r="Q97" s="47"/>
      <c r="R97" s="20"/>
      <c r="S97" s="20"/>
      <c r="T97" s="47"/>
      <c r="U97" s="47"/>
      <c r="V97" s="47"/>
      <c r="W97" s="47"/>
      <c r="X97" s="47"/>
      <c r="Y97" s="47"/>
      <c r="Z97" s="47"/>
      <c r="AA97" s="47"/>
      <c r="AB97" s="47"/>
      <c r="AC97" s="47"/>
      <c r="AD97" s="47"/>
      <c r="AE97" s="47"/>
      <c r="AF97" s="47"/>
      <c r="AG97" s="47"/>
      <c r="AH97" s="47"/>
      <c r="AI97" s="47"/>
    </row>
    <row r="98" spans="1:35" ht="60" customHeight="1" x14ac:dyDescent="0.2">
      <c r="A98" s="57"/>
      <c r="B98" s="47"/>
      <c r="C98" s="47"/>
      <c r="D98" s="47"/>
      <c r="E98" s="47"/>
      <c r="F98" s="47"/>
      <c r="G98" s="47"/>
      <c r="H98" s="47"/>
      <c r="I98" s="47"/>
      <c r="J98" s="47"/>
      <c r="K98" s="47"/>
      <c r="L98" s="47"/>
      <c r="M98" s="47"/>
      <c r="N98" s="47"/>
      <c r="O98" s="47"/>
      <c r="P98" s="47"/>
      <c r="Q98" s="47"/>
      <c r="R98" s="20"/>
      <c r="S98" s="20"/>
      <c r="T98" s="47"/>
      <c r="U98" s="47"/>
      <c r="V98" s="47"/>
      <c r="W98" s="47"/>
      <c r="X98" s="47"/>
      <c r="Y98" s="47"/>
      <c r="Z98" s="47"/>
      <c r="AA98" s="47"/>
      <c r="AB98" s="47"/>
      <c r="AC98" s="47"/>
      <c r="AD98" s="47"/>
      <c r="AE98" s="47"/>
      <c r="AF98" s="47"/>
      <c r="AG98" s="47"/>
      <c r="AH98" s="47"/>
      <c r="AI98" s="47"/>
    </row>
    <row r="99" spans="1:35" ht="60" customHeight="1" x14ac:dyDescent="0.2">
      <c r="A99" s="57"/>
      <c r="B99" s="47"/>
      <c r="C99" s="47"/>
      <c r="D99" s="47"/>
      <c r="E99" s="47"/>
      <c r="F99" s="47"/>
      <c r="G99" s="47"/>
      <c r="H99" s="47"/>
      <c r="I99" s="47"/>
      <c r="J99" s="47"/>
      <c r="K99" s="47"/>
      <c r="L99" s="47"/>
      <c r="M99" s="47"/>
      <c r="N99" s="47"/>
      <c r="O99" s="47"/>
      <c r="P99" s="47"/>
      <c r="Q99" s="47"/>
      <c r="R99" s="20"/>
      <c r="S99" s="47"/>
      <c r="T99" s="47"/>
      <c r="U99" s="47"/>
      <c r="V99" s="47"/>
      <c r="W99" s="47"/>
      <c r="X99" s="47"/>
      <c r="Y99" s="47"/>
      <c r="Z99" s="47"/>
      <c r="AA99" s="47"/>
      <c r="AB99" s="47"/>
      <c r="AC99" s="47"/>
      <c r="AD99" s="47"/>
      <c r="AE99" s="47"/>
      <c r="AF99" s="47"/>
      <c r="AG99" s="47"/>
      <c r="AH99" s="47"/>
      <c r="AI99" s="47"/>
    </row>
    <row r="100" spans="1:35" ht="60" customHeight="1" x14ac:dyDescent="0.2">
      <c r="A100" s="57"/>
      <c r="B100" s="47"/>
      <c r="C100" s="47"/>
      <c r="D100" s="47"/>
      <c r="E100" s="47"/>
      <c r="F100" s="47"/>
      <c r="G100" s="47"/>
      <c r="H100" s="47"/>
      <c r="I100" s="47"/>
      <c r="J100" s="47"/>
      <c r="K100" s="47"/>
      <c r="L100" s="47"/>
      <c r="M100" s="47"/>
      <c r="N100" s="47"/>
      <c r="O100" s="47"/>
      <c r="P100" s="47"/>
      <c r="Q100" s="47"/>
      <c r="R100" s="20"/>
      <c r="S100" s="47"/>
      <c r="T100" s="47"/>
      <c r="U100" s="47"/>
      <c r="V100" s="47"/>
      <c r="W100" s="47"/>
      <c r="X100" s="47"/>
      <c r="Y100" s="47"/>
      <c r="Z100" s="47"/>
      <c r="AA100" s="47"/>
      <c r="AB100" s="47"/>
      <c r="AC100" s="47"/>
      <c r="AD100" s="47"/>
      <c r="AE100" s="47"/>
      <c r="AF100" s="47"/>
      <c r="AG100" s="47"/>
      <c r="AH100" s="47"/>
      <c r="AI100" s="47"/>
    </row>
    <row r="101" spans="1:35" ht="60" customHeight="1" x14ac:dyDescent="0.2">
      <c r="A101" s="57"/>
      <c r="B101" s="47"/>
      <c r="C101" s="47"/>
      <c r="D101" s="47"/>
      <c r="E101" s="47"/>
      <c r="F101" s="47"/>
      <c r="G101" s="47"/>
      <c r="H101" s="47"/>
      <c r="I101" s="47"/>
      <c r="J101" s="47"/>
      <c r="K101" s="47"/>
      <c r="L101" s="47"/>
      <c r="M101" s="47"/>
      <c r="N101" s="47"/>
      <c r="O101" s="47"/>
      <c r="P101" s="47"/>
      <c r="Q101" s="47"/>
      <c r="R101" s="20"/>
      <c r="S101" s="47"/>
      <c r="T101" s="62"/>
      <c r="U101" s="62"/>
      <c r="V101" s="47"/>
      <c r="W101" s="47"/>
      <c r="X101" s="47"/>
      <c r="Y101" s="47"/>
      <c r="Z101" s="47"/>
      <c r="AA101" s="47"/>
      <c r="AB101" s="47"/>
      <c r="AC101" s="47"/>
      <c r="AD101" s="47"/>
      <c r="AE101" s="47"/>
      <c r="AF101" s="47"/>
      <c r="AG101" s="47"/>
      <c r="AH101" s="47"/>
      <c r="AI101" s="47"/>
    </row>
    <row r="102" spans="1:35" ht="60" customHeight="1" x14ac:dyDescent="0.2">
      <c r="A102" s="57"/>
      <c r="B102" s="47"/>
      <c r="C102" s="47"/>
      <c r="D102" s="47"/>
      <c r="E102" s="47"/>
      <c r="F102" s="47"/>
      <c r="G102" s="47"/>
      <c r="H102" s="47"/>
      <c r="I102" s="47"/>
      <c r="J102" s="47"/>
      <c r="K102" s="47"/>
      <c r="L102" s="47"/>
      <c r="M102" s="47"/>
      <c r="N102" s="47"/>
      <c r="O102" s="47"/>
      <c r="P102" s="47"/>
      <c r="Q102" s="47"/>
      <c r="R102" s="20"/>
      <c r="S102" s="62"/>
      <c r="T102" s="62"/>
      <c r="U102" s="62"/>
      <c r="V102" s="47"/>
      <c r="W102" s="47"/>
      <c r="X102" s="47"/>
      <c r="Y102" s="47"/>
      <c r="Z102" s="47"/>
      <c r="AA102" s="47"/>
      <c r="AB102" s="47"/>
      <c r="AC102" s="47"/>
      <c r="AD102" s="47"/>
      <c r="AE102" s="47"/>
      <c r="AF102" s="47"/>
      <c r="AG102" s="47"/>
      <c r="AH102" s="47"/>
      <c r="AI102" s="47"/>
    </row>
    <row r="103" spans="1:35" ht="60" customHeight="1" x14ac:dyDescent="0.2">
      <c r="A103" s="57"/>
      <c r="B103" s="47"/>
      <c r="C103" s="63"/>
      <c r="D103" s="63"/>
      <c r="E103" s="47"/>
      <c r="F103" s="47"/>
      <c r="G103" s="47"/>
      <c r="H103" s="47"/>
      <c r="I103" s="47"/>
      <c r="J103" s="47"/>
      <c r="K103" s="47"/>
      <c r="L103" s="47"/>
      <c r="M103" s="47"/>
      <c r="N103" s="47"/>
      <c r="O103" s="47"/>
      <c r="P103" s="47"/>
      <c r="Q103" s="47"/>
      <c r="R103" s="20"/>
      <c r="S103" s="20"/>
      <c r="T103" s="20"/>
      <c r="U103" s="47"/>
      <c r="V103" s="47"/>
      <c r="W103" s="47"/>
      <c r="X103" s="47"/>
      <c r="Y103" s="47"/>
      <c r="Z103" s="47"/>
      <c r="AA103" s="47"/>
      <c r="AB103" s="47"/>
      <c r="AC103" s="47"/>
      <c r="AD103" s="47"/>
      <c r="AE103" s="47"/>
      <c r="AF103" s="47"/>
      <c r="AG103" s="47"/>
      <c r="AH103" s="47"/>
      <c r="AI103" s="47"/>
    </row>
    <row r="104" spans="1:35" ht="60" customHeight="1" x14ac:dyDescent="0.2">
      <c r="A104" s="57"/>
      <c r="B104" s="47"/>
      <c r="C104" s="47"/>
      <c r="D104" s="47"/>
      <c r="E104" s="47"/>
      <c r="F104" s="47"/>
      <c r="G104" s="47"/>
      <c r="H104" s="47"/>
      <c r="I104" s="47"/>
      <c r="J104" s="47"/>
      <c r="K104" s="47"/>
      <c r="L104" s="47"/>
      <c r="M104" s="47"/>
      <c r="N104" s="47"/>
      <c r="O104" s="47"/>
      <c r="P104" s="47"/>
      <c r="Q104" s="47"/>
      <c r="R104" s="50"/>
      <c r="S104" s="50"/>
      <c r="T104" s="47"/>
      <c r="U104" s="47"/>
      <c r="V104" s="47"/>
      <c r="W104" s="47"/>
      <c r="X104" s="47"/>
      <c r="Y104" s="47"/>
      <c r="Z104" s="47"/>
      <c r="AA104" s="47"/>
      <c r="AB104" s="47"/>
      <c r="AC104" s="47"/>
      <c r="AD104" s="47"/>
      <c r="AE104" s="47"/>
      <c r="AF104" s="47"/>
      <c r="AG104" s="47"/>
      <c r="AH104" s="47"/>
      <c r="AI104" s="47"/>
    </row>
    <row r="105" spans="1:35" ht="60" customHeight="1" x14ac:dyDescent="0.2">
      <c r="A105" s="57"/>
      <c r="B105" s="47"/>
      <c r="C105" s="47"/>
      <c r="D105" s="47"/>
      <c r="E105" s="47"/>
      <c r="F105" s="47"/>
      <c r="G105" s="47"/>
      <c r="H105" s="47"/>
      <c r="I105" s="47"/>
      <c r="J105" s="47"/>
      <c r="K105" s="47"/>
      <c r="L105" s="47"/>
      <c r="M105" s="47"/>
      <c r="N105" s="47"/>
      <c r="O105" s="47"/>
      <c r="P105" s="47"/>
      <c r="Q105" s="47"/>
      <c r="R105" s="50"/>
      <c r="S105" s="47"/>
      <c r="T105" s="47"/>
      <c r="U105" s="47"/>
      <c r="V105" s="47"/>
      <c r="W105" s="47"/>
      <c r="X105" s="47"/>
      <c r="Y105" s="47"/>
      <c r="Z105" s="47"/>
      <c r="AA105" s="47"/>
      <c r="AB105" s="47"/>
      <c r="AC105" s="47"/>
      <c r="AD105" s="47"/>
      <c r="AE105" s="47"/>
      <c r="AF105" s="47"/>
      <c r="AG105" s="47"/>
      <c r="AH105" s="47"/>
      <c r="AI105" s="47"/>
    </row>
    <row r="106" spans="1:35" ht="60" customHeight="1" x14ac:dyDescent="0.2">
      <c r="A106" s="57"/>
      <c r="B106" s="47"/>
      <c r="C106" s="47"/>
      <c r="D106" s="47"/>
      <c r="E106" s="47"/>
      <c r="F106" s="47"/>
      <c r="G106" s="47"/>
      <c r="H106" s="47"/>
      <c r="I106" s="47"/>
      <c r="J106" s="47"/>
      <c r="K106" s="47"/>
      <c r="L106" s="47"/>
      <c r="M106" s="47"/>
      <c r="N106" s="47"/>
      <c r="O106" s="47"/>
      <c r="P106" s="47"/>
      <c r="Q106" s="47"/>
      <c r="R106" s="20"/>
      <c r="S106" s="47"/>
      <c r="T106" s="47"/>
      <c r="U106" s="47"/>
      <c r="V106" s="47"/>
      <c r="W106" s="47"/>
      <c r="X106" s="47"/>
      <c r="Y106" s="47"/>
      <c r="Z106" s="47"/>
      <c r="AA106" s="47"/>
      <c r="AB106" s="47"/>
      <c r="AC106" s="47"/>
      <c r="AD106" s="47"/>
      <c r="AE106" s="47"/>
      <c r="AF106" s="47"/>
      <c r="AG106" s="47"/>
      <c r="AH106" s="47"/>
      <c r="AI106" s="47"/>
    </row>
    <row r="107" spans="1:35" ht="60" customHeight="1" x14ac:dyDescent="0.2">
      <c r="A107" s="57"/>
      <c r="B107" s="47"/>
      <c r="C107" s="47"/>
      <c r="D107" s="47"/>
      <c r="E107" s="47"/>
      <c r="F107" s="47"/>
      <c r="G107" s="47"/>
      <c r="H107" s="47"/>
      <c r="I107" s="47"/>
      <c r="J107" s="47"/>
      <c r="K107" s="47"/>
      <c r="L107" s="47"/>
      <c r="M107" s="47"/>
      <c r="N107" s="47"/>
      <c r="O107" s="47"/>
      <c r="P107" s="47"/>
      <c r="Q107" s="47"/>
      <c r="R107" s="20"/>
      <c r="S107" s="20"/>
      <c r="T107" s="47"/>
      <c r="U107" s="47"/>
      <c r="V107" s="47"/>
      <c r="W107" s="47"/>
      <c r="X107" s="47"/>
      <c r="Y107" s="47"/>
      <c r="Z107" s="47"/>
      <c r="AA107" s="47"/>
      <c r="AB107" s="47"/>
      <c r="AC107" s="47"/>
      <c r="AD107" s="47"/>
      <c r="AE107" s="47"/>
      <c r="AF107" s="47"/>
      <c r="AG107" s="47"/>
      <c r="AH107" s="47"/>
      <c r="AI107" s="47"/>
    </row>
    <row r="108" spans="1:35" ht="60" customHeight="1" x14ac:dyDescent="0.2">
      <c r="A108" s="57"/>
      <c r="B108" s="47"/>
      <c r="C108" s="47"/>
      <c r="D108" s="47"/>
      <c r="E108" s="47"/>
      <c r="F108" s="47"/>
      <c r="G108" s="47"/>
      <c r="H108" s="47"/>
      <c r="I108" s="47"/>
      <c r="J108" s="47"/>
      <c r="K108" s="47"/>
      <c r="L108" s="47"/>
      <c r="M108" s="47"/>
      <c r="N108" s="47"/>
      <c r="O108" s="47"/>
      <c r="P108" s="47"/>
      <c r="Q108" s="47"/>
      <c r="R108" s="20"/>
      <c r="S108" s="20"/>
      <c r="T108" s="47"/>
      <c r="U108" s="47"/>
      <c r="V108" s="47"/>
      <c r="W108" s="47"/>
      <c r="X108" s="47"/>
      <c r="Y108" s="47"/>
      <c r="Z108" s="47"/>
      <c r="AA108" s="47"/>
      <c r="AB108" s="47"/>
      <c r="AC108" s="47"/>
      <c r="AD108" s="47"/>
      <c r="AE108" s="47"/>
      <c r="AF108" s="47"/>
      <c r="AG108" s="47"/>
      <c r="AH108" s="47"/>
      <c r="AI108" s="47"/>
    </row>
    <row r="109" spans="1:35" ht="60" customHeight="1" x14ac:dyDescent="0.2">
      <c r="A109" s="57"/>
      <c r="B109" s="47"/>
      <c r="C109" s="47"/>
      <c r="D109" s="47"/>
      <c r="E109" s="47"/>
      <c r="F109" s="47"/>
      <c r="G109" s="47"/>
      <c r="H109" s="47"/>
      <c r="I109" s="47"/>
      <c r="J109" s="47"/>
      <c r="K109" s="47"/>
      <c r="L109" s="47"/>
      <c r="M109" s="47"/>
      <c r="N109" s="47"/>
      <c r="O109" s="47"/>
      <c r="P109" s="47"/>
      <c r="Q109" s="47"/>
      <c r="R109" s="20"/>
      <c r="S109" s="50"/>
      <c r="T109" s="50"/>
      <c r="U109" s="47"/>
      <c r="V109" s="47"/>
      <c r="W109" s="47"/>
      <c r="X109" s="47"/>
      <c r="Y109" s="47"/>
      <c r="Z109" s="47"/>
      <c r="AA109" s="47"/>
      <c r="AB109" s="47"/>
      <c r="AC109" s="47"/>
      <c r="AD109" s="47"/>
      <c r="AE109" s="47"/>
      <c r="AF109" s="47"/>
      <c r="AG109" s="47"/>
      <c r="AH109" s="47"/>
      <c r="AI109" s="47"/>
    </row>
    <row r="110" spans="1:35" ht="60" customHeight="1" x14ac:dyDescent="0.2">
      <c r="A110" s="57"/>
      <c r="B110" s="47"/>
      <c r="C110" s="47"/>
      <c r="D110" s="47"/>
      <c r="E110" s="47"/>
      <c r="F110" s="47"/>
      <c r="G110" s="47"/>
      <c r="H110" s="47"/>
      <c r="I110" s="47"/>
      <c r="J110" s="47"/>
      <c r="K110" s="47"/>
      <c r="L110" s="47"/>
      <c r="M110" s="47"/>
      <c r="N110" s="47"/>
      <c r="O110" s="47"/>
      <c r="P110" s="47"/>
      <c r="Q110" s="47"/>
      <c r="R110" s="20"/>
      <c r="S110" s="47"/>
      <c r="T110" s="47"/>
      <c r="U110" s="47"/>
      <c r="V110" s="47"/>
      <c r="W110" s="47"/>
      <c r="X110" s="20"/>
      <c r="Y110" s="47"/>
      <c r="Z110" s="47"/>
      <c r="AA110" s="47"/>
      <c r="AB110" s="47"/>
      <c r="AC110" s="47"/>
      <c r="AD110" s="47"/>
      <c r="AE110" s="47"/>
      <c r="AF110" s="47"/>
      <c r="AG110" s="47"/>
      <c r="AH110" s="47"/>
      <c r="AI110" s="47"/>
    </row>
    <row r="111" spans="1:35" ht="60" customHeight="1" x14ac:dyDescent="0.2">
      <c r="A111" s="57"/>
      <c r="B111" s="47"/>
      <c r="C111" s="47"/>
      <c r="D111" s="47"/>
      <c r="E111" s="47"/>
      <c r="F111" s="47"/>
      <c r="G111" s="47"/>
      <c r="H111" s="47"/>
      <c r="I111" s="47"/>
      <c r="J111" s="47"/>
      <c r="K111" s="47"/>
      <c r="L111" s="47"/>
      <c r="M111" s="47"/>
      <c r="N111" s="47"/>
      <c r="O111" s="47"/>
      <c r="P111" s="47"/>
      <c r="Q111" s="47"/>
      <c r="R111" s="50"/>
      <c r="S111" s="50"/>
      <c r="T111" s="47"/>
      <c r="U111" s="47"/>
      <c r="V111" s="47"/>
      <c r="W111" s="47"/>
      <c r="X111" s="47"/>
      <c r="Y111" s="47"/>
      <c r="Z111" s="47"/>
      <c r="AA111" s="47"/>
      <c r="AB111" s="47"/>
      <c r="AC111" s="47"/>
      <c r="AD111" s="47"/>
      <c r="AE111" s="47"/>
      <c r="AF111" s="47"/>
      <c r="AG111" s="47"/>
      <c r="AH111" s="47"/>
      <c r="AI111" s="47"/>
    </row>
    <row r="112" spans="1:35" ht="60" customHeight="1" x14ac:dyDescent="0.2">
      <c r="A112" s="57"/>
      <c r="B112" s="47"/>
      <c r="C112" s="47"/>
      <c r="D112" s="47"/>
      <c r="E112" s="47"/>
      <c r="F112" s="47"/>
      <c r="G112" s="47"/>
      <c r="H112" s="47"/>
      <c r="I112" s="47"/>
      <c r="J112" s="47"/>
      <c r="K112" s="47"/>
      <c r="L112" s="47"/>
      <c r="M112" s="47"/>
      <c r="N112" s="47"/>
      <c r="O112" s="47"/>
      <c r="P112" s="47"/>
      <c r="Q112" s="47"/>
      <c r="R112" s="20"/>
      <c r="S112" s="50"/>
      <c r="T112" s="47"/>
      <c r="U112" s="47"/>
      <c r="V112" s="47"/>
      <c r="W112" s="47"/>
      <c r="X112" s="47"/>
      <c r="Y112" s="47"/>
      <c r="Z112" s="47"/>
      <c r="AA112" s="47"/>
      <c r="AB112" s="47"/>
      <c r="AC112" s="47"/>
      <c r="AD112" s="47"/>
      <c r="AE112" s="47"/>
      <c r="AF112" s="47"/>
      <c r="AG112" s="47"/>
      <c r="AH112" s="47"/>
      <c r="AI112" s="47"/>
    </row>
    <row r="113" spans="1:35" ht="60" customHeight="1" x14ac:dyDescent="0.2">
      <c r="A113" s="57"/>
      <c r="B113" s="47"/>
      <c r="C113" s="47"/>
      <c r="D113" s="47"/>
      <c r="E113" s="47"/>
      <c r="F113" s="47"/>
      <c r="G113" s="47"/>
      <c r="H113" s="47"/>
      <c r="I113" s="47"/>
      <c r="J113" s="47"/>
      <c r="K113" s="47"/>
      <c r="L113" s="47"/>
      <c r="M113" s="47"/>
      <c r="N113" s="47"/>
      <c r="O113" s="47"/>
      <c r="P113" s="47"/>
      <c r="Q113" s="47"/>
      <c r="R113" s="20"/>
      <c r="S113" s="47"/>
      <c r="T113" s="47"/>
      <c r="U113" s="47"/>
      <c r="V113" s="47"/>
      <c r="W113" s="47"/>
      <c r="X113" s="47"/>
      <c r="Y113" s="47"/>
      <c r="Z113" s="47"/>
      <c r="AA113" s="47"/>
      <c r="AB113" s="47"/>
      <c r="AC113" s="47"/>
      <c r="AD113" s="47"/>
      <c r="AE113" s="47"/>
      <c r="AF113" s="47"/>
      <c r="AG113" s="47"/>
      <c r="AH113" s="47"/>
      <c r="AI113" s="47"/>
    </row>
    <row r="114" spans="1:35" ht="60" customHeight="1" x14ac:dyDescent="0.2">
      <c r="A114" s="57"/>
      <c r="B114" s="47"/>
      <c r="C114" s="47"/>
      <c r="D114" s="47"/>
      <c r="E114" s="47"/>
      <c r="F114" s="47"/>
      <c r="G114" s="47"/>
      <c r="H114" s="47"/>
      <c r="I114" s="47"/>
      <c r="J114" s="47"/>
      <c r="K114" s="47"/>
      <c r="L114" s="47"/>
      <c r="M114" s="47"/>
      <c r="N114" s="47"/>
      <c r="O114" s="47"/>
      <c r="P114" s="47"/>
      <c r="Q114" s="47"/>
      <c r="R114" s="20"/>
      <c r="S114" s="20"/>
      <c r="T114" s="47"/>
      <c r="U114" s="47"/>
      <c r="V114" s="47"/>
      <c r="W114" s="47"/>
      <c r="X114" s="47"/>
      <c r="Y114" s="47"/>
      <c r="Z114" s="47"/>
      <c r="AA114" s="47"/>
      <c r="AB114" s="47"/>
      <c r="AC114" s="47"/>
      <c r="AD114" s="47"/>
      <c r="AE114" s="47"/>
      <c r="AF114" s="47"/>
      <c r="AG114" s="47"/>
      <c r="AH114" s="47"/>
      <c r="AI114" s="47"/>
    </row>
    <row r="115" spans="1:35" ht="60" customHeight="1" x14ac:dyDescent="0.2">
      <c r="A115" s="57"/>
      <c r="B115" s="47"/>
      <c r="C115" s="47"/>
      <c r="D115" s="47"/>
      <c r="E115" s="47"/>
      <c r="F115" s="47"/>
      <c r="G115" s="47"/>
      <c r="H115" s="47"/>
      <c r="I115" s="47"/>
      <c r="J115" s="47"/>
      <c r="K115" s="47"/>
      <c r="L115" s="47"/>
      <c r="M115" s="47"/>
      <c r="N115" s="47"/>
      <c r="O115" s="47"/>
      <c r="P115" s="47"/>
      <c r="Q115" s="47"/>
      <c r="R115" s="61"/>
      <c r="S115" s="20"/>
      <c r="T115" s="47"/>
      <c r="U115" s="47"/>
      <c r="V115" s="47"/>
      <c r="W115" s="47"/>
      <c r="X115" s="47"/>
      <c r="Y115" s="47"/>
      <c r="Z115" s="47"/>
      <c r="AA115" s="47"/>
      <c r="AB115" s="47"/>
      <c r="AC115" s="47"/>
      <c r="AD115" s="47"/>
      <c r="AE115" s="47"/>
      <c r="AF115" s="47"/>
      <c r="AG115" s="47"/>
      <c r="AH115" s="47"/>
      <c r="AI115" s="47"/>
    </row>
    <row r="116" spans="1:35" ht="60" customHeight="1" x14ac:dyDescent="0.2">
      <c r="A116" s="57"/>
      <c r="B116" s="47"/>
      <c r="C116" s="47"/>
      <c r="D116" s="47"/>
      <c r="E116" s="47"/>
      <c r="F116" s="47"/>
      <c r="G116" s="47"/>
      <c r="H116" s="47"/>
      <c r="I116" s="47"/>
      <c r="J116" s="47"/>
      <c r="K116" s="47"/>
      <c r="L116" s="47"/>
      <c r="M116" s="47"/>
      <c r="N116" s="47"/>
      <c r="O116" s="47"/>
      <c r="P116" s="47"/>
      <c r="Q116" s="47"/>
      <c r="R116" s="20"/>
      <c r="S116" s="20"/>
      <c r="T116" s="47"/>
      <c r="U116" s="47"/>
      <c r="V116" s="47"/>
      <c r="W116" s="47"/>
      <c r="X116" s="47"/>
      <c r="Y116" s="47"/>
      <c r="Z116" s="47"/>
      <c r="AA116" s="47"/>
      <c r="AB116" s="47"/>
      <c r="AC116" s="47"/>
      <c r="AD116" s="47"/>
      <c r="AE116" s="47"/>
      <c r="AF116" s="47"/>
      <c r="AG116" s="47"/>
      <c r="AH116" s="47"/>
      <c r="AI116" s="47"/>
    </row>
    <row r="117" spans="1:35" ht="60" customHeight="1" x14ac:dyDescent="0.2">
      <c r="A117" s="57"/>
      <c r="B117" s="47"/>
      <c r="C117" s="47"/>
      <c r="D117" s="47"/>
      <c r="E117" s="63"/>
      <c r="F117" s="63"/>
      <c r="G117" s="63"/>
      <c r="H117" s="47"/>
      <c r="I117" s="47"/>
      <c r="J117" s="47"/>
      <c r="K117" s="47"/>
      <c r="L117" s="47"/>
      <c r="M117" s="47"/>
      <c r="N117" s="47"/>
      <c r="O117" s="47"/>
      <c r="P117" s="47"/>
      <c r="Q117" s="47"/>
      <c r="R117" s="50"/>
      <c r="S117" s="50"/>
      <c r="T117" s="64"/>
      <c r="U117" s="47"/>
      <c r="V117" s="47"/>
      <c r="W117" s="47"/>
      <c r="X117" s="47"/>
      <c r="Y117" s="47"/>
      <c r="Z117" s="47"/>
      <c r="AA117" s="47"/>
      <c r="AB117" s="47"/>
      <c r="AC117" s="47"/>
      <c r="AD117" s="47"/>
      <c r="AE117" s="47"/>
      <c r="AF117" s="47"/>
      <c r="AG117" s="47"/>
      <c r="AH117" s="47"/>
      <c r="AI117" s="47"/>
    </row>
    <row r="118" spans="1:35" ht="60" customHeight="1" x14ac:dyDescent="0.2">
      <c r="A118" s="57"/>
      <c r="B118" s="47"/>
      <c r="C118" s="47"/>
      <c r="D118" s="47"/>
      <c r="E118" s="47"/>
      <c r="F118" s="47"/>
      <c r="G118" s="47"/>
      <c r="H118" s="47"/>
      <c r="I118" s="47"/>
      <c r="J118" s="47"/>
      <c r="K118" s="47"/>
      <c r="L118" s="47"/>
      <c r="M118" s="47"/>
      <c r="N118" s="47"/>
      <c r="O118" s="47"/>
      <c r="P118" s="47"/>
      <c r="Q118" s="47"/>
      <c r="R118" s="50"/>
      <c r="S118" s="47"/>
      <c r="T118" s="47"/>
      <c r="U118" s="47"/>
      <c r="V118" s="47"/>
      <c r="W118" s="47"/>
      <c r="X118" s="47"/>
      <c r="Y118" s="47"/>
      <c r="Z118" s="47"/>
      <c r="AA118" s="47"/>
      <c r="AB118" s="47"/>
      <c r="AC118" s="47"/>
      <c r="AD118" s="47"/>
      <c r="AE118" s="47"/>
      <c r="AF118" s="47"/>
      <c r="AG118" s="47"/>
      <c r="AH118" s="47"/>
      <c r="AI118" s="47"/>
    </row>
    <row r="119" spans="1:35" ht="60" customHeight="1" x14ac:dyDescent="0.2">
      <c r="A119" s="57"/>
      <c r="B119" s="47"/>
      <c r="C119" s="47"/>
      <c r="D119" s="47"/>
      <c r="E119" s="47"/>
      <c r="F119" s="47"/>
      <c r="G119" s="47"/>
      <c r="H119" s="47"/>
      <c r="I119" s="47"/>
      <c r="J119" s="47"/>
      <c r="K119" s="47"/>
      <c r="L119" s="47"/>
      <c r="M119" s="47"/>
      <c r="N119" s="47"/>
      <c r="O119" s="47"/>
      <c r="P119" s="65"/>
      <c r="Q119" s="47"/>
      <c r="R119" s="50"/>
      <c r="S119" s="47"/>
      <c r="T119" s="47"/>
      <c r="U119" s="47"/>
      <c r="V119" s="47"/>
      <c r="W119" s="47"/>
      <c r="X119" s="47"/>
      <c r="Y119" s="47"/>
      <c r="Z119" s="47"/>
      <c r="AA119" s="47"/>
      <c r="AB119" s="47"/>
      <c r="AC119" s="47"/>
      <c r="AD119" s="47"/>
      <c r="AE119" s="47"/>
      <c r="AF119" s="47"/>
      <c r="AG119" s="47"/>
      <c r="AH119" s="47"/>
      <c r="AI119" s="47"/>
    </row>
    <row r="120" spans="1:35" ht="60" customHeight="1" x14ac:dyDescent="0.2">
      <c r="A120" s="57"/>
      <c r="B120" s="47"/>
      <c r="C120" s="47"/>
      <c r="D120" s="47"/>
      <c r="E120" s="47"/>
      <c r="F120" s="47"/>
      <c r="G120" s="47"/>
      <c r="H120" s="47"/>
      <c r="I120" s="47"/>
      <c r="J120" s="47"/>
      <c r="K120" s="47"/>
      <c r="L120" s="47"/>
      <c r="M120" s="47"/>
      <c r="N120" s="47"/>
      <c r="O120" s="47"/>
      <c r="P120" s="47"/>
      <c r="Q120" s="47"/>
      <c r="R120" s="20"/>
      <c r="S120" s="20"/>
      <c r="T120" s="20"/>
      <c r="U120" s="20"/>
      <c r="V120" s="47"/>
      <c r="W120" s="47"/>
      <c r="X120" s="47"/>
      <c r="Y120" s="47"/>
      <c r="Z120" s="47"/>
      <c r="AA120" s="47"/>
      <c r="AB120" s="47"/>
      <c r="AC120" s="47"/>
      <c r="AD120" s="47"/>
      <c r="AE120" s="47"/>
      <c r="AF120" s="47"/>
      <c r="AG120" s="47"/>
      <c r="AH120" s="47"/>
      <c r="AI120" s="47"/>
    </row>
    <row r="121" spans="1:35" ht="60" customHeight="1" x14ac:dyDescent="0.2">
      <c r="A121" s="57"/>
      <c r="B121" s="47"/>
      <c r="C121" s="47"/>
      <c r="D121" s="47"/>
      <c r="E121" s="47"/>
      <c r="F121" s="47"/>
      <c r="G121" s="47"/>
      <c r="H121" s="47"/>
      <c r="I121" s="47"/>
      <c r="J121" s="47"/>
      <c r="K121" s="47"/>
      <c r="L121" s="47"/>
      <c r="M121" s="47"/>
      <c r="N121" s="47"/>
      <c r="O121" s="47"/>
      <c r="P121" s="47"/>
      <c r="Q121" s="47"/>
      <c r="R121" s="20"/>
      <c r="S121" s="47"/>
      <c r="T121" s="47"/>
      <c r="U121" s="47"/>
      <c r="V121" s="47"/>
      <c r="W121" s="47"/>
      <c r="X121" s="47"/>
      <c r="Y121" s="47"/>
      <c r="Z121" s="47"/>
      <c r="AA121" s="47"/>
      <c r="AB121" s="47"/>
      <c r="AC121" s="47"/>
      <c r="AD121" s="47"/>
      <c r="AE121" s="47"/>
      <c r="AF121" s="47"/>
      <c r="AG121" s="47"/>
      <c r="AH121" s="47"/>
      <c r="AI121" s="47"/>
    </row>
    <row r="122" spans="1:35" ht="60" customHeight="1" x14ac:dyDescent="0.2">
      <c r="A122" s="57"/>
      <c r="B122" s="47"/>
      <c r="C122" s="47"/>
      <c r="D122" s="47"/>
      <c r="E122" s="47"/>
      <c r="F122" s="47"/>
      <c r="G122" s="47"/>
      <c r="H122" s="47"/>
      <c r="I122" s="47"/>
      <c r="J122" s="47"/>
      <c r="K122" s="47"/>
      <c r="L122" s="47"/>
      <c r="M122" s="47"/>
      <c r="N122" s="47"/>
      <c r="O122" s="47"/>
      <c r="P122" s="47"/>
      <c r="Q122" s="47"/>
      <c r="R122" s="20"/>
      <c r="S122" s="47"/>
      <c r="T122" s="47"/>
      <c r="U122" s="47"/>
      <c r="V122" s="47"/>
      <c r="W122" s="47"/>
      <c r="X122" s="47"/>
      <c r="Y122" s="47"/>
      <c r="Z122" s="47"/>
      <c r="AA122" s="47"/>
      <c r="AB122" s="47"/>
      <c r="AC122" s="47"/>
      <c r="AD122" s="47"/>
      <c r="AE122" s="47"/>
      <c r="AF122" s="47"/>
      <c r="AG122" s="47"/>
      <c r="AH122" s="47"/>
      <c r="AI122" s="47"/>
    </row>
    <row r="123" spans="1:35" ht="60" customHeight="1" x14ac:dyDescent="0.2">
      <c r="A123" s="57"/>
      <c r="B123" s="47"/>
      <c r="C123" s="47"/>
      <c r="D123" s="47"/>
      <c r="E123" s="47"/>
      <c r="F123" s="47"/>
      <c r="G123" s="47"/>
      <c r="H123" s="47"/>
      <c r="I123" s="47"/>
      <c r="J123" s="47"/>
      <c r="K123" s="47"/>
      <c r="L123" s="47"/>
      <c r="M123" s="47"/>
      <c r="N123" s="47"/>
      <c r="O123" s="47"/>
      <c r="P123" s="47"/>
      <c r="Q123" s="47"/>
      <c r="R123" s="20"/>
      <c r="S123" s="47"/>
      <c r="T123" s="47"/>
      <c r="U123" s="47"/>
      <c r="V123" s="47"/>
      <c r="W123" s="47"/>
      <c r="X123" s="47"/>
      <c r="Y123" s="47"/>
      <c r="Z123" s="47"/>
      <c r="AA123" s="47"/>
      <c r="AB123" s="47"/>
      <c r="AC123" s="47"/>
      <c r="AD123" s="47"/>
      <c r="AE123" s="47"/>
      <c r="AF123" s="47"/>
      <c r="AG123" s="47"/>
      <c r="AH123" s="47"/>
      <c r="AI123" s="47"/>
    </row>
    <row r="124" spans="1:35" ht="60" customHeight="1" x14ac:dyDescent="0.2">
      <c r="A124" s="57"/>
      <c r="B124" s="47"/>
      <c r="C124" s="47"/>
      <c r="D124" s="47"/>
      <c r="E124" s="47"/>
      <c r="F124" s="47"/>
      <c r="G124" s="47"/>
      <c r="H124" s="47"/>
      <c r="I124" s="47"/>
      <c r="J124" s="47"/>
      <c r="K124" s="47"/>
      <c r="L124" s="47"/>
      <c r="M124" s="47"/>
      <c r="N124" s="47"/>
      <c r="O124" s="47"/>
      <c r="P124" s="47"/>
      <c r="Q124" s="47"/>
      <c r="R124" s="20"/>
      <c r="S124" s="20"/>
      <c r="T124" s="47"/>
      <c r="U124" s="47"/>
      <c r="V124" s="47"/>
      <c r="W124" s="47"/>
      <c r="X124" s="47"/>
      <c r="Y124" s="47"/>
      <c r="Z124" s="47"/>
      <c r="AA124" s="47"/>
      <c r="AB124" s="47"/>
      <c r="AC124" s="47"/>
      <c r="AD124" s="47"/>
      <c r="AE124" s="47"/>
      <c r="AF124" s="47"/>
      <c r="AG124" s="47"/>
      <c r="AH124" s="47"/>
      <c r="AI124" s="47"/>
    </row>
    <row r="125" spans="1:35" ht="60" customHeight="1" x14ac:dyDescent="0.2">
      <c r="A125" s="57"/>
      <c r="B125" s="47"/>
      <c r="C125" s="47"/>
      <c r="D125" s="47"/>
      <c r="E125" s="47"/>
      <c r="F125" s="47"/>
      <c r="G125" s="47"/>
      <c r="H125" s="47"/>
      <c r="I125" s="47"/>
      <c r="J125" s="47"/>
      <c r="K125" s="47"/>
      <c r="L125" s="47"/>
      <c r="M125" s="47"/>
      <c r="N125" s="47"/>
      <c r="O125" s="47"/>
      <c r="P125" s="47"/>
      <c r="Q125" s="47"/>
      <c r="R125" s="20"/>
      <c r="S125" s="20"/>
      <c r="T125" s="20"/>
      <c r="U125" s="20"/>
      <c r="V125" s="47"/>
      <c r="W125" s="47"/>
      <c r="X125" s="47"/>
      <c r="Y125" s="47"/>
      <c r="Z125" s="47"/>
      <c r="AA125" s="47"/>
      <c r="AB125" s="47"/>
      <c r="AC125" s="47"/>
      <c r="AD125" s="47"/>
      <c r="AE125" s="47"/>
      <c r="AF125" s="47"/>
      <c r="AG125" s="47"/>
      <c r="AH125" s="47"/>
      <c r="AI125" s="47"/>
    </row>
    <row r="126" spans="1:35" ht="60" customHeight="1" x14ac:dyDescent="0.2">
      <c r="A126" s="57"/>
      <c r="B126" s="47"/>
      <c r="C126" s="47"/>
      <c r="D126" s="47"/>
      <c r="E126" s="47"/>
      <c r="F126" s="47"/>
      <c r="G126" s="47"/>
      <c r="H126" s="47"/>
      <c r="I126" s="47"/>
      <c r="J126" s="47"/>
      <c r="K126" s="47"/>
      <c r="L126" s="47"/>
      <c r="M126" s="47"/>
      <c r="N126" s="47"/>
      <c r="O126" s="47"/>
      <c r="P126" s="47"/>
      <c r="Q126" s="47"/>
      <c r="R126" s="20"/>
      <c r="S126" s="20"/>
      <c r="T126" s="47"/>
      <c r="U126" s="47"/>
      <c r="V126" s="47"/>
      <c r="W126" s="47"/>
      <c r="X126" s="47"/>
      <c r="Y126" s="47"/>
      <c r="Z126" s="47"/>
      <c r="AA126" s="47"/>
      <c r="AB126" s="47"/>
      <c r="AC126" s="47"/>
      <c r="AD126" s="47"/>
      <c r="AE126" s="47"/>
      <c r="AF126" s="47"/>
      <c r="AG126" s="47"/>
      <c r="AH126" s="47"/>
      <c r="AI126" s="47"/>
    </row>
    <row r="127" spans="1:35" ht="60" customHeight="1" x14ac:dyDescent="0.2">
      <c r="A127" s="57"/>
      <c r="B127" s="47"/>
      <c r="C127" s="47"/>
      <c r="D127" s="47"/>
      <c r="E127" s="47"/>
      <c r="F127" s="47"/>
      <c r="G127" s="47"/>
      <c r="H127" s="47"/>
      <c r="I127" s="47"/>
      <c r="J127" s="47"/>
      <c r="K127" s="47"/>
      <c r="L127" s="47"/>
      <c r="M127" s="47"/>
      <c r="N127" s="47"/>
      <c r="O127" s="47"/>
      <c r="P127" s="47"/>
      <c r="Q127" s="47"/>
      <c r="R127" s="20"/>
      <c r="S127" s="20"/>
      <c r="T127" s="20"/>
      <c r="U127" s="20"/>
      <c r="V127" s="47"/>
      <c r="W127" s="47"/>
      <c r="X127" s="47"/>
      <c r="Y127" s="47"/>
      <c r="Z127" s="47"/>
      <c r="AA127" s="47"/>
      <c r="AB127" s="47"/>
      <c r="AC127" s="47"/>
      <c r="AD127" s="47"/>
      <c r="AE127" s="47"/>
      <c r="AF127" s="47"/>
      <c r="AG127" s="47"/>
      <c r="AH127" s="47"/>
      <c r="AI127" s="47"/>
    </row>
    <row r="128" spans="1:35" ht="60" customHeight="1" x14ac:dyDescent="0.2">
      <c r="A128" s="57"/>
      <c r="B128" s="47"/>
      <c r="C128" s="47"/>
      <c r="D128" s="47"/>
      <c r="E128" s="47"/>
      <c r="F128" s="47"/>
      <c r="G128" s="47"/>
      <c r="H128" s="47"/>
      <c r="I128" s="47"/>
      <c r="J128" s="47"/>
      <c r="K128" s="47"/>
      <c r="L128" s="47"/>
      <c r="M128" s="47"/>
      <c r="N128" s="47"/>
      <c r="O128" s="47"/>
      <c r="P128" s="20"/>
      <c r="Q128" s="20"/>
      <c r="R128" s="20"/>
      <c r="S128" s="20"/>
      <c r="T128" s="20"/>
      <c r="U128" s="20"/>
      <c r="V128" s="20"/>
      <c r="W128" s="47"/>
      <c r="X128" s="47"/>
      <c r="Y128" s="47"/>
      <c r="Z128" s="47"/>
      <c r="AA128" s="47"/>
      <c r="AB128" s="47"/>
      <c r="AC128" s="47"/>
      <c r="AD128" s="47"/>
      <c r="AE128" s="47"/>
      <c r="AF128" s="47"/>
      <c r="AG128" s="47"/>
      <c r="AH128" s="47"/>
      <c r="AI128" s="47"/>
    </row>
    <row r="129" spans="1:35" ht="60" customHeight="1" x14ac:dyDescent="0.2">
      <c r="A129" s="57"/>
      <c r="B129" s="47"/>
      <c r="C129" s="47"/>
      <c r="D129" s="47"/>
      <c r="E129" s="63"/>
      <c r="F129" s="63"/>
      <c r="G129" s="63"/>
      <c r="H129" s="47"/>
      <c r="I129" s="47"/>
      <c r="J129" s="47"/>
      <c r="K129" s="47"/>
      <c r="L129" s="47"/>
      <c r="M129" s="47"/>
      <c r="N129" s="47"/>
      <c r="O129" s="47"/>
      <c r="P129" s="47"/>
      <c r="Q129" s="47"/>
      <c r="R129" s="20"/>
      <c r="S129" s="20"/>
      <c r="T129" s="20"/>
      <c r="U129" s="20"/>
      <c r="V129" s="50"/>
      <c r="W129" s="47"/>
      <c r="X129" s="62"/>
      <c r="Y129" s="47"/>
      <c r="Z129" s="47"/>
      <c r="AA129" s="47"/>
      <c r="AB129" s="47"/>
      <c r="AC129" s="47"/>
      <c r="AD129" s="47"/>
      <c r="AE129" s="47"/>
      <c r="AF129" s="47"/>
      <c r="AG129" s="47"/>
      <c r="AH129" s="47"/>
      <c r="AI129" s="47"/>
    </row>
    <row r="130" spans="1:35" ht="60" customHeight="1" x14ac:dyDescent="0.2">
      <c r="A130" s="57"/>
      <c r="B130" s="47"/>
      <c r="C130" s="47"/>
      <c r="D130" s="47"/>
      <c r="E130" s="63"/>
      <c r="F130" s="63"/>
      <c r="G130" s="63"/>
      <c r="H130" s="47"/>
      <c r="I130" s="47"/>
      <c r="J130" s="47"/>
      <c r="K130" s="47"/>
      <c r="L130" s="47"/>
      <c r="M130" s="47"/>
      <c r="N130" s="47"/>
      <c r="O130" s="47"/>
      <c r="P130" s="47"/>
      <c r="Q130" s="62"/>
      <c r="R130" s="20"/>
      <c r="S130" s="20"/>
      <c r="T130" s="20"/>
      <c r="U130" s="20"/>
      <c r="V130" s="20"/>
      <c r="W130" s="47"/>
      <c r="X130" s="47"/>
      <c r="Y130" s="47"/>
      <c r="Z130" s="47"/>
      <c r="AA130" s="47"/>
      <c r="AB130" s="47"/>
      <c r="AC130" s="47"/>
      <c r="AD130" s="47"/>
      <c r="AE130" s="47"/>
      <c r="AF130" s="47"/>
      <c r="AG130" s="47"/>
      <c r="AH130" s="47"/>
      <c r="AI130" s="47"/>
    </row>
    <row r="131" spans="1:35" ht="60" customHeight="1" x14ac:dyDescent="0.2">
      <c r="A131" s="57"/>
      <c r="B131" s="47"/>
      <c r="C131" s="47"/>
      <c r="D131" s="47"/>
      <c r="E131" s="63"/>
      <c r="F131" s="63"/>
      <c r="G131" s="63"/>
      <c r="H131" s="47"/>
      <c r="I131" s="47"/>
      <c r="J131" s="47"/>
      <c r="K131" s="47"/>
      <c r="L131" s="47"/>
      <c r="M131" s="47"/>
      <c r="N131" s="47"/>
      <c r="O131" s="47"/>
      <c r="P131" s="47"/>
      <c r="Q131" s="47"/>
      <c r="R131" s="20"/>
      <c r="S131" s="20"/>
      <c r="T131" s="20"/>
      <c r="U131" s="20"/>
      <c r="V131" s="20"/>
      <c r="W131" s="47"/>
      <c r="X131" s="47"/>
      <c r="Y131" s="47"/>
      <c r="Z131" s="47"/>
      <c r="AA131" s="47"/>
      <c r="AB131" s="47"/>
      <c r="AC131" s="47"/>
      <c r="AD131" s="47"/>
      <c r="AE131" s="47"/>
      <c r="AF131" s="47"/>
      <c r="AG131" s="47"/>
      <c r="AH131" s="47"/>
      <c r="AI131" s="47"/>
    </row>
    <row r="132" spans="1:35" ht="60" customHeight="1" x14ac:dyDescent="0.2">
      <c r="A132" s="57"/>
      <c r="B132" s="47"/>
      <c r="C132" s="47"/>
      <c r="D132" s="47"/>
      <c r="E132" s="47"/>
      <c r="F132" s="47"/>
      <c r="G132" s="47"/>
      <c r="H132" s="47"/>
      <c r="I132" s="47"/>
      <c r="J132" s="47"/>
      <c r="K132" s="47"/>
      <c r="L132" s="47"/>
      <c r="M132" s="47"/>
      <c r="N132" s="47"/>
      <c r="O132" s="47"/>
      <c r="P132" s="47"/>
      <c r="Q132" s="47"/>
      <c r="R132" s="20"/>
      <c r="S132" s="20"/>
      <c r="T132" s="20"/>
      <c r="U132" s="20"/>
      <c r="V132" s="47"/>
      <c r="W132" s="47"/>
      <c r="X132" s="47"/>
      <c r="Y132" s="47"/>
      <c r="Z132" s="47"/>
      <c r="AA132" s="47"/>
      <c r="AB132" s="47"/>
      <c r="AC132" s="47"/>
      <c r="AD132" s="47"/>
      <c r="AE132" s="47"/>
      <c r="AF132" s="47"/>
      <c r="AG132" s="47"/>
      <c r="AH132" s="47"/>
      <c r="AI132" s="47"/>
    </row>
    <row r="133" spans="1:35" ht="60" customHeight="1" x14ac:dyDescent="0.2">
      <c r="A133" s="57"/>
      <c r="B133" s="47"/>
      <c r="C133" s="47"/>
      <c r="D133" s="47"/>
      <c r="E133" s="47"/>
      <c r="F133" s="47"/>
      <c r="G133" s="47"/>
      <c r="H133" s="47"/>
      <c r="I133" s="47"/>
      <c r="J133" s="47"/>
      <c r="K133" s="47"/>
      <c r="L133" s="47"/>
      <c r="M133" s="47"/>
      <c r="N133" s="47"/>
      <c r="O133" s="47"/>
      <c r="P133" s="47"/>
      <c r="Q133" s="47"/>
      <c r="R133" s="20"/>
      <c r="S133" s="20"/>
      <c r="T133" s="20"/>
      <c r="U133" s="47"/>
      <c r="V133" s="47"/>
      <c r="W133" s="47"/>
      <c r="X133" s="47"/>
      <c r="Y133" s="47"/>
      <c r="Z133" s="47"/>
      <c r="AA133" s="47"/>
      <c r="AB133" s="47"/>
      <c r="AC133" s="47"/>
      <c r="AD133" s="47"/>
      <c r="AE133" s="47"/>
      <c r="AF133" s="47"/>
      <c r="AG133" s="47"/>
      <c r="AH133" s="47"/>
      <c r="AI133" s="47"/>
    </row>
    <row r="134" spans="1:35" ht="60" customHeight="1" x14ac:dyDescent="0.2">
      <c r="A134" s="57"/>
      <c r="B134" s="47"/>
      <c r="C134" s="47"/>
      <c r="D134" s="47"/>
      <c r="E134" s="47"/>
      <c r="F134" s="47"/>
      <c r="G134" s="47"/>
      <c r="H134" s="47"/>
      <c r="I134" s="47"/>
      <c r="J134" s="47"/>
      <c r="K134" s="47"/>
      <c r="L134" s="47"/>
      <c r="M134" s="47"/>
      <c r="N134" s="47"/>
      <c r="O134" s="47"/>
      <c r="P134" s="47"/>
      <c r="Q134" s="47"/>
      <c r="R134" s="50"/>
      <c r="S134" s="20"/>
      <c r="T134" s="47"/>
      <c r="U134" s="47"/>
      <c r="V134" s="47"/>
      <c r="W134" s="47"/>
      <c r="X134" s="47"/>
      <c r="Y134" s="47"/>
      <c r="Z134" s="47"/>
      <c r="AA134" s="47"/>
      <c r="AB134" s="47"/>
      <c r="AC134" s="47"/>
      <c r="AD134" s="47"/>
      <c r="AE134" s="47"/>
      <c r="AF134" s="47"/>
      <c r="AG134" s="47"/>
      <c r="AH134" s="47"/>
      <c r="AI134" s="47"/>
    </row>
    <row r="135" spans="1:35" ht="60" customHeight="1" x14ac:dyDescent="0.2">
      <c r="A135" s="57"/>
      <c r="B135" s="47"/>
      <c r="C135" s="47"/>
      <c r="D135" s="47"/>
      <c r="E135" s="47"/>
      <c r="F135" s="47"/>
      <c r="G135" s="47"/>
      <c r="H135" s="47"/>
      <c r="I135" s="47"/>
      <c r="J135" s="47"/>
      <c r="K135" s="47"/>
      <c r="L135" s="47"/>
      <c r="M135" s="47"/>
      <c r="N135" s="47"/>
      <c r="O135" s="47"/>
      <c r="P135" s="47"/>
      <c r="Q135" s="47"/>
      <c r="R135" s="50"/>
      <c r="S135" s="50"/>
      <c r="T135" s="50"/>
      <c r="U135" s="50"/>
      <c r="V135" s="50"/>
      <c r="W135" s="47"/>
      <c r="X135" s="47"/>
      <c r="Y135" s="47"/>
      <c r="Z135" s="47"/>
      <c r="AA135" s="47"/>
      <c r="AB135" s="47"/>
      <c r="AC135" s="47"/>
      <c r="AD135" s="47"/>
      <c r="AE135" s="47"/>
      <c r="AF135" s="47"/>
      <c r="AG135" s="47"/>
      <c r="AH135" s="47"/>
      <c r="AI135" s="47"/>
    </row>
    <row r="136" spans="1:35" ht="60" customHeight="1" x14ac:dyDescent="0.2">
      <c r="A136" s="57"/>
      <c r="B136" s="47"/>
      <c r="C136" s="47"/>
      <c r="D136" s="47"/>
      <c r="E136" s="47"/>
      <c r="F136" s="47"/>
      <c r="G136" s="47"/>
      <c r="H136" s="47"/>
      <c r="I136" s="47"/>
      <c r="J136" s="47"/>
      <c r="K136" s="47"/>
      <c r="L136" s="47"/>
      <c r="M136" s="47"/>
      <c r="N136" s="47"/>
      <c r="O136" s="47"/>
      <c r="P136" s="47"/>
      <c r="Q136" s="47"/>
      <c r="R136" s="50"/>
      <c r="S136" s="62"/>
      <c r="T136" s="47"/>
      <c r="U136" s="47"/>
      <c r="V136" s="47"/>
      <c r="W136" s="47"/>
      <c r="X136" s="47"/>
      <c r="Y136" s="47"/>
      <c r="Z136" s="47"/>
      <c r="AA136" s="47"/>
      <c r="AB136" s="47"/>
      <c r="AC136" s="47"/>
      <c r="AD136" s="47"/>
      <c r="AE136" s="47"/>
      <c r="AF136" s="47"/>
      <c r="AG136" s="47"/>
      <c r="AH136" s="47"/>
      <c r="AI136" s="47"/>
    </row>
    <row r="137" spans="1:35" ht="60" customHeight="1" x14ac:dyDescent="0.2">
      <c r="A137" s="57"/>
      <c r="B137" s="47"/>
      <c r="C137" s="47"/>
      <c r="D137" s="47"/>
      <c r="E137" s="47"/>
      <c r="F137" s="47"/>
      <c r="G137" s="47"/>
      <c r="H137" s="47"/>
      <c r="I137" s="47"/>
      <c r="J137" s="47"/>
      <c r="K137" s="47"/>
      <c r="L137" s="47"/>
      <c r="M137" s="47"/>
      <c r="N137" s="47"/>
      <c r="O137" s="47"/>
      <c r="P137" s="47"/>
      <c r="Q137" s="47"/>
      <c r="R137" s="50"/>
      <c r="S137" s="50"/>
      <c r="T137" s="47"/>
      <c r="U137" s="62"/>
      <c r="V137" s="47"/>
      <c r="W137" s="47"/>
      <c r="X137" s="47"/>
      <c r="Y137" s="47"/>
      <c r="Z137" s="47"/>
      <c r="AA137" s="47"/>
      <c r="AB137" s="47"/>
      <c r="AC137" s="47"/>
      <c r="AD137" s="47"/>
      <c r="AE137" s="47"/>
      <c r="AF137" s="47"/>
      <c r="AG137" s="47"/>
      <c r="AH137" s="47"/>
      <c r="AI137" s="47"/>
    </row>
    <row r="138" spans="1:35" ht="60" customHeight="1" x14ac:dyDescent="0.2">
      <c r="A138" s="57"/>
      <c r="B138" s="47"/>
      <c r="C138" s="47"/>
      <c r="D138" s="47"/>
      <c r="E138" s="47"/>
      <c r="F138" s="47"/>
      <c r="G138" s="47"/>
      <c r="H138" s="47"/>
      <c r="I138" s="47"/>
      <c r="J138" s="47"/>
      <c r="K138" s="47"/>
      <c r="L138" s="47"/>
      <c r="M138" s="47"/>
      <c r="N138" s="47"/>
      <c r="O138" s="47"/>
      <c r="P138" s="47"/>
      <c r="Q138" s="47"/>
      <c r="R138" s="50"/>
      <c r="S138" s="50"/>
      <c r="T138" s="47"/>
      <c r="U138" s="47"/>
      <c r="V138" s="47"/>
      <c r="W138" s="47"/>
      <c r="X138" s="47"/>
      <c r="Y138" s="47"/>
      <c r="Z138" s="47"/>
      <c r="AA138" s="47"/>
      <c r="AB138" s="47"/>
      <c r="AC138" s="47"/>
      <c r="AD138" s="47"/>
      <c r="AE138" s="47"/>
      <c r="AF138" s="47"/>
      <c r="AG138" s="47"/>
      <c r="AH138" s="47"/>
      <c r="AI138" s="47"/>
    </row>
    <row r="139" spans="1:35" ht="60" customHeight="1" x14ac:dyDescent="0.2">
      <c r="A139" s="57"/>
      <c r="B139" s="47"/>
      <c r="C139" s="47"/>
      <c r="D139" s="47"/>
      <c r="E139" s="47"/>
      <c r="F139" s="47"/>
      <c r="G139" s="47"/>
      <c r="H139" s="47"/>
      <c r="I139" s="47"/>
      <c r="J139" s="47"/>
      <c r="K139" s="47"/>
      <c r="L139" s="47"/>
      <c r="M139" s="47"/>
      <c r="N139" s="47"/>
      <c r="O139" s="47"/>
      <c r="P139" s="47"/>
      <c r="Q139" s="47"/>
      <c r="R139" s="50"/>
      <c r="S139" s="50"/>
      <c r="T139" s="50"/>
      <c r="U139" s="47"/>
      <c r="V139" s="47"/>
      <c r="W139" s="47"/>
      <c r="X139" s="47"/>
      <c r="Y139" s="47"/>
      <c r="Z139" s="47"/>
      <c r="AA139" s="47"/>
      <c r="AB139" s="47"/>
      <c r="AC139" s="47"/>
      <c r="AD139" s="47"/>
      <c r="AE139" s="47"/>
      <c r="AF139" s="47"/>
      <c r="AG139" s="47"/>
      <c r="AH139" s="47"/>
      <c r="AI139" s="47"/>
    </row>
    <row r="140" spans="1:35" ht="60" customHeight="1" x14ac:dyDescent="0.2">
      <c r="A140" s="57"/>
      <c r="B140" s="47"/>
      <c r="C140" s="47"/>
      <c r="D140" s="47"/>
      <c r="E140" s="47"/>
      <c r="F140" s="47"/>
      <c r="G140" s="47"/>
      <c r="H140" s="47"/>
      <c r="I140" s="47"/>
      <c r="J140" s="47"/>
      <c r="K140" s="47"/>
      <c r="L140" s="47"/>
      <c r="M140" s="47"/>
      <c r="N140" s="47"/>
      <c r="O140" s="47"/>
      <c r="P140" s="66"/>
      <c r="Q140" s="47"/>
      <c r="R140" s="50"/>
      <c r="S140" s="50"/>
      <c r="T140" s="50"/>
      <c r="U140" s="47"/>
      <c r="V140" s="47"/>
      <c r="W140" s="47"/>
      <c r="X140" s="47"/>
      <c r="Y140" s="47"/>
      <c r="Z140" s="47"/>
      <c r="AA140" s="47"/>
      <c r="AB140" s="47"/>
      <c r="AC140" s="47"/>
      <c r="AD140" s="47"/>
      <c r="AE140" s="47"/>
      <c r="AF140" s="47"/>
      <c r="AG140" s="47"/>
      <c r="AH140" s="47"/>
      <c r="AI140" s="47"/>
    </row>
    <row r="141" spans="1:35" ht="60" customHeight="1" x14ac:dyDescent="0.2">
      <c r="A141" s="57"/>
      <c r="B141" s="47"/>
      <c r="C141" s="47"/>
      <c r="D141" s="47"/>
      <c r="E141" s="47"/>
      <c r="F141" s="47"/>
      <c r="G141" s="47"/>
      <c r="H141" s="47"/>
      <c r="I141" s="47"/>
      <c r="J141" s="47"/>
      <c r="K141" s="47"/>
      <c r="L141" s="47"/>
      <c r="M141" s="47"/>
      <c r="N141" s="47"/>
      <c r="O141" s="47"/>
      <c r="P141" s="47"/>
      <c r="Q141" s="47"/>
      <c r="R141" s="20"/>
      <c r="S141" s="47"/>
      <c r="T141" s="47"/>
      <c r="U141" s="47"/>
      <c r="V141" s="47"/>
      <c r="W141" s="47"/>
      <c r="X141" s="47"/>
      <c r="Y141" s="47"/>
      <c r="Z141" s="47"/>
      <c r="AA141" s="47"/>
      <c r="AB141" s="47"/>
      <c r="AC141" s="47"/>
      <c r="AD141" s="47"/>
      <c r="AE141" s="47"/>
      <c r="AF141" s="47"/>
      <c r="AG141" s="47"/>
      <c r="AH141" s="47"/>
      <c r="AI141" s="47"/>
    </row>
    <row r="142" spans="1:35" ht="60" customHeight="1" x14ac:dyDescent="0.2">
      <c r="A142" s="57"/>
      <c r="B142" s="47"/>
      <c r="C142" s="47"/>
      <c r="D142" s="47"/>
      <c r="E142" s="47"/>
      <c r="F142" s="47"/>
      <c r="G142" s="47"/>
      <c r="H142" s="47"/>
      <c r="I142" s="47"/>
      <c r="J142" s="47"/>
      <c r="K142" s="47"/>
      <c r="L142" s="47"/>
      <c r="M142" s="47"/>
      <c r="N142" s="47"/>
      <c r="O142" s="47"/>
      <c r="P142" s="47"/>
      <c r="Q142" s="47"/>
      <c r="R142" s="50"/>
      <c r="S142" s="50"/>
      <c r="T142" s="47"/>
      <c r="U142" s="47"/>
      <c r="V142" s="47"/>
      <c r="W142" s="47"/>
      <c r="X142" s="47"/>
      <c r="Y142" s="47"/>
      <c r="Z142" s="47"/>
      <c r="AA142" s="47"/>
      <c r="AB142" s="47"/>
      <c r="AC142" s="47"/>
      <c r="AD142" s="47"/>
      <c r="AE142" s="47"/>
      <c r="AF142" s="47"/>
      <c r="AG142" s="47"/>
      <c r="AH142" s="47"/>
      <c r="AI142" s="47"/>
    </row>
    <row r="143" spans="1:35" ht="60" customHeight="1" x14ac:dyDescent="0.2">
      <c r="A143" s="57"/>
      <c r="B143" s="47"/>
      <c r="C143" s="47"/>
      <c r="D143" s="47"/>
      <c r="E143" s="47"/>
      <c r="F143" s="47"/>
      <c r="G143" s="47"/>
      <c r="H143" s="47"/>
      <c r="I143" s="47"/>
      <c r="J143" s="63"/>
      <c r="K143" s="47"/>
      <c r="L143" s="47"/>
      <c r="M143" s="47"/>
      <c r="N143" s="47"/>
      <c r="O143" s="47"/>
      <c r="P143" s="47"/>
      <c r="Q143" s="47"/>
      <c r="R143" s="50"/>
      <c r="S143" s="50"/>
      <c r="T143" s="47"/>
      <c r="U143" s="47"/>
      <c r="V143" s="47"/>
      <c r="W143" s="47"/>
      <c r="X143" s="47"/>
      <c r="Y143" s="47"/>
      <c r="Z143" s="47"/>
      <c r="AA143" s="47"/>
      <c r="AB143" s="47"/>
      <c r="AC143" s="47"/>
      <c r="AD143" s="47"/>
      <c r="AE143" s="47"/>
      <c r="AF143" s="47"/>
      <c r="AG143" s="47"/>
      <c r="AH143" s="47"/>
      <c r="AI143" s="47"/>
    </row>
    <row r="144" spans="1:35" ht="60" customHeight="1" x14ac:dyDescent="0.2">
      <c r="A144" s="57"/>
      <c r="B144" s="47"/>
      <c r="C144" s="47"/>
      <c r="D144" s="47"/>
      <c r="E144" s="47"/>
      <c r="F144" s="47"/>
      <c r="G144" s="47"/>
      <c r="H144" s="47"/>
      <c r="I144" s="47"/>
      <c r="J144" s="63"/>
      <c r="K144" s="47"/>
      <c r="L144" s="47"/>
      <c r="M144" s="47"/>
      <c r="N144" s="47"/>
      <c r="O144" s="47"/>
      <c r="P144" s="47"/>
      <c r="Q144" s="47"/>
      <c r="R144" s="20"/>
      <c r="S144" s="50"/>
      <c r="T144" s="47"/>
      <c r="U144" s="47"/>
      <c r="V144" s="47"/>
      <c r="W144" s="47"/>
      <c r="X144" s="47"/>
      <c r="Y144" s="47"/>
      <c r="Z144" s="47"/>
      <c r="AA144" s="47"/>
      <c r="AB144" s="47"/>
      <c r="AC144" s="47"/>
      <c r="AD144" s="47"/>
      <c r="AE144" s="47"/>
      <c r="AF144" s="47"/>
      <c r="AG144" s="47"/>
      <c r="AH144" s="47"/>
      <c r="AI144" s="47"/>
    </row>
    <row r="145" spans="1:35" ht="60" customHeight="1" x14ac:dyDescent="0.2">
      <c r="A145" s="57"/>
      <c r="B145" s="47"/>
      <c r="C145" s="47"/>
      <c r="D145" s="47"/>
      <c r="E145" s="47"/>
      <c r="F145" s="47"/>
      <c r="G145" s="47"/>
      <c r="H145" s="47"/>
      <c r="I145" s="47"/>
      <c r="J145" s="47"/>
      <c r="K145" s="47"/>
      <c r="L145" s="47"/>
      <c r="M145" s="47"/>
      <c r="N145" s="47"/>
      <c r="O145" s="47"/>
      <c r="P145" s="47"/>
      <c r="Q145" s="47"/>
      <c r="R145" s="20"/>
      <c r="S145" s="20"/>
      <c r="T145" s="47"/>
      <c r="U145" s="47"/>
      <c r="V145" s="47"/>
      <c r="W145" s="47"/>
      <c r="X145" s="47"/>
      <c r="Y145" s="47"/>
      <c r="Z145" s="47"/>
      <c r="AA145" s="47"/>
      <c r="AB145" s="47"/>
      <c r="AC145" s="47"/>
      <c r="AD145" s="47"/>
      <c r="AE145" s="47"/>
      <c r="AF145" s="47"/>
      <c r="AG145" s="47"/>
      <c r="AH145" s="47"/>
      <c r="AI145" s="47"/>
    </row>
    <row r="146" spans="1:35" ht="60" customHeight="1" x14ac:dyDescent="0.2">
      <c r="A146" s="57"/>
      <c r="B146" s="47"/>
      <c r="C146" s="47"/>
      <c r="D146" s="47"/>
      <c r="E146" s="47"/>
      <c r="F146" s="47"/>
      <c r="G146" s="47"/>
      <c r="H146" s="47"/>
      <c r="I146" s="47"/>
      <c r="J146" s="47"/>
      <c r="K146" s="47"/>
      <c r="L146" s="47"/>
      <c r="M146" s="47"/>
      <c r="N146" s="47"/>
      <c r="O146" s="47"/>
      <c r="P146" s="47"/>
      <c r="Q146" s="47"/>
      <c r="R146" s="50"/>
      <c r="S146" s="50"/>
      <c r="T146" s="50"/>
      <c r="U146" s="50"/>
      <c r="V146" s="47"/>
      <c r="W146" s="47"/>
      <c r="X146" s="47"/>
      <c r="Y146" s="47"/>
      <c r="Z146" s="47"/>
      <c r="AA146" s="47"/>
      <c r="AB146" s="47"/>
      <c r="AC146" s="47"/>
      <c r="AD146" s="47"/>
      <c r="AE146" s="47"/>
      <c r="AF146" s="47"/>
      <c r="AG146" s="47"/>
      <c r="AH146" s="47"/>
      <c r="AI146" s="47"/>
    </row>
    <row r="147" spans="1:35" ht="60" customHeight="1" x14ac:dyDescent="0.2">
      <c r="A147" s="57"/>
      <c r="B147" s="47"/>
      <c r="C147" s="47"/>
      <c r="D147" s="47"/>
      <c r="E147" s="47"/>
      <c r="F147" s="47"/>
      <c r="G147" s="47"/>
      <c r="H147" s="47"/>
      <c r="I147" s="47"/>
      <c r="J147" s="47"/>
      <c r="K147" s="47"/>
      <c r="L147" s="47"/>
      <c r="M147" s="47"/>
      <c r="N147" s="47"/>
      <c r="O147" s="47"/>
      <c r="P147" s="47"/>
      <c r="Q147" s="47"/>
      <c r="R147" s="50"/>
      <c r="S147" s="47"/>
      <c r="T147" s="47"/>
      <c r="U147" s="47"/>
      <c r="V147" s="47"/>
      <c r="W147" s="47"/>
      <c r="X147" s="47"/>
      <c r="Y147" s="47"/>
      <c r="Z147" s="47"/>
      <c r="AA147" s="47"/>
      <c r="AB147" s="47"/>
      <c r="AC147" s="47"/>
      <c r="AD147" s="47"/>
      <c r="AE147" s="47"/>
      <c r="AF147" s="47"/>
      <c r="AG147" s="47"/>
      <c r="AH147" s="47"/>
      <c r="AI147" s="47"/>
    </row>
    <row r="148" spans="1:35" ht="60" customHeight="1" x14ac:dyDescent="0.2">
      <c r="A148" s="57"/>
      <c r="B148" s="47"/>
      <c r="C148" s="47"/>
      <c r="D148" s="47"/>
      <c r="E148" s="47"/>
      <c r="F148" s="47"/>
      <c r="G148" s="47"/>
      <c r="H148" s="47"/>
      <c r="I148" s="47"/>
      <c r="J148" s="47"/>
      <c r="K148" s="47"/>
      <c r="L148" s="47"/>
      <c r="M148" s="47"/>
      <c r="N148" s="47"/>
      <c r="O148" s="47"/>
      <c r="P148" s="47"/>
      <c r="Q148" s="47"/>
      <c r="R148" s="50"/>
      <c r="S148" s="47"/>
      <c r="T148" s="47"/>
      <c r="U148" s="47"/>
      <c r="V148" s="47"/>
      <c r="W148" s="47"/>
      <c r="X148" s="47"/>
      <c r="Y148" s="47"/>
      <c r="Z148" s="47"/>
      <c r="AA148" s="47"/>
      <c r="AB148" s="47"/>
      <c r="AC148" s="47"/>
      <c r="AD148" s="47"/>
      <c r="AE148" s="47"/>
      <c r="AF148" s="47"/>
      <c r="AG148" s="47"/>
      <c r="AH148" s="47"/>
      <c r="AI148" s="47"/>
    </row>
    <row r="149" spans="1:35" ht="60" customHeight="1" x14ac:dyDescent="0.2">
      <c r="A149" s="57"/>
      <c r="B149" s="47"/>
      <c r="C149" s="47"/>
      <c r="D149" s="47"/>
      <c r="E149" s="47"/>
      <c r="F149" s="47"/>
      <c r="G149" s="47"/>
      <c r="H149" s="47"/>
      <c r="I149" s="47"/>
      <c r="J149" s="47"/>
      <c r="K149" s="47"/>
      <c r="L149" s="47"/>
      <c r="M149" s="47"/>
      <c r="N149" s="47"/>
      <c r="O149" s="47"/>
      <c r="P149" s="47"/>
      <c r="Q149" s="47"/>
      <c r="R149" s="50"/>
      <c r="S149" s="50"/>
      <c r="T149" s="47"/>
      <c r="U149" s="47"/>
      <c r="V149" s="47"/>
      <c r="W149" s="47"/>
      <c r="X149" s="47"/>
      <c r="Y149" s="47"/>
      <c r="Z149" s="47"/>
      <c r="AA149" s="47"/>
      <c r="AB149" s="47"/>
      <c r="AC149" s="47"/>
      <c r="AD149" s="47"/>
      <c r="AE149" s="47"/>
      <c r="AF149" s="47"/>
      <c r="AG149" s="47"/>
      <c r="AH149" s="47"/>
      <c r="AI149" s="47"/>
    </row>
    <row r="150" spans="1:35" ht="60" customHeight="1" x14ac:dyDescent="0.2">
      <c r="A150" s="57"/>
      <c r="B150" s="47"/>
      <c r="C150" s="47"/>
      <c r="D150" s="47"/>
      <c r="E150" s="47"/>
      <c r="F150" s="47"/>
      <c r="G150" s="47"/>
      <c r="H150" s="47"/>
      <c r="I150" s="47"/>
      <c r="J150" s="47"/>
      <c r="K150" s="47"/>
      <c r="L150" s="47"/>
      <c r="M150" s="47"/>
      <c r="N150" s="47"/>
      <c r="O150" s="47"/>
      <c r="P150" s="47"/>
      <c r="Q150" s="47"/>
      <c r="R150" s="50"/>
      <c r="S150" s="50"/>
      <c r="T150" s="47"/>
      <c r="U150" s="47"/>
      <c r="V150" s="47"/>
      <c r="W150" s="47"/>
      <c r="X150" s="47"/>
      <c r="Y150" s="47"/>
      <c r="Z150" s="47"/>
      <c r="AA150" s="47"/>
      <c r="AB150" s="47"/>
      <c r="AC150" s="47"/>
      <c r="AD150" s="47"/>
      <c r="AE150" s="47"/>
      <c r="AF150" s="47"/>
      <c r="AG150" s="47"/>
      <c r="AH150" s="47"/>
      <c r="AI150" s="47"/>
    </row>
    <row r="151" spans="1:35" ht="60" customHeight="1" x14ac:dyDescent="0.2">
      <c r="A151" s="57"/>
      <c r="B151" s="47"/>
      <c r="C151" s="47"/>
      <c r="D151" s="47"/>
      <c r="E151" s="47"/>
      <c r="F151" s="47"/>
      <c r="G151" s="47"/>
      <c r="H151" s="47"/>
      <c r="I151" s="47"/>
      <c r="J151" s="47"/>
      <c r="K151" s="47"/>
      <c r="L151" s="47"/>
      <c r="M151" s="47"/>
      <c r="N151" s="47"/>
      <c r="O151" s="47"/>
      <c r="P151" s="47"/>
      <c r="Q151" s="47"/>
      <c r="R151" s="50"/>
      <c r="S151" s="47"/>
      <c r="T151" s="47"/>
      <c r="U151" s="47"/>
      <c r="V151" s="47"/>
      <c r="W151" s="47"/>
      <c r="X151" s="47"/>
      <c r="Y151" s="47"/>
      <c r="Z151" s="47"/>
      <c r="AA151" s="47"/>
      <c r="AB151" s="47"/>
      <c r="AC151" s="47"/>
      <c r="AD151" s="47"/>
      <c r="AE151" s="47"/>
      <c r="AF151" s="47"/>
      <c r="AG151" s="47"/>
      <c r="AH151" s="47"/>
      <c r="AI151" s="47"/>
    </row>
    <row r="152" spans="1:35" ht="60" customHeight="1" x14ac:dyDescent="0.2">
      <c r="A152" s="57"/>
      <c r="B152" s="47"/>
      <c r="C152" s="47"/>
      <c r="D152" s="47"/>
      <c r="E152" s="47"/>
      <c r="F152" s="47"/>
      <c r="G152" s="47"/>
      <c r="H152" s="47"/>
      <c r="I152" s="47"/>
      <c r="J152" s="47"/>
      <c r="K152" s="47"/>
      <c r="L152" s="47"/>
      <c r="M152" s="47"/>
      <c r="N152" s="47"/>
      <c r="O152" s="47"/>
      <c r="P152" s="47"/>
      <c r="Q152" s="47"/>
      <c r="R152" s="50"/>
      <c r="S152" s="50"/>
      <c r="T152" s="47"/>
      <c r="U152" s="47"/>
      <c r="V152" s="47"/>
      <c r="W152" s="47"/>
      <c r="X152" s="47"/>
      <c r="Y152" s="47"/>
      <c r="Z152" s="47"/>
      <c r="AA152" s="47"/>
      <c r="AB152" s="47"/>
      <c r="AC152" s="47"/>
      <c r="AD152" s="47"/>
      <c r="AE152" s="47"/>
      <c r="AF152" s="47"/>
      <c r="AG152" s="47"/>
      <c r="AH152" s="47"/>
      <c r="AI152" s="47"/>
    </row>
    <row r="153" spans="1:35" ht="60" customHeight="1" x14ac:dyDescent="0.2">
      <c r="A153" s="57"/>
      <c r="B153" s="47"/>
      <c r="C153" s="47"/>
      <c r="D153" s="47"/>
      <c r="E153" s="47"/>
      <c r="F153" s="47"/>
      <c r="G153" s="47"/>
      <c r="H153" s="47"/>
      <c r="I153" s="47"/>
      <c r="J153" s="47"/>
      <c r="K153" s="47"/>
      <c r="L153" s="47"/>
      <c r="M153" s="47"/>
      <c r="N153" s="47"/>
      <c r="O153" s="47"/>
      <c r="P153" s="47"/>
      <c r="Q153" s="47"/>
      <c r="R153" s="50"/>
      <c r="S153" s="47"/>
      <c r="T153" s="47"/>
      <c r="U153" s="47"/>
      <c r="V153" s="47"/>
      <c r="W153" s="47"/>
      <c r="X153" s="47"/>
      <c r="Y153" s="47"/>
      <c r="Z153" s="47"/>
      <c r="AA153" s="47"/>
      <c r="AB153" s="47"/>
      <c r="AC153" s="47"/>
      <c r="AD153" s="47"/>
      <c r="AE153" s="47"/>
      <c r="AF153" s="47"/>
      <c r="AG153" s="47"/>
      <c r="AH153" s="47"/>
      <c r="AI153" s="47"/>
    </row>
    <row r="154" spans="1:35" ht="60" customHeight="1" x14ac:dyDescent="0.2">
      <c r="A154" s="57"/>
      <c r="B154" s="47"/>
      <c r="C154" s="47"/>
      <c r="D154" s="47"/>
      <c r="E154" s="47"/>
      <c r="F154" s="47"/>
      <c r="G154" s="47"/>
      <c r="H154" s="47"/>
      <c r="I154" s="47"/>
      <c r="J154" s="47"/>
      <c r="K154" s="47"/>
      <c r="L154" s="47"/>
      <c r="M154" s="47"/>
      <c r="N154" s="47"/>
      <c r="O154" s="47"/>
      <c r="P154" s="47"/>
      <c r="Q154" s="47"/>
      <c r="R154" s="50"/>
      <c r="S154" s="47"/>
      <c r="T154" s="47"/>
      <c r="U154" s="47"/>
      <c r="V154" s="47"/>
      <c r="W154" s="47"/>
      <c r="X154" s="47"/>
      <c r="Y154" s="47"/>
      <c r="Z154" s="47"/>
      <c r="AA154" s="47"/>
      <c r="AB154" s="47"/>
      <c r="AC154" s="47"/>
      <c r="AD154" s="47"/>
      <c r="AE154" s="47"/>
      <c r="AF154" s="47"/>
      <c r="AG154" s="47"/>
      <c r="AH154" s="47"/>
      <c r="AI154" s="47"/>
    </row>
    <row r="155" spans="1:35" ht="60" customHeight="1" x14ac:dyDescent="0.2">
      <c r="A155" s="57"/>
      <c r="B155" s="47"/>
      <c r="C155" s="47"/>
      <c r="D155" s="47"/>
      <c r="E155" s="47"/>
      <c r="F155" s="47"/>
      <c r="G155" s="47"/>
      <c r="H155" s="47"/>
      <c r="I155" s="47"/>
      <c r="J155" s="47"/>
      <c r="K155" s="47"/>
      <c r="L155" s="47"/>
      <c r="M155" s="47"/>
      <c r="N155" s="47"/>
      <c r="O155" s="47"/>
      <c r="P155" s="47"/>
      <c r="Q155" s="47"/>
      <c r="R155" s="50"/>
      <c r="S155" s="50"/>
      <c r="T155" s="47"/>
      <c r="U155" s="47"/>
      <c r="V155" s="47"/>
      <c r="W155" s="47"/>
      <c r="X155" s="47"/>
      <c r="Y155" s="47"/>
      <c r="Z155" s="47"/>
      <c r="AA155" s="47"/>
      <c r="AB155" s="47"/>
      <c r="AC155" s="47"/>
      <c r="AD155" s="47"/>
      <c r="AE155" s="47"/>
      <c r="AF155" s="47"/>
      <c r="AG155" s="47"/>
      <c r="AH155" s="47"/>
      <c r="AI155" s="47"/>
    </row>
    <row r="156" spans="1:35" ht="60" customHeight="1" x14ac:dyDescent="0.2">
      <c r="A156" s="57"/>
      <c r="B156" s="47"/>
      <c r="C156" s="47"/>
      <c r="D156" s="47"/>
      <c r="E156" s="47"/>
      <c r="F156" s="47"/>
      <c r="G156" s="47"/>
      <c r="H156" s="47"/>
      <c r="I156" s="47"/>
      <c r="J156" s="47"/>
      <c r="K156" s="47"/>
      <c r="L156" s="47"/>
      <c r="M156" s="47"/>
      <c r="N156" s="47"/>
      <c r="O156" s="47"/>
      <c r="P156" s="47"/>
      <c r="Q156" s="47"/>
      <c r="R156" s="50"/>
      <c r="S156" s="47"/>
      <c r="T156" s="47"/>
      <c r="U156" s="47"/>
      <c r="V156" s="47"/>
      <c r="W156" s="47"/>
      <c r="X156" s="47"/>
      <c r="Y156" s="47"/>
      <c r="Z156" s="47"/>
      <c r="AA156" s="47"/>
      <c r="AB156" s="47"/>
      <c r="AC156" s="47"/>
      <c r="AD156" s="47"/>
      <c r="AE156" s="47"/>
      <c r="AF156" s="47"/>
      <c r="AG156" s="47"/>
      <c r="AH156" s="47"/>
      <c r="AI156" s="47"/>
    </row>
    <row r="157" spans="1:35" ht="60" customHeight="1" x14ac:dyDescent="0.2">
      <c r="A157" s="57"/>
      <c r="B157" s="47"/>
      <c r="C157" s="47"/>
      <c r="D157" s="47"/>
      <c r="E157" s="47"/>
      <c r="F157" s="47"/>
      <c r="G157" s="47"/>
      <c r="H157" s="47"/>
      <c r="I157" s="47"/>
      <c r="J157" s="47"/>
      <c r="K157" s="47"/>
      <c r="L157" s="47"/>
      <c r="M157" s="47"/>
      <c r="N157" s="47"/>
      <c r="O157" s="47"/>
      <c r="P157" s="47"/>
      <c r="Q157" s="47"/>
      <c r="R157" s="50"/>
      <c r="S157" s="50"/>
      <c r="T157" s="47"/>
      <c r="U157" s="47"/>
      <c r="V157" s="47"/>
      <c r="W157" s="47"/>
      <c r="X157" s="47"/>
      <c r="Y157" s="47"/>
      <c r="Z157" s="47"/>
      <c r="AA157" s="47"/>
      <c r="AB157" s="47"/>
      <c r="AC157" s="47"/>
      <c r="AD157" s="47"/>
      <c r="AE157" s="47"/>
      <c r="AF157" s="47"/>
      <c r="AG157" s="47"/>
      <c r="AH157" s="47"/>
      <c r="AI157" s="47"/>
    </row>
    <row r="158" spans="1:35" ht="60" customHeight="1" x14ac:dyDescent="0.2">
      <c r="A158" s="57"/>
      <c r="B158" s="47"/>
      <c r="C158" s="47"/>
      <c r="D158" s="47"/>
      <c r="E158" s="47"/>
      <c r="F158" s="47"/>
      <c r="G158" s="47"/>
      <c r="H158" s="47"/>
      <c r="I158" s="47"/>
      <c r="J158" s="47"/>
      <c r="K158" s="47"/>
      <c r="L158" s="47"/>
      <c r="M158" s="47"/>
      <c r="N158" s="47"/>
      <c r="O158" s="47"/>
      <c r="P158" s="47"/>
      <c r="Q158" s="47"/>
      <c r="R158" s="50"/>
      <c r="S158" s="50"/>
      <c r="T158" s="47"/>
      <c r="U158" s="47"/>
      <c r="V158" s="47"/>
      <c r="W158" s="47"/>
      <c r="X158" s="47"/>
      <c r="Y158" s="47"/>
      <c r="Z158" s="47"/>
      <c r="AA158" s="47"/>
      <c r="AB158" s="47"/>
      <c r="AC158" s="47"/>
      <c r="AD158" s="47"/>
      <c r="AE158" s="47"/>
      <c r="AF158" s="47"/>
      <c r="AG158" s="47"/>
      <c r="AH158" s="47"/>
      <c r="AI158" s="47"/>
    </row>
    <row r="159" spans="1:35" ht="60" customHeight="1" x14ac:dyDescent="0.2">
      <c r="A159" s="57"/>
      <c r="B159" s="47"/>
      <c r="C159" s="47"/>
      <c r="D159" s="47"/>
      <c r="E159" s="47"/>
      <c r="F159" s="47"/>
      <c r="G159" s="47"/>
      <c r="H159" s="47"/>
      <c r="I159" s="47"/>
      <c r="J159" s="47"/>
      <c r="K159" s="47"/>
      <c r="L159" s="47"/>
      <c r="M159" s="47"/>
      <c r="N159" s="47"/>
      <c r="O159" s="47"/>
      <c r="P159" s="47"/>
      <c r="Q159" s="47"/>
      <c r="R159" s="50"/>
      <c r="S159" s="47"/>
      <c r="T159" s="47"/>
      <c r="U159" s="47"/>
      <c r="V159" s="47"/>
      <c r="W159" s="47"/>
      <c r="X159" s="47"/>
      <c r="Y159" s="47"/>
      <c r="Z159" s="47"/>
      <c r="AA159" s="47"/>
      <c r="AB159" s="47"/>
      <c r="AC159" s="47"/>
      <c r="AD159" s="47"/>
      <c r="AE159" s="47"/>
      <c r="AF159" s="47"/>
      <c r="AG159" s="47"/>
      <c r="AH159" s="47"/>
      <c r="AI159" s="47"/>
    </row>
    <row r="160" spans="1:35" ht="60" customHeight="1" x14ac:dyDescent="0.2">
      <c r="A160" s="57"/>
      <c r="B160" s="47"/>
      <c r="C160" s="47"/>
      <c r="D160" s="47"/>
      <c r="E160" s="47"/>
      <c r="F160" s="47"/>
      <c r="G160" s="47"/>
      <c r="H160" s="47"/>
      <c r="I160" s="47"/>
      <c r="J160" s="47"/>
      <c r="K160" s="47"/>
      <c r="L160" s="47"/>
      <c r="M160" s="47"/>
      <c r="N160" s="47"/>
      <c r="O160" s="47"/>
      <c r="P160" s="47"/>
      <c r="Q160" s="47"/>
      <c r="R160" s="50"/>
      <c r="S160" s="47"/>
      <c r="T160" s="47"/>
      <c r="U160" s="47"/>
      <c r="V160" s="47"/>
      <c r="W160" s="47"/>
      <c r="X160" s="47"/>
      <c r="Y160" s="47"/>
      <c r="Z160" s="47"/>
      <c r="AA160" s="47"/>
      <c r="AB160" s="47"/>
      <c r="AC160" s="47"/>
      <c r="AD160" s="47"/>
      <c r="AE160" s="47"/>
      <c r="AF160" s="47"/>
      <c r="AG160" s="47"/>
      <c r="AH160" s="47"/>
      <c r="AI160" s="47"/>
    </row>
    <row r="161" spans="1:35" ht="60" customHeight="1" x14ac:dyDescent="0.2">
      <c r="A161" s="57"/>
      <c r="B161" s="47"/>
      <c r="C161" s="47"/>
      <c r="D161" s="47"/>
      <c r="E161" s="47"/>
      <c r="F161" s="47"/>
      <c r="G161" s="47"/>
      <c r="H161" s="47"/>
      <c r="I161" s="47"/>
      <c r="J161" s="47"/>
      <c r="K161" s="47"/>
      <c r="L161" s="47"/>
      <c r="M161" s="47"/>
      <c r="N161" s="47"/>
      <c r="O161" s="47"/>
      <c r="P161" s="47"/>
      <c r="Q161" s="47"/>
      <c r="R161" s="50"/>
      <c r="S161" s="50"/>
      <c r="T161" s="47"/>
      <c r="U161" s="47"/>
      <c r="V161" s="47"/>
      <c r="W161" s="47"/>
      <c r="X161" s="47"/>
      <c r="Y161" s="47"/>
      <c r="Z161" s="47"/>
      <c r="AA161" s="47"/>
      <c r="AB161" s="47"/>
      <c r="AC161" s="47"/>
      <c r="AD161" s="47"/>
      <c r="AE161" s="47"/>
      <c r="AF161" s="47"/>
      <c r="AG161" s="47"/>
      <c r="AH161" s="47"/>
      <c r="AI161" s="47"/>
    </row>
    <row r="162" spans="1:35" ht="60" customHeight="1" x14ac:dyDescent="0.2">
      <c r="A162" s="57"/>
      <c r="B162" s="47"/>
      <c r="C162" s="47"/>
      <c r="D162" s="47"/>
      <c r="E162" s="47"/>
      <c r="F162" s="47"/>
      <c r="G162" s="47"/>
      <c r="H162" s="47"/>
      <c r="I162" s="47"/>
      <c r="J162" s="47"/>
      <c r="K162" s="47"/>
      <c r="L162" s="47"/>
      <c r="M162" s="47"/>
      <c r="N162" s="47"/>
      <c r="O162" s="47"/>
      <c r="P162" s="47"/>
      <c r="Q162" s="47"/>
      <c r="R162" s="50"/>
      <c r="S162" s="62"/>
      <c r="T162" s="62"/>
      <c r="U162" s="47"/>
      <c r="V162" s="47"/>
      <c r="W162" s="47"/>
      <c r="X162" s="47"/>
      <c r="Y162" s="47"/>
      <c r="Z162" s="47"/>
      <c r="AA162" s="47"/>
      <c r="AB162" s="47"/>
      <c r="AC162" s="47"/>
      <c r="AD162" s="47"/>
      <c r="AE162" s="47"/>
      <c r="AF162" s="47"/>
      <c r="AG162" s="47"/>
      <c r="AH162" s="47"/>
      <c r="AI162" s="47"/>
    </row>
    <row r="163" spans="1:35" ht="60" customHeight="1" x14ac:dyDescent="0.2">
      <c r="A163" s="57"/>
      <c r="B163" s="47"/>
      <c r="C163" s="47"/>
      <c r="D163" s="47"/>
      <c r="E163" s="47"/>
      <c r="F163" s="47"/>
      <c r="G163" s="47"/>
      <c r="H163" s="47"/>
      <c r="I163" s="47"/>
      <c r="J163" s="47"/>
      <c r="K163" s="47"/>
      <c r="L163" s="47"/>
      <c r="M163" s="47"/>
      <c r="N163" s="47"/>
      <c r="O163" s="47"/>
      <c r="P163" s="47"/>
      <c r="Q163" s="47"/>
      <c r="R163" s="50"/>
      <c r="S163" s="47"/>
      <c r="T163" s="47"/>
      <c r="U163" s="47"/>
      <c r="V163" s="47"/>
      <c r="W163" s="47"/>
      <c r="X163" s="47"/>
      <c r="Y163" s="47"/>
      <c r="Z163" s="47"/>
      <c r="AA163" s="47"/>
      <c r="AB163" s="47"/>
      <c r="AC163" s="47"/>
      <c r="AD163" s="47"/>
      <c r="AE163" s="47"/>
      <c r="AF163" s="47"/>
      <c r="AG163" s="47"/>
      <c r="AH163" s="47"/>
      <c r="AI163" s="47"/>
    </row>
    <row r="164" spans="1:35" ht="60" customHeight="1" x14ac:dyDescent="0.2">
      <c r="A164" s="57"/>
      <c r="B164" s="47"/>
      <c r="C164" s="47"/>
      <c r="D164" s="47"/>
      <c r="E164" s="47"/>
      <c r="F164" s="47"/>
      <c r="G164" s="47"/>
      <c r="H164" s="47"/>
      <c r="I164" s="47"/>
      <c r="J164" s="47"/>
      <c r="K164" s="47"/>
      <c r="L164" s="47"/>
      <c r="M164" s="47"/>
      <c r="N164" s="47"/>
      <c r="O164" s="47"/>
      <c r="P164" s="47"/>
      <c r="Q164" s="47"/>
      <c r="R164" s="50"/>
      <c r="S164" s="20"/>
      <c r="T164" s="47"/>
      <c r="U164" s="47"/>
      <c r="V164" s="47"/>
      <c r="W164" s="47"/>
      <c r="X164" s="47"/>
      <c r="Y164" s="47"/>
      <c r="Z164" s="47"/>
      <c r="AA164" s="47"/>
      <c r="AB164" s="47"/>
      <c r="AC164" s="47"/>
      <c r="AD164" s="47"/>
      <c r="AE164" s="47"/>
      <c r="AF164" s="47"/>
      <c r="AG164" s="47"/>
      <c r="AH164" s="47"/>
      <c r="AI164" s="47"/>
    </row>
    <row r="165" spans="1:35" ht="60" customHeight="1" x14ac:dyDescent="0.2">
      <c r="A165" s="57"/>
      <c r="B165" s="47"/>
      <c r="C165" s="47"/>
      <c r="D165" s="47"/>
      <c r="E165" s="47"/>
      <c r="F165" s="47"/>
      <c r="G165" s="47"/>
      <c r="H165" s="47"/>
      <c r="I165" s="47"/>
      <c r="J165" s="47"/>
      <c r="K165" s="47"/>
      <c r="L165" s="47"/>
      <c r="M165" s="47"/>
      <c r="N165" s="47"/>
      <c r="O165" s="47"/>
      <c r="P165" s="47"/>
      <c r="Q165" s="47"/>
      <c r="R165" s="50"/>
      <c r="S165" s="61"/>
      <c r="T165" s="47"/>
      <c r="U165" s="47"/>
      <c r="V165" s="47"/>
      <c r="W165" s="47"/>
      <c r="X165" s="47"/>
      <c r="Y165" s="47"/>
      <c r="Z165" s="47"/>
      <c r="AA165" s="47"/>
      <c r="AB165" s="47"/>
      <c r="AC165" s="47"/>
      <c r="AD165" s="47"/>
      <c r="AE165" s="47"/>
      <c r="AF165" s="47"/>
      <c r="AG165" s="47"/>
      <c r="AH165" s="47"/>
      <c r="AI165" s="47"/>
    </row>
    <row r="166" spans="1:35" ht="60" customHeight="1" x14ac:dyDescent="0.2">
      <c r="A166" s="57"/>
      <c r="B166" s="47"/>
      <c r="C166" s="47"/>
      <c r="D166" s="47"/>
      <c r="E166" s="47"/>
      <c r="F166" s="47"/>
      <c r="G166" s="47"/>
      <c r="H166" s="47"/>
      <c r="I166" s="47"/>
      <c r="J166" s="47"/>
      <c r="K166" s="47"/>
      <c r="L166" s="47"/>
      <c r="M166" s="47"/>
      <c r="N166" s="47"/>
      <c r="O166" s="47"/>
      <c r="P166" s="47"/>
      <c r="Q166" s="47"/>
      <c r="R166" s="50"/>
      <c r="S166" s="50"/>
      <c r="T166" s="47"/>
      <c r="U166" s="47"/>
      <c r="V166" s="47"/>
      <c r="W166" s="47"/>
      <c r="X166" s="47"/>
      <c r="Y166" s="47"/>
      <c r="Z166" s="47"/>
      <c r="AA166" s="47"/>
      <c r="AB166" s="47"/>
      <c r="AC166" s="47"/>
      <c r="AD166" s="47"/>
      <c r="AE166" s="47"/>
      <c r="AF166" s="47"/>
      <c r="AG166" s="47"/>
      <c r="AH166" s="47"/>
      <c r="AI166" s="47"/>
    </row>
    <row r="167" spans="1:35" ht="60" customHeight="1" x14ac:dyDescent="0.2">
      <c r="A167" s="57"/>
      <c r="B167" s="47"/>
      <c r="C167" s="47"/>
      <c r="D167" s="47"/>
      <c r="E167" s="47"/>
      <c r="F167" s="47"/>
      <c r="G167" s="47"/>
      <c r="H167" s="47"/>
      <c r="I167" s="47"/>
      <c r="J167" s="47"/>
      <c r="K167" s="47"/>
      <c r="L167" s="47"/>
      <c r="M167" s="47"/>
      <c r="N167" s="47"/>
      <c r="O167" s="47"/>
      <c r="P167" s="47"/>
      <c r="Q167" s="47"/>
      <c r="R167" s="50"/>
      <c r="S167" s="50"/>
      <c r="T167" s="47"/>
      <c r="U167" s="47"/>
      <c r="V167" s="47"/>
      <c r="W167" s="47"/>
      <c r="X167" s="47"/>
      <c r="Y167" s="47"/>
      <c r="Z167" s="47"/>
      <c r="AA167" s="47"/>
      <c r="AB167" s="47"/>
      <c r="AC167" s="47"/>
      <c r="AD167" s="47"/>
      <c r="AE167" s="47"/>
      <c r="AF167" s="47"/>
      <c r="AG167" s="47"/>
      <c r="AH167" s="47"/>
      <c r="AI167" s="47"/>
    </row>
    <row r="168" spans="1:35" ht="60" customHeight="1" x14ac:dyDescent="0.2">
      <c r="A168" s="57"/>
      <c r="B168" s="47"/>
      <c r="C168" s="47"/>
      <c r="D168" s="47"/>
      <c r="E168" s="47"/>
      <c r="F168" s="47"/>
      <c r="G168" s="47"/>
      <c r="H168" s="47"/>
      <c r="I168" s="47"/>
      <c r="J168" s="47"/>
      <c r="K168" s="47"/>
      <c r="L168" s="47"/>
      <c r="M168" s="47"/>
      <c r="N168" s="47"/>
      <c r="O168" s="47"/>
      <c r="P168" s="47"/>
      <c r="Q168" s="47"/>
      <c r="R168" s="50"/>
      <c r="S168" s="50"/>
      <c r="T168" s="47"/>
      <c r="U168" s="47"/>
      <c r="V168" s="47"/>
      <c r="W168" s="47"/>
      <c r="X168" s="47"/>
      <c r="Y168" s="47"/>
      <c r="Z168" s="47"/>
      <c r="AA168" s="47"/>
      <c r="AB168" s="47"/>
      <c r="AC168" s="47"/>
      <c r="AD168" s="47"/>
      <c r="AE168" s="47"/>
      <c r="AF168" s="47"/>
      <c r="AG168" s="47"/>
      <c r="AH168" s="47"/>
      <c r="AI168" s="47"/>
    </row>
    <row r="169" spans="1:35" ht="60" customHeight="1" x14ac:dyDescent="0.2">
      <c r="A169" s="57"/>
      <c r="B169" s="47"/>
      <c r="C169" s="47"/>
      <c r="D169" s="47"/>
      <c r="E169" s="47"/>
      <c r="F169" s="47"/>
      <c r="G169" s="47"/>
      <c r="H169" s="47"/>
      <c r="I169" s="47"/>
      <c r="J169" s="47"/>
      <c r="K169" s="47"/>
      <c r="L169" s="47"/>
      <c r="M169" s="47"/>
      <c r="N169" s="47"/>
      <c r="O169" s="47"/>
      <c r="P169" s="67"/>
      <c r="Q169" s="47"/>
      <c r="R169" s="50"/>
      <c r="S169" s="47"/>
      <c r="T169" s="47"/>
      <c r="U169" s="47"/>
      <c r="V169" s="47"/>
      <c r="W169" s="47"/>
      <c r="X169" s="47"/>
      <c r="Y169" s="47"/>
      <c r="Z169" s="47"/>
      <c r="AA169" s="47"/>
      <c r="AB169" s="47"/>
      <c r="AC169" s="47"/>
      <c r="AD169" s="47"/>
      <c r="AE169" s="47"/>
      <c r="AF169" s="47"/>
      <c r="AG169" s="47"/>
      <c r="AH169" s="47"/>
      <c r="AI169" s="47"/>
    </row>
    <row r="170" spans="1:35" ht="60" customHeight="1" x14ac:dyDescent="0.2">
      <c r="A170" s="57"/>
      <c r="B170" s="47"/>
      <c r="C170" s="47"/>
      <c r="D170" s="47"/>
      <c r="E170" s="47"/>
      <c r="F170" s="47"/>
      <c r="G170" s="47"/>
      <c r="H170" s="47"/>
      <c r="I170" s="47"/>
      <c r="J170" s="47"/>
      <c r="K170" s="47"/>
      <c r="L170" s="47"/>
      <c r="M170" s="47"/>
      <c r="N170" s="47"/>
      <c r="O170" s="47"/>
      <c r="P170" s="47"/>
      <c r="Q170" s="47"/>
      <c r="R170" s="50"/>
      <c r="S170" s="50"/>
      <c r="T170" s="47"/>
      <c r="U170" s="47"/>
      <c r="V170" s="47"/>
      <c r="W170" s="47"/>
      <c r="X170" s="47"/>
      <c r="Y170" s="47"/>
      <c r="Z170" s="47"/>
      <c r="AA170" s="47"/>
      <c r="AB170" s="47"/>
      <c r="AC170" s="47"/>
      <c r="AD170" s="47"/>
      <c r="AE170" s="47"/>
      <c r="AF170" s="47"/>
      <c r="AG170" s="47"/>
      <c r="AH170" s="47"/>
      <c r="AI170" s="47"/>
    </row>
    <row r="171" spans="1:35" ht="60" customHeight="1" x14ac:dyDescent="0.2">
      <c r="A171" s="57"/>
      <c r="B171" s="47"/>
      <c r="C171" s="47"/>
      <c r="D171" s="47"/>
      <c r="E171" s="47"/>
      <c r="F171" s="47"/>
      <c r="G171" s="47"/>
      <c r="H171" s="47"/>
      <c r="I171" s="47"/>
      <c r="J171" s="47"/>
      <c r="K171" s="47"/>
      <c r="L171" s="47"/>
      <c r="M171" s="47"/>
      <c r="N171" s="47"/>
      <c r="O171" s="47"/>
      <c r="P171" s="47"/>
      <c r="Q171" s="47"/>
      <c r="R171" s="50"/>
      <c r="S171" s="50"/>
      <c r="T171" s="50"/>
      <c r="U171" s="47"/>
      <c r="V171" s="47"/>
      <c r="W171" s="47"/>
      <c r="X171" s="47"/>
      <c r="Y171" s="47"/>
      <c r="Z171" s="47"/>
      <c r="AA171" s="47"/>
      <c r="AB171" s="47"/>
      <c r="AC171" s="47"/>
      <c r="AD171" s="47"/>
      <c r="AE171" s="47"/>
      <c r="AF171" s="47"/>
      <c r="AG171" s="47"/>
      <c r="AH171" s="47"/>
      <c r="AI171" s="47"/>
    </row>
    <row r="172" spans="1:35" ht="60" customHeight="1" x14ac:dyDescent="0.2">
      <c r="A172" s="57"/>
      <c r="B172" s="47"/>
      <c r="C172" s="47"/>
      <c r="D172" s="47"/>
      <c r="E172" s="47"/>
      <c r="F172" s="47"/>
      <c r="G172" s="47"/>
      <c r="H172" s="47"/>
      <c r="I172" s="47"/>
      <c r="J172" s="47"/>
      <c r="K172" s="47"/>
      <c r="L172" s="47"/>
      <c r="M172" s="47"/>
      <c r="N172" s="47"/>
      <c r="O172" s="47"/>
      <c r="P172" s="47"/>
      <c r="Q172" s="47"/>
      <c r="R172" s="50"/>
      <c r="S172" s="50"/>
      <c r="T172" s="47"/>
      <c r="U172" s="47"/>
      <c r="V172" s="47"/>
      <c r="W172" s="47"/>
      <c r="X172" s="47"/>
      <c r="Y172" s="47"/>
      <c r="Z172" s="47"/>
      <c r="AA172" s="47"/>
      <c r="AB172" s="47"/>
      <c r="AC172" s="47"/>
      <c r="AD172" s="47"/>
      <c r="AE172" s="47"/>
      <c r="AF172" s="47"/>
      <c r="AG172" s="47"/>
      <c r="AH172" s="47"/>
      <c r="AI172" s="47"/>
    </row>
    <row r="173" spans="1:35" ht="60" customHeight="1" x14ac:dyDescent="0.2">
      <c r="A173" s="57"/>
      <c r="B173" s="47"/>
      <c r="C173" s="47"/>
      <c r="D173" s="47"/>
      <c r="E173" s="47"/>
      <c r="F173" s="47"/>
      <c r="G173" s="47"/>
      <c r="H173" s="47"/>
      <c r="I173" s="47"/>
      <c r="J173" s="47"/>
      <c r="K173" s="47"/>
      <c r="L173" s="47"/>
      <c r="M173" s="47"/>
      <c r="N173" s="47"/>
      <c r="O173" s="47"/>
      <c r="P173" s="47"/>
      <c r="Q173" s="47"/>
      <c r="R173" s="50"/>
      <c r="S173" s="47"/>
      <c r="T173" s="47"/>
      <c r="U173" s="47"/>
      <c r="V173" s="47"/>
      <c r="W173" s="47"/>
      <c r="X173" s="47"/>
      <c r="Y173" s="47"/>
      <c r="Z173" s="47"/>
      <c r="AA173" s="47"/>
      <c r="AB173" s="47"/>
      <c r="AC173" s="47"/>
      <c r="AD173" s="47"/>
      <c r="AE173" s="47"/>
      <c r="AF173" s="47"/>
      <c r="AG173" s="47"/>
      <c r="AH173" s="47"/>
      <c r="AI173" s="47"/>
    </row>
    <row r="174" spans="1:35" ht="60" customHeight="1" x14ac:dyDescent="0.2">
      <c r="A174" s="57"/>
      <c r="B174" s="47"/>
      <c r="C174" s="47"/>
      <c r="D174" s="47"/>
      <c r="E174" s="47"/>
      <c r="F174" s="47"/>
      <c r="G174" s="47"/>
      <c r="H174" s="47"/>
      <c r="I174" s="47"/>
      <c r="J174" s="47"/>
      <c r="K174" s="47"/>
      <c r="L174" s="47"/>
      <c r="M174" s="47"/>
      <c r="N174" s="47"/>
      <c r="O174" s="47"/>
      <c r="P174" s="47"/>
      <c r="Q174" s="47"/>
      <c r="R174" s="50"/>
      <c r="S174" s="47"/>
      <c r="T174" s="47"/>
      <c r="U174" s="47"/>
      <c r="V174" s="47"/>
      <c r="W174" s="47"/>
      <c r="X174" s="47"/>
      <c r="Y174" s="47"/>
      <c r="Z174" s="47"/>
      <c r="AA174" s="47"/>
      <c r="AB174" s="47"/>
      <c r="AC174" s="47"/>
      <c r="AD174" s="47"/>
      <c r="AE174" s="47"/>
      <c r="AF174" s="47"/>
      <c r="AG174" s="47"/>
      <c r="AH174" s="47"/>
      <c r="AI174" s="47"/>
    </row>
    <row r="175" spans="1:35" ht="60" customHeight="1" x14ac:dyDescent="0.2">
      <c r="A175" s="57"/>
      <c r="B175" s="47"/>
      <c r="C175" s="47"/>
      <c r="D175" s="47"/>
      <c r="E175" s="47"/>
      <c r="F175" s="47"/>
      <c r="G175" s="47"/>
      <c r="H175" s="47"/>
      <c r="I175" s="47"/>
      <c r="J175" s="47"/>
      <c r="K175" s="47"/>
      <c r="L175" s="47"/>
      <c r="M175" s="47"/>
      <c r="N175" s="47"/>
      <c r="O175" s="47"/>
      <c r="P175" s="47"/>
      <c r="Q175" s="47"/>
      <c r="R175" s="50"/>
      <c r="S175" s="47"/>
      <c r="T175" s="47"/>
      <c r="U175" s="47"/>
      <c r="V175" s="47"/>
      <c r="W175" s="47"/>
      <c r="X175" s="47"/>
      <c r="Y175" s="47"/>
      <c r="Z175" s="47"/>
      <c r="AA175" s="47"/>
      <c r="AB175" s="47"/>
      <c r="AC175" s="47"/>
      <c r="AD175" s="47"/>
      <c r="AE175" s="47"/>
      <c r="AF175" s="47"/>
      <c r="AG175" s="47"/>
      <c r="AH175" s="47"/>
      <c r="AI175" s="47"/>
    </row>
    <row r="176" spans="1:35" ht="60" customHeight="1" x14ac:dyDescent="0.2">
      <c r="A176" s="57"/>
      <c r="B176" s="47"/>
      <c r="C176" s="47"/>
      <c r="D176" s="47"/>
      <c r="E176" s="47"/>
      <c r="F176" s="47"/>
      <c r="G176" s="47"/>
      <c r="H176" s="47"/>
      <c r="I176" s="47"/>
      <c r="J176" s="47"/>
      <c r="K176" s="47"/>
      <c r="L176" s="47"/>
      <c r="M176" s="47"/>
      <c r="N176" s="47"/>
      <c r="O176" s="47"/>
      <c r="P176" s="47"/>
      <c r="Q176" s="47"/>
      <c r="R176" s="50"/>
      <c r="S176" s="47"/>
      <c r="T176" s="47"/>
      <c r="U176" s="47"/>
      <c r="V176" s="47"/>
      <c r="W176" s="47"/>
      <c r="X176" s="47"/>
      <c r="Y176" s="47"/>
      <c r="Z176" s="47"/>
      <c r="AA176" s="47"/>
      <c r="AB176" s="47"/>
      <c r="AC176" s="47"/>
      <c r="AD176" s="47"/>
      <c r="AE176" s="47"/>
      <c r="AF176" s="47"/>
      <c r="AG176" s="47"/>
      <c r="AH176" s="47"/>
      <c r="AI176" s="47"/>
    </row>
    <row r="177" spans="1:35" ht="60" customHeight="1" x14ac:dyDescent="0.2">
      <c r="A177" s="57"/>
      <c r="B177" s="47"/>
      <c r="C177" s="47"/>
      <c r="D177" s="47"/>
      <c r="E177" s="47"/>
      <c r="F177" s="47"/>
      <c r="G177" s="47"/>
      <c r="H177" s="47"/>
      <c r="I177" s="47"/>
      <c r="J177" s="47"/>
      <c r="K177" s="47"/>
      <c r="L177" s="47"/>
      <c r="M177" s="47"/>
      <c r="N177" s="47"/>
      <c r="O177" s="47"/>
      <c r="P177" s="47"/>
      <c r="Q177" s="47"/>
      <c r="R177" s="50"/>
      <c r="S177" s="50"/>
      <c r="T177" s="47"/>
      <c r="U177" s="47"/>
      <c r="V177" s="47"/>
      <c r="W177" s="47"/>
      <c r="X177" s="47"/>
      <c r="Y177" s="47"/>
      <c r="Z177" s="47"/>
      <c r="AA177" s="47"/>
      <c r="AB177" s="47"/>
      <c r="AC177" s="47"/>
      <c r="AD177" s="47"/>
      <c r="AE177" s="47"/>
      <c r="AF177" s="47"/>
      <c r="AG177" s="47"/>
      <c r="AH177" s="47"/>
      <c r="AI177" s="47"/>
    </row>
    <row r="178" spans="1:35" ht="60" customHeight="1" x14ac:dyDescent="0.2">
      <c r="A178" s="57"/>
      <c r="B178" s="47"/>
      <c r="C178" s="47"/>
      <c r="D178" s="47"/>
      <c r="E178" s="47"/>
      <c r="F178" s="47"/>
      <c r="G178" s="47"/>
      <c r="H178" s="47"/>
      <c r="I178" s="47"/>
      <c r="J178" s="47"/>
      <c r="K178" s="47"/>
      <c r="L178" s="47"/>
      <c r="M178" s="47"/>
      <c r="N178" s="47"/>
      <c r="O178" s="47"/>
      <c r="P178" s="47"/>
      <c r="Q178" s="47"/>
      <c r="R178" s="50"/>
      <c r="S178" s="50"/>
      <c r="T178" s="47"/>
      <c r="U178" s="47"/>
      <c r="V178" s="47"/>
      <c r="W178" s="47"/>
      <c r="X178" s="47"/>
      <c r="Y178" s="47"/>
      <c r="Z178" s="47"/>
      <c r="AA178" s="47"/>
      <c r="AB178" s="47"/>
      <c r="AC178" s="47"/>
      <c r="AD178" s="47"/>
      <c r="AE178" s="47"/>
      <c r="AF178" s="47"/>
      <c r="AG178" s="47"/>
      <c r="AH178" s="47"/>
      <c r="AI178" s="47"/>
    </row>
    <row r="179" spans="1:35" ht="60" customHeight="1" x14ac:dyDescent="0.2">
      <c r="A179" s="57"/>
      <c r="B179" s="47"/>
      <c r="C179" s="47"/>
      <c r="D179" s="47"/>
      <c r="E179" s="47"/>
      <c r="F179" s="47"/>
      <c r="G179" s="47"/>
      <c r="H179" s="47"/>
      <c r="I179" s="47"/>
      <c r="J179" s="47"/>
      <c r="K179" s="47"/>
      <c r="L179" s="47"/>
      <c r="M179" s="47"/>
      <c r="N179" s="47"/>
      <c r="O179" s="47"/>
      <c r="P179" s="47"/>
      <c r="Q179" s="47"/>
      <c r="R179" s="50"/>
      <c r="S179" s="50"/>
      <c r="T179" s="47"/>
      <c r="U179" s="47"/>
      <c r="V179" s="47"/>
      <c r="W179" s="47"/>
      <c r="X179" s="47"/>
      <c r="Y179" s="47"/>
      <c r="Z179" s="47"/>
      <c r="AA179" s="47"/>
      <c r="AB179" s="47"/>
      <c r="AC179" s="47"/>
      <c r="AD179" s="47"/>
      <c r="AE179" s="47"/>
      <c r="AF179" s="47"/>
      <c r="AG179" s="47"/>
      <c r="AH179" s="47"/>
      <c r="AI179" s="47"/>
    </row>
    <row r="180" spans="1:35" ht="60" customHeight="1" x14ac:dyDescent="0.2">
      <c r="A180" s="57"/>
      <c r="B180" s="47"/>
      <c r="C180" s="47"/>
      <c r="D180" s="47"/>
      <c r="E180" s="47"/>
      <c r="F180" s="47"/>
      <c r="G180" s="47"/>
      <c r="H180" s="47"/>
      <c r="I180" s="47"/>
      <c r="J180" s="47"/>
      <c r="K180" s="47"/>
      <c r="L180" s="47"/>
      <c r="M180" s="47"/>
      <c r="N180" s="47"/>
      <c r="O180" s="47"/>
      <c r="P180" s="47"/>
      <c r="Q180" s="47"/>
      <c r="R180" s="50"/>
      <c r="S180" s="47"/>
      <c r="T180" s="47"/>
      <c r="U180" s="47"/>
      <c r="V180" s="47"/>
      <c r="W180" s="47"/>
      <c r="X180" s="47"/>
      <c r="Y180" s="47"/>
      <c r="Z180" s="47"/>
      <c r="AA180" s="47"/>
      <c r="AB180" s="47"/>
      <c r="AC180" s="47"/>
      <c r="AD180" s="47"/>
      <c r="AE180" s="47"/>
      <c r="AF180" s="47"/>
      <c r="AG180" s="47"/>
      <c r="AH180" s="47"/>
      <c r="AI180" s="47"/>
    </row>
    <row r="181" spans="1:35" ht="60" customHeight="1" x14ac:dyDescent="0.2">
      <c r="A181" s="57"/>
      <c r="B181" s="47"/>
      <c r="C181" s="47"/>
      <c r="D181" s="47"/>
      <c r="E181" s="47"/>
      <c r="F181" s="47"/>
      <c r="G181" s="47"/>
      <c r="H181" s="47"/>
      <c r="I181" s="47"/>
      <c r="J181" s="47"/>
      <c r="K181" s="47"/>
      <c r="L181" s="47"/>
      <c r="M181" s="47"/>
      <c r="N181" s="47"/>
      <c r="O181" s="47"/>
      <c r="P181" s="47"/>
      <c r="Q181" s="47"/>
      <c r="R181" s="20"/>
      <c r="S181" s="20"/>
      <c r="T181" s="47"/>
      <c r="U181" s="47"/>
      <c r="V181" s="47"/>
      <c r="W181" s="47"/>
      <c r="X181" s="47"/>
      <c r="Y181" s="47"/>
      <c r="Z181" s="47"/>
      <c r="AA181" s="47"/>
      <c r="AB181" s="47"/>
      <c r="AC181" s="47"/>
      <c r="AD181" s="47"/>
      <c r="AE181" s="47"/>
      <c r="AF181" s="47"/>
      <c r="AG181" s="47"/>
      <c r="AH181" s="47"/>
      <c r="AI181" s="47"/>
    </row>
    <row r="182" spans="1:35" ht="60" customHeight="1" x14ac:dyDescent="0.2">
      <c r="A182" s="57"/>
      <c r="B182" s="47"/>
      <c r="C182" s="47"/>
      <c r="D182" s="47"/>
      <c r="E182" s="47"/>
      <c r="F182" s="47"/>
      <c r="G182" s="47"/>
      <c r="H182" s="47"/>
      <c r="I182" s="47"/>
      <c r="J182" s="47"/>
      <c r="K182" s="47"/>
      <c r="L182" s="47"/>
      <c r="M182" s="47"/>
      <c r="N182" s="47"/>
      <c r="O182" s="47"/>
      <c r="P182" s="63"/>
      <c r="Q182" s="47"/>
      <c r="R182" s="50"/>
      <c r="S182" s="50"/>
      <c r="T182" s="47"/>
      <c r="U182" s="47"/>
      <c r="V182" s="47"/>
      <c r="W182" s="47"/>
      <c r="X182" s="47"/>
      <c r="Y182" s="47"/>
      <c r="Z182" s="47"/>
      <c r="AA182" s="47"/>
      <c r="AB182" s="47"/>
      <c r="AC182" s="47"/>
      <c r="AD182" s="47"/>
      <c r="AE182" s="47"/>
      <c r="AF182" s="47"/>
      <c r="AG182" s="47"/>
      <c r="AH182" s="47"/>
      <c r="AI182" s="47"/>
    </row>
    <row r="183" spans="1:35" ht="60" customHeight="1" x14ac:dyDescent="0.2">
      <c r="A183" s="57"/>
      <c r="B183" s="47"/>
      <c r="C183" s="47"/>
      <c r="D183" s="47"/>
      <c r="E183" s="47"/>
      <c r="F183" s="47"/>
      <c r="G183" s="47"/>
      <c r="H183" s="47"/>
      <c r="I183" s="47"/>
      <c r="J183" s="47"/>
      <c r="K183" s="47"/>
      <c r="L183" s="47"/>
      <c r="M183" s="47"/>
      <c r="N183" s="47"/>
      <c r="O183" s="47"/>
      <c r="P183" s="63"/>
      <c r="Q183" s="47"/>
      <c r="R183" s="50"/>
      <c r="S183" s="20"/>
      <c r="T183" s="47"/>
      <c r="U183" s="47"/>
      <c r="V183" s="47"/>
      <c r="W183" s="47"/>
      <c r="X183" s="47"/>
      <c r="Y183" s="47"/>
      <c r="Z183" s="47"/>
      <c r="AA183" s="47"/>
      <c r="AB183" s="47"/>
      <c r="AC183" s="47"/>
      <c r="AD183" s="47"/>
      <c r="AE183" s="47"/>
      <c r="AF183" s="47"/>
      <c r="AG183" s="47"/>
      <c r="AH183" s="47"/>
      <c r="AI183" s="47"/>
    </row>
    <row r="184" spans="1:35" ht="60" customHeight="1" x14ac:dyDescent="0.2">
      <c r="A184" s="57"/>
      <c r="B184" s="47"/>
      <c r="C184" s="47"/>
      <c r="D184" s="47"/>
      <c r="E184" s="47"/>
      <c r="F184" s="47"/>
      <c r="G184" s="47"/>
      <c r="H184" s="47"/>
      <c r="I184" s="47"/>
      <c r="J184" s="47"/>
      <c r="K184" s="47"/>
      <c r="L184" s="47"/>
      <c r="M184" s="47"/>
      <c r="N184" s="47"/>
      <c r="O184" s="47"/>
      <c r="P184" s="47"/>
      <c r="Q184" s="47"/>
      <c r="R184" s="50"/>
      <c r="S184" s="50"/>
      <c r="T184" s="47"/>
      <c r="U184" s="47"/>
      <c r="V184" s="47"/>
      <c r="W184" s="47"/>
      <c r="X184" s="47"/>
      <c r="Y184" s="47"/>
      <c r="Z184" s="47"/>
      <c r="AA184" s="47"/>
      <c r="AB184" s="47"/>
      <c r="AC184" s="47"/>
      <c r="AD184" s="47"/>
      <c r="AE184" s="47"/>
      <c r="AF184" s="47"/>
      <c r="AG184" s="47"/>
      <c r="AH184" s="47"/>
      <c r="AI184" s="47"/>
    </row>
    <row r="185" spans="1:35" ht="60" customHeight="1" x14ac:dyDescent="0.2">
      <c r="A185" s="57"/>
      <c r="B185" s="47"/>
      <c r="C185" s="47"/>
      <c r="D185" s="47"/>
      <c r="E185" s="47"/>
      <c r="F185" s="47"/>
      <c r="G185" s="47"/>
      <c r="H185" s="47"/>
      <c r="I185" s="47"/>
      <c r="J185" s="47"/>
      <c r="K185" s="47"/>
      <c r="L185" s="47"/>
      <c r="M185" s="47"/>
      <c r="N185" s="47"/>
      <c r="O185" s="47"/>
      <c r="P185" s="47"/>
      <c r="Q185" s="47"/>
      <c r="R185" s="50"/>
      <c r="S185" s="47"/>
      <c r="T185" s="47"/>
      <c r="U185" s="47"/>
      <c r="V185" s="47"/>
      <c r="W185" s="47"/>
      <c r="X185" s="47"/>
      <c r="Y185" s="47"/>
      <c r="Z185" s="47"/>
      <c r="AA185" s="47"/>
      <c r="AB185" s="47"/>
      <c r="AC185" s="47"/>
      <c r="AD185" s="47"/>
      <c r="AE185" s="47"/>
      <c r="AF185" s="47"/>
      <c r="AG185" s="47"/>
      <c r="AH185" s="47"/>
      <c r="AI185" s="47"/>
    </row>
    <row r="186" spans="1:35" ht="60" customHeight="1" x14ac:dyDescent="0.2">
      <c r="A186" s="57"/>
      <c r="B186" s="47"/>
      <c r="C186" s="47"/>
      <c r="D186" s="47"/>
      <c r="E186" s="47"/>
      <c r="F186" s="47"/>
      <c r="G186" s="47"/>
      <c r="H186" s="47"/>
      <c r="I186" s="47"/>
      <c r="J186" s="47"/>
      <c r="K186" s="47"/>
      <c r="L186" s="47"/>
      <c r="M186" s="47"/>
      <c r="N186" s="47"/>
      <c r="O186" s="47"/>
      <c r="P186" s="47"/>
      <c r="Q186" s="47"/>
      <c r="R186" s="50"/>
      <c r="S186" s="47"/>
      <c r="T186" s="47"/>
      <c r="U186" s="47"/>
      <c r="V186" s="47"/>
      <c r="W186" s="47"/>
      <c r="X186" s="47"/>
      <c r="Y186" s="47"/>
      <c r="Z186" s="47"/>
      <c r="AA186" s="47"/>
      <c r="AB186" s="47"/>
      <c r="AC186" s="47"/>
      <c r="AD186" s="47"/>
      <c r="AE186" s="47"/>
      <c r="AF186" s="47"/>
      <c r="AG186" s="47"/>
      <c r="AH186" s="47"/>
      <c r="AI186" s="47"/>
    </row>
    <row r="187" spans="1:35" ht="60" customHeight="1" x14ac:dyDescent="0.2">
      <c r="A187" s="57"/>
      <c r="B187" s="47"/>
      <c r="C187" s="47"/>
      <c r="D187" s="47"/>
      <c r="E187" s="47"/>
      <c r="F187" s="47"/>
      <c r="G187" s="47"/>
      <c r="H187" s="47"/>
      <c r="I187" s="47"/>
      <c r="J187" s="47"/>
      <c r="K187" s="47"/>
      <c r="L187" s="47"/>
      <c r="M187" s="47"/>
      <c r="N187" s="47"/>
      <c r="O187" s="47"/>
      <c r="P187" s="47"/>
      <c r="Q187" s="47"/>
      <c r="R187" s="50"/>
      <c r="S187" s="50"/>
      <c r="T187" s="47"/>
      <c r="U187" s="47"/>
      <c r="V187" s="47"/>
      <c r="W187" s="47"/>
      <c r="X187" s="47"/>
      <c r="Y187" s="47"/>
      <c r="Z187" s="47"/>
      <c r="AA187" s="47"/>
      <c r="AB187" s="47"/>
      <c r="AC187" s="47"/>
      <c r="AD187" s="47"/>
      <c r="AE187" s="47"/>
      <c r="AF187" s="47"/>
      <c r="AG187" s="47"/>
      <c r="AH187" s="47"/>
      <c r="AI187" s="47"/>
    </row>
    <row r="188" spans="1:35" ht="60" customHeight="1" x14ac:dyDescent="0.2">
      <c r="A188" s="57"/>
      <c r="B188" s="47"/>
      <c r="C188" s="47"/>
      <c r="D188" s="47"/>
      <c r="E188" s="47"/>
      <c r="F188" s="47"/>
      <c r="G188" s="47"/>
      <c r="H188" s="47"/>
      <c r="I188" s="47"/>
      <c r="J188" s="47"/>
      <c r="K188" s="47"/>
      <c r="L188" s="47"/>
      <c r="M188" s="47"/>
      <c r="N188" s="47"/>
      <c r="O188" s="47"/>
      <c r="P188" s="47"/>
      <c r="Q188" s="47"/>
      <c r="R188" s="50"/>
      <c r="S188" s="47"/>
      <c r="T188" s="47"/>
      <c r="U188" s="47"/>
      <c r="V188" s="47"/>
      <c r="W188" s="47"/>
      <c r="X188" s="47"/>
      <c r="Y188" s="47"/>
      <c r="Z188" s="47"/>
      <c r="AA188" s="47"/>
      <c r="AB188" s="47"/>
      <c r="AC188" s="47"/>
      <c r="AD188" s="47"/>
      <c r="AE188" s="47"/>
      <c r="AF188" s="47"/>
      <c r="AG188" s="47"/>
      <c r="AH188" s="47"/>
      <c r="AI188" s="47"/>
    </row>
    <row r="189" spans="1:35" ht="60" customHeight="1" x14ac:dyDescent="0.2">
      <c r="A189" s="57"/>
      <c r="B189" s="47"/>
      <c r="C189" s="47"/>
      <c r="D189" s="47"/>
      <c r="E189" s="47"/>
      <c r="F189" s="47"/>
      <c r="G189" s="47"/>
      <c r="H189" s="47"/>
      <c r="I189" s="47"/>
      <c r="J189" s="47"/>
      <c r="K189" s="47"/>
      <c r="L189" s="47"/>
      <c r="M189" s="47"/>
      <c r="N189" s="47"/>
      <c r="O189" s="47"/>
      <c r="P189" s="47"/>
      <c r="Q189" s="47"/>
      <c r="R189" s="61"/>
      <c r="S189" s="50"/>
      <c r="T189" s="50"/>
      <c r="U189" s="47"/>
      <c r="V189" s="47"/>
      <c r="W189" s="47"/>
      <c r="X189" s="47"/>
      <c r="Y189" s="47"/>
      <c r="Z189" s="47"/>
      <c r="AA189" s="47"/>
      <c r="AB189" s="47"/>
      <c r="AC189" s="47"/>
      <c r="AD189" s="47"/>
      <c r="AE189" s="47"/>
      <c r="AF189" s="47"/>
      <c r="AG189" s="47"/>
      <c r="AH189" s="47"/>
      <c r="AI189" s="47"/>
    </row>
    <row r="190" spans="1:35" ht="60" customHeight="1" x14ac:dyDescent="0.2">
      <c r="A190" s="57"/>
      <c r="B190" s="47"/>
      <c r="C190" s="47"/>
      <c r="D190" s="47"/>
      <c r="E190" s="47"/>
      <c r="F190" s="47"/>
      <c r="G190" s="47"/>
      <c r="H190" s="47"/>
      <c r="I190" s="47"/>
      <c r="J190" s="47"/>
      <c r="K190" s="47"/>
      <c r="L190" s="47"/>
      <c r="M190" s="47"/>
      <c r="N190" s="47"/>
      <c r="O190" s="47"/>
      <c r="P190" s="47"/>
      <c r="Q190" s="47"/>
      <c r="R190" s="20"/>
      <c r="S190" s="47"/>
      <c r="T190" s="47"/>
      <c r="U190" s="47"/>
      <c r="V190" s="47"/>
      <c r="W190" s="47"/>
      <c r="X190" s="47"/>
      <c r="Y190" s="47"/>
      <c r="Z190" s="47"/>
      <c r="AA190" s="47"/>
      <c r="AB190" s="47"/>
      <c r="AC190" s="47"/>
      <c r="AD190" s="47"/>
      <c r="AE190" s="47"/>
      <c r="AF190" s="47"/>
      <c r="AG190" s="47"/>
      <c r="AH190" s="47"/>
      <c r="AI190" s="47"/>
    </row>
    <row r="191" spans="1:35" ht="60" customHeight="1" x14ac:dyDescent="0.2">
      <c r="A191" s="57"/>
      <c r="B191" s="47"/>
      <c r="C191" s="47"/>
      <c r="D191" s="47"/>
      <c r="E191" s="47"/>
      <c r="F191" s="47"/>
      <c r="G191" s="47"/>
      <c r="H191" s="47"/>
      <c r="I191" s="47"/>
      <c r="J191" s="47"/>
      <c r="K191" s="47"/>
      <c r="L191" s="47"/>
      <c r="M191" s="47"/>
      <c r="N191" s="47"/>
      <c r="O191" s="47"/>
      <c r="P191" s="47"/>
      <c r="Q191" s="47"/>
      <c r="R191" s="20"/>
      <c r="S191" s="47"/>
      <c r="T191" s="47"/>
      <c r="U191" s="47"/>
      <c r="V191" s="47"/>
      <c r="W191" s="47"/>
      <c r="X191" s="47"/>
      <c r="Y191" s="47"/>
      <c r="Z191" s="47"/>
      <c r="AA191" s="47"/>
      <c r="AB191" s="47"/>
      <c r="AC191" s="47"/>
      <c r="AD191" s="47"/>
      <c r="AE191" s="47"/>
      <c r="AF191" s="47"/>
      <c r="AG191" s="47"/>
      <c r="AH191" s="47"/>
      <c r="AI191" s="47"/>
    </row>
    <row r="192" spans="1:35" ht="60" customHeight="1" x14ac:dyDescent="0.2">
      <c r="A192" s="57"/>
      <c r="B192" s="47"/>
      <c r="C192" s="47"/>
      <c r="D192" s="47"/>
      <c r="E192" s="47"/>
      <c r="F192" s="47"/>
      <c r="G192" s="47"/>
      <c r="H192" s="47"/>
      <c r="I192" s="47"/>
      <c r="J192" s="47"/>
      <c r="K192" s="47"/>
      <c r="L192" s="47"/>
      <c r="M192" s="47"/>
      <c r="N192" s="47"/>
      <c r="O192" s="47"/>
      <c r="P192" s="47"/>
      <c r="Q192" s="47"/>
      <c r="R192" s="50"/>
      <c r="S192" s="50"/>
      <c r="T192" s="50"/>
      <c r="U192" s="50"/>
      <c r="V192" s="47"/>
      <c r="W192" s="47"/>
      <c r="X192" s="47"/>
      <c r="Y192" s="47"/>
      <c r="Z192" s="47"/>
      <c r="AA192" s="47"/>
      <c r="AB192" s="47"/>
      <c r="AC192" s="47"/>
      <c r="AD192" s="47"/>
      <c r="AE192" s="47"/>
      <c r="AF192" s="47"/>
      <c r="AG192" s="47"/>
      <c r="AH192" s="47"/>
      <c r="AI192" s="47"/>
    </row>
    <row r="193" spans="1:35" ht="60" customHeight="1" x14ac:dyDescent="0.2">
      <c r="A193" s="57"/>
      <c r="B193" s="47"/>
      <c r="C193" s="47"/>
      <c r="D193" s="47"/>
      <c r="E193" s="47"/>
      <c r="F193" s="47"/>
      <c r="G193" s="47"/>
      <c r="H193" s="47"/>
      <c r="I193" s="47"/>
      <c r="J193" s="47"/>
      <c r="K193" s="47"/>
      <c r="L193" s="47"/>
      <c r="M193" s="47"/>
      <c r="N193" s="47"/>
      <c r="O193" s="47"/>
      <c r="P193" s="47"/>
      <c r="Q193" s="47"/>
      <c r="R193" s="50"/>
      <c r="S193" s="47"/>
      <c r="T193" s="47"/>
      <c r="U193" s="47"/>
      <c r="V193" s="47"/>
      <c r="W193" s="47"/>
      <c r="X193" s="47"/>
      <c r="Y193" s="47"/>
      <c r="Z193" s="47"/>
      <c r="AA193" s="47"/>
      <c r="AB193" s="47"/>
      <c r="AC193" s="47"/>
      <c r="AD193" s="47"/>
      <c r="AE193" s="47"/>
      <c r="AF193" s="47"/>
      <c r="AG193" s="47"/>
      <c r="AH193" s="47"/>
      <c r="AI193" s="47"/>
    </row>
    <row r="194" spans="1:35" ht="60" customHeight="1" x14ac:dyDescent="0.2">
      <c r="A194" s="57"/>
      <c r="B194" s="47"/>
      <c r="C194" s="47"/>
      <c r="D194" s="47"/>
      <c r="E194" s="47"/>
      <c r="F194" s="47"/>
      <c r="G194" s="47"/>
      <c r="H194" s="47"/>
      <c r="I194" s="47"/>
      <c r="J194" s="47"/>
      <c r="K194" s="47"/>
      <c r="L194" s="47"/>
      <c r="M194" s="47"/>
      <c r="N194" s="47"/>
      <c r="O194" s="47"/>
      <c r="P194" s="47"/>
      <c r="Q194" s="47"/>
      <c r="R194" s="50"/>
      <c r="S194" s="47"/>
      <c r="T194" s="47"/>
      <c r="U194" s="47"/>
      <c r="V194" s="47"/>
      <c r="W194" s="47"/>
      <c r="X194" s="47"/>
      <c r="Y194" s="47"/>
      <c r="Z194" s="47"/>
      <c r="AA194" s="47"/>
      <c r="AB194" s="47"/>
      <c r="AC194" s="47"/>
      <c r="AD194" s="47"/>
      <c r="AE194" s="47"/>
      <c r="AF194" s="47"/>
      <c r="AG194" s="47"/>
      <c r="AH194" s="47"/>
      <c r="AI194" s="47"/>
    </row>
    <row r="195" spans="1:35" ht="60" customHeight="1" x14ac:dyDescent="0.2">
      <c r="A195" s="57"/>
      <c r="B195" s="47"/>
      <c r="C195" s="47"/>
      <c r="D195" s="47"/>
      <c r="E195" s="47"/>
      <c r="F195" s="47"/>
      <c r="G195" s="47"/>
      <c r="H195" s="47"/>
      <c r="I195" s="47"/>
      <c r="J195" s="47"/>
      <c r="K195" s="47"/>
      <c r="L195" s="47"/>
      <c r="M195" s="47"/>
      <c r="N195" s="47"/>
      <c r="O195" s="47"/>
      <c r="P195" s="47"/>
      <c r="Q195" s="47"/>
      <c r="R195" s="20"/>
      <c r="S195" s="47"/>
      <c r="T195" s="47"/>
      <c r="U195" s="47"/>
      <c r="V195" s="47"/>
      <c r="W195" s="47"/>
      <c r="X195" s="47"/>
      <c r="Y195" s="47"/>
      <c r="Z195" s="47"/>
      <c r="AA195" s="47"/>
      <c r="AB195" s="47"/>
      <c r="AC195" s="47"/>
      <c r="AD195" s="47"/>
      <c r="AE195" s="47"/>
      <c r="AF195" s="47"/>
      <c r="AG195" s="47"/>
      <c r="AH195" s="47"/>
      <c r="AI195" s="47"/>
    </row>
    <row r="196" spans="1:35" ht="60" customHeight="1" x14ac:dyDescent="0.2">
      <c r="A196" s="57"/>
      <c r="B196" s="47"/>
      <c r="C196" s="47"/>
      <c r="D196" s="47"/>
      <c r="E196" s="47"/>
      <c r="F196" s="47"/>
      <c r="G196" s="47"/>
      <c r="H196" s="47"/>
      <c r="I196" s="47"/>
      <c r="J196" s="47"/>
      <c r="K196" s="47"/>
      <c r="L196" s="47"/>
      <c r="M196" s="47"/>
      <c r="N196" s="47"/>
      <c r="O196" s="47"/>
      <c r="P196" s="47"/>
      <c r="Q196" s="47"/>
      <c r="R196" s="20"/>
      <c r="S196" s="20"/>
      <c r="T196" s="20"/>
      <c r="U196" s="47"/>
      <c r="V196" s="47"/>
      <c r="W196" s="47"/>
      <c r="X196" s="47"/>
      <c r="Y196" s="47"/>
      <c r="Z196" s="47"/>
      <c r="AA196" s="47"/>
      <c r="AB196" s="47"/>
      <c r="AC196" s="47"/>
      <c r="AD196" s="47"/>
      <c r="AE196" s="47"/>
      <c r="AF196" s="47"/>
      <c r="AG196" s="47"/>
      <c r="AH196" s="47"/>
      <c r="AI196" s="47"/>
    </row>
    <row r="197" spans="1:35" ht="60" customHeight="1" x14ac:dyDescent="0.2">
      <c r="A197" s="57"/>
      <c r="B197" s="47"/>
      <c r="C197" s="47"/>
      <c r="D197" s="47"/>
      <c r="E197" s="47"/>
      <c r="F197" s="47"/>
      <c r="G197" s="47"/>
      <c r="H197" s="47"/>
      <c r="I197" s="47"/>
      <c r="J197" s="47"/>
      <c r="K197" s="47"/>
      <c r="L197" s="47"/>
      <c r="M197" s="47"/>
      <c r="N197" s="47"/>
      <c r="O197" s="47"/>
      <c r="P197" s="47"/>
      <c r="Q197" s="47"/>
      <c r="R197" s="20"/>
      <c r="S197" s="20"/>
      <c r="T197" s="47"/>
      <c r="U197" s="47"/>
      <c r="V197" s="47"/>
      <c r="W197" s="47"/>
      <c r="X197" s="47"/>
      <c r="Y197" s="47"/>
      <c r="Z197" s="47"/>
      <c r="AA197" s="47"/>
      <c r="AB197" s="47"/>
      <c r="AC197" s="47"/>
      <c r="AD197" s="47"/>
      <c r="AE197" s="47"/>
      <c r="AF197" s="47"/>
      <c r="AG197" s="47"/>
      <c r="AH197" s="47"/>
      <c r="AI197" s="47"/>
    </row>
    <row r="198" spans="1:35" ht="60" customHeight="1" x14ac:dyDescent="0.2">
      <c r="A198" s="57"/>
      <c r="B198" s="47"/>
      <c r="C198" s="47"/>
      <c r="D198" s="47"/>
      <c r="E198" s="47"/>
      <c r="F198" s="47"/>
      <c r="G198" s="47"/>
      <c r="H198" s="47"/>
      <c r="I198" s="47"/>
      <c r="J198" s="47"/>
      <c r="K198" s="47"/>
      <c r="L198" s="47"/>
      <c r="M198" s="47"/>
      <c r="N198" s="47"/>
      <c r="O198" s="47"/>
      <c r="P198" s="47"/>
      <c r="Q198" s="47"/>
      <c r="R198" s="50"/>
      <c r="S198" s="50"/>
      <c r="T198" s="47"/>
      <c r="U198" s="47"/>
      <c r="V198" s="47"/>
      <c r="W198" s="47"/>
      <c r="X198" s="47"/>
      <c r="Y198" s="47"/>
      <c r="Z198" s="47"/>
      <c r="AA198" s="47"/>
      <c r="AB198" s="47"/>
      <c r="AC198" s="47"/>
      <c r="AD198" s="47"/>
      <c r="AE198" s="47"/>
      <c r="AF198" s="47"/>
      <c r="AG198" s="47"/>
      <c r="AH198" s="47"/>
      <c r="AI198" s="47"/>
    </row>
    <row r="199" spans="1:35" ht="60" customHeight="1" x14ac:dyDescent="0.2">
      <c r="A199" s="57"/>
      <c r="B199" s="47"/>
      <c r="C199" s="47"/>
      <c r="D199" s="47"/>
      <c r="E199" s="47"/>
      <c r="F199" s="47"/>
      <c r="G199" s="47"/>
      <c r="H199" s="47"/>
      <c r="I199" s="47"/>
      <c r="J199" s="47"/>
      <c r="K199" s="47"/>
      <c r="L199" s="47"/>
      <c r="M199" s="47"/>
      <c r="N199" s="47"/>
      <c r="O199" s="47"/>
      <c r="P199" s="47"/>
      <c r="Q199" s="47"/>
      <c r="R199" s="50"/>
      <c r="S199" s="47"/>
      <c r="T199" s="47"/>
      <c r="U199" s="47"/>
      <c r="V199" s="47"/>
      <c r="W199" s="47"/>
      <c r="X199" s="47"/>
      <c r="Y199" s="47"/>
      <c r="Z199" s="47"/>
      <c r="AA199" s="47"/>
      <c r="AB199" s="47"/>
      <c r="AC199" s="47"/>
      <c r="AD199" s="47"/>
      <c r="AE199" s="47"/>
      <c r="AF199" s="47"/>
      <c r="AG199" s="47"/>
      <c r="AH199" s="47"/>
      <c r="AI199" s="47"/>
    </row>
    <row r="200" spans="1:35" ht="60" customHeight="1" x14ac:dyDescent="0.2">
      <c r="A200" s="57"/>
      <c r="B200" s="47"/>
      <c r="C200" s="47"/>
      <c r="D200" s="47"/>
      <c r="E200" s="47"/>
      <c r="F200" s="47"/>
      <c r="G200" s="47"/>
      <c r="H200" s="47"/>
      <c r="I200" s="47"/>
      <c r="J200" s="47"/>
      <c r="K200" s="47"/>
      <c r="L200" s="47"/>
      <c r="M200" s="47"/>
      <c r="N200" s="47"/>
      <c r="O200" s="47"/>
      <c r="P200" s="47"/>
      <c r="Q200" s="47"/>
      <c r="R200" s="20"/>
      <c r="S200" s="47"/>
      <c r="T200" s="50"/>
      <c r="U200" s="47"/>
      <c r="V200" s="47"/>
      <c r="W200" s="47"/>
      <c r="X200" s="47"/>
      <c r="Y200" s="47"/>
      <c r="Z200" s="47"/>
      <c r="AA200" s="47"/>
      <c r="AB200" s="47"/>
      <c r="AC200" s="47"/>
      <c r="AD200" s="47"/>
      <c r="AE200" s="47"/>
      <c r="AF200" s="47"/>
      <c r="AG200" s="47"/>
      <c r="AH200" s="47"/>
      <c r="AI200" s="47"/>
    </row>
    <row r="201" spans="1:35" ht="60" customHeight="1" x14ac:dyDescent="0.2">
      <c r="A201" s="57"/>
      <c r="B201" s="47"/>
      <c r="C201" s="47"/>
      <c r="D201" s="47"/>
      <c r="E201" s="47"/>
      <c r="F201" s="47"/>
      <c r="G201" s="47"/>
      <c r="H201" s="47"/>
      <c r="I201" s="47"/>
      <c r="J201" s="47"/>
      <c r="K201" s="47"/>
      <c r="L201" s="47"/>
      <c r="M201" s="47"/>
      <c r="N201" s="47"/>
      <c r="O201" s="47"/>
      <c r="P201" s="47"/>
      <c r="Q201" s="47"/>
      <c r="R201" s="20"/>
      <c r="S201" s="50"/>
      <c r="T201" s="47"/>
      <c r="U201" s="47"/>
      <c r="V201" s="47"/>
      <c r="W201" s="47"/>
      <c r="X201" s="47"/>
      <c r="Y201" s="47"/>
      <c r="Z201" s="47"/>
      <c r="AA201" s="47"/>
      <c r="AB201" s="47"/>
      <c r="AC201" s="47"/>
      <c r="AD201" s="47"/>
      <c r="AE201" s="47"/>
      <c r="AF201" s="47"/>
      <c r="AG201" s="47"/>
      <c r="AH201" s="47"/>
      <c r="AI201" s="47"/>
    </row>
    <row r="202" spans="1:35" ht="60" customHeight="1" x14ac:dyDescent="0.2">
      <c r="A202" s="57"/>
      <c r="B202" s="47"/>
      <c r="C202" s="47"/>
      <c r="D202" s="47"/>
      <c r="E202" s="47"/>
      <c r="F202" s="47"/>
      <c r="G202" s="47"/>
      <c r="H202" s="47"/>
      <c r="I202" s="47"/>
      <c r="J202" s="47"/>
      <c r="K202" s="47"/>
      <c r="L202" s="47"/>
      <c r="M202" s="47"/>
      <c r="N202" s="47"/>
      <c r="O202" s="47"/>
      <c r="P202" s="47"/>
      <c r="Q202" s="47"/>
      <c r="R202" s="20"/>
      <c r="S202" s="50"/>
      <c r="T202" s="47"/>
      <c r="U202" s="47"/>
      <c r="V202" s="47"/>
      <c r="W202" s="47"/>
      <c r="X202" s="47"/>
      <c r="Y202" s="47"/>
      <c r="Z202" s="47"/>
      <c r="AA202" s="47"/>
      <c r="AB202" s="47"/>
      <c r="AC202" s="47"/>
      <c r="AD202" s="47"/>
      <c r="AE202" s="47"/>
      <c r="AF202" s="47"/>
      <c r="AG202" s="47"/>
      <c r="AH202" s="47"/>
      <c r="AI202" s="47"/>
    </row>
    <row r="203" spans="1:35" ht="60" customHeight="1" x14ac:dyDescent="0.2">
      <c r="A203" s="57"/>
      <c r="B203" s="47"/>
      <c r="C203" s="47"/>
      <c r="D203" s="47"/>
      <c r="E203" s="47"/>
      <c r="F203" s="47"/>
      <c r="G203" s="47"/>
      <c r="H203" s="47"/>
      <c r="I203" s="47"/>
      <c r="J203" s="47"/>
      <c r="K203" s="47"/>
      <c r="L203" s="47"/>
      <c r="M203" s="47"/>
      <c r="N203" s="47"/>
      <c r="O203" s="47"/>
      <c r="P203" s="47"/>
      <c r="Q203" s="47"/>
      <c r="R203" s="50"/>
      <c r="S203" s="50"/>
      <c r="T203" s="47"/>
      <c r="U203" s="47"/>
      <c r="V203" s="47"/>
      <c r="W203" s="47"/>
      <c r="X203" s="47"/>
      <c r="Y203" s="47"/>
      <c r="Z203" s="47"/>
      <c r="AA203" s="47"/>
      <c r="AB203" s="47"/>
      <c r="AC203" s="47"/>
      <c r="AD203" s="47"/>
      <c r="AE203" s="47"/>
      <c r="AF203" s="47"/>
      <c r="AG203" s="47"/>
      <c r="AH203" s="47"/>
      <c r="AI203" s="47"/>
    </row>
    <row r="204" spans="1:35" ht="60" customHeight="1" x14ac:dyDescent="0.2">
      <c r="A204" s="57"/>
      <c r="B204" s="47"/>
      <c r="C204" s="47"/>
      <c r="D204" s="47"/>
      <c r="E204" s="47"/>
      <c r="F204" s="47"/>
      <c r="G204" s="47"/>
      <c r="H204" s="47"/>
      <c r="I204" s="47"/>
      <c r="J204" s="47"/>
      <c r="K204" s="47"/>
      <c r="L204" s="47"/>
      <c r="M204" s="47"/>
      <c r="N204" s="47"/>
      <c r="O204" s="47"/>
      <c r="P204" s="47"/>
      <c r="Q204" s="47"/>
      <c r="R204" s="50"/>
      <c r="S204" s="47"/>
      <c r="T204" s="47"/>
      <c r="U204" s="47"/>
      <c r="V204" s="47"/>
      <c r="W204" s="47"/>
      <c r="X204" s="47"/>
      <c r="Y204" s="47"/>
      <c r="Z204" s="47"/>
      <c r="AA204" s="47"/>
      <c r="AB204" s="47"/>
      <c r="AC204" s="47"/>
      <c r="AD204" s="47"/>
      <c r="AE204" s="47"/>
      <c r="AF204" s="47"/>
      <c r="AG204" s="47"/>
      <c r="AH204" s="47"/>
      <c r="AI204" s="47"/>
    </row>
    <row r="205" spans="1:35" ht="60" customHeight="1" x14ac:dyDescent="0.2">
      <c r="A205" s="57"/>
      <c r="B205" s="47"/>
      <c r="C205" s="47"/>
      <c r="D205" s="47"/>
      <c r="E205" s="47"/>
      <c r="F205" s="47"/>
      <c r="G205" s="47"/>
      <c r="H205" s="47"/>
      <c r="I205" s="47"/>
      <c r="J205" s="47"/>
      <c r="K205" s="47"/>
      <c r="L205" s="47"/>
      <c r="M205" s="47"/>
      <c r="N205" s="47"/>
      <c r="O205" s="47"/>
      <c r="P205" s="47"/>
      <c r="Q205" s="47"/>
      <c r="R205" s="50"/>
      <c r="S205" s="47"/>
      <c r="T205" s="47"/>
      <c r="U205" s="47"/>
      <c r="V205" s="47"/>
      <c r="W205" s="47"/>
      <c r="X205" s="47"/>
      <c r="Y205" s="47"/>
      <c r="Z205" s="47"/>
      <c r="AA205" s="47"/>
      <c r="AB205" s="47"/>
      <c r="AC205" s="47"/>
      <c r="AD205" s="47"/>
      <c r="AE205" s="47"/>
      <c r="AF205" s="47"/>
      <c r="AG205" s="47"/>
      <c r="AH205" s="47"/>
      <c r="AI205" s="47"/>
    </row>
    <row r="206" spans="1:35" ht="60" customHeight="1" x14ac:dyDescent="0.2">
      <c r="A206" s="57"/>
      <c r="B206" s="47"/>
      <c r="C206" s="47"/>
      <c r="D206" s="47"/>
      <c r="E206" s="47"/>
      <c r="F206" s="47"/>
      <c r="G206" s="47"/>
      <c r="H206" s="47"/>
      <c r="I206" s="47"/>
      <c r="J206" s="47"/>
      <c r="K206" s="47"/>
      <c r="L206" s="47"/>
      <c r="M206" s="47"/>
      <c r="N206" s="47"/>
      <c r="O206" s="47"/>
      <c r="P206" s="47"/>
      <c r="Q206" s="47"/>
      <c r="R206" s="50"/>
      <c r="S206" s="47"/>
      <c r="T206" s="47"/>
      <c r="U206" s="47"/>
      <c r="V206" s="47"/>
      <c r="W206" s="47"/>
      <c r="X206" s="47"/>
      <c r="Y206" s="47"/>
      <c r="Z206" s="47"/>
      <c r="AA206" s="47"/>
      <c r="AB206" s="47"/>
      <c r="AC206" s="47"/>
      <c r="AD206" s="47"/>
      <c r="AE206" s="47"/>
      <c r="AF206" s="47"/>
      <c r="AG206" s="47"/>
      <c r="AH206" s="47"/>
      <c r="AI206" s="47"/>
    </row>
    <row r="207" spans="1:35" ht="60" customHeight="1" x14ac:dyDescent="0.2">
      <c r="A207" s="57"/>
      <c r="B207" s="47"/>
      <c r="C207" s="47"/>
      <c r="D207" s="47"/>
      <c r="E207" s="47"/>
      <c r="F207" s="47"/>
      <c r="G207" s="47"/>
      <c r="H207" s="47"/>
      <c r="I207" s="47"/>
      <c r="J207" s="47"/>
      <c r="K207" s="47"/>
      <c r="L207" s="47"/>
      <c r="M207" s="47"/>
      <c r="N207" s="47"/>
      <c r="O207" s="47"/>
      <c r="P207" s="47"/>
      <c r="Q207" s="47"/>
      <c r="R207" s="20"/>
      <c r="S207" s="47"/>
      <c r="T207" s="47"/>
      <c r="U207" s="47"/>
      <c r="V207" s="47"/>
      <c r="W207" s="47"/>
      <c r="X207" s="47"/>
      <c r="Y207" s="47"/>
      <c r="Z207" s="47"/>
      <c r="AA207" s="47"/>
      <c r="AB207" s="47"/>
      <c r="AC207" s="47"/>
      <c r="AD207" s="47"/>
      <c r="AE207" s="47"/>
      <c r="AF207" s="47"/>
      <c r="AG207" s="47"/>
      <c r="AH207" s="47"/>
      <c r="AI207" s="47"/>
    </row>
    <row r="208" spans="1:35" ht="60" customHeight="1" x14ac:dyDescent="0.2">
      <c r="A208" s="57"/>
      <c r="B208" s="47"/>
      <c r="C208" s="47"/>
      <c r="D208" s="47"/>
      <c r="E208" s="47"/>
      <c r="F208" s="47"/>
      <c r="G208" s="47"/>
      <c r="H208" s="47"/>
      <c r="I208" s="47"/>
      <c r="J208" s="47"/>
      <c r="K208" s="47"/>
      <c r="L208" s="47"/>
      <c r="M208" s="47"/>
      <c r="N208" s="47"/>
      <c r="O208" s="47"/>
      <c r="P208" s="47"/>
      <c r="Q208" s="47"/>
      <c r="R208" s="20"/>
      <c r="S208" s="20"/>
      <c r="T208" s="20"/>
      <c r="U208" s="47"/>
      <c r="V208" s="47"/>
      <c r="W208" s="47"/>
      <c r="X208" s="47"/>
      <c r="Y208" s="47"/>
      <c r="Z208" s="47"/>
      <c r="AA208" s="47"/>
      <c r="AB208" s="47"/>
      <c r="AC208" s="47"/>
      <c r="AD208" s="47"/>
      <c r="AE208" s="47"/>
      <c r="AF208" s="47"/>
      <c r="AG208" s="47"/>
      <c r="AH208" s="47"/>
      <c r="AI208" s="47"/>
    </row>
    <row r="209" spans="1:35" ht="60" customHeight="1" x14ac:dyDescent="0.2">
      <c r="A209" s="57"/>
      <c r="B209" s="47"/>
      <c r="C209" s="47"/>
      <c r="D209" s="47"/>
      <c r="E209" s="47"/>
      <c r="F209" s="47"/>
      <c r="G209" s="47"/>
      <c r="H209" s="47"/>
      <c r="I209" s="47"/>
      <c r="J209" s="47"/>
      <c r="K209" s="47"/>
      <c r="L209" s="47"/>
      <c r="M209" s="47"/>
      <c r="N209" s="47"/>
      <c r="O209" s="47"/>
      <c r="P209" s="47"/>
      <c r="Q209" s="47"/>
      <c r="R209" s="50"/>
      <c r="S209" s="50"/>
      <c r="T209" s="47"/>
      <c r="U209" s="47"/>
      <c r="V209" s="47"/>
      <c r="W209" s="47"/>
      <c r="X209" s="47"/>
      <c r="Y209" s="47"/>
      <c r="Z209" s="47"/>
      <c r="AA209" s="47"/>
      <c r="AB209" s="47"/>
      <c r="AC209" s="47"/>
      <c r="AD209" s="47"/>
      <c r="AE209" s="47"/>
      <c r="AF209" s="47"/>
      <c r="AG209" s="47"/>
      <c r="AH209" s="47"/>
      <c r="AI209" s="47"/>
    </row>
    <row r="210" spans="1:35" ht="60" customHeight="1" x14ac:dyDescent="0.2">
      <c r="A210" s="57"/>
      <c r="B210" s="47"/>
      <c r="C210" s="47"/>
      <c r="D210" s="47"/>
      <c r="E210" s="47"/>
      <c r="F210" s="47"/>
      <c r="G210" s="47"/>
      <c r="H210" s="47"/>
      <c r="I210" s="47"/>
      <c r="J210" s="47"/>
      <c r="K210" s="47"/>
      <c r="L210" s="47"/>
      <c r="M210" s="47"/>
      <c r="N210" s="47"/>
      <c r="O210" s="47"/>
      <c r="P210" s="47"/>
      <c r="Q210" s="47"/>
      <c r="R210" s="20"/>
      <c r="S210" s="50"/>
      <c r="T210" s="47"/>
      <c r="U210" s="47"/>
      <c r="V210" s="47"/>
      <c r="W210" s="47"/>
      <c r="X210" s="47"/>
      <c r="Y210" s="47"/>
      <c r="Z210" s="47"/>
      <c r="AA210" s="47"/>
      <c r="AB210" s="47"/>
      <c r="AC210" s="47"/>
      <c r="AD210" s="47"/>
      <c r="AE210" s="47"/>
      <c r="AF210" s="47"/>
      <c r="AG210" s="47"/>
      <c r="AH210" s="47"/>
      <c r="AI210" s="47"/>
    </row>
    <row r="211" spans="1:35" ht="60" customHeight="1" x14ac:dyDescent="0.2">
      <c r="A211" s="57"/>
      <c r="B211" s="47"/>
      <c r="C211" s="47"/>
      <c r="D211" s="47"/>
      <c r="E211" s="47"/>
      <c r="F211" s="47"/>
      <c r="G211" s="47"/>
      <c r="H211" s="47"/>
      <c r="I211" s="47"/>
      <c r="J211" s="47"/>
      <c r="K211" s="47"/>
      <c r="L211" s="47"/>
      <c r="M211" s="47"/>
      <c r="N211" s="47"/>
      <c r="O211" s="47"/>
      <c r="P211" s="47"/>
      <c r="Q211" s="47"/>
      <c r="R211" s="50"/>
      <c r="S211" s="47"/>
      <c r="T211" s="47"/>
      <c r="U211" s="47"/>
      <c r="V211" s="47"/>
      <c r="W211" s="47"/>
      <c r="X211" s="47"/>
      <c r="Y211" s="47"/>
      <c r="Z211" s="47"/>
      <c r="AA211" s="47"/>
      <c r="AB211" s="47"/>
      <c r="AC211" s="47"/>
      <c r="AD211" s="47"/>
      <c r="AE211" s="47"/>
      <c r="AF211" s="47"/>
      <c r="AG211" s="47"/>
      <c r="AH211" s="47"/>
      <c r="AI211" s="47"/>
    </row>
    <row r="212" spans="1:35" ht="60" customHeight="1" x14ac:dyDescent="0.2">
      <c r="A212" s="57"/>
      <c r="B212" s="47"/>
      <c r="C212" s="47"/>
      <c r="D212" s="47"/>
      <c r="E212" s="47"/>
      <c r="F212" s="47"/>
      <c r="G212" s="47"/>
      <c r="H212" s="47"/>
      <c r="I212" s="47"/>
      <c r="J212" s="47"/>
      <c r="K212" s="47"/>
      <c r="L212" s="47"/>
      <c r="M212" s="47"/>
      <c r="N212" s="47"/>
      <c r="O212" s="47"/>
      <c r="P212" s="47"/>
      <c r="Q212" s="47"/>
      <c r="R212" s="50"/>
      <c r="S212" s="47"/>
      <c r="T212" s="47"/>
      <c r="U212" s="47"/>
      <c r="V212" s="47"/>
      <c r="W212" s="47"/>
      <c r="X212" s="47"/>
      <c r="Y212" s="47"/>
      <c r="Z212" s="47"/>
      <c r="AA212" s="47"/>
      <c r="AB212" s="47"/>
      <c r="AC212" s="47"/>
      <c r="AD212" s="47"/>
      <c r="AE212" s="47"/>
      <c r="AF212" s="47"/>
      <c r="AG212" s="47"/>
      <c r="AH212" s="47"/>
      <c r="AI212" s="47"/>
    </row>
    <row r="213" spans="1:35" ht="60" customHeight="1" x14ac:dyDescent="0.2">
      <c r="A213" s="57"/>
      <c r="B213" s="47"/>
      <c r="C213" s="47"/>
      <c r="D213" s="47"/>
      <c r="E213" s="47"/>
      <c r="F213" s="47"/>
      <c r="G213" s="47"/>
      <c r="H213" s="47"/>
      <c r="I213" s="47"/>
      <c r="J213" s="47"/>
      <c r="K213" s="47"/>
      <c r="L213" s="47"/>
      <c r="M213" s="47"/>
      <c r="N213" s="47"/>
      <c r="O213" s="47"/>
      <c r="P213" s="47"/>
      <c r="Q213" s="47"/>
      <c r="R213" s="50"/>
      <c r="S213" s="47"/>
      <c r="T213" s="47"/>
      <c r="U213" s="47"/>
      <c r="V213" s="47"/>
      <c r="W213" s="47"/>
      <c r="X213" s="47"/>
      <c r="Y213" s="47"/>
      <c r="Z213" s="47"/>
      <c r="AA213" s="47"/>
      <c r="AB213" s="47"/>
      <c r="AC213" s="47"/>
      <c r="AD213" s="47"/>
      <c r="AE213" s="47"/>
      <c r="AF213" s="47"/>
      <c r="AG213" s="47"/>
      <c r="AH213" s="47"/>
      <c r="AI213" s="47"/>
    </row>
    <row r="214" spans="1:35" ht="60" customHeight="1" x14ac:dyDescent="0.2">
      <c r="A214" s="57"/>
      <c r="B214" s="47"/>
      <c r="C214" s="47"/>
      <c r="D214" s="47"/>
      <c r="E214" s="47"/>
      <c r="F214" s="47"/>
      <c r="G214" s="47"/>
      <c r="H214" s="47"/>
      <c r="I214" s="47"/>
      <c r="J214" s="47"/>
      <c r="K214" s="47"/>
      <c r="L214" s="47"/>
      <c r="M214" s="47"/>
      <c r="N214" s="47"/>
      <c r="O214" s="47"/>
      <c r="P214" s="47"/>
      <c r="Q214" s="47"/>
      <c r="R214" s="50"/>
      <c r="S214" s="47"/>
      <c r="T214" s="47"/>
      <c r="U214" s="47"/>
      <c r="V214" s="47"/>
      <c r="W214" s="47"/>
      <c r="X214" s="47"/>
      <c r="Y214" s="47"/>
      <c r="Z214" s="47"/>
      <c r="AA214" s="47"/>
      <c r="AB214" s="47"/>
      <c r="AC214" s="47"/>
      <c r="AD214" s="47"/>
      <c r="AE214" s="47"/>
      <c r="AF214" s="47"/>
      <c r="AG214" s="47"/>
      <c r="AH214" s="47"/>
      <c r="AI214" s="47"/>
    </row>
    <row r="215" spans="1:35" ht="60" customHeight="1" x14ac:dyDescent="0.2">
      <c r="A215" s="57"/>
      <c r="B215" s="47"/>
      <c r="C215" s="47"/>
      <c r="D215" s="47"/>
      <c r="E215" s="47"/>
      <c r="F215" s="47"/>
      <c r="G215" s="47"/>
      <c r="H215" s="47"/>
      <c r="I215" s="47"/>
      <c r="J215" s="47"/>
      <c r="K215" s="47"/>
      <c r="L215" s="47"/>
      <c r="M215" s="47"/>
      <c r="N215" s="47"/>
      <c r="O215" s="47"/>
      <c r="P215" s="47"/>
      <c r="Q215" s="47"/>
      <c r="R215" s="50"/>
      <c r="S215" s="50"/>
      <c r="T215" s="47"/>
      <c r="U215" s="47"/>
      <c r="V215" s="47"/>
      <c r="W215" s="47"/>
      <c r="X215" s="47"/>
      <c r="Y215" s="47"/>
      <c r="Z215" s="47"/>
      <c r="AA215" s="47"/>
      <c r="AB215" s="47"/>
      <c r="AC215" s="47"/>
      <c r="AD215" s="47"/>
      <c r="AE215" s="47"/>
      <c r="AF215" s="47"/>
      <c r="AG215" s="47"/>
      <c r="AH215" s="47"/>
      <c r="AI215" s="47"/>
    </row>
    <row r="216" spans="1:35" ht="60" customHeight="1" x14ac:dyDescent="0.2">
      <c r="A216" s="57"/>
      <c r="B216" s="47"/>
      <c r="C216" s="47"/>
      <c r="D216" s="47"/>
      <c r="E216" s="47"/>
      <c r="F216" s="47"/>
      <c r="G216" s="47"/>
      <c r="H216" s="47"/>
      <c r="I216" s="47"/>
      <c r="J216" s="47"/>
      <c r="K216" s="47"/>
      <c r="L216" s="47"/>
      <c r="M216" s="47"/>
      <c r="N216" s="47"/>
      <c r="O216" s="47"/>
      <c r="P216" s="47"/>
      <c r="Q216" s="47"/>
      <c r="R216" s="50"/>
      <c r="S216" s="50"/>
      <c r="T216" s="47"/>
      <c r="U216" s="47"/>
      <c r="V216" s="47"/>
      <c r="W216" s="47"/>
      <c r="X216" s="47"/>
      <c r="Y216" s="47"/>
      <c r="Z216" s="47"/>
      <c r="AA216" s="47"/>
      <c r="AB216" s="47"/>
      <c r="AC216" s="47"/>
      <c r="AD216" s="47"/>
      <c r="AE216" s="47"/>
      <c r="AF216" s="47"/>
      <c r="AG216" s="47"/>
      <c r="AH216" s="47"/>
      <c r="AI216" s="47"/>
    </row>
    <row r="217" spans="1:35" ht="60" customHeight="1" x14ac:dyDescent="0.2">
      <c r="A217" s="57"/>
      <c r="B217" s="47"/>
      <c r="C217" s="47"/>
      <c r="D217" s="47"/>
      <c r="E217" s="47"/>
      <c r="F217" s="47"/>
      <c r="G217" s="47"/>
      <c r="H217" s="47"/>
      <c r="I217" s="47"/>
      <c r="J217" s="47"/>
      <c r="K217" s="47"/>
      <c r="L217" s="47"/>
      <c r="M217" s="47"/>
      <c r="N217" s="47"/>
      <c r="O217" s="47"/>
      <c r="P217" s="47"/>
      <c r="Q217" s="47"/>
      <c r="R217" s="50"/>
      <c r="S217" s="47"/>
      <c r="T217" s="47"/>
      <c r="U217" s="47"/>
      <c r="V217" s="47"/>
      <c r="W217" s="47"/>
      <c r="X217" s="47"/>
      <c r="Y217" s="47"/>
      <c r="Z217" s="47"/>
      <c r="AA217" s="47"/>
      <c r="AB217" s="47"/>
      <c r="AC217" s="47"/>
      <c r="AD217" s="47"/>
      <c r="AE217" s="47"/>
      <c r="AF217" s="47"/>
      <c r="AG217" s="47"/>
      <c r="AH217" s="47"/>
      <c r="AI217" s="47"/>
    </row>
    <row r="218" spans="1:35" ht="60" customHeight="1" x14ac:dyDescent="0.2">
      <c r="A218" s="57"/>
      <c r="B218" s="47"/>
      <c r="C218" s="47"/>
      <c r="D218" s="47"/>
      <c r="E218" s="47"/>
      <c r="F218" s="47"/>
      <c r="G218" s="47"/>
      <c r="H218" s="47"/>
      <c r="I218" s="47"/>
      <c r="J218" s="47"/>
      <c r="K218" s="47"/>
      <c r="L218" s="47"/>
      <c r="M218" s="47"/>
      <c r="N218" s="47"/>
      <c r="O218" s="47"/>
      <c r="P218" s="67"/>
      <c r="Q218" s="47"/>
      <c r="R218" s="50"/>
      <c r="S218" s="50"/>
      <c r="T218" s="47"/>
      <c r="U218" s="47"/>
      <c r="V218" s="47"/>
      <c r="W218" s="47"/>
      <c r="X218" s="47"/>
      <c r="Y218" s="47"/>
      <c r="Z218" s="47"/>
      <c r="AA218" s="47"/>
      <c r="AB218" s="47"/>
      <c r="AC218" s="47"/>
      <c r="AD218" s="47"/>
      <c r="AE218" s="47"/>
      <c r="AF218" s="47"/>
      <c r="AG218" s="47"/>
      <c r="AH218" s="47"/>
      <c r="AI218" s="47"/>
    </row>
    <row r="219" spans="1:35" ht="60" customHeight="1" x14ac:dyDescent="0.2">
      <c r="A219" s="57"/>
      <c r="B219" s="47"/>
      <c r="C219" s="47"/>
      <c r="D219" s="47"/>
      <c r="E219" s="47"/>
      <c r="F219" s="47"/>
      <c r="G219" s="47"/>
      <c r="H219" s="47"/>
      <c r="I219" s="47"/>
      <c r="J219" s="47"/>
      <c r="K219" s="47"/>
      <c r="L219" s="47"/>
      <c r="M219" s="47"/>
      <c r="N219" s="47"/>
      <c r="O219" s="47"/>
      <c r="P219" s="47"/>
      <c r="Q219" s="47"/>
      <c r="R219" s="50"/>
      <c r="S219" s="50"/>
      <c r="T219" s="47"/>
      <c r="U219" s="47"/>
      <c r="V219" s="47"/>
      <c r="W219" s="47"/>
      <c r="X219" s="47"/>
      <c r="Y219" s="47"/>
      <c r="Z219" s="47"/>
      <c r="AA219" s="47"/>
      <c r="AB219" s="47"/>
      <c r="AC219" s="47"/>
      <c r="AD219" s="47"/>
      <c r="AE219" s="47"/>
      <c r="AF219" s="47"/>
      <c r="AG219" s="47"/>
      <c r="AH219" s="47"/>
      <c r="AI219" s="47"/>
    </row>
    <row r="220" spans="1:35" ht="60" customHeight="1" x14ac:dyDescent="0.2">
      <c r="A220" s="57"/>
      <c r="B220" s="47"/>
      <c r="C220" s="47"/>
      <c r="D220" s="47"/>
      <c r="E220" s="47"/>
      <c r="F220" s="47"/>
      <c r="G220" s="47"/>
      <c r="H220" s="47"/>
      <c r="I220" s="47"/>
      <c r="J220" s="47"/>
      <c r="K220" s="47"/>
      <c r="L220" s="47"/>
      <c r="M220" s="47"/>
      <c r="N220" s="47"/>
      <c r="O220" s="47"/>
      <c r="P220" s="47"/>
      <c r="Q220" s="47"/>
      <c r="R220" s="50"/>
      <c r="S220" s="50"/>
      <c r="T220" s="47"/>
      <c r="U220" s="47"/>
      <c r="V220" s="47"/>
      <c r="W220" s="47"/>
      <c r="X220" s="47"/>
      <c r="Y220" s="47"/>
      <c r="Z220" s="47"/>
      <c r="AA220" s="47"/>
      <c r="AB220" s="47"/>
      <c r="AC220" s="47"/>
      <c r="AD220" s="47"/>
      <c r="AE220" s="47"/>
      <c r="AF220" s="47"/>
      <c r="AG220" s="47"/>
      <c r="AH220" s="47"/>
      <c r="AI220" s="47"/>
    </row>
    <row r="221" spans="1:35" ht="15.75" customHeight="1" x14ac:dyDescent="0.2">
      <c r="A221" s="41"/>
      <c r="B221" s="41"/>
      <c r="C221" s="41"/>
      <c r="D221" s="41"/>
      <c r="E221" s="41"/>
      <c r="F221" s="41"/>
      <c r="G221" s="41"/>
      <c r="H221" s="41"/>
      <c r="I221" s="41"/>
      <c r="J221" s="41"/>
      <c r="K221" s="41"/>
      <c r="L221" s="41"/>
      <c r="M221" s="41"/>
      <c r="N221" s="41"/>
      <c r="O221" s="41"/>
      <c r="P221" s="41"/>
      <c r="Q221" s="41"/>
      <c r="R221" s="41"/>
      <c r="S221" s="41"/>
      <c r="T221" s="41"/>
      <c r="U221" s="41"/>
      <c r="V221" s="41"/>
      <c r="W221" s="41"/>
      <c r="X221" s="41"/>
      <c r="Y221" s="41"/>
      <c r="Z221" s="41"/>
      <c r="AA221" s="41"/>
      <c r="AB221" s="41"/>
      <c r="AC221" s="41"/>
      <c r="AD221" s="41"/>
      <c r="AE221" s="41"/>
      <c r="AF221" s="41"/>
      <c r="AG221" s="41"/>
      <c r="AH221" s="41"/>
      <c r="AI221" s="41"/>
    </row>
    <row r="222" spans="1:35" ht="15.75" customHeight="1" x14ac:dyDescent="0.2">
      <c r="A222" s="41"/>
      <c r="B222" s="41"/>
      <c r="C222" s="41"/>
      <c r="D222" s="41"/>
      <c r="E222" s="41"/>
      <c r="F222" s="41"/>
      <c r="G222" s="41"/>
      <c r="H222" s="41"/>
      <c r="I222" s="41"/>
      <c r="J222" s="41"/>
      <c r="K222" s="41"/>
      <c r="L222" s="41"/>
      <c r="M222" s="41"/>
      <c r="N222" s="41"/>
      <c r="O222" s="41"/>
      <c r="P222" s="41"/>
      <c r="Q222" s="41"/>
      <c r="R222" s="41"/>
      <c r="S222" s="41"/>
      <c r="T222" s="41"/>
      <c r="U222" s="41"/>
      <c r="V222" s="41"/>
      <c r="W222" s="41"/>
      <c r="X222" s="41"/>
      <c r="Y222" s="41"/>
      <c r="Z222" s="41"/>
      <c r="AA222" s="41"/>
      <c r="AB222" s="41"/>
      <c r="AC222" s="41"/>
      <c r="AD222" s="41"/>
      <c r="AE222" s="41"/>
      <c r="AF222" s="41"/>
      <c r="AG222" s="41"/>
      <c r="AH222" s="41"/>
      <c r="AI222" s="41"/>
    </row>
    <row r="223" spans="1:35" ht="15.75" customHeight="1" x14ac:dyDescent="0.2">
      <c r="A223" s="41"/>
      <c r="B223" s="41"/>
      <c r="C223" s="41"/>
      <c r="D223" s="41"/>
      <c r="E223" s="41"/>
      <c r="F223" s="41"/>
      <c r="G223" s="41"/>
      <c r="H223" s="41"/>
      <c r="I223" s="41"/>
      <c r="J223" s="41"/>
      <c r="K223" s="41"/>
      <c r="L223" s="41"/>
      <c r="M223" s="41"/>
      <c r="N223" s="41"/>
      <c r="O223" s="41"/>
      <c r="P223" s="41"/>
      <c r="Q223" s="41"/>
      <c r="R223" s="41"/>
      <c r="S223" s="41"/>
      <c r="T223" s="41"/>
      <c r="U223" s="41"/>
      <c r="V223" s="41"/>
      <c r="W223" s="41"/>
      <c r="X223" s="41"/>
      <c r="Y223" s="41"/>
      <c r="Z223" s="41"/>
      <c r="AA223" s="41"/>
      <c r="AB223" s="41"/>
      <c r="AC223" s="41"/>
      <c r="AD223" s="41"/>
      <c r="AE223" s="41"/>
      <c r="AF223" s="41"/>
      <c r="AG223" s="41"/>
      <c r="AH223" s="41"/>
      <c r="AI223" s="41"/>
    </row>
    <row r="224" spans="1:35" ht="15.75" customHeight="1" x14ac:dyDescent="0.2">
      <c r="A224" s="41"/>
      <c r="B224" s="41"/>
      <c r="C224" s="41"/>
      <c r="D224" s="41"/>
      <c r="E224" s="41"/>
      <c r="F224" s="41"/>
      <c r="G224" s="41"/>
      <c r="H224" s="41"/>
      <c r="I224" s="41"/>
      <c r="J224" s="41"/>
      <c r="K224" s="41"/>
      <c r="L224" s="41"/>
      <c r="M224" s="41"/>
      <c r="N224" s="41"/>
      <c r="O224" s="41"/>
      <c r="P224" s="41"/>
      <c r="Q224" s="41"/>
      <c r="R224" s="41"/>
      <c r="S224" s="41"/>
      <c r="T224" s="41"/>
      <c r="U224" s="41"/>
      <c r="V224" s="41"/>
      <c r="W224" s="41"/>
      <c r="X224" s="41"/>
      <c r="Y224" s="41"/>
      <c r="Z224" s="41"/>
      <c r="AA224" s="41"/>
      <c r="AB224" s="41"/>
      <c r="AC224" s="41"/>
      <c r="AD224" s="41"/>
      <c r="AE224" s="41"/>
      <c r="AF224" s="41"/>
      <c r="AG224" s="41"/>
      <c r="AH224" s="41"/>
      <c r="AI224" s="41"/>
    </row>
    <row r="225" spans="1:35" ht="15.75" customHeight="1" x14ac:dyDescent="0.2">
      <c r="A225" s="41"/>
      <c r="B225" s="41"/>
      <c r="C225" s="41"/>
      <c r="D225" s="41"/>
      <c r="E225" s="41"/>
      <c r="F225" s="41"/>
      <c r="G225" s="41"/>
      <c r="H225" s="41"/>
      <c r="I225" s="41"/>
      <c r="J225" s="41"/>
      <c r="K225" s="41"/>
      <c r="L225" s="41"/>
      <c r="M225" s="41"/>
      <c r="N225" s="41"/>
      <c r="O225" s="41"/>
      <c r="P225" s="41"/>
      <c r="Q225" s="41"/>
      <c r="R225" s="41"/>
      <c r="S225" s="41"/>
      <c r="T225" s="41"/>
      <c r="U225" s="41"/>
      <c r="V225" s="41"/>
      <c r="W225" s="41"/>
      <c r="X225" s="41"/>
      <c r="Y225" s="41"/>
      <c r="Z225" s="41"/>
      <c r="AA225" s="41"/>
      <c r="AB225" s="41"/>
      <c r="AC225" s="41"/>
      <c r="AD225" s="41"/>
      <c r="AE225" s="41"/>
      <c r="AF225" s="41"/>
      <c r="AG225" s="41"/>
      <c r="AH225" s="41"/>
      <c r="AI225" s="41"/>
    </row>
    <row r="226" spans="1:35" ht="15.75" customHeight="1" x14ac:dyDescent="0.2">
      <c r="A226" s="41"/>
      <c r="B226" s="41"/>
      <c r="C226" s="41"/>
      <c r="D226" s="41"/>
      <c r="E226" s="41"/>
      <c r="F226" s="41"/>
      <c r="G226" s="41"/>
      <c r="H226" s="41"/>
      <c r="I226" s="41"/>
      <c r="J226" s="41"/>
      <c r="K226" s="41"/>
      <c r="L226" s="41"/>
      <c r="M226" s="41"/>
      <c r="N226" s="41"/>
      <c r="O226" s="41"/>
      <c r="P226" s="41"/>
      <c r="Q226" s="41"/>
      <c r="R226" s="41"/>
      <c r="S226" s="41"/>
      <c r="T226" s="41"/>
      <c r="U226" s="41"/>
      <c r="V226" s="41"/>
      <c r="W226" s="41"/>
      <c r="X226" s="41"/>
      <c r="Y226" s="41"/>
      <c r="Z226" s="41"/>
      <c r="AA226" s="41"/>
      <c r="AB226" s="41"/>
      <c r="AC226" s="41"/>
      <c r="AD226" s="41"/>
      <c r="AE226" s="41"/>
      <c r="AF226" s="41"/>
      <c r="AG226" s="41"/>
      <c r="AH226" s="41"/>
      <c r="AI226" s="41"/>
    </row>
    <row r="227" spans="1:35" ht="15.75" customHeight="1" x14ac:dyDescent="0.2">
      <c r="A227" s="41"/>
      <c r="B227" s="41"/>
      <c r="C227" s="41"/>
      <c r="D227" s="41"/>
      <c r="E227" s="41"/>
      <c r="F227" s="41"/>
      <c r="G227" s="41"/>
      <c r="H227" s="41"/>
      <c r="I227" s="41"/>
      <c r="J227" s="41"/>
      <c r="K227" s="41"/>
      <c r="L227" s="41"/>
      <c r="M227" s="41"/>
      <c r="N227" s="41"/>
      <c r="O227" s="41"/>
      <c r="P227" s="41"/>
      <c r="Q227" s="41"/>
      <c r="R227" s="41"/>
      <c r="S227" s="41"/>
      <c r="T227" s="41"/>
      <c r="U227" s="41"/>
      <c r="V227" s="41"/>
      <c r="W227" s="41"/>
      <c r="X227" s="41"/>
      <c r="Y227" s="41"/>
      <c r="Z227" s="41"/>
      <c r="AA227" s="41"/>
      <c r="AB227" s="41"/>
      <c r="AC227" s="41"/>
      <c r="AD227" s="41"/>
      <c r="AE227" s="41"/>
      <c r="AF227" s="41"/>
      <c r="AG227" s="41"/>
      <c r="AH227" s="41"/>
      <c r="AI227" s="41"/>
    </row>
    <row r="228" spans="1:35" ht="15.75" customHeight="1" x14ac:dyDescent="0.2">
      <c r="A228" s="41"/>
      <c r="B228" s="41"/>
      <c r="C228" s="41"/>
      <c r="D228" s="41"/>
      <c r="E228" s="41"/>
      <c r="F228" s="41"/>
      <c r="G228" s="41"/>
      <c r="H228" s="41"/>
      <c r="I228" s="41"/>
      <c r="J228" s="41"/>
      <c r="K228" s="41"/>
      <c r="L228" s="41"/>
      <c r="M228" s="41"/>
      <c r="N228" s="41"/>
      <c r="O228" s="41"/>
      <c r="P228" s="41"/>
      <c r="Q228" s="41"/>
      <c r="R228" s="41"/>
      <c r="S228" s="41"/>
      <c r="T228" s="41"/>
      <c r="U228" s="41"/>
      <c r="V228" s="41"/>
      <c r="W228" s="41"/>
      <c r="X228" s="41"/>
      <c r="Y228" s="41"/>
      <c r="Z228" s="41"/>
      <c r="AA228" s="41"/>
      <c r="AB228" s="41"/>
      <c r="AC228" s="41"/>
      <c r="AD228" s="41"/>
      <c r="AE228" s="41"/>
      <c r="AF228" s="41"/>
      <c r="AG228" s="41"/>
      <c r="AH228" s="41"/>
      <c r="AI228" s="41"/>
    </row>
    <row r="229" spans="1:35" ht="15.75" customHeight="1" x14ac:dyDescent="0.2">
      <c r="A229" s="41"/>
      <c r="B229" s="41"/>
      <c r="C229" s="41"/>
      <c r="D229" s="41"/>
      <c r="E229" s="41"/>
      <c r="F229" s="41"/>
      <c r="G229" s="41"/>
      <c r="H229" s="41"/>
      <c r="I229" s="41"/>
      <c r="J229" s="41"/>
      <c r="K229" s="41"/>
      <c r="L229" s="41"/>
      <c r="M229" s="41"/>
      <c r="N229" s="41"/>
      <c r="O229" s="41"/>
      <c r="P229" s="41"/>
      <c r="Q229" s="41"/>
      <c r="R229" s="41"/>
      <c r="S229" s="41"/>
      <c r="T229" s="41"/>
      <c r="U229" s="41"/>
      <c r="V229" s="41"/>
      <c r="W229" s="41"/>
      <c r="X229" s="41"/>
      <c r="Y229" s="41"/>
      <c r="Z229" s="41"/>
      <c r="AA229" s="41"/>
      <c r="AB229" s="41"/>
      <c r="AC229" s="41"/>
      <c r="AD229" s="41"/>
      <c r="AE229" s="41"/>
      <c r="AF229" s="41"/>
      <c r="AG229" s="41"/>
      <c r="AH229" s="41"/>
      <c r="AI229" s="41"/>
    </row>
    <row r="230" spans="1:35" ht="15.75" customHeight="1" x14ac:dyDescent="0.2">
      <c r="A230" s="41"/>
      <c r="B230" s="41"/>
      <c r="C230" s="41"/>
      <c r="D230" s="41"/>
      <c r="E230" s="41"/>
      <c r="F230" s="41"/>
      <c r="G230" s="41"/>
      <c r="H230" s="41"/>
      <c r="I230" s="41"/>
      <c r="J230" s="41"/>
      <c r="K230" s="41"/>
      <c r="L230" s="41"/>
      <c r="M230" s="41"/>
      <c r="N230" s="41"/>
      <c r="O230" s="41"/>
      <c r="P230" s="41"/>
      <c r="Q230" s="41"/>
      <c r="R230" s="41"/>
      <c r="S230" s="41"/>
      <c r="T230" s="41"/>
      <c r="U230" s="41"/>
      <c r="V230" s="41"/>
      <c r="W230" s="41"/>
      <c r="X230" s="41"/>
      <c r="Y230" s="41"/>
      <c r="Z230" s="41"/>
      <c r="AA230" s="41"/>
      <c r="AB230" s="41"/>
      <c r="AC230" s="41"/>
      <c r="AD230" s="41"/>
      <c r="AE230" s="41"/>
      <c r="AF230" s="41"/>
      <c r="AG230" s="41"/>
      <c r="AH230" s="41"/>
      <c r="AI230" s="41"/>
    </row>
    <row r="231" spans="1:35" ht="15.75" customHeight="1" x14ac:dyDescent="0.2">
      <c r="A231" s="41"/>
      <c r="B231" s="41"/>
      <c r="C231" s="41"/>
      <c r="D231" s="41"/>
      <c r="E231" s="41"/>
      <c r="F231" s="41"/>
      <c r="G231" s="41"/>
      <c r="H231" s="41"/>
      <c r="I231" s="41"/>
      <c r="J231" s="41"/>
      <c r="K231" s="41"/>
      <c r="L231" s="41"/>
      <c r="M231" s="41"/>
      <c r="N231" s="41"/>
      <c r="O231" s="41"/>
      <c r="P231" s="41"/>
      <c r="Q231" s="41"/>
      <c r="R231" s="41"/>
      <c r="S231" s="41"/>
      <c r="T231" s="41"/>
      <c r="U231" s="41"/>
      <c r="V231" s="41"/>
      <c r="W231" s="41"/>
      <c r="X231" s="41"/>
      <c r="Y231" s="41"/>
      <c r="Z231" s="41"/>
      <c r="AA231" s="41"/>
      <c r="AB231" s="41"/>
      <c r="AC231" s="41"/>
      <c r="AD231" s="41"/>
      <c r="AE231" s="41"/>
      <c r="AF231" s="41"/>
      <c r="AG231" s="41"/>
      <c r="AH231" s="41"/>
      <c r="AI231" s="41"/>
    </row>
    <row r="232" spans="1:35" ht="15.75" customHeight="1" x14ac:dyDescent="0.2">
      <c r="A232" s="41"/>
      <c r="B232" s="41"/>
      <c r="C232" s="41"/>
      <c r="D232" s="41"/>
      <c r="E232" s="41"/>
      <c r="F232" s="41"/>
      <c r="G232" s="41"/>
      <c r="H232" s="41"/>
      <c r="I232" s="41"/>
      <c r="J232" s="41"/>
      <c r="K232" s="41"/>
      <c r="L232" s="41"/>
      <c r="M232" s="41"/>
      <c r="N232" s="41"/>
      <c r="O232" s="41"/>
      <c r="P232" s="41"/>
      <c r="Q232" s="41"/>
      <c r="R232" s="41"/>
      <c r="S232" s="41"/>
      <c r="T232" s="41"/>
      <c r="U232" s="41"/>
      <c r="V232" s="41"/>
      <c r="W232" s="41"/>
      <c r="X232" s="41"/>
      <c r="Y232" s="41"/>
      <c r="Z232" s="41"/>
      <c r="AA232" s="41"/>
      <c r="AB232" s="41"/>
      <c r="AC232" s="41"/>
      <c r="AD232" s="41"/>
      <c r="AE232" s="41"/>
      <c r="AF232" s="41"/>
      <c r="AG232" s="41"/>
      <c r="AH232" s="41"/>
      <c r="AI232" s="41"/>
    </row>
    <row r="233" spans="1:35" ht="15.75" customHeight="1" x14ac:dyDescent="0.2">
      <c r="A233" s="41"/>
      <c r="B233" s="41"/>
      <c r="C233" s="41"/>
      <c r="D233" s="41"/>
      <c r="E233" s="41"/>
      <c r="F233" s="41"/>
      <c r="G233" s="41"/>
      <c r="H233" s="41"/>
      <c r="I233" s="41"/>
      <c r="J233" s="41"/>
      <c r="K233" s="41"/>
      <c r="L233" s="41"/>
      <c r="M233" s="41"/>
      <c r="N233" s="41"/>
      <c r="O233" s="41"/>
      <c r="P233" s="41"/>
      <c r="Q233" s="41"/>
      <c r="R233" s="41"/>
      <c r="S233" s="41"/>
      <c r="T233" s="41"/>
      <c r="U233" s="41"/>
      <c r="V233" s="41"/>
      <c r="W233" s="41"/>
      <c r="X233" s="41"/>
      <c r="Y233" s="41"/>
      <c r="Z233" s="41"/>
      <c r="AA233" s="41"/>
      <c r="AB233" s="41"/>
      <c r="AC233" s="41"/>
      <c r="AD233" s="41"/>
      <c r="AE233" s="41"/>
      <c r="AF233" s="41"/>
      <c r="AG233" s="41"/>
      <c r="AH233" s="41"/>
      <c r="AI233" s="41"/>
    </row>
    <row r="234" spans="1:35" ht="15.75" customHeight="1" x14ac:dyDescent="0.2">
      <c r="A234" s="41"/>
      <c r="B234" s="41"/>
      <c r="C234" s="41"/>
      <c r="D234" s="41"/>
      <c r="E234" s="41"/>
      <c r="F234" s="41"/>
      <c r="G234" s="41"/>
      <c r="H234" s="41"/>
      <c r="I234" s="41"/>
      <c r="J234" s="41"/>
      <c r="K234" s="41"/>
      <c r="L234" s="41"/>
      <c r="M234" s="41"/>
      <c r="N234" s="41"/>
      <c r="O234" s="41"/>
      <c r="P234" s="41"/>
      <c r="Q234" s="41"/>
      <c r="R234" s="41"/>
      <c r="S234" s="41"/>
      <c r="T234" s="41"/>
      <c r="U234" s="41"/>
      <c r="V234" s="41"/>
      <c r="W234" s="41"/>
      <c r="X234" s="41"/>
      <c r="Y234" s="41"/>
      <c r="Z234" s="41"/>
      <c r="AA234" s="41"/>
      <c r="AB234" s="41"/>
      <c r="AC234" s="41"/>
      <c r="AD234" s="41"/>
      <c r="AE234" s="41"/>
      <c r="AF234" s="41"/>
      <c r="AG234" s="41"/>
      <c r="AH234" s="41"/>
      <c r="AI234" s="41"/>
    </row>
    <row r="235" spans="1:35" ht="15.75" customHeight="1" x14ac:dyDescent="0.2">
      <c r="A235" s="41"/>
      <c r="B235" s="41"/>
      <c r="C235" s="41"/>
      <c r="D235" s="41"/>
      <c r="E235" s="41"/>
      <c r="F235" s="41"/>
      <c r="G235" s="41"/>
      <c r="H235" s="41"/>
      <c r="I235" s="41"/>
      <c r="J235" s="41"/>
      <c r="K235" s="41"/>
      <c r="L235" s="41"/>
      <c r="M235" s="41"/>
      <c r="N235" s="41"/>
      <c r="O235" s="41"/>
      <c r="P235" s="41"/>
      <c r="Q235" s="41"/>
      <c r="R235" s="41"/>
      <c r="S235" s="41"/>
      <c r="T235" s="41"/>
      <c r="U235" s="41"/>
      <c r="V235" s="41"/>
      <c r="W235" s="41"/>
      <c r="X235" s="41"/>
      <c r="Y235" s="41"/>
      <c r="Z235" s="41"/>
      <c r="AA235" s="41"/>
      <c r="AB235" s="41"/>
      <c r="AC235" s="41"/>
      <c r="AD235" s="41"/>
      <c r="AE235" s="41"/>
      <c r="AF235" s="41"/>
      <c r="AG235" s="41"/>
      <c r="AH235" s="41"/>
      <c r="AI235" s="41"/>
    </row>
    <row r="236" spans="1:35" ht="15.75" customHeight="1" x14ac:dyDescent="0.2">
      <c r="A236" s="41"/>
      <c r="B236" s="41"/>
      <c r="C236" s="41"/>
      <c r="D236" s="41"/>
      <c r="E236" s="41"/>
      <c r="F236" s="41"/>
      <c r="G236" s="41"/>
      <c r="H236" s="41"/>
      <c r="I236" s="41"/>
      <c r="J236" s="41"/>
      <c r="K236" s="41"/>
      <c r="L236" s="41"/>
      <c r="M236" s="41"/>
      <c r="N236" s="41"/>
      <c r="O236" s="41"/>
      <c r="P236" s="41"/>
      <c r="Q236" s="41"/>
      <c r="R236" s="41"/>
      <c r="S236" s="41"/>
      <c r="T236" s="41"/>
      <c r="U236" s="41"/>
      <c r="V236" s="41"/>
      <c r="W236" s="41"/>
      <c r="X236" s="41"/>
      <c r="Y236" s="41"/>
      <c r="Z236" s="41"/>
      <c r="AA236" s="41"/>
      <c r="AB236" s="41"/>
      <c r="AC236" s="41"/>
      <c r="AD236" s="41"/>
      <c r="AE236" s="41"/>
      <c r="AF236" s="41"/>
      <c r="AG236" s="41"/>
      <c r="AH236" s="41"/>
      <c r="AI236" s="41"/>
    </row>
    <row r="237" spans="1:35" ht="15.75" customHeight="1" x14ac:dyDescent="0.2">
      <c r="A237" s="41"/>
      <c r="B237" s="41"/>
      <c r="C237" s="41"/>
      <c r="D237" s="41"/>
      <c r="E237" s="41"/>
      <c r="F237" s="41"/>
      <c r="G237" s="41"/>
      <c r="H237" s="41"/>
      <c r="I237" s="41"/>
      <c r="J237" s="41"/>
      <c r="K237" s="41"/>
      <c r="L237" s="41"/>
      <c r="M237" s="41"/>
      <c r="N237" s="41"/>
      <c r="O237" s="41"/>
      <c r="P237" s="41"/>
      <c r="Q237" s="41"/>
      <c r="R237" s="41"/>
      <c r="S237" s="41"/>
      <c r="T237" s="41"/>
      <c r="U237" s="41"/>
      <c r="V237" s="41"/>
      <c r="W237" s="41"/>
      <c r="X237" s="41"/>
      <c r="Y237" s="41"/>
      <c r="Z237" s="41"/>
      <c r="AA237" s="41"/>
      <c r="AB237" s="41"/>
      <c r="AC237" s="41"/>
      <c r="AD237" s="41"/>
      <c r="AE237" s="41"/>
      <c r="AF237" s="41"/>
      <c r="AG237" s="41"/>
      <c r="AH237" s="41"/>
      <c r="AI237" s="41"/>
    </row>
    <row r="238" spans="1:35" ht="15.75" customHeight="1" x14ac:dyDescent="0.2">
      <c r="A238" s="41"/>
      <c r="B238" s="41"/>
      <c r="C238" s="41"/>
      <c r="D238" s="41"/>
      <c r="E238" s="41"/>
      <c r="F238" s="41"/>
      <c r="G238" s="41"/>
      <c r="H238" s="41"/>
      <c r="I238" s="41"/>
      <c r="J238" s="41"/>
      <c r="K238" s="41"/>
      <c r="L238" s="41"/>
      <c r="M238" s="41"/>
      <c r="N238" s="41"/>
      <c r="O238" s="41"/>
      <c r="P238" s="41"/>
      <c r="Q238" s="41"/>
      <c r="R238" s="41"/>
      <c r="S238" s="41"/>
      <c r="T238" s="41"/>
      <c r="U238" s="41"/>
      <c r="V238" s="41"/>
      <c r="W238" s="41"/>
      <c r="X238" s="41"/>
      <c r="Y238" s="41"/>
      <c r="Z238" s="41"/>
      <c r="AA238" s="41"/>
      <c r="AB238" s="41"/>
      <c r="AC238" s="41"/>
      <c r="AD238" s="41"/>
      <c r="AE238" s="41"/>
      <c r="AF238" s="41"/>
      <c r="AG238" s="41"/>
      <c r="AH238" s="41"/>
      <c r="AI238" s="41"/>
    </row>
    <row r="239" spans="1:35" ht="15.75" customHeight="1" x14ac:dyDescent="0.2">
      <c r="A239" s="41"/>
      <c r="B239" s="41"/>
      <c r="C239" s="41"/>
      <c r="D239" s="41"/>
      <c r="E239" s="41"/>
      <c r="F239" s="41"/>
      <c r="G239" s="41"/>
      <c r="H239" s="41"/>
      <c r="I239" s="41"/>
      <c r="J239" s="41"/>
      <c r="K239" s="41"/>
      <c r="L239" s="41"/>
      <c r="M239" s="41"/>
      <c r="N239" s="41"/>
      <c r="O239" s="41"/>
      <c r="P239" s="41"/>
      <c r="Q239" s="41"/>
      <c r="R239" s="41"/>
      <c r="S239" s="41"/>
      <c r="T239" s="41"/>
      <c r="U239" s="41"/>
      <c r="V239" s="41"/>
      <c r="W239" s="41"/>
      <c r="X239" s="41"/>
      <c r="Y239" s="41"/>
      <c r="Z239" s="41"/>
      <c r="AA239" s="41"/>
      <c r="AB239" s="41"/>
      <c r="AC239" s="41"/>
      <c r="AD239" s="41"/>
      <c r="AE239" s="41"/>
      <c r="AF239" s="41"/>
      <c r="AG239" s="41"/>
      <c r="AH239" s="41"/>
      <c r="AI239" s="41"/>
    </row>
    <row r="240" spans="1:35" ht="15.75" customHeight="1" x14ac:dyDescent="0.2">
      <c r="A240" s="41"/>
      <c r="B240" s="41"/>
      <c r="C240" s="41"/>
      <c r="D240" s="41"/>
      <c r="E240" s="41"/>
      <c r="F240" s="41"/>
      <c r="G240" s="41"/>
      <c r="H240" s="41"/>
      <c r="I240" s="41"/>
      <c r="J240" s="41"/>
      <c r="K240" s="41"/>
      <c r="L240" s="41"/>
      <c r="M240" s="41"/>
      <c r="N240" s="41"/>
      <c r="O240" s="41"/>
      <c r="P240" s="41"/>
      <c r="Q240" s="41"/>
      <c r="R240" s="41"/>
      <c r="S240" s="41"/>
      <c r="T240" s="41"/>
      <c r="U240" s="41"/>
      <c r="V240" s="41"/>
      <c r="W240" s="41"/>
      <c r="X240" s="41"/>
      <c r="Y240" s="41"/>
      <c r="Z240" s="41"/>
      <c r="AA240" s="41"/>
      <c r="AB240" s="41"/>
      <c r="AC240" s="41"/>
      <c r="AD240" s="41"/>
      <c r="AE240" s="41"/>
      <c r="AF240" s="41"/>
      <c r="AG240" s="41"/>
      <c r="AH240" s="41"/>
      <c r="AI240" s="41"/>
    </row>
    <row r="241" spans="1:35" ht="15.75" customHeight="1" x14ac:dyDescent="0.2">
      <c r="A241" s="41"/>
      <c r="B241" s="41"/>
      <c r="C241" s="41"/>
      <c r="D241" s="41"/>
      <c r="E241" s="41"/>
      <c r="F241" s="41"/>
      <c r="G241" s="41"/>
      <c r="H241" s="41"/>
      <c r="I241" s="41"/>
      <c r="J241" s="41"/>
      <c r="K241" s="41"/>
      <c r="L241" s="41"/>
      <c r="M241" s="41"/>
      <c r="N241" s="41"/>
      <c r="O241" s="41"/>
      <c r="P241" s="41"/>
      <c r="Q241" s="41"/>
      <c r="R241" s="41"/>
      <c r="S241" s="41"/>
      <c r="T241" s="41"/>
      <c r="U241" s="41"/>
      <c r="V241" s="41"/>
      <c r="W241" s="41"/>
      <c r="X241" s="41"/>
      <c r="Y241" s="41"/>
      <c r="Z241" s="41"/>
      <c r="AA241" s="41"/>
      <c r="AB241" s="41"/>
      <c r="AC241" s="41"/>
      <c r="AD241" s="41"/>
      <c r="AE241" s="41"/>
      <c r="AF241" s="41"/>
      <c r="AG241" s="41"/>
      <c r="AH241" s="41"/>
      <c r="AI241" s="41"/>
    </row>
    <row r="242" spans="1:35" ht="15.75" customHeight="1" x14ac:dyDescent="0.2">
      <c r="A242" s="41"/>
      <c r="B242" s="41"/>
      <c r="C242" s="41"/>
      <c r="D242" s="41"/>
      <c r="E242" s="41"/>
      <c r="F242" s="41"/>
      <c r="G242" s="41"/>
      <c r="H242" s="41"/>
      <c r="I242" s="41"/>
      <c r="J242" s="41"/>
      <c r="K242" s="41"/>
      <c r="L242" s="41"/>
      <c r="M242" s="41"/>
      <c r="N242" s="41"/>
      <c r="O242" s="41"/>
      <c r="P242" s="41"/>
      <c r="Q242" s="41"/>
      <c r="R242" s="41"/>
      <c r="S242" s="41"/>
      <c r="T242" s="41"/>
      <c r="U242" s="41"/>
      <c r="V242" s="41"/>
      <c r="W242" s="41"/>
      <c r="X242" s="41"/>
      <c r="Y242" s="41"/>
      <c r="Z242" s="41"/>
      <c r="AA242" s="41"/>
      <c r="AB242" s="41"/>
      <c r="AC242" s="41"/>
      <c r="AD242" s="41"/>
      <c r="AE242" s="41"/>
      <c r="AF242" s="41"/>
      <c r="AG242" s="41"/>
      <c r="AH242" s="41"/>
      <c r="AI242" s="41"/>
    </row>
    <row r="243" spans="1:35" ht="15.75" customHeight="1" x14ac:dyDescent="0.2">
      <c r="A243" s="41"/>
      <c r="B243" s="41"/>
      <c r="C243" s="41"/>
      <c r="D243" s="41"/>
      <c r="E243" s="41"/>
      <c r="F243" s="41"/>
      <c r="G243" s="41"/>
      <c r="H243" s="41"/>
      <c r="I243" s="41"/>
      <c r="J243" s="41"/>
      <c r="K243" s="41"/>
      <c r="L243" s="41"/>
      <c r="M243" s="41"/>
      <c r="N243" s="41"/>
      <c r="O243" s="41"/>
      <c r="P243" s="41"/>
      <c r="Q243" s="41"/>
      <c r="R243" s="41"/>
      <c r="S243" s="41"/>
      <c r="T243" s="41"/>
      <c r="U243" s="41"/>
      <c r="V243" s="41"/>
      <c r="W243" s="41"/>
      <c r="X243" s="41"/>
      <c r="Y243" s="41"/>
      <c r="Z243" s="41"/>
      <c r="AA243" s="41"/>
      <c r="AB243" s="41"/>
      <c r="AC243" s="41"/>
      <c r="AD243" s="41"/>
      <c r="AE243" s="41"/>
      <c r="AF243" s="41"/>
      <c r="AG243" s="41"/>
      <c r="AH243" s="41"/>
      <c r="AI243" s="41"/>
    </row>
    <row r="244" spans="1:35" ht="15.75" customHeight="1" x14ac:dyDescent="0.2">
      <c r="A244" s="41"/>
      <c r="B244" s="41"/>
      <c r="C244" s="41"/>
      <c r="D244" s="41"/>
      <c r="E244" s="41"/>
      <c r="F244" s="41"/>
      <c r="G244" s="41"/>
      <c r="H244" s="41"/>
      <c r="I244" s="41"/>
      <c r="J244" s="41"/>
      <c r="K244" s="41"/>
      <c r="L244" s="41"/>
      <c r="M244" s="41"/>
      <c r="N244" s="41"/>
      <c r="O244" s="41"/>
      <c r="P244" s="41"/>
      <c r="Q244" s="41"/>
      <c r="R244" s="41"/>
      <c r="S244" s="41"/>
      <c r="T244" s="41"/>
      <c r="U244" s="41"/>
      <c r="V244" s="41"/>
      <c r="W244" s="41"/>
      <c r="X244" s="41"/>
      <c r="Y244" s="41"/>
      <c r="Z244" s="41"/>
      <c r="AA244" s="41"/>
      <c r="AB244" s="41"/>
      <c r="AC244" s="41"/>
      <c r="AD244" s="41"/>
      <c r="AE244" s="41"/>
      <c r="AF244" s="41"/>
      <c r="AG244" s="41"/>
      <c r="AH244" s="41"/>
      <c r="AI244" s="41"/>
    </row>
    <row r="245" spans="1:35" ht="15.75" customHeight="1" x14ac:dyDescent="0.2">
      <c r="A245" s="41"/>
      <c r="B245" s="41"/>
      <c r="C245" s="41"/>
      <c r="D245" s="41"/>
      <c r="E245" s="41"/>
      <c r="F245" s="41"/>
      <c r="G245" s="41"/>
      <c r="H245" s="41"/>
      <c r="I245" s="41"/>
      <c r="J245" s="41"/>
      <c r="K245" s="41"/>
      <c r="L245" s="41"/>
      <c r="M245" s="41"/>
      <c r="N245" s="41"/>
      <c r="O245" s="41"/>
      <c r="P245" s="41"/>
      <c r="Q245" s="41"/>
      <c r="R245" s="41"/>
      <c r="S245" s="41"/>
      <c r="T245" s="41"/>
      <c r="U245" s="41"/>
      <c r="V245" s="41"/>
      <c r="W245" s="41"/>
      <c r="X245" s="41"/>
      <c r="Y245" s="41"/>
      <c r="Z245" s="41"/>
      <c r="AA245" s="41"/>
      <c r="AB245" s="41"/>
      <c r="AC245" s="41"/>
      <c r="AD245" s="41"/>
      <c r="AE245" s="41"/>
      <c r="AF245" s="41"/>
      <c r="AG245" s="41"/>
      <c r="AH245" s="41"/>
      <c r="AI245" s="41"/>
    </row>
    <row r="246" spans="1:35" ht="15.75" customHeight="1" x14ac:dyDescent="0.2">
      <c r="A246" s="41"/>
      <c r="B246" s="41"/>
      <c r="C246" s="41"/>
      <c r="D246" s="41"/>
      <c r="E246" s="41"/>
      <c r="F246" s="41"/>
      <c r="G246" s="41"/>
      <c r="H246" s="41"/>
      <c r="I246" s="41"/>
      <c r="J246" s="41"/>
      <c r="K246" s="41"/>
      <c r="L246" s="41"/>
      <c r="M246" s="41"/>
      <c r="N246" s="41"/>
      <c r="O246" s="41"/>
      <c r="P246" s="41"/>
      <c r="Q246" s="41"/>
      <c r="R246" s="41"/>
      <c r="S246" s="41"/>
      <c r="T246" s="41"/>
      <c r="U246" s="41"/>
      <c r="V246" s="41"/>
      <c r="W246" s="41"/>
      <c r="X246" s="41"/>
      <c r="Y246" s="41"/>
      <c r="Z246" s="41"/>
      <c r="AA246" s="41"/>
      <c r="AB246" s="41"/>
      <c r="AC246" s="41"/>
      <c r="AD246" s="41"/>
      <c r="AE246" s="41"/>
      <c r="AF246" s="41"/>
      <c r="AG246" s="41"/>
      <c r="AH246" s="41"/>
      <c r="AI246" s="41"/>
    </row>
    <row r="247" spans="1:35" ht="15.75" customHeight="1" x14ac:dyDescent="0.2">
      <c r="A247" s="41"/>
      <c r="B247" s="41"/>
      <c r="C247" s="41"/>
      <c r="D247" s="41"/>
      <c r="E247" s="41"/>
      <c r="F247" s="41"/>
      <c r="G247" s="41"/>
      <c r="H247" s="41"/>
      <c r="I247" s="41"/>
      <c r="J247" s="41"/>
      <c r="K247" s="41"/>
      <c r="L247" s="41"/>
      <c r="M247" s="41"/>
      <c r="N247" s="41"/>
      <c r="O247" s="41"/>
      <c r="P247" s="41"/>
      <c r="Q247" s="41"/>
      <c r="R247" s="41"/>
      <c r="S247" s="41"/>
      <c r="T247" s="41"/>
      <c r="U247" s="41"/>
      <c r="V247" s="41"/>
      <c r="W247" s="41"/>
      <c r="X247" s="41"/>
      <c r="Y247" s="41"/>
      <c r="Z247" s="41"/>
      <c r="AA247" s="41"/>
      <c r="AB247" s="41"/>
      <c r="AC247" s="41"/>
      <c r="AD247" s="41"/>
      <c r="AE247" s="41"/>
      <c r="AF247" s="41"/>
      <c r="AG247" s="41"/>
      <c r="AH247" s="41"/>
      <c r="AI247" s="41"/>
    </row>
    <row r="248" spans="1:35" ht="15.75" customHeight="1" x14ac:dyDescent="0.2">
      <c r="A248" s="41"/>
      <c r="B248" s="41"/>
      <c r="C248" s="41"/>
      <c r="D248" s="41"/>
      <c r="E248" s="41"/>
      <c r="F248" s="41"/>
      <c r="G248" s="41"/>
      <c r="H248" s="41"/>
      <c r="I248" s="41"/>
      <c r="J248" s="41"/>
      <c r="K248" s="41"/>
      <c r="L248" s="41"/>
      <c r="M248" s="41"/>
      <c r="N248" s="41"/>
      <c r="O248" s="41"/>
      <c r="P248" s="41"/>
      <c r="Q248" s="41"/>
      <c r="R248" s="41"/>
      <c r="S248" s="41"/>
      <c r="T248" s="41"/>
      <c r="U248" s="41"/>
      <c r="V248" s="41"/>
      <c r="W248" s="41"/>
      <c r="X248" s="41"/>
      <c r="Y248" s="41"/>
      <c r="Z248" s="41"/>
      <c r="AA248" s="41"/>
      <c r="AB248" s="41"/>
      <c r="AC248" s="41"/>
      <c r="AD248" s="41"/>
      <c r="AE248" s="41"/>
      <c r="AF248" s="41"/>
      <c r="AG248" s="41"/>
      <c r="AH248" s="41"/>
      <c r="AI248" s="41"/>
    </row>
    <row r="249" spans="1:35" ht="15.75" customHeight="1" x14ac:dyDescent="0.2">
      <c r="A249" s="41"/>
      <c r="B249" s="41"/>
      <c r="C249" s="41"/>
      <c r="D249" s="41"/>
      <c r="E249" s="41"/>
      <c r="F249" s="41"/>
      <c r="G249" s="41"/>
      <c r="H249" s="41"/>
      <c r="I249" s="41"/>
      <c r="J249" s="41"/>
      <c r="K249" s="41"/>
      <c r="L249" s="41"/>
      <c r="M249" s="41"/>
      <c r="N249" s="41"/>
      <c r="O249" s="41"/>
      <c r="P249" s="41"/>
      <c r="Q249" s="41"/>
      <c r="R249" s="41"/>
      <c r="S249" s="41"/>
      <c r="T249" s="41"/>
      <c r="U249" s="41"/>
      <c r="V249" s="41"/>
      <c r="W249" s="41"/>
      <c r="X249" s="41"/>
      <c r="Y249" s="41"/>
      <c r="Z249" s="41"/>
      <c r="AA249" s="41"/>
      <c r="AB249" s="41"/>
      <c r="AC249" s="41"/>
      <c r="AD249" s="41"/>
      <c r="AE249" s="41"/>
      <c r="AF249" s="41"/>
      <c r="AG249" s="41"/>
      <c r="AH249" s="41"/>
      <c r="AI249" s="41"/>
    </row>
    <row r="250" spans="1:35" ht="15.75" customHeight="1" x14ac:dyDescent="0.2">
      <c r="A250" s="41"/>
      <c r="B250" s="41"/>
      <c r="C250" s="41"/>
      <c r="D250" s="41"/>
      <c r="E250" s="41"/>
      <c r="F250" s="41"/>
      <c r="G250" s="41"/>
      <c r="H250" s="41"/>
      <c r="I250" s="41"/>
      <c r="J250" s="41"/>
      <c r="K250" s="41"/>
      <c r="L250" s="41"/>
      <c r="M250" s="41"/>
      <c r="N250" s="41"/>
      <c r="O250" s="41"/>
      <c r="P250" s="41"/>
      <c r="Q250" s="41"/>
      <c r="R250" s="41"/>
      <c r="S250" s="41"/>
      <c r="T250" s="41"/>
      <c r="U250" s="41"/>
      <c r="V250" s="41"/>
      <c r="W250" s="41"/>
      <c r="X250" s="41"/>
      <c r="Y250" s="41"/>
      <c r="Z250" s="41"/>
      <c r="AA250" s="41"/>
      <c r="AB250" s="41"/>
      <c r="AC250" s="41"/>
      <c r="AD250" s="41"/>
      <c r="AE250" s="41"/>
      <c r="AF250" s="41"/>
      <c r="AG250" s="41"/>
      <c r="AH250" s="41"/>
      <c r="AI250" s="41"/>
    </row>
    <row r="251" spans="1:35" ht="15.75" customHeight="1" x14ac:dyDescent="0.2">
      <c r="A251" s="41"/>
      <c r="B251" s="41"/>
      <c r="C251" s="41"/>
      <c r="D251" s="41"/>
      <c r="E251" s="41"/>
      <c r="F251" s="41"/>
      <c r="G251" s="41"/>
      <c r="H251" s="41"/>
      <c r="I251" s="41"/>
      <c r="J251" s="41"/>
      <c r="K251" s="41"/>
      <c r="L251" s="41"/>
      <c r="M251" s="41"/>
      <c r="N251" s="41"/>
      <c r="O251" s="41"/>
      <c r="P251" s="41"/>
      <c r="Q251" s="41"/>
      <c r="R251" s="41"/>
      <c r="S251" s="41"/>
      <c r="T251" s="41"/>
      <c r="U251" s="41"/>
      <c r="V251" s="41"/>
      <c r="W251" s="41"/>
      <c r="X251" s="41"/>
      <c r="Y251" s="41"/>
      <c r="Z251" s="41"/>
      <c r="AA251" s="41"/>
      <c r="AB251" s="41"/>
      <c r="AC251" s="41"/>
      <c r="AD251" s="41"/>
      <c r="AE251" s="41"/>
      <c r="AF251" s="41"/>
      <c r="AG251" s="41"/>
      <c r="AH251" s="41"/>
      <c r="AI251" s="41"/>
    </row>
    <row r="252" spans="1:35" ht="15.75" customHeight="1" x14ac:dyDescent="0.2">
      <c r="A252" s="41"/>
      <c r="B252" s="41"/>
      <c r="C252" s="41"/>
      <c r="D252" s="41"/>
      <c r="E252" s="41"/>
      <c r="F252" s="41"/>
      <c r="G252" s="41"/>
      <c r="H252" s="41"/>
      <c r="I252" s="41"/>
      <c r="J252" s="41"/>
      <c r="K252" s="41"/>
      <c r="L252" s="41"/>
      <c r="M252" s="41"/>
      <c r="N252" s="41"/>
      <c r="O252" s="41"/>
      <c r="P252" s="41"/>
      <c r="Q252" s="41"/>
      <c r="R252" s="41"/>
      <c r="S252" s="41"/>
      <c r="T252" s="41"/>
      <c r="U252" s="41"/>
      <c r="V252" s="41"/>
      <c r="W252" s="41"/>
      <c r="X252" s="41"/>
      <c r="Y252" s="41"/>
      <c r="Z252" s="41"/>
      <c r="AA252" s="41"/>
      <c r="AB252" s="41"/>
      <c r="AC252" s="41"/>
      <c r="AD252" s="41"/>
      <c r="AE252" s="41"/>
      <c r="AF252" s="41"/>
      <c r="AG252" s="41"/>
      <c r="AH252" s="41"/>
      <c r="AI252" s="41"/>
    </row>
    <row r="253" spans="1:35" ht="15.75" customHeight="1" x14ac:dyDescent="0.2">
      <c r="A253" s="41"/>
      <c r="B253" s="41"/>
      <c r="C253" s="41"/>
      <c r="D253" s="41"/>
      <c r="E253" s="41"/>
      <c r="F253" s="41"/>
      <c r="G253" s="41"/>
      <c r="H253" s="41"/>
      <c r="I253" s="41"/>
      <c r="J253" s="41"/>
      <c r="K253" s="41"/>
      <c r="L253" s="41"/>
      <c r="M253" s="41"/>
      <c r="N253" s="41"/>
      <c r="O253" s="41"/>
      <c r="P253" s="41"/>
      <c r="Q253" s="41"/>
      <c r="R253" s="41"/>
      <c r="S253" s="41"/>
      <c r="T253" s="41"/>
      <c r="U253" s="41"/>
      <c r="V253" s="41"/>
      <c r="W253" s="41"/>
      <c r="X253" s="41"/>
      <c r="Y253" s="41"/>
      <c r="Z253" s="41"/>
      <c r="AA253" s="41"/>
      <c r="AB253" s="41"/>
      <c r="AC253" s="41"/>
      <c r="AD253" s="41"/>
      <c r="AE253" s="41"/>
      <c r="AF253" s="41"/>
      <c r="AG253" s="41"/>
      <c r="AH253" s="41"/>
      <c r="AI253" s="41"/>
    </row>
    <row r="254" spans="1:35" ht="15.75" customHeight="1" x14ac:dyDescent="0.2">
      <c r="A254" s="41"/>
      <c r="B254" s="41"/>
      <c r="C254" s="41"/>
      <c r="D254" s="41"/>
      <c r="E254" s="41"/>
      <c r="F254" s="41"/>
      <c r="G254" s="41"/>
      <c r="H254" s="41"/>
      <c r="I254" s="41"/>
      <c r="J254" s="41"/>
      <c r="K254" s="41"/>
      <c r="L254" s="41"/>
      <c r="M254" s="41"/>
      <c r="N254" s="41"/>
      <c r="O254" s="41"/>
      <c r="P254" s="41"/>
      <c r="Q254" s="41"/>
      <c r="R254" s="41"/>
      <c r="S254" s="41"/>
      <c r="T254" s="41"/>
      <c r="U254" s="41"/>
      <c r="V254" s="41"/>
      <c r="W254" s="41"/>
      <c r="X254" s="41"/>
      <c r="Y254" s="41"/>
      <c r="Z254" s="41"/>
      <c r="AA254" s="41"/>
      <c r="AB254" s="41"/>
      <c r="AC254" s="41"/>
      <c r="AD254" s="41"/>
      <c r="AE254" s="41"/>
      <c r="AF254" s="41"/>
      <c r="AG254" s="41"/>
      <c r="AH254" s="41"/>
      <c r="AI254" s="41"/>
    </row>
    <row r="255" spans="1:35" ht="15.75" customHeight="1" x14ac:dyDescent="0.2">
      <c r="A255" s="41"/>
      <c r="B255" s="41"/>
      <c r="C255" s="41"/>
      <c r="D255" s="41"/>
      <c r="E255" s="41"/>
      <c r="F255" s="41"/>
      <c r="G255" s="41"/>
      <c r="H255" s="41"/>
      <c r="I255" s="41"/>
      <c r="J255" s="41"/>
      <c r="K255" s="41"/>
      <c r="L255" s="41"/>
      <c r="M255" s="41"/>
      <c r="N255" s="41"/>
      <c r="O255" s="41"/>
      <c r="P255" s="41"/>
      <c r="Q255" s="41"/>
      <c r="R255" s="41"/>
      <c r="S255" s="41"/>
      <c r="T255" s="41"/>
      <c r="U255" s="41"/>
      <c r="V255" s="41"/>
      <c r="W255" s="41"/>
      <c r="X255" s="41"/>
      <c r="Y255" s="41"/>
      <c r="Z255" s="41"/>
      <c r="AA255" s="41"/>
      <c r="AB255" s="41"/>
      <c r="AC255" s="41"/>
      <c r="AD255" s="41"/>
      <c r="AE255" s="41"/>
      <c r="AF255" s="41"/>
      <c r="AG255" s="41"/>
      <c r="AH255" s="41"/>
      <c r="AI255" s="41"/>
    </row>
    <row r="256" spans="1:35" ht="15.75" customHeight="1" x14ac:dyDescent="0.2">
      <c r="A256" s="41"/>
      <c r="B256" s="41"/>
      <c r="C256" s="41"/>
      <c r="D256" s="41"/>
      <c r="E256" s="41"/>
      <c r="F256" s="41"/>
      <c r="G256" s="41"/>
      <c r="H256" s="41"/>
      <c r="I256" s="41"/>
      <c r="J256" s="41"/>
      <c r="K256" s="41"/>
      <c r="L256" s="41"/>
      <c r="M256" s="41"/>
      <c r="N256" s="41"/>
      <c r="O256" s="41"/>
      <c r="P256" s="41"/>
      <c r="Q256" s="41"/>
      <c r="R256" s="41"/>
      <c r="S256" s="41"/>
      <c r="T256" s="41"/>
      <c r="U256" s="41"/>
      <c r="V256" s="41"/>
      <c r="W256" s="41"/>
      <c r="X256" s="41"/>
      <c r="Y256" s="41"/>
      <c r="Z256" s="41"/>
      <c r="AA256" s="41"/>
      <c r="AB256" s="41"/>
      <c r="AC256" s="41"/>
      <c r="AD256" s="41"/>
      <c r="AE256" s="41"/>
      <c r="AF256" s="41"/>
      <c r="AG256" s="41"/>
      <c r="AH256" s="41"/>
      <c r="AI256" s="41"/>
    </row>
    <row r="257" spans="1:35" ht="15.75" customHeight="1" x14ac:dyDescent="0.2">
      <c r="A257" s="41"/>
      <c r="B257" s="41"/>
      <c r="C257" s="41"/>
      <c r="D257" s="41"/>
      <c r="E257" s="41"/>
      <c r="F257" s="41"/>
      <c r="G257" s="41"/>
      <c r="H257" s="41"/>
      <c r="I257" s="41"/>
      <c r="J257" s="41"/>
      <c r="K257" s="41"/>
      <c r="L257" s="41"/>
      <c r="M257" s="41"/>
      <c r="N257" s="41"/>
      <c r="O257" s="41"/>
      <c r="P257" s="41"/>
      <c r="Q257" s="41"/>
      <c r="R257" s="41"/>
      <c r="S257" s="41"/>
      <c r="T257" s="41"/>
      <c r="U257" s="41"/>
      <c r="V257" s="41"/>
      <c r="W257" s="41"/>
      <c r="X257" s="41"/>
      <c r="Y257" s="41"/>
      <c r="Z257" s="41"/>
      <c r="AA257" s="41"/>
      <c r="AB257" s="41"/>
      <c r="AC257" s="41"/>
      <c r="AD257" s="41"/>
      <c r="AE257" s="41"/>
      <c r="AF257" s="41"/>
      <c r="AG257" s="41"/>
      <c r="AH257" s="41"/>
      <c r="AI257" s="41"/>
    </row>
    <row r="258" spans="1:35" ht="15.75" customHeight="1" x14ac:dyDescent="0.2">
      <c r="A258" s="41"/>
      <c r="B258" s="41"/>
      <c r="C258" s="41"/>
      <c r="D258" s="41"/>
      <c r="E258" s="41"/>
      <c r="F258" s="41"/>
      <c r="G258" s="41"/>
      <c r="H258" s="41"/>
      <c r="I258" s="41"/>
      <c r="J258" s="41"/>
      <c r="K258" s="41"/>
      <c r="L258" s="41"/>
      <c r="M258" s="41"/>
      <c r="N258" s="41"/>
      <c r="O258" s="41"/>
      <c r="P258" s="41"/>
      <c r="Q258" s="41"/>
      <c r="R258" s="41"/>
      <c r="S258" s="41"/>
      <c r="T258" s="41"/>
      <c r="U258" s="41"/>
      <c r="V258" s="41"/>
      <c r="W258" s="41"/>
      <c r="X258" s="41"/>
      <c r="Y258" s="41"/>
      <c r="Z258" s="41"/>
      <c r="AA258" s="41"/>
      <c r="AB258" s="41"/>
      <c r="AC258" s="41"/>
      <c r="AD258" s="41"/>
      <c r="AE258" s="41"/>
      <c r="AF258" s="41"/>
      <c r="AG258" s="41"/>
      <c r="AH258" s="41"/>
      <c r="AI258" s="41"/>
    </row>
    <row r="259" spans="1:35" ht="15.75" customHeight="1" x14ac:dyDescent="0.2">
      <c r="A259" s="41"/>
      <c r="B259" s="41"/>
      <c r="C259" s="41"/>
      <c r="D259" s="41"/>
      <c r="E259" s="41"/>
      <c r="F259" s="41"/>
      <c r="G259" s="41"/>
      <c r="H259" s="41"/>
      <c r="I259" s="41"/>
      <c r="J259" s="41"/>
      <c r="K259" s="41"/>
      <c r="L259" s="41"/>
      <c r="M259" s="41"/>
      <c r="N259" s="41"/>
      <c r="O259" s="41"/>
      <c r="P259" s="41"/>
      <c r="Q259" s="41"/>
      <c r="R259" s="41"/>
      <c r="S259" s="41"/>
      <c r="T259" s="41"/>
      <c r="U259" s="41"/>
      <c r="V259" s="41"/>
      <c r="W259" s="41"/>
      <c r="X259" s="41"/>
      <c r="Y259" s="41"/>
      <c r="Z259" s="41"/>
      <c r="AA259" s="41"/>
      <c r="AB259" s="41"/>
      <c r="AC259" s="41"/>
      <c r="AD259" s="41"/>
      <c r="AE259" s="41"/>
      <c r="AF259" s="41"/>
      <c r="AG259" s="41"/>
      <c r="AH259" s="41"/>
      <c r="AI259" s="41"/>
    </row>
    <row r="260" spans="1:35" ht="15.75" customHeight="1" x14ac:dyDescent="0.2">
      <c r="A260" s="41"/>
      <c r="B260" s="41"/>
      <c r="C260" s="41"/>
      <c r="D260" s="41"/>
      <c r="E260" s="41"/>
      <c r="F260" s="41"/>
      <c r="G260" s="41"/>
      <c r="H260" s="41"/>
      <c r="I260" s="41"/>
      <c r="J260" s="41"/>
      <c r="K260" s="41"/>
      <c r="L260" s="41"/>
      <c r="M260" s="41"/>
      <c r="N260" s="41"/>
      <c r="O260" s="41"/>
      <c r="P260" s="41"/>
      <c r="Q260" s="41"/>
      <c r="R260" s="41"/>
      <c r="S260" s="41"/>
      <c r="T260" s="41"/>
      <c r="U260" s="41"/>
      <c r="V260" s="41"/>
      <c r="W260" s="41"/>
      <c r="X260" s="41"/>
      <c r="Y260" s="41"/>
      <c r="Z260" s="41"/>
      <c r="AA260" s="41"/>
      <c r="AB260" s="41"/>
      <c r="AC260" s="41"/>
      <c r="AD260" s="41"/>
      <c r="AE260" s="41"/>
      <c r="AF260" s="41"/>
      <c r="AG260" s="41"/>
      <c r="AH260" s="41"/>
      <c r="AI260" s="41"/>
    </row>
    <row r="261" spans="1:35" ht="15.75" customHeight="1" x14ac:dyDescent="0.2">
      <c r="A261" s="41"/>
      <c r="B261" s="41"/>
      <c r="C261" s="41"/>
      <c r="D261" s="41"/>
      <c r="E261" s="41"/>
      <c r="F261" s="41"/>
      <c r="G261" s="41"/>
      <c r="H261" s="41"/>
      <c r="I261" s="41"/>
      <c r="J261" s="41"/>
      <c r="K261" s="41"/>
      <c r="L261" s="41"/>
      <c r="M261" s="41"/>
      <c r="N261" s="41"/>
      <c r="O261" s="41"/>
      <c r="P261" s="41"/>
      <c r="Q261" s="41"/>
      <c r="R261" s="41"/>
      <c r="S261" s="41"/>
      <c r="T261" s="41"/>
      <c r="U261" s="41"/>
      <c r="V261" s="41"/>
      <c r="W261" s="41"/>
      <c r="X261" s="41"/>
      <c r="Y261" s="41"/>
      <c r="Z261" s="41"/>
      <c r="AA261" s="41"/>
      <c r="AB261" s="41"/>
      <c r="AC261" s="41"/>
      <c r="AD261" s="41"/>
      <c r="AE261" s="41"/>
      <c r="AF261" s="41"/>
      <c r="AG261" s="41"/>
      <c r="AH261" s="41"/>
      <c r="AI261" s="41"/>
    </row>
    <row r="262" spans="1:35" ht="15.75" customHeight="1" x14ac:dyDescent="0.2">
      <c r="A262" s="41"/>
      <c r="B262" s="41"/>
      <c r="C262" s="41"/>
      <c r="D262" s="41"/>
      <c r="E262" s="41"/>
      <c r="F262" s="41"/>
      <c r="G262" s="41"/>
      <c r="H262" s="41"/>
      <c r="I262" s="41"/>
      <c r="J262" s="41"/>
      <c r="K262" s="41"/>
      <c r="L262" s="41"/>
      <c r="M262" s="41"/>
      <c r="N262" s="41"/>
      <c r="O262" s="41"/>
      <c r="P262" s="41"/>
      <c r="Q262" s="41"/>
      <c r="R262" s="41"/>
      <c r="S262" s="41"/>
      <c r="T262" s="41"/>
      <c r="U262" s="41"/>
      <c r="V262" s="41"/>
      <c r="W262" s="41"/>
      <c r="X262" s="41"/>
      <c r="Y262" s="41"/>
      <c r="Z262" s="41"/>
      <c r="AA262" s="41"/>
      <c r="AB262" s="41"/>
      <c r="AC262" s="41"/>
      <c r="AD262" s="41"/>
      <c r="AE262" s="41"/>
      <c r="AF262" s="41"/>
      <c r="AG262" s="41"/>
      <c r="AH262" s="41"/>
      <c r="AI262" s="41"/>
    </row>
    <row r="263" spans="1:35" ht="15.75" customHeight="1" x14ac:dyDescent="0.2">
      <c r="A263" s="41"/>
      <c r="B263" s="41"/>
      <c r="C263" s="41"/>
      <c r="D263" s="41"/>
      <c r="E263" s="41"/>
      <c r="F263" s="41"/>
      <c r="G263" s="41"/>
      <c r="H263" s="41"/>
      <c r="I263" s="41"/>
      <c r="J263" s="41"/>
      <c r="K263" s="41"/>
      <c r="L263" s="41"/>
      <c r="M263" s="41"/>
      <c r="N263" s="41"/>
      <c r="O263" s="41"/>
      <c r="P263" s="41"/>
      <c r="Q263" s="41"/>
      <c r="R263" s="41"/>
      <c r="S263" s="41"/>
      <c r="T263" s="41"/>
      <c r="U263" s="41"/>
      <c r="V263" s="41"/>
      <c r="W263" s="41"/>
      <c r="X263" s="41"/>
      <c r="Y263" s="41"/>
      <c r="Z263" s="41"/>
      <c r="AA263" s="41"/>
      <c r="AB263" s="41"/>
      <c r="AC263" s="41"/>
      <c r="AD263" s="41"/>
      <c r="AE263" s="41"/>
      <c r="AF263" s="41"/>
      <c r="AG263" s="41"/>
      <c r="AH263" s="41"/>
      <c r="AI263" s="41"/>
    </row>
    <row r="264" spans="1:35" ht="15.75" customHeight="1" x14ac:dyDescent="0.2">
      <c r="A264" s="41"/>
      <c r="B264" s="41"/>
      <c r="C264" s="41"/>
      <c r="D264" s="41"/>
      <c r="E264" s="41"/>
      <c r="F264" s="41"/>
      <c r="G264" s="41"/>
      <c r="H264" s="41"/>
      <c r="I264" s="41"/>
      <c r="J264" s="41"/>
      <c r="K264" s="41"/>
      <c r="L264" s="41"/>
      <c r="M264" s="41"/>
      <c r="N264" s="41"/>
      <c r="O264" s="41"/>
      <c r="P264" s="41"/>
      <c r="Q264" s="41"/>
      <c r="R264" s="41"/>
      <c r="S264" s="41"/>
      <c r="T264" s="41"/>
      <c r="U264" s="41"/>
      <c r="V264" s="41"/>
      <c r="W264" s="41"/>
      <c r="X264" s="41"/>
      <c r="Y264" s="41"/>
      <c r="Z264" s="41"/>
      <c r="AA264" s="41"/>
      <c r="AB264" s="41"/>
      <c r="AC264" s="41"/>
      <c r="AD264" s="41"/>
      <c r="AE264" s="41"/>
      <c r="AF264" s="41"/>
      <c r="AG264" s="41"/>
      <c r="AH264" s="41"/>
      <c r="AI264" s="41"/>
    </row>
    <row r="265" spans="1:35" ht="15.75" customHeight="1" x14ac:dyDescent="0.2">
      <c r="A265" s="41"/>
      <c r="B265" s="41"/>
      <c r="C265" s="41"/>
      <c r="D265" s="41"/>
      <c r="E265" s="41"/>
      <c r="F265" s="41"/>
      <c r="G265" s="41"/>
      <c r="H265" s="41"/>
      <c r="I265" s="41"/>
      <c r="J265" s="41"/>
      <c r="K265" s="41"/>
      <c r="L265" s="41"/>
      <c r="M265" s="41"/>
      <c r="N265" s="41"/>
      <c r="O265" s="41"/>
      <c r="P265" s="41"/>
      <c r="Q265" s="41"/>
      <c r="R265" s="41"/>
      <c r="S265" s="41"/>
      <c r="T265" s="41"/>
      <c r="U265" s="41"/>
      <c r="V265" s="41"/>
      <c r="W265" s="41"/>
      <c r="X265" s="41"/>
      <c r="Y265" s="41"/>
      <c r="Z265" s="41"/>
      <c r="AA265" s="41"/>
      <c r="AB265" s="41"/>
      <c r="AC265" s="41"/>
      <c r="AD265" s="41"/>
      <c r="AE265" s="41"/>
      <c r="AF265" s="41"/>
      <c r="AG265" s="41"/>
      <c r="AH265" s="41"/>
      <c r="AI265" s="41"/>
    </row>
    <row r="266" spans="1:35" ht="15.75" customHeight="1" x14ac:dyDescent="0.2">
      <c r="A266" s="41"/>
      <c r="B266" s="41"/>
      <c r="C266" s="41"/>
      <c r="D266" s="41"/>
      <c r="E266" s="41"/>
      <c r="F266" s="41"/>
      <c r="G266" s="41"/>
      <c r="H266" s="41"/>
      <c r="I266" s="41"/>
      <c r="J266" s="41"/>
      <c r="K266" s="41"/>
      <c r="L266" s="41"/>
      <c r="M266" s="41"/>
      <c r="N266" s="41"/>
      <c r="O266" s="41"/>
      <c r="P266" s="41"/>
      <c r="Q266" s="41"/>
      <c r="R266" s="41"/>
      <c r="S266" s="41"/>
      <c r="T266" s="41"/>
      <c r="U266" s="41"/>
      <c r="V266" s="41"/>
      <c r="W266" s="41"/>
      <c r="X266" s="41"/>
      <c r="Y266" s="41"/>
      <c r="Z266" s="41"/>
      <c r="AA266" s="41"/>
      <c r="AB266" s="41"/>
      <c r="AC266" s="41"/>
      <c r="AD266" s="41"/>
      <c r="AE266" s="41"/>
      <c r="AF266" s="41"/>
      <c r="AG266" s="41"/>
      <c r="AH266" s="41"/>
      <c r="AI266" s="41"/>
    </row>
    <row r="267" spans="1:35" ht="15.75" customHeight="1" x14ac:dyDescent="0.2">
      <c r="A267" s="41"/>
      <c r="B267" s="41"/>
      <c r="C267" s="41"/>
      <c r="D267" s="41"/>
      <c r="E267" s="41"/>
      <c r="F267" s="41"/>
      <c r="G267" s="41"/>
      <c r="H267" s="41"/>
      <c r="I267" s="41"/>
      <c r="J267" s="41"/>
      <c r="K267" s="41"/>
      <c r="L267" s="41"/>
      <c r="M267" s="41"/>
      <c r="N267" s="41"/>
      <c r="O267" s="41"/>
      <c r="P267" s="41"/>
      <c r="Q267" s="41"/>
      <c r="R267" s="41"/>
      <c r="S267" s="41"/>
      <c r="T267" s="41"/>
      <c r="U267" s="41"/>
      <c r="V267" s="41"/>
      <c r="W267" s="41"/>
      <c r="X267" s="41"/>
      <c r="Y267" s="41"/>
      <c r="Z267" s="41"/>
      <c r="AA267" s="41"/>
      <c r="AB267" s="41"/>
      <c r="AC267" s="41"/>
      <c r="AD267" s="41"/>
      <c r="AE267" s="41"/>
      <c r="AF267" s="41"/>
      <c r="AG267" s="41"/>
      <c r="AH267" s="41"/>
      <c r="AI267" s="41"/>
    </row>
    <row r="268" spans="1:35" ht="15.75" customHeight="1" x14ac:dyDescent="0.2">
      <c r="A268" s="41"/>
      <c r="B268" s="41"/>
      <c r="C268" s="41"/>
      <c r="D268" s="41"/>
      <c r="E268" s="41"/>
      <c r="F268" s="41"/>
      <c r="G268" s="41"/>
      <c r="H268" s="41"/>
      <c r="I268" s="41"/>
      <c r="J268" s="41"/>
      <c r="K268" s="41"/>
      <c r="L268" s="41"/>
      <c r="M268" s="41"/>
      <c r="N268" s="41"/>
      <c r="O268" s="41"/>
      <c r="P268" s="41"/>
      <c r="Q268" s="41"/>
      <c r="R268" s="41"/>
      <c r="S268" s="41"/>
      <c r="T268" s="41"/>
      <c r="U268" s="41"/>
      <c r="V268" s="41"/>
      <c r="W268" s="41"/>
      <c r="X268" s="41"/>
      <c r="Y268" s="41"/>
      <c r="Z268" s="41"/>
      <c r="AA268" s="41"/>
      <c r="AB268" s="41"/>
      <c r="AC268" s="41"/>
      <c r="AD268" s="41"/>
      <c r="AE268" s="41"/>
      <c r="AF268" s="41"/>
      <c r="AG268" s="41"/>
      <c r="AH268" s="41"/>
      <c r="AI268" s="41"/>
    </row>
    <row r="269" spans="1:35" ht="15.75" customHeight="1" x14ac:dyDescent="0.2">
      <c r="A269" s="41"/>
      <c r="B269" s="41"/>
      <c r="C269" s="41"/>
      <c r="D269" s="41"/>
      <c r="E269" s="41"/>
      <c r="F269" s="41"/>
      <c r="G269" s="41"/>
      <c r="H269" s="41"/>
      <c r="I269" s="41"/>
      <c r="J269" s="41"/>
      <c r="K269" s="41"/>
      <c r="L269" s="41"/>
      <c r="M269" s="41"/>
      <c r="N269" s="41"/>
      <c r="O269" s="41"/>
      <c r="P269" s="41"/>
      <c r="Q269" s="41"/>
      <c r="R269" s="41"/>
      <c r="S269" s="41"/>
      <c r="T269" s="41"/>
      <c r="U269" s="41"/>
      <c r="V269" s="41"/>
      <c r="W269" s="41"/>
      <c r="X269" s="41"/>
      <c r="Y269" s="41"/>
      <c r="Z269" s="41"/>
      <c r="AA269" s="41"/>
      <c r="AB269" s="41"/>
      <c r="AC269" s="41"/>
      <c r="AD269" s="41"/>
      <c r="AE269" s="41"/>
      <c r="AF269" s="41"/>
      <c r="AG269" s="41"/>
      <c r="AH269" s="41"/>
      <c r="AI269" s="41"/>
    </row>
    <row r="270" spans="1:35" ht="15.75" customHeight="1" x14ac:dyDescent="0.2">
      <c r="A270" s="41"/>
      <c r="B270" s="41"/>
      <c r="C270" s="41"/>
      <c r="D270" s="41"/>
      <c r="E270" s="41"/>
      <c r="F270" s="41"/>
      <c r="G270" s="41"/>
      <c r="H270" s="41"/>
      <c r="I270" s="41"/>
      <c r="J270" s="41"/>
      <c r="K270" s="41"/>
      <c r="L270" s="41"/>
      <c r="M270" s="41"/>
      <c r="N270" s="41"/>
      <c r="O270" s="41"/>
      <c r="P270" s="41"/>
      <c r="Q270" s="41"/>
      <c r="R270" s="41"/>
      <c r="S270" s="41"/>
      <c r="T270" s="41"/>
      <c r="U270" s="41"/>
      <c r="V270" s="41"/>
      <c r="W270" s="41"/>
      <c r="X270" s="41"/>
      <c r="Y270" s="41"/>
      <c r="Z270" s="41"/>
      <c r="AA270" s="41"/>
      <c r="AB270" s="41"/>
      <c r="AC270" s="41"/>
      <c r="AD270" s="41"/>
      <c r="AE270" s="41"/>
      <c r="AF270" s="41"/>
      <c r="AG270" s="41"/>
      <c r="AH270" s="41"/>
      <c r="AI270" s="41"/>
    </row>
    <row r="271" spans="1:35" ht="15.75" customHeight="1" x14ac:dyDescent="0.2">
      <c r="A271" s="41"/>
      <c r="B271" s="41"/>
      <c r="C271" s="41"/>
      <c r="D271" s="41"/>
      <c r="E271" s="41"/>
      <c r="F271" s="41"/>
      <c r="G271" s="41"/>
      <c r="H271" s="41"/>
      <c r="I271" s="41"/>
      <c r="J271" s="41"/>
      <c r="K271" s="41"/>
      <c r="L271" s="41"/>
      <c r="M271" s="41"/>
      <c r="N271" s="41"/>
      <c r="O271" s="41"/>
      <c r="P271" s="41"/>
      <c r="Q271" s="41"/>
      <c r="R271" s="41"/>
      <c r="S271" s="41"/>
      <c r="T271" s="41"/>
      <c r="U271" s="41"/>
      <c r="V271" s="41"/>
      <c r="W271" s="41"/>
      <c r="X271" s="41"/>
      <c r="Y271" s="41"/>
      <c r="Z271" s="41"/>
      <c r="AA271" s="41"/>
      <c r="AB271" s="41"/>
      <c r="AC271" s="41"/>
      <c r="AD271" s="41"/>
      <c r="AE271" s="41"/>
      <c r="AF271" s="41"/>
      <c r="AG271" s="41"/>
      <c r="AH271" s="41"/>
      <c r="AI271" s="41"/>
    </row>
    <row r="272" spans="1:35" ht="15.75" customHeight="1" x14ac:dyDescent="0.2">
      <c r="A272" s="41"/>
      <c r="B272" s="41"/>
      <c r="C272" s="41"/>
      <c r="D272" s="41"/>
      <c r="E272" s="41"/>
      <c r="F272" s="41"/>
      <c r="G272" s="41"/>
      <c r="H272" s="41"/>
      <c r="I272" s="41"/>
      <c r="J272" s="41"/>
      <c r="K272" s="41"/>
      <c r="L272" s="41"/>
      <c r="M272" s="41"/>
      <c r="N272" s="41"/>
      <c r="O272" s="41"/>
      <c r="P272" s="41"/>
      <c r="Q272" s="41"/>
      <c r="R272" s="41"/>
      <c r="S272" s="41"/>
      <c r="T272" s="41"/>
      <c r="U272" s="41"/>
      <c r="V272" s="41"/>
      <c r="W272" s="41"/>
      <c r="X272" s="41"/>
      <c r="Y272" s="41"/>
      <c r="Z272" s="41"/>
      <c r="AA272" s="41"/>
      <c r="AB272" s="41"/>
      <c r="AC272" s="41"/>
      <c r="AD272" s="41"/>
      <c r="AE272" s="41"/>
      <c r="AF272" s="41"/>
      <c r="AG272" s="41"/>
      <c r="AH272" s="41"/>
      <c r="AI272" s="41"/>
    </row>
    <row r="273" spans="1:35" ht="15.75" customHeight="1" x14ac:dyDescent="0.2">
      <c r="A273" s="41"/>
      <c r="B273" s="41"/>
      <c r="C273" s="41"/>
      <c r="D273" s="41"/>
      <c r="E273" s="41"/>
      <c r="F273" s="41"/>
      <c r="G273" s="41"/>
      <c r="H273" s="41"/>
      <c r="I273" s="41"/>
      <c r="J273" s="41"/>
      <c r="K273" s="41"/>
      <c r="L273" s="41"/>
      <c r="M273" s="41"/>
      <c r="N273" s="41"/>
      <c r="O273" s="41"/>
      <c r="P273" s="41"/>
      <c r="Q273" s="41"/>
      <c r="R273" s="41"/>
      <c r="S273" s="41"/>
      <c r="T273" s="41"/>
      <c r="U273" s="41"/>
      <c r="V273" s="41"/>
      <c r="W273" s="41"/>
      <c r="X273" s="41"/>
      <c r="Y273" s="41"/>
      <c r="Z273" s="41"/>
      <c r="AA273" s="41"/>
      <c r="AB273" s="41"/>
      <c r="AC273" s="41"/>
      <c r="AD273" s="41"/>
      <c r="AE273" s="41"/>
      <c r="AF273" s="41"/>
      <c r="AG273" s="41"/>
      <c r="AH273" s="41"/>
      <c r="AI273" s="41"/>
    </row>
    <row r="274" spans="1:35" ht="15.75" customHeight="1" x14ac:dyDescent="0.2">
      <c r="A274" s="41"/>
      <c r="B274" s="41"/>
      <c r="C274" s="41"/>
      <c r="D274" s="41"/>
      <c r="E274" s="41"/>
      <c r="F274" s="41"/>
      <c r="G274" s="41"/>
      <c r="H274" s="41"/>
      <c r="I274" s="41"/>
      <c r="J274" s="41"/>
      <c r="K274" s="41"/>
      <c r="L274" s="41"/>
      <c r="M274" s="41"/>
      <c r="N274" s="41"/>
      <c r="O274" s="41"/>
      <c r="P274" s="41"/>
      <c r="Q274" s="41"/>
      <c r="R274" s="41"/>
      <c r="S274" s="41"/>
      <c r="T274" s="41"/>
      <c r="U274" s="41"/>
      <c r="V274" s="41"/>
      <c r="W274" s="41"/>
      <c r="X274" s="41"/>
      <c r="Y274" s="41"/>
      <c r="Z274" s="41"/>
      <c r="AA274" s="41"/>
      <c r="AB274" s="41"/>
      <c r="AC274" s="41"/>
      <c r="AD274" s="41"/>
      <c r="AE274" s="41"/>
      <c r="AF274" s="41"/>
      <c r="AG274" s="41"/>
      <c r="AH274" s="41"/>
      <c r="AI274" s="41"/>
    </row>
    <row r="275" spans="1:35" ht="15.75" customHeight="1" x14ac:dyDescent="0.2">
      <c r="A275" s="41"/>
      <c r="B275" s="41"/>
      <c r="C275" s="41"/>
      <c r="D275" s="41"/>
      <c r="E275" s="41"/>
      <c r="F275" s="41"/>
      <c r="G275" s="41"/>
      <c r="H275" s="41"/>
      <c r="I275" s="41"/>
      <c r="J275" s="41"/>
      <c r="K275" s="41"/>
      <c r="L275" s="41"/>
      <c r="M275" s="41"/>
      <c r="N275" s="41"/>
      <c r="O275" s="41"/>
      <c r="P275" s="41"/>
      <c r="Q275" s="41"/>
      <c r="R275" s="41"/>
      <c r="S275" s="41"/>
      <c r="T275" s="41"/>
      <c r="U275" s="41"/>
      <c r="V275" s="41"/>
      <c r="W275" s="41"/>
      <c r="X275" s="41"/>
      <c r="Y275" s="41"/>
      <c r="Z275" s="41"/>
      <c r="AA275" s="41"/>
      <c r="AB275" s="41"/>
      <c r="AC275" s="41"/>
      <c r="AD275" s="41"/>
      <c r="AE275" s="41"/>
      <c r="AF275" s="41"/>
      <c r="AG275" s="41"/>
      <c r="AH275" s="41"/>
      <c r="AI275" s="41"/>
    </row>
    <row r="276" spans="1:35" ht="15.75" customHeight="1" x14ac:dyDescent="0.2">
      <c r="A276" s="41"/>
      <c r="B276" s="41"/>
      <c r="C276" s="41"/>
      <c r="D276" s="41"/>
      <c r="E276" s="41"/>
      <c r="F276" s="41"/>
      <c r="G276" s="41"/>
      <c r="H276" s="41"/>
      <c r="I276" s="41"/>
      <c r="J276" s="41"/>
      <c r="K276" s="41"/>
      <c r="L276" s="41"/>
      <c r="M276" s="41"/>
      <c r="N276" s="41"/>
      <c r="O276" s="41"/>
      <c r="P276" s="41"/>
      <c r="Q276" s="41"/>
      <c r="R276" s="41"/>
      <c r="S276" s="41"/>
      <c r="T276" s="41"/>
      <c r="U276" s="41"/>
      <c r="V276" s="41"/>
      <c r="W276" s="41"/>
      <c r="X276" s="41"/>
      <c r="Y276" s="41"/>
      <c r="Z276" s="41"/>
      <c r="AA276" s="41"/>
      <c r="AB276" s="41"/>
      <c r="AC276" s="41"/>
      <c r="AD276" s="41"/>
      <c r="AE276" s="41"/>
      <c r="AF276" s="41"/>
      <c r="AG276" s="41"/>
      <c r="AH276" s="41"/>
      <c r="AI276" s="41"/>
    </row>
    <row r="277" spans="1:35" ht="15.75" customHeight="1" x14ac:dyDescent="0.2">
      <c r="A277" s="41"/>
      <c r="B277" s="41"/>
      <c r="C277" s="41"/>
      <c r="D277" s="41"/>
      <c r="E277" s="41"/>
      <c r="F277" s="41"/>
      <c r="G277" s="41"/>
      <c r="H277" s="41"/>
      <c r="I277" s="41"/>
      <c r="J277" s="41"/>
      <c r="K277" s="41"/>
      <c r="L277" s="41"/>
      <c r="M277" s="41"/>
      <c r="N277" s="41"/>
      <c r="O277" s="41"/>
      <c r="P277" s="41"/>
      <c r="Q277" s="41"/>
      <c r="R277" s="41"/>
      <c r="S277" s="41"/>
      <c r="T277" s="41"/>
      <c r="U277" s="41"/>
      <c r="V277" s="41"/>
      <c r="W277" s="41"/>
      <c r="X277" s="41"/>
      <c r="Y277" s="41"/>
      <c r="Z277" s="41"/>
      <c r="AA277" s="41"/>
      <c r="AB277" s="41"/>
      <c r="AC277" s="41"/>
      <c r="AD277" s="41"/>
      <c r="AE277" s="41"/>
      <c r="AF277" s="41"/>
      <c r="AG277" s="41"/>
      <c r="AH277" s="41"/>
      <c r="AI277" s="41"/>
    </row>
    <row r="278" spans="1:35" ht="15.75" customHeight="1" x14ac:dyDescent="0.2">
      <c r="A278" s="41"/>
      <c r="B278" s="41"/>
      <c r="C278" s="41"/>
      <c r="D278" s="41"/>
      <c r="E278" s="41"/>
      <c r="F278" s="41"/>
      <c r="G278" s="41"/>
      <c r="H278" s="41"/>
      <c r="I278" s="41"/>
      <c r="J278" s="41"/>
      <c r="K278" s="41"/>
      <c r="L278" s="41"/>
      <c r="M278" s="41"/>
      <c r="N278" s="41"/>
      <c r="O278" s="41"/>
      <c r="P278" s="41"/>
      <c r="Q278" s="41"/>
      <c r="R278" s="41"/>
      <c r="S278" s="41"/>
      <c r="T278" s="41"/>
      <c r="U278" s="41"/>
      <c r="V278" s="41"/>
      <c r="W278" s="41"/>
      <c r="X278" s="41"/>
      <c r="Y278" s="41"/>
      <c r="Z278" s="41"/>
      <c r="AA278" s="41"/>
      <c r="AB278" s="41"/>
      <c r="AC278" s="41"/>
      <c r="AD278" s="41"/>
      <c r="AE278" s="41"/>
      <c r="AF278" s="41"/>
      <c r="AG278" s="41"/>
      <c r="AH278" s="41"/>
      <c r="AI278" s="41"/>
    </row>
    <row r="279" spans="1:35" ht="15.75" customHeight="1" x14ac:dyDescent="0.2">
      <c r="A279" s="41"/>
      <c r="B279" s="41"/>
      <c r="C279" s="41"/>
      <c r="D279" s="41"/>
      <c r="E279" s="41"/>
      <c r="F279" s="41"/>
      <c r="G279" s="41"/>
      <c r="H279" s="41"/>
      <c r="I279" s="41"/>
      <c r="J279" s="41"/>
      <c r="K279" s="41"/>
      <c r="L279" s="41"/>
      <c r="M279" s="41"/>
      <c r="N279" s="41"/>
      <c r="O279" s="41"/>
      <c r="P279" s="41"/>
      <c r="Q279" s="41"/>
      <c r="R279" s="41"/>
      <c r="S279" s="41"/>
      <c r="T279" s="41"/>
      <c r="U279" s="41"/>
      <c r="V279" s="41"/>
      <c r="W279" s="41"/>
      <c r="X279" s="41"/>
      <c r="Y279" s="41"/>
      <c r="Z279" s="41"/>
      <c r="AA279" s="41"/>
      <c r="AB279" s="41"/>
      <c r="AC279" s="41"/>
      <c r="AD279" s="41"/>
      <c r="AE279" s="41"/>
      <c r="AF279" s="41"/>
      <c r="AG279" s="41"/>
      <c r="AH279" s="41"/>
      <c r="AI279" s="41"/>
    </row>
    <row r="280" spans="1:35" ht="15.75" customHeight="1" x14ac:dyDescent="0.2">
      <c r="A280" s="41"/>
      <c r="B280" s="41"/>
      <c r="C280" s="41"/>
      <c r="D280" s="41"/>
      <c r="E280" s="41"/>
      <c r="F280" s="41"/>
      <c r="G280" s="41"/>
      <c r="H280" s="41"/>
      <c r="I280" s="41"/>
      <c r="J280" s="41"/>
      <c r="K280" s="41"/>
      <c r="L280" s="41"/>
      <c r="M280" s="41"/>
      <c r="N280" s="41"/>
      <c r="O280" s="41"/>
      <c r="P280" s="41"/>
      <c r="Q280" s="41"/>
      <c r="R280" s="41"/>
      <c r="S280" s="41"/>
      <c r="T280" s="41"/>
      <c r="U280" s="41"/>
      <c r="V280" s="41"/>
      <c r="W280" s="41"/>
      <c r="X280" s="41"/>
      <c r="Y280" s="41"/>
      <c r="Z280" s="41"/>
      <c r="AA280" s="41"/>
      <c r="AB280" s="41"/>
      <c r="AC280" s="41"/>
      <c r="AD280" s="41"/>
      <c r="AE280" s="41"/>
      <c r="AF280" s="41"/>
      <c r="AG280" s="41"/>
      <c r="AH280" s="41"/>
      <c r="AI280" s="41"/>
    </row>
    <row r="281" spans="1:35" ht="15.75" customHeight="1" x14ac:dyDescent="0.2">
      <c r="A281" s="41"/>
      <c r="B281" s="41"/>
      <c r="C281" s="41"/>
      <c r="D281" s="41"/>
      <c r="E281" s="41"/>
      <c r="F281" s="41"/>
      <c r="G281" s="41"/>
      <c r="H281" s="41"/>
      <c r="I281" s="41"/>
      <c r="J281" s="41"/>
      <c r="K281" s="41"/>
      <c r="L281" s="41"/>
      <c r="M281" s="41"/>
      <c r="N281" s="41"/>
      <c r="O281" s="41"/>
      <c r="P281" s="41"/>
      <c r="Q281" s="41"/>
      <c r="R281" s="41"/>
      <c r="S281" s="41"/>
      <c r="T281" s="41"/>
      <c r="U281" s="41"/>
      <c r="V281" s="41"/>
      <c r="W281" s="41"/>
      <c r="X281" s="41"/>
      <c r="Y281" s="41"/>
      <c r="Z281" s="41"/>
      <c r="AA281" s="41"/>
      <c r="AB281" s="41"/>
      <c r="AC281" s="41"/>
      <c r="AD281" s="41"/>
      <c r="AE281" s="41"/>
      <c r="AF281" s="41"/>
      <c r="AG281" s="41"/>
      <c r="AH281" s="41"/>
      <c r="AI281" s="41"/>
    </row>
    <row r="282" spans="1:35" ht="15.75" customHeight="1" x14ac:dyDescent="0.2">
      <c r="A282" s="41"/>
      <c r="B282" s="41"/>
      <c r="C282" s="41"/>
      <c r="D282" s="41"/>
      <c r="E282" s="41"/>
      <c r="F282" s="41"/>
      <c r="G282" s="41"/>
      <c r="H282" s="41"/>
      <c r="I282" s="41"/>
      <c r="J282" s="41"/>
      <c r="K282" s="41"/>
      <c r="L282" s="41"/>
      <c r="M282" s="41"/>
      <c r="N282" s="41"/>
      <c r="O282" s="41"/>
      <c r="P282" s="41"/>
      <c r="Q282" s="41"/>
      <c r="R282" s="41"/>
      <c r="S282" s="41"/>
      <c r="T282" s="41"/>
      <c r="U282" s="41"/>
      <c r="V282" s="41"/>
      <c r="W282" s="41"/>
      <c r="X282" s="41"/>
      <c r="Y282" s="41"/>
      <c r="Z282" s="41"/>
      <c r="AA282" s="41"/>
      <c r="AB282" s="41"/>
      <c r="AC282" s="41"/>
      <c r="AD282" s="41"/>
      <c r="AE282" s="41"/>
      <c r="AF282" s="41"/>
      <c r="AG282" s="41"/>
      <c r="AH282" s="41"/>
      <c r="AI282" s="41"/>
    </row>
    <row r="283" spans="1:35" ht="15.75" customHeight="1" x14ac:dyDescent="0.2">
      <c r="A283" s="41"/>
      <c r="B283" s="41"/>
      <c r="C283" s="41"/>
      <c r="D283" s="41"/>
      <c r="E283" s="41"/>
      <c r="F283" s="41"/>
      <c r="G283" s="41"/>
      <c r="H283" s="41"/>
      <c r="I283" s="41"/>
      <c r="J283" s="41"/>
      <c r="K283" s="41"/>
      <c r="L283" s="41"/>
      <c r="M283" s="41"/>
      <c r="N283" s="41"/>
      <c r="O283" s="41"/>
      <c r="P283" s="41"/>
      <c r="Q283" s="41"/>
      <c r="R283" s="41"/>
      <c r="S283" s="41"/>
      <c r="T283" s="41"/>
      <c r="U283" s="41"/>
      <c r="V283" s="41"/>
      <c r="W283" s="41"/>
      <c r="X283" s="41"/>
      <c r="Y283" s="41"/>
      <c r="Z283" s="41"/>
      <c r="AA283" s="41"/>
      <c r="AB283" s="41"/>
      <c r="AC283" s="41"/>
      <c r="AD283" s="41"/>
      <c r="AE283" s="41"/>
      <c r="AF283" s="41"/>
      <c r="AG283" s="41"/>
      <c r="AH283" s="41"/>
      <c r="AI283" s="41"/>
    </row>
    <row r="284" spans="1:35" ht="15.75" customHeight="1" x14ac:dyDescent="0.2">
      <c r="A284" s="41"/>
      <c r="B284" s="41"/>
      <c r="C284" s="41"/>
      <c r="D284" s="41"/>
      <c r="E284" s="41"/>
      <c r="F284" s="41"/>
      <c r="G284" s="41"/>
      <c r="H284" s="41"/>
      <c r="I284" s="41"/>
      <c r="J284" s="41"/>
      <c r="K284" s="41"/>
      <c r="L284" s="41"/>
      <c r="M284" s="41"/>
      <c r="N284" s="41"/>
      <c r="O284" s="41"/>
      <c r="P284" s="41"/>
      <c r="Q284" s="41"/>
      <c r="R284" s="41"/>
      <c r="S284" s="41"/>
      <c r="T284" s="41"/>
      <c r="U284" s="41"/>
      <c r="V284" s="41"/>
      <c r="W284" s="41"/>
      <c r="X284" s="41"/>
      <c r="Y284" s="41"/>
      <c r="Z284" s="41"/>
      <c r="AA284" s="41"/>
      <c r="AB284" s="41"/>
      <c r="AC284" s="41"/>
      <c r="AD284" s="41"/>
      <c r="AE284" s="41"/>
      <c r="AF284" s="41"/>
      <c r="AG284" s="41"/>
      <c r="AH284" s="41"/>
      <c r="AI284" s="41"/>
    </row>
    <row r="285" spans="1:35" ht="15.75" customHeight="1" x14ac:dyDescent="0.2">
      <c r="A285" s="41"/>
      <c r="B285" s="41"/>
      <c r="C285" s="41"/>
      <c r="D285" s="41"/>
      <c r="E285" s="41"/>
      <c r="F285" s="41"/>
      <c r="G285" s="41"/>
      <c r="H285" s="41"/>
      <c r="I285" s="41"/>
      <c r="J285" s="41"/>
      <c r="K285" s="41"/>
      <c r="L285" s="41"/>
      <c r="M285" s="41"/>
      <c r="N285" s="41"/>
      <c r="O285" s="41"/>
      <c r="P285" s="41"/>
      <c r="Q285" s="41"/>
      <c r="R285" s="41"/>
      <c r="S285" s="41"/>
      <c r="T285" s="41"/>
      <c r="U285" s="41"/>
      <c r="V285" s="41"/>
      <c r="W285" s="41"/>
      <c r="X285" s="41"/>
      <c r="Y285" s="41"/>
      <c r="Z285" s="41"/>
      <c r="AA285" s="41"/>
      <c r="AB285" s="41"/>
      <c r="AC285" s="41"/>
      <c r="AD285" s="41"/>
      <c r="AE285" s="41"/>
      <c r="AF285" s="41"/>
      <c r="AG285" s="41"/>
      <c r="AH285" s="41"/>
      <c r="AI285" s="41"/>
    </row>
    <row r="286" spans="1:35" ht="15.75" customHeight="1" x14ac:dyDescent="0.2">
      <c r="A286" s="41"/>
      <c r="B286" s="41"/>
      <c r="C286" s="41"/>
      <c r="D286" s="41"/>
      <c r="E286" s="41"/>
      <c r="F286" s="41"/>
      <c r="G286" s="41"/>
      <c r="H286" s="41"/>
      <c r="I286" s="41"/>
      <c r="J286" s="41"/>
      <c r="K286" s="41"/>
      <c r="L286" s="41"/>
      <c r="M286" s="41"/>
      <c r="N286" s="41"/>
      <c r="O286" s="41"/>
      <c r="P286" s="41"/>
      <c r="Q286" s="41"/>
      <c r="R286" s="41"/>
      <c r="S286" s="41"/>
      <c r="T286" s="41"/>
      <c r="U286" s="41"/>
      <c r="V286" s="41"/>
      <c r="W286" s="41"/>
      <c r="X286" s="41"/>
      <c r="Y286" s="41"/>
      <c r="Z286" s="41"/>
      <c r="AA286" s="41"/>
      <c r="AB286" s="41"/>
      <c r="AC286" s="41"/>
      <c r="AD286" s="41"/>
      <c r="AE286" s="41"/>
      <c r="AF286" s="41"/>
      <c r="AG286" s="41"/>
      <c r="AH286" s="41"/>
      <c r="AI286" s="41"/>
    </row>
    <row r="287" spans="1:35" ht="15.75" customHeight="1" x14ac:dyDescent="0.2">
      <c r="A287" s="41"/>
      <c r="B287" s="41"/>
      <c r="C287" s="41"/>
      <c r="D287" s="41"/>
      <c r="E287" s="41"/>
      <c r="F287" s="41"/>
      <c r="G287" s="41"/>
      <c r="H287" s="41"/>
      <c r="I287" s="41"/>
      <c r="J287" s="41"/>
      <c r="K287" s="41"/>
      <c r="L287" s="41"/>
      <c r="M287" s="41"/>
      <c r="N287" s="41"/>
      <c r="O287" s="41"/>
      <c r="P287" s="41"/>
      <c r="Q287" s="41"/>
      <c r="R287" s="41"/>
      <c r="S287" s="41"/>
      <c r="T287" s="41"/>
      <c r="U287" s="41"/>
      <c r="V287" s="41"/>
      <c r="W287" s="41"/>
      <c r="X287" s="41"/>
      <c r="Y287" s="41"/>
      <c r="Z287" s="41"/>
      <c r="AA287" s="41"/>
      <c r="AB287" s="41"/>
      <c r="AC287" s="41"/>
      <c r="AD287" s="41"/>
      <c r="AE287" s="41"/>
      <c r="AF287" s="41"/>
      <c r="AG287" s="41"/>
      <c r="AH287" s="41"/>
      <c r="AI287" s="41"/>
    </row>
    <row r="288" spans="1:35" ht="15.75" customHeight="1" x14ac:dyDescent="0.2">
      <c r="A288" s="41"/>
      <c r="B288" s="41"/>
      <c r="C288" s="41"/>
      <c r="D288" s="41"/>
      <c r="E288" s="41"/>
      <c r="F288" s="41"/>
      <c r="G288" s="41"/>
      <c r="H288" s="41"/>
      <c r="I288" s="41"/>
      <c r="J288" s="41"/>
      <c r="K288" s="41"/>
      <c r="L288" s="41"/>
      <c r="M288" s="41"/>
      <c r="N288" s="41"/>
      <c r="O288" s="41"/>
      <c r="P288" s="41"/>
      <c r="Q288" s="41"/>
      <c r="R288" s="41"/>
      <c r="S288" s="41"/>
      <c r="T288" s="41"/>
      <c r="U288" s="41"/>
      <c r="V288" s="41"/>
      <c r="W288" s="41"/>
      <c r="X288" s="41"/>
      <c r="Y288" s="41"/>
      <c r="Z288" s="41"/>
      <c r="AA288" s="41"/>
      <c r="AB288" s="41"/>
      <c r="AC288" s="41"/>
      <c r="AD288" s="41"/>
      <c r="AE288" s="41"/>
      <c r="AF288" s="41"/>
      <c r="AG288" s="41"/>
      <c r="AH288" s="41"/>
      <c r="AI288" s="41"/>
    </row>
    <row r="289" spans="1:35" ht="15.75" customHeight="1" x14ac:dyDescent="0.2">
      <c r="A289" s="41"/>
      <c r="B289" s="41"/>
      <c r="C289" s="41"/>
      <c r="D289" s="41"/>
      <c r="E289" s="41"/>
      <c r="F289" s="41"/>
      <c r="G289" s="41"/>
      <c r="H289" s="41"/>
      <c r="I289" s="41"/>
      <c r="J289" s="41"/>
      <c r="K289" s="41"/>
      <c r="L289" s="41"/>
      <c r="M289" s="41"/>
      <c r="N289" s="41"/>
      <c r="O289" s="41"/>
      <c r="P289" s="41"/>
      <c r="Q289" s="41"/>
      <c r="R289" s="41"/>
      <c r="S289" s="41"/>
      <c r="T289" s="41"/>
      <c r="U289" s="41"/>
      <c r="V289" s="41"/>
      <c r="W289" s="41"/>
      <c r="X289" s="41"/>
      <c r="Y289" s="41"/>
      <c r="Z289" s="41"/>
      <c r="AA289" s="41"/>
      <c r="AB289" s="41"/>
      <c r="AC289" s="41"/>
      <c r="AD289" s="41"/>
      <c r="AE289" s="41"/>
      <c r="AF289" s="41"/>
      <c r="AG289" s="41"/>
      <c r="AH289" s="41"/>
      <c r="AI289" s="41"/>
    </row>
    <row r="290" spans="1:35" ht="15.75" customHeight="1" x14ac:dyDescent="0.2">
      <c r="A290" s="41"/>
      <c r="B290" s="41"/>
      <c r="C290" s="41"/>
      <c r="D290" s="41"/>
      <c r="E290" s="41"/>
      <c r="F290" s="41"/>
      <c r="G290" s="41"/>
      <c r="H290" s="41"/>
      <c r="I290" s="41"/>
      <c r="J290" s="41"/>
      <c r="K290" s="41"/>
      <c r="L290" s="41"/>
      <c r="M290" s="41"/>
      <c r="N290" s="41"/>
      <c r="O290" s="41"/>
      <c r="P290" s="41"/>
      <c r="Q290" s="41"/>
      <c r="R290" s="41"/>
      <c r="S290" s="41"/>
      <c r="T290" s="41"/>
      <c r="U290" s="41"/>
      <c r="V290" s="41"/>
      <c r="W290" s="41"/>
      <c r="X290" s="41"/>
      <c r="Y290" s="41"/>
      <c r="Z290" s="41"/>
      <c r="AA290" s="41"/>
      <c r="AB290" s="41"/>
      <c r="AC290" s="41"/>
      <c r="AD290" s="41"/>
      <c r="AE290" s="41"/>
      <c r="AF290" s="41"/>
      <c r="AG290" s="41"/>
      <c r="AH290" s="41"/>
      <c r="AI290" s="41"/>
    </row>
    <row r="291" spans="1:35" ht="15.75" customHeight="1" x14ac:dyDescent="0.2">
      <c r="A291" s="41"/>
      <c r="B291" s="41"/>
      <c r="C291" s="41"/>
      <c r="D291" s="41"/>
      <c r="E291" s="41"/>
      <c r="F291" s="41"/>
      <c r="G291" s="41"/>
      <c r="H291" s="41"/>
      <c r="I291" s="41"/>
      <c r="J291" s="41"/>
      <c r="K291" s="41"/>
      <c r="L291" s="41"/>
      <c r="M291" s="41"/>
      <c r="N291" s="41"/>
      <c r="O291" s="41"/>
      <c r="P291" s="41"/>
      <c r="Q291" s="41"/>
      <c r="R291" s="41"/>
      <c r="S291" s="41"/>
      <c r="T291" s="41"/>
      <c r="U291" s="41"/>
      <c r="V291" s="41"/>
      <c r="W291" s="41"/>
      <c r="X291" s="41"/>
      <c r="Y291" s="41"/>
      <c r="Z291" s="41"/>
      <c r="AA291" s="41"/>
      <c r="AB291" s="41"/>
      <c r="AC291" s="41"/>
      <c r="AD291" s="41"/>
      <c r="AE291" s="41"/>
      <c r="AF291" s="41"/>
      <c r="AG291" s="41"/>
      <c r="AH291" s="41"/>
      <c r="AI291" s="41"/>
    </row>
    <row r="292" spans="1:35" ht="15.75" customHeight="1" x14ac:dyDescent="0.2">
      <c r="A292" s="41"/>
      <c r="B292" s="41"/>
      <c r="C292" s="41"/>
      <c r="D292" s="41"/>
      <c r="E292" s="41"/>
      <c r="F292" s="41"/>
      <c r="G292" s="41"/>
      <c r="H292" s="41"/>
      <c r="I292" s="41"/>
      <c r="J292" s="41"/>
      <c r="K292" s="41"/>
      <c r="L292" s="41"/>
      <c r="M292" s="41"/>
      <c r="N292" s="41"/>
      <c r="O292" s="41"/>
      <c r="P292" s="41"/>
      <c r="Q292" s="41"/>
      <c r="R292" s="41"/>
      <c r="S292" s="41"/>
      <c r="T292" s="41"/>
      <c r="U292" s="41"/>
      <c r="V292" s="41"/>
      <c r="W292" s="41"/>
      <c r="X292" s="41"/>
      <c r="Y292" s="41"/>
      <c r="Z292" s="41"/>
      <c r="AA292" s="41"/>
      <c r="AB292" s="41"/>
      <c r="AC292" s="41"/>
      <c r="AD292" s="41"/>
      <c r="AE292" s="41"/>
      <c r="AF292" s="41"/>
      <c r="AG292" s="41"/>
      <c r="AH292" s="41"/>
      <c r="AI292" s="41"/>
    </row>
    <row r="293" spans="1:35" ht="15.75" customHeight="1" x14ac:dyDescent="0.2">
      <c r="A293" s="41"/>
      <c r="B293" s="41"/>
      <c r="C293" s="41"/>
      <c r="D293" s="41"/>
      <c r="E293" s="41"/>
      <c r="F293" s="41"/>
      <c r="G293" s="41"/>
      <c r="H293" s="41"/>
      <c r="I293" s="41"/>
      <c r="J293" s="41"/>
      <c r="K293" s="41"/>
      <c r="L293" s="41"/>
      <c r="M293" s="41"/>
      <c r="N293" s="41"/>
      <c r="O293" s="41"/>
      <c r="P293" s="41"/>
      <c r="Q293" s="41"/>
      <c r="R293" s="41"/>
      <c r="S293" s="41"/>
      <c r="T293" s="41"/>
      <c r="U293" s="41"/>
      <c r="V293" s="41"/>
      <c r="W293" s="41"/>
      <c r="X293" s="41"/>
      <c r="Y293" s="41"/>
      <c r="Z293" s="41"/>
      <c r="AA293" s="41"/>
      <c r="AB293" s="41"/>
      <c r="AC293" s="41"/>
      <c r="AD293" s="41"/>
      <c r="AE293" s="41"/>
      <c r="AF293" s="41"/>
      <c r="AG293" s="41"/>
      <c r="AH293" s="41"/>
      <c r="AI293" s="41"/>
    </row>
    <row r="294" spans="1:35" ht="15.75" customHeight="1" x14ac:dyDescent="0.2">
      <c r="A294" s="41"/>
      <c r="B294" s="41"/>
      <c r="C294" s="41"/>
      <c r="D294" s="41"/>
      <c r="E294" s="41"/>
      <c r="F294" s="41"/>
      <c r="G294" s="41"/>
      <c r="H294" s="41"/>
      <c r="I294" s="41"/>
      <c r="J294" s="41"/>
      <c r="K294" s="41"/>
      <c r="L294" s="41"/>
      <c r="M294" s="41"/>
      <c r="N294" s="41"/>
      <c r="O294" s="41"/>
      <c r="P294" s="41"/>
      <c r="Q294" s="41"/>
      <c r="R294" s="41"/>
      <c r="S294" s="41"/>
      <c r="T294" s="41"/>
      <c r="U294" s="41"/>
      <c r="V294" s="41"/>
      <c r="W294" s="41"/>
      <c r="X294" s="41"/>
      <c r="Y294" s="41"/>
      <c r="Z294" s="41"/>
      <c r="AA294" s="41"/>
      <c r="AB294" s="41"/>
      <c r="AC294" s="41"/>
      <c r="AD294" s="41"/>
      <c r="AE294" s="41"/>
      <c r="AF294" s="41"/>
      <c r="AG294" s="41"/>
      <c r="AH294" s="41"/>
      <c r="AI294" s="41"/>
    </row>
    <row r="295" spans="1:35" ht="15.75" customHeight="1" x14ac:dyDescent="0.2">
      <c r="A295" s="41"/>
      <c r="B295" s="41"/>
      <c r="C295" s="41"/>
      <c r="D295" s="41"/>
      <c r="E295" s="41"/>
      <c r="F295" s="41"/>
      <c r="G295" s="41"/>
      <c r="H295" s="41"/>
      <c r="I295" s="41"/>
      <c r="J295" s="41"/>
      <c r="K295" s="41"/>
      <c r="L295" s="41"/>
      <c r="M295" s="41"/>
      <c r="N295" s="41"/>
      <c r="O295" s="41"/>
      <c r="P295" s="41"/>
      <c r="Q295" s="41"/>
      <c r="R295" s="41"/>
      <c r="S295" s="41"/>
      <c r="T295" s="41"/>
      <c r="U295" s="41"/>
      <c r="V295" s="41"/>
      <c r="W295" s="41"/>
      <c r="X295" s="41"/>
      <c r="Y295" s="41"/>
      <c r="Z295" s="41"/>
      <c r="AA295" s="41"/>
      <c r="AB295" s="41"/>
      <c r="AC295" s="41"/>
      <c r="AD295" s="41"/>
      <c r="AE295" s="41"/>
      <c r="AF295" s="41"/>
      <c r="AG295" s="41"/>
      <c r="AH295" s="41"/>
      <c r="AI295" s="41"/>
    </row>
    <row r="296" spans="1:35" ht="15.75" customHeight="1" x14ac:dyDescent="0.2">
      <c r="A296" s="41"/>
      <c r="B296" s="41"/>
      <c r="C296" s="41"/>
      <c r="D296" s="41"/>
      <c r="E296" s="41"/>
      <c r="F296" s="41"/>
      <c r="G296" s="41"/>
      <c r="H296" s="41"/>
      <c r="I296" s="41"/>
      <c r="J296" s="41"/>
      <c r="K296" s="41"/>
      <c r="L296" s="41"/>
      <c r="M296" s="41"/>
      <c r="N296" s="41"/>
      <c r="O296" s="41"/>
      <c r="P296" s="41"/>
      <c r="Q296" s="41"/>
      <c r="R296" s="41"/>
      <c r="S296" s="41"/>
      <c r="T296" s="41"/>
      <c r="U296" s="41"/>
      <c r="V296" s="41"/>
      <c r="W296" s="41"/>
      <c r="X296" s="41"/>
      <c r="Y296" s="41"/>
      <c r="Z296" s="41"/>
      <c r="AA296" s="41"/>
      <c r="AB296" s="41"/>
      <c r="AC296" s="41"/>
      <c r="AD296" s="41"/>
      <c r="AE296" s="41"/>
      <c r="AF296" s="41"/>
      <c r="AG296" s="41"/>
      <c r="AH296" s="41"/>
      <c r="AI296" s="41"/>
    </row>
    <row r="297" spans="1:35" ht="15.75" customHeight="1" x14ac:dyDescent="0.2">
      <c r="A297" s="41"/>
      <c r="B297" s="41"/>
      <c r="C297" s="41"/>
      <c r="D297" s="41"/>
      <c r="E297" s="41"/>
      <c r="F297" s="41"/>
      <c r="G297" s="41"/>
      <c r="H297" s="41"/>
      <c r="I297" s="41"/>
      <c r="J297" s="41"/>
      <c r="K297" s="41"/>
      <c r="L297" s="41"/>
      <c r="M297" s="41"/>
      <c r="N297" s="41"/>
      <c r="O297" s="41"/>
      <c r="P297" s="41"/>
      <c r="Q297" s="41"/>
      <c r="R297" s="41"/>
      <c r="S297" s="41"/>
      <c r="T297" s="41"/>
      <c r="U297" s="41"/>
      <c r="V297" s="41"/>
      <c r="W297" s="41"/>
      <c r="X297" s="41"/>
      <c r="Y297" s="41"/>
      <c r="Z297" s="41"/>
      <c r="AA297" s="41"/>
      <c r="AB297" s="41"/>
      <c r="AC297" s="41"/>
      <c r="AD297" s="41"/>
      <c r="AE297" s="41"/>
      <c r="AF297" s="41"/>
      <c r="AG297" s="41"/>
      <c r="AH297" s="41"/>
      <c r="AI297" s="41"/>
    </row>
    <row r="298" spans="1:35" ht="15.75" customHeight="1" x14ac:dyDescent="0.2">
      <c r="A298" s="41"/>
      <c r="B298" s="41"/>
      <c r="C298" s="41"/>
      <c r="D298" s="41"/>
      <c r="E298" s="41"/>
      <c r="F298" s="41"/>
      <c r="G298" s="41"/>
      <c r="H298" s="41"/>
      <c r="I298" s="41"/>
      <c r="J298" s="41"/>
      <c r="K298" s="41"/>
      <c r="L298" s="41"/>
      <c r="M298" s="41"/>
      <c r="N298" s="41"/>
      <c r="O298" s="41"/>
      <c r="P298" s="41"/>
      <c r="Q298" s="41"/>
      <c r="R298" s="41"/>
      <c r="S298" s="41"/>
      <c r="T298" s="41"/>
      <c r="U298" s="41"/>
      <c r="V298" s="41"/>
      <c r="W298" s="41"/>
      <c r="X298" s="41"/>
      <c r="Y298" s="41"/>
      <c r="Z298" s="41"/>
      <c r="AA298" s="41"/>
      <c r="AB298" s="41"/>
      <c r="AC298" s="41"/>
      <c r="AD298" s="41"/>
      <c r="AE298" s="41"/>
      <c r="AF298" s="41"/>
      <c r="AG298" s="41"/>
      <c r="AH298" s="41"/>
      <c r="AI298" s="41"/>
    </row>
    <row r="299" spans="1:35" ht="15.75" customHeight="1" x14ac:dyDescent="0.2">
      <c r="A299" s="41"/>
      <c r="B299" s="41"/>
      <c r="C299" s="41"/>
      <c r="D299" s="41"/>
      <c r="E299" s="41"/>
      <c r="F299" s="41"/>
      <c r="G299" s="41"/>
      <c r="H299" s="41"/>
      <c r="I299" s="41"/>
      <c r="J299" s="41"/>
      <c r="K299" s="41"/>
      <c r="L299" s="41"/>
      <c r="M299" s="41"/>
      <c r="N299" s="41"/>
      <c r="O299" s="41"/>
      <c r="P299" s="41"/>
      <c r="Q299" s="41"/>
      <c r="R299" s="41"/>
      <c r="S299" s="41"/>
      <c r="T299" s="41"/>
      <c r="U299" s="41"/>
      <c r="V299" s="41"/>
      <c r="W299" s="41"/>
      <c r="X299" s="41"/>
      <c r="Y299" s="41"/>
      <c r="Z299" s="41"/>
      <c r="AA299" s="41"/>
      <c r="AB299" s="41"/>
      <c r="AC299" s="41"/>
      <c r="AD299" s="41"/>
      <c r="AE299" s="41"/>
      <c r="AF299" s="41"/>
      <c r="AG299" s="41"/>
      <c r="AH299" s="41"/>
      <c r="AI299" s="41"/>
    </row>
    <row r="300" spans="1:35" ht="15.75" customHeight="1" x14ac:dyDescent="0.2">
      <c r="A300" s="41"/>
      <c r="B300" s="41"/>
      <c r="C300" s="41"/>
      <c r="D300" s="41"/>
      <c r="E300" s="41"/>
      <c r="F300" s="41"/>
      <c r="G300" s="41"/>
      <c r="H300" s="41"/>
      <c r="I300" s="41"/>
      <c r="J300" s="41"/>
      <c r="K300" s="41"/>
      <c r="L300" s="41"/>
      <c r="M300" s="41"/>
      <c r="N300" s="41"/>
      <c r="O300" s="41"/>
      <c r="P300" s="41"/>
      <c r="Q300" s="41"/>
      <c r="R300" s="41"/>
      <c r="S300" s="41"/>
      <c r="T300" s="41"/>
      <c r="U300" s="41"/>
      <c r="V300" s="41"/>
      <c r="W300" s="41"/>
      <c r="X300" s="41"/>
      <c r="Y300" s="41"/>
      <c r="Z300" s="41"/>
      <c r="AA300" s="41"/>
      <c r="AB300" s="41"/>
      <c r="AC300" s="41"/>
      <c r="AD300" s="41"/>
      <c r="AE300" s="41"/>
      <c r="AF300" s="41"/>
      <c r="AG300" s="41"/>
      <c r="AH300" s="41"/>
      <c r="AI300" s="41"/>
    </row>
    <row r="301" spans="1:35" ht="15.75" customHeight="1" x14ac:dyDescent="0.2">
      <c r="A301" s="41"/>
      <c r="B301" s="41"/>
      <c r="C301" s="41"/>
      <c r="D301" s="41"/>
      <c r="E301" s="41"/>
      <c r="F301" s="41"/>
      <c r="G301" s="41"/>
      <c r="H301" s="41"/>
      <c r="I301" s="41"/>
      <c r="J301" s="41"/>
      <c r="K301" s="41"/>
      <c r="L301" s="41"/>
      <c r="M301" s="41"/>
      <c r="N301" s="41"/>
      <c r="O301" s="41"/>
      <c r="P301" s="41"/>
      <c r="Q301" s="41"/>
      <c r="R301" s="41"/>
      <c r="S301" s="41"/>
      <c r="T301" s="41"/>
      <c r="U301" s="41"/>
      <c r="V301" s="41"/>
      <c r="W301" s="41"/>
      <c r="X301" s="41"/>
      <c r="Y301" s="41"/>
      <c r="Z301" s="41"/>
      <c r="AA301" s="41"/>
      <c r="AB301" s="41"/>
      <c r="AC301" s="41"/>
      <c r="AD301" s="41"/>
      <c r="AE301" s="41"/>
      <c r="AF301" s="41"/>
      <c r="AG301" s="41"/>
      <c r="AH301" s="41"/>
      <c r="AI301" s="41"/>
    </row>
    <row r="302" spans="1:35" ht="15.75" customHeight="1" x14ac:dyDescent="0.2">
      <c r="A302" s="41"/>
      <c r="B302" s="41"/>
      <c r="C302" s="41"/>
      <c r="D302" s="41"/>
      <c r="E302" s="41"/>
      <c r="F302" s="41"/>
      <c r="G302" s="41"/>
      <c r="H302" s="41"/>
      <c r="I302" s="41"/>
      <c r="J302" s="41"/>
      <c r="K302" s="41"/>
      <c r="L302" s="41"/>
      <c r="M302" s="41"/>
      <c r="N302" s="41"/>
      <c r="O302" s="41"/>
      <c r="P302" s="41"/>
      <c r="Q302" s="41"/>
      <c r="R302" s="41"/>
      <c r="S302" s="41"/>
      <c r="T302" s="41"/>
      <c r="U302" s="41"/>
      <c r="V302" s="41"/>
      <c r="W302" s="41"/>
      <c r="X302" s="41"/>
      <c r="Y302" s="41"/>
      <c r="Z302" s="41"/>
      <c r="AA302" s="41"/>
      <c r="AB302" s="41"/>
      <c r="AC302" s="41"/>
      <c r="AD302" s="41"/>
      <c r="AE302" s="41"/>
      <c r="AF302" s="41"/>
      <c r="AG302" s="41"/>
      <c r="AH302" s="41"/>
      <c r="AI302" s="41"/>
    </row>
    <row r="303" spans="1:35" ht="15.75" customHeight="1" x14ac:dyDescent="0.2">
      <c r="A303" s="41"/>
      <c r="B303" s="41"/>
      <c r="C303" s="41"/>
      <c r="D303" s="41"/>
      <c r="E303" s="41"/>
      <c r="F303" s="41"/>
      <c r="G303" s="41"/>
      <c r="H303" s="41"/>
      <c r="I303" s="41"/>
      <c r="J303" s="41"/>
      <c r="K303" s="41"/>
      <c r="L303" s="41"/>
      <c r="M303" s="41"/>
      <c r="N303" s="41"/>
      <c r="O303" s="41"/>
      <c r="P303" s="41"/>
      <c r="Q303" s="41"/>
      <c r="R303" s="41"/>
      <c r="S303" s="41"/>
      <c r="T303" s="41"/>
      <c r="U303" s="41"/>
      <c r="V303" s="41"/>
      <c r="W303" s="41"/>
      <c r="X303" s="41"/>
      <c r="Y303" s="41"/>
      <c r="Z303" s="41"/>
      <c r="AA303" s="41"/>
      <c r="AB303" s="41"/>
      <c r="AC303" s="41"/>
      <c r="AD303" s="41"/>
      <c r="AE303" s="41"/>
      <c r="AF303" s="41"/>
      <c r="AG303" s="41"/>
      <c r="AH303" s="41"/>
      <c r="AI303" s="41"/>
    </row>
    <row r="304" spans="1:35" ht="15.75" customHeight="1" x14ac:dyDescent="0.2">
      <c r="A304" s="41"/>
      <c r="B304" s="41"/>
      <c r="C304" s="41"/>
      <c r="D304" s="41"/>
      <c r="E304" s="41"/>
      <c r="F304" s="41"/>
      <c r="G304" s="41"/>
      <c r="H304" s="41"/>
      <c r="I304" s="41"/>
      <c r="J304" s="41"/>
      <c r="K304" s="41"/>
      <c r="L304" s="41"/>
      <c r="M304" s="41"/>
      <c r="N304" s="41"/>
      <c r="O304" s="41"/>
      <c r="P304" s="41"/>
      <c r="Q304" s="41"/>
      <c r="R304" s="41"/>
      <c r="S304" s="41"/>
      <c r="T304" s="41"/>
      <c r="U304" s="41"/>
      <c r="V304" s="41"/>
      <c r="W304" s="41"/>
      <c r="X304" s="41"/>
      <c r="Y304" s="41"/>
      <c r="Z304" s="41"/>
      <c r="AA304" s="41"/>
      <c r="AB304" s="41"/>
      <c r="AC304" s="41"/>
      <c r="AD304" s="41"/>
      <c r="AE304" s="41"/>
      <c r="AF304" s="41"/>
      <c r="AG304" s="41"/>
      <c r="AH304" s="41"/>
      <c r="AI304" s="41"/>
    </row>
    <row r="305" spans="1:35" ht="15.75" customHeight="1" x14ac:dyDescent="0.2">
      <c r="A305" s="41"/>
      <c r="B305" s="41"/>
      <c r="C305" s="41"/>
      <c r="D305" s="41"/>
      <c r="E305" s="41"/>
      <c r="F305" s="41"/>
      <c r="G305" s="41"/>
      <c r="H305" s="41"/>
      <c r="I305" s="41"/>
      <c r="J305" s="41"/>
      <c r="K305" s="41"/>
      <c r="L305" s="41"/>
      <c r="M305" s="41"/>
      <c r="N305" s="41"/>
      <c r="O305" s="41"/>
      <c r="P305" s="41"/>
      <c r="Q305" s="41"/>
      <c r="R305" s="41"/>
      <c r="S305" s="41"/>
      <c r="T305" s="41"/>
      <c r="U305" s="41"/>
      <c r="V305" s="41"/>
      <c r="W305" s="41"/>
      <c r="X305" s="41"/>
      <c r="Y305" s="41"/>
      <c r="Z305" s="41"/>
      <c r="AA305" s="41"/>
      <c r="AB305" s="41"/>
      <c r="AC305" s="41"/>
      <c r="AD305" s="41"/>
      <c r="AE305" s="41"/>
      <c r="AF305" s="41"/>
      <c r="AG305" s="41"/>
      <c r="AH305" s="41"/>
      <c r="AI305" s="41"/>
    </row>
    <row r="306" spans="1:35" ht="15.75" customHeight="1" x14ac:dyDescent="0.2">
      <c r="A306" s="41"/>
      <c r="B306" s="41"/>
      <c r="C306" s="41"/>
      <c r="D306" s="41"/>
      <c r="E306" s="41"/>
      <c r="F306" s="41"/>
      <c r="G306" s="41"/>
      <c r="H306" s="41"/>
      <c r="I306" s="41"/>
      <c r="J306" s="41"/>
      <c r="K306" s="41"/>
      <c r="L306" s="41"/>
      <c r="M306" s="41"/>
      <c r="N306" s="41"/>
      <c r="O306" s="41"/>
      <c r="P306" s="41"/>
      <c r="Q306" s="41"/>
      <c r="R306" s="41"/>
      <c r="S306" s="41"/>
      <c r="T306" s="41"/>
      <c r="U306" s="41"/>
      <c r="V306" s="41"/>
      <c r="W306" s="41"/>
      <c r="X306" s="41"/>
      <c r="Y306" s="41"/>
      <c r="Z306" s="41"/>
      <c r="AA306" s="41"/>
      <c r="AB306" s="41"/>
      <c r="AC306" s="41"/>
      <c r="AD306" s="41"/>
      <c r="AE306" s="41"/>
      <c r="AF306" s="41"/>
      <c r="AG306" s="41"/>
      <c r="AH306" s="41"/>
      <c r="AI306" s="41"/>
    </row>
    <row r="307" spans="1:35" ht="15.75" customHeight="1" x14ac:dyDescent="0.2">
      <c r="A307" s="41"/>
      <c r="B307" s="41"/>
      <c r="C307" s="41"/>
      <c r="D307" s="41"/>
      <c r="E307" s="41"/>
      <c r="F307" s="41"/>
      <c r="G307" s="41"/>
      <c r="H307" s="41"/>
      <c r="I307" s="41"/>
      <c r="J307" s="41"/>
      <c r="K307" s="41"/>
      <c r="L307" s="41"/>
      <c r="M307" s="41"/>
      <c r="N307" s="41"/>
      <c r="O307" s="41"/>
      <c r="P307" s="41"/>
      <c r="Q307" s="41"/>
      <c r="R307" s="41"/>
      <c r="S307" s="41"/>
      <c r="T307" s="41"/>
      <c r="U307" s="41"/>
      <c r="V307" s="41"/>
      <c r="W307" s="41"/>
      <c r="X307" s="41"/>
      <c r="Y307" s="41"/>
      <c r="Z307" s="41"/>
      <c r="AA307" s="41"/>
      <c r="AB307" s="41"/>
      <c r="AC307" s="41"/>
      <c r="AD307" s="41"/>
      <c r="AE307" s="41"/>
      <c r="AF307" s="41"/>
      <c r="AG307" s="41"/>
      <c r="AH307" s="41"/>
      <c r="AI307" s="41"/>
    </row>
    <row r="308" spans="1:35" ht="15.75" customHeight="1" x14ac:dyDescent="0.2">
      <c r="A308" s="41"/>
      <c r="B308" s="41"/>
      <c r="C308" s="41"/>
      <c r="D308" s="41"/>
      <c r="E308" s="41"/>
      <c r="F308" s="41"/>
      <c r="G308" s="41"/>
      <c r="H308" s="41"/>
      <c r="I308" s="41"/>
      <c r="J308" s="41"/>
      <c r="K308" s="41"/>
      <c r="L308" s="41"/>
      <c r="M308" s="41"/>
      <c r="N308" s="41"/>
      <c r="O308" s="41"/>
      <c r="P308" s="41"/>
      <c r="Q308" s="41"/>
      <c r="R308" s="41"/>
      <c r="S308" s="41"/>
      <c r="T308" s="41"/>
      <c r="U308" s="41"/>
      <c r="V308" s="41"/>
      <c r="W308" s="41"/>
      <c r="X308" s="41"/>
      <c r="Y308" s="41"/>
      <c r="Z308" s="41"/>
      <c r="AA308" s="41"/>
      <c r="AB308" s="41"/>
      <c r="AC308" s="41"/>
      <c r="AD308" s="41"/>
      <c r="AE308" s="41"/>
      <c r="AF308" s="41"/>
      <c r="AG308" s="41"/>
      <c r="AH308" s="41"/>
      <c r="AI308" s="41"/>
    </row>
    <row r="309" spans="1:35" ht="15.75" customHeight="1" x14ac:dyDescent="0.2">
      <c r="A309" s="41"/>
      <c r="B309" s="41"/>
      <c r="C309" s="41"/>
      <c r="D309" s="41"/>
      <c r="E309" s="41"/>
      <c r="F309" s="41"/>
      <c r="G309" s="41"/>
      <c r="H309" s="41"/>
      <c r="I309" s="41"/>
      <c r="J309" s="41"/>
      <c r="K309" s="41"/>
      <c r="L309" s="41"/>
      <c r="M309" s="41"/>
      <c r="N309" s="41"/>
      <c r="O309" s="41"/>
      <c r="P309" s="41"/>
      <c r="Q309" s="41"/>
      <c r="R309" s="41"/>
      <c r="S309" s="41"/>
      <c r="T309" s="41"/>
      <c r="U309" s="41"/>
      <c r="V309" s="41"/>
      <c r="W309" s="41"/>
      <c r="X309" s="41"/>
      <c r="Y309" s="41"/>
      <c r="Z309" s="41"/>
      <c r="AA309" s="41"/>
      <c r="AB309" s="41"/>
      <c r="AC309" s="41"/>
      <c r="AD309" s="41"/>
      <c r="AE309" s="41"/>
      <c r="AF309" s="41"/>
      <c r="AG309" s="41"/>
      <c r="AH309" s="41"/>
      <c r="AI309" s="41"/>
    </row>
    <row r="310" spans="1:35" ht="15.75" customHeight="1" x14ac:dyDescent="0.2">
      <c r="A310" s="41"/>
      <c r="B310" s="41"/>
      <c r="C310" s="41"/>
      <c r="D310" s="41"/>
      <c r="E310" s="41"/>
      <c r="F310" s="41"/>
      <c r="G310" s="41"/>
      <c r="H310" s="41"/>
      <c r="I310" s="41"/>
      <c r="J310" s="41"/>
      <c r="K310" s="41"/>
      <c r="L310" s="41"/>
      <c r="M310" s="41"/>
      <c r="N310" s="41"/>
      <c r="O310" s="41"/>
      <c r="P310" s="41"/>
      <c r="Q310" s="41"/>
      <c r="R310" s="41"/>
      <c r="S310" s="41"/>
      <c r="T310" s="41"/>
      <c r="U310" s="41"/>
      <c r="V310" s="41"/>
      <c r="W310" s="41"/>
      <c r="X310" s="41"/>
      <c r="Y310" s="41"/>
      <c r="Z310" s="41"/>
      <c r="AA310" s="41"/>
      <c r="AB310" s="41"/>
      <c r="AC310" s="41"/>
      <c r="AD310" s="41"/>
      <c r="AE310" s="41"/>
      <c r="AF310" s="41"/>
      <c r="AG310" s="41"/>
      <c r="AH310" s="41"/>
      <c r="AI310" s="41"/>
    </row>
    <row r="311" spans="1:35" ht="15.75" customHeight="1" x14ac:dyDescent="0.2">
      <c r="A311" s="41"/>
      <c r="B311" s="41"/>
      <c r="C311" s="41"/>
      <c r="D311" s="41"/>
      <c r="E311" s="41"/>
      <c r="F311" s="41"/>
      <c r="G311" s="41"/>
      <c r="H311" s="41"/>
      <c r="I311" s="41"/>
      <c r="J311" s="41"/>
      <c r="K311" s="41"/>
      <c r="L311" s="41"/>
      <c r="M311" s="41"/>
      <c r="N311" s="41"/>
      <c r="O311" s="41"/>
      <c r="P311" s="41"/>
      <c r="Q311" s="41"/>
      <c r="R311" s="41"/>
      <c r="S311" s="41"/>
      <c r="T311" s="41"/>
      <c r="U311" s="41"/>
      <c r="V311" s="41"/>
      <c r="W311" s="41"/>
      <c r="X311" s="41"/>
      <c r="Y311" s="41"/>
      <c r="Z311" s="41"/>
      <c r="AA311" s="41"/>
      <c r="AB311" s="41"/>
      <c r="AC311" s="41"/>
      <c r="AD311" s="41"/>
      <c r="AE311" s="41"/>
      <c r="AF311" s="41"/>
      <c r="AG311" s="41"/>
      <c r="AH311" s="41"/>
      <c r="AI311" s="41"/>
    </row>
    <row r="312" spans="1:35" ht="15.75" customHeight="1" x14ac:dyDescent="0.2">
      <c r="A312" s="41"/>
      <c r="B312" s="41"/>
      <c r="C312" s="41"/>
      <c r="D312" s="41"/>
      <c r="E312" s="41"/>
      <c r="F312" s="41"/>
      <c r="G312" s="41"/>
      <c r="H312" s="41"/>
      <c r="I312" s="41"/>
      <c r="J312" s="41"/>
      <c r="K312" s="41"/>
      <c r="L312" s="41"/>
      <c r="M312" s="41"/>
      <c r="N312" s="41"/>
      <c r="O312" s="41"/>
      <c r="P312" s="41"/>
      <c r="Q312" s="41"/>
      <c r="R312" s="41"/>
      <c r="S312" s="41"/>
      <c r="T312" s="41"/>
      <c r="U312" s="41"/>
      <c r="V312" s="41"/>
      <c r="W312" s="41"/>
      <c r="X312" s="41"/>
      <c r="Y312" s="41"/>
      <c r="Z312" s="41"/>
      <c r="AA312" s="41"/>
      <c r="AB312" s="41"/>
      <c r="AC312" s="41"/>
      <c r="AD312" s="41"/>
      <c r="AE312" s="41"/>
      <c r="AF312" s="41"/>
      <c r="AG312" s="41"/>
      <c r="AH312" s="41"/>
      <c r="AI312" s="41"/>
    </row>
    <row r="313" spans="1:35" ht="15.75" customHeight="1" x14ac:dyDescent="0.2">
      <c r="A313" s="41"/>
      <c r="B313" s="41"/>
      <c r="C313" s="41"/>
      <c r="D313" s="41"/>
      <c r="E313" s="41"/>
      <c r="F313" s="41"/>
      <c r="G313" s="41"/>
      <c r="H313" s="41"/>
      <c r="I313" s="41"/>
      <c r="J313" s="41"/>
      <c r="K313" s="41"/>
      <c r="L313" s="41"/>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row>
    <row r="314" spans="1:35" ht="15.75" customHeight="1" x14ac:dyDescent="0.2">
      <c r="A314" s="41"/>
      <c r="B314" s="41"/>
      <c r="C314" s="41"/>
      <c r="D314" s="41"/>
      <c r="E314" s="41"/>
      <c r="F314" s="41"/>
      <c r="G314" s="41"/>
      <c r="H314" s="41"/>
      <c r="I314" s="41"/>
      <c r="J314" s="41"/>
      <c r="K314" s="41"/>
      <c r="L314" s="41"/>
      <c r="M314" s="41"/>
      <c r="N314" s="41"/>
      <c r="O314" s="41"/>
      <c r="P314" s="41"/>
      <c r="Q314" s="41"/>
      <c r="R314" s="41"/>
      <c r="S314" s="41"/>
      <c r="T314" s="41"/>
      <c r="U314" s="41"/>
      <c r="V314" s="41"/>
      <c r="W314" s="41"/>
      <c r="X314" s="41"/>
      <c r="Y314" s="41"/>
      <c r="Z314" s="41"/>
      <c r="AA314" s="41"/>
      <c r="AB314" s="41"/>
      <c r="AC314" s="41"/>
      <c r="AD314" s="41"/>
      <c r="AE314" s="41"/>
      <c r="AF314" s="41"/>
      <c r="AG314" s="41"/>
      <c r="AH314" s="41"/>
      <c r="AI314" s="41"/>
    </row>
    <row r="315" spans="1:35" ht="15.75" customHeight="1" x14ac:dyDescent="0.2">
      <c r="A315" s="41"/>
      <c r="B315" s="41"/>
      <c r="C315" s="41"/>
      <c r="D315" s="41"/>
      <c r="E315" s="41"/>
      <c r="F315" s="41"/>
      <c r="G315" s="41"/>
      <c r="H315" s="41"/>
      <c r="I315" s="41"/>
      <c r="J315" s="41"/>
      <c r="K315" s="41"/>
      <c r="L315" s="41"/>
      <c r="M315" s="41"/>
      <c r="N315" s="41"/>
      <c r="O315" s="41"/>
      <c r="P315" s="41"/>
      <c r="Q315" s="41"/>
      <c r="R315" s="41"/>
      <c r="S315" s="41"/>
      <c r="T315" s="41"/>
      <c r="U315" s="41"/>
      <c r="V315" s="41"/>
      <c r="W315" s="41"/>
      <c r="X315" s="41"/>
      <c r="Y315" s="41"/>
      <c r="Z315" s="41"/>
      <c r="AA315" s="41"/>
      <c r="AB315" s="41"/>
      <c r="AC315" s="41"/>
      <c r="AD315" s="41"/>
      <c r="AE315" s="41"/>
      <c r="AF315" s="41"/>
      <c r="AG315" s="41"/>
      <c r="AH315" s="41"/>
      <c r="AI315" s="41"/>
    </row>
    <row r="316" spans="1:35" ht="15.75" customHeight="1" x14ac:dyDescent="0.2">
      <c r="A316" s="41"/>
      <c r="B316" s="41"/>
      <c r="C316" s="41"/>
      <c r="D316" s="41"/>
      <c r="E316" s="41"/>
      <c r="F316" s="41"/>
      <c r="G316" s="41"/>
      <c r="H316" s="41"/>
      <c r="I316" s="41"/>
      <c r="J316" s="41"/>
      <c r="K316" s="41"/>
      <c r="L316" s="41"/>
      <c r="M316" s="41"/>
      <c r="N316" s="41"/>
      <c r="O316" s="41"/>
      <c r="P316" s="41"/>
      <c r="Q316" s="41"/>
      <c r="R316" s="41"/>
      <c r="S316" s="41"/>
      <c r="T316" s="41"/>
      <c r="U316" s="41"/>
      <c r="V316" s="41"/>
      <c r="W316" s="41"/>
      <c r="X316" s="41"/>
      <c r="Y316" s="41"/>
      <c r="Z316" s="41"/>
      <c r="AA316" s="41"/>
      <c r="AB316" s="41"/>
      <c r="AC316" s="41"/>
      <c r="AD316" s="41"/>
      <c r="AE316" s="41"/>
      <c r="AF316" s="41"/>
      <c r="AG316" s="41"/>
      <c r="AH316" s="41"/>
      <c r="AI316" s="41"/>
    </row>
    <row r="317" spans="1:35" ht="15.75" customHeight="1" x14ac:dyDescent="0.2">
      <c r="A317" s="41"/>
      <c r="B317" s="41"/>
      <c r="C317" s="41"/>
      <c r="D317" s="41"/>
      <c r="E317" s="41"/>
      <c r="F317" s="41"/>
      <c r="G317" s="41"/>
      <c r="H317" s="41"/>
      <c r="I317" s="41"/>
      <c r="J317" s="41"/>
      <c r="K317" s="41"/>
      <c r="L317" s="41"/>
      <c r="M317" s="41"/>
      <c r="N317" s="41"/>
      <c r="O317" s="41"/>
      <c r="P317" s="41"/>
      <c r="Q317" s="41"/>
      <c r="R317" s="41"/>
      <c r="S317" s="41"/>
      <c r="T317" s="41"/>
      <c r="U317" s="41"/>
      <c r="V317" s="41"/>
      <c r="W317" s="41"/>
      <c r="X317" s="41"/>
      <c r="Y317" s="41"/>
      <c r="Z317" s="41"/>
      <c r="AA317" s="41"/>
      <c r="AB317" s="41"/>
      <c r="AC317" s="41"/>
      <c r="AD317" s="41"/>
      <c r="AE317" s="41"/>
      <c r="AF317" s="41"/>
      <c r="AG317" s="41"/>
      <c r="AH317" s="41"/>
      <c r="AI317" s="41"/>
    </row>
    <row r="318" spans="1:35" ht="15.75" customHeight="1" x14ac:dyDescent="0.2">
      <c r="A318" s="41"/>
      <c r="B318" s="41"/>
      <c r="C318" s="41"/>
      <c r="D318" s="41"/>
      <c r="E318" s="41"/>
      <c r="F318" s="41"/>
      <c r="G318" s="41"/>
      <c r="H318" s="41"/>
      <c r="I318" s="41"/>
      <c r="J318" s="41"/>
      <c r="K318" s="41"/>
      <c r="L318" s="41"/>
      <c r="M318" s="41"/>
      <c r="N318" s="41"/>
      <c r="O318" s="41"/>
      <c r="P318" s="41"/>
      <c r="Q318" s="41"/>
      <c r="R318" s="41"/>
      <c r="S318" s="41"/>
      <c r="T318" s="41"/>
      <c r="U318" s="41"/>
      <c r="V318" s="41"/>
      <c r="W318" s="41"/>
      <c r="X318" s="41"/>
      <c r="Y318" s="41"/>
      <c r="Z318" s="41"/>
      <c r="AA318" s="41"/>
      <c r="AB318" s="41"/>
      <c r="AC318" s="41"/>
      <c r="AD318" s="41"/>
      <c r="AE318" s="41"/>
      <c r="AF318" s="41"/>
      <c r="AG318" s="41"/>
      <c r="AH318" s="41"/>
      <c r="AI318" s="41"/>
    </row>
    <row r="319" spans="1:35" ht="15.75" customHeight="1" x14ac:dyDescent="0.2">
      <c r="A319" s="41"/>
      <c r="B319" s="41"/>
      <c r="C319" s="41"/>
      <c r="D319" s="41"/>
      <c r="E319" s="41"/>
      <c r="F319" s="41"/>
      <c r="G319" s="41"/>
      <c r="H319" s="41"/>
      <c r="I319" s="41"/>
      <c r="J319" s="41"/>
      <c r="K319" s="41"/>
      <c r="L319" s="41"/>
      <c r="M319" s="41"/>
      <c r="N319" s="41"/>
      <c r="O319" s="41"/>
      <c r="P319" s="41"/>
      <c r="Q319" s="41"/>
      <c r="R319" s="41"/>
      <c r="S319" s="41"/>
      <c r="T319" s="41"/>
      <c r="U319" s="41"/>
      <c r="V319" s="41"/>
      <c r="W319" s="41"/>
      <c r="X319" s="41"/>
      <c r="Y319" s="41"/>
      <c r="Z319" s="41"/>
      <c r="AA319" s="41"/>
      <c r="AB319" s="41"/>
      <c r="AC319" s="41"/>
      <c r="AD319" s="41"/>
      <c r="AE319" s="41"/>
      <c r="AF319" s="41"/>
      <c r="AG319" s="41"/>
      <c r="AH319" s="41"/>
      <c r="AI319" s="41"/>
    </row>
    <row r="320" spans="1:35" ht="15.75" customHeight="1" x14ac:dyDescent="0.2">
      <c r="A320" s="41"/>
      <c r="B320" s="41"/>
      <c r="C320" s="41"/>
      <c r="D320" s="41"/>
      <c r="E320" s="41"/>
      <c r="F320" s="41"/>
      <c r="G320" s="41"/>
      <c r="H320" s="41"/>
      <c r="I320" s="41"/>
      <c r="J320" s="41"/>
      <c r="K320" s="41"/>
      <c r="L320" s="41"/>
      <c r="M320" s="41"/>
      <c r="N320" s="41"/>
      <c r="O320" s="41"/>
      <c r="P320" s="41"/>
      <c r="Q320" s="41"/>
      <c r="R320" s="41"/>
      <c r="S320" s="41"/>
      <c r="T320" s="41"/>
      <c r="U320" s="41"/>
      <c r="V320" s="41"/>
      <c r="W320" s="41"/>
      <c r="X320" s="41"/>
      <c r="Y320" s="41"/>
      <c r="Z320" s="41"/>
      <c r="AA320" s="41"/>
      <c r="AB320" s="41"/>
      <c r="AC320" s="41"/>
      <c r="AD320" s="41"/>
      <c r="AE320" s="41"/>
      <c r="AF320" s="41"/>
      <c r="AG320" s="41"/>
      <c r="AH320" s="41"/>
      <c r="AI320" s="41"/>
    </row>
    <row r="321" spans="1:35" ht="15.75" customHeight="1" x14ac:dyDescent="0.2">
      <c r="A321" s="41"/>
      <c r="B321" s="41"/>
      <c r="C321" s="41"/>
      <c r="D321" s="41"/>
      <c r="E321" s="41"/>
      <c r="F321" s="41"/>
      <c r="G321" s="41"/>
      <c r="H321" s="41"/>
      <c r="I321" s="41"/>
      <c r="J321" s="41"/>
      <c r="K321" s="41"/>
      <c r="L321" s="41"/>
      <c r="M321" s="41"/>
      <c r="N321" s="41"/>
      <c r="O321" s="41"/>
      <c r="P321" s="41"/>
      <c r="Q321" s="41"/>
      <c r="R321" s="41"/>
      <c r="S321" s="41"/>
      <c r="T321" s="41"/>
      <c r="U321" s="41"/>
      <c r="V321" s="41"/>
      <c r="W321" s="41"/>
      <c r="X321" s="41"/>
      <c r="Y321" s="41"/>
      <c r="Z321" s="41"/>
      <c r="AA321" s="41"/>
      <c r="AB321" s="41"/>
      <c r="AC321" s="41"/>
      <c r="AD321" s="41"/>
      <c r="AE321" s="41"/>
      <c r="AF321" s="41"/>
      <c r="AG321" s="41"/>
      <c r="AH321" s="41"/>
      <c r="AI321" s="41"/>
    </row>
    <row r="322" spans="1:35" ht="15.75" customHeight="1" x14ac:dyDescent="0.2">
      <c r="A322" s="41"/>
      <c r="B322" s="41"/>
      <c r="C322" s="41"/>
      <c r="D322" s="41"/>
      <c r="E322" s="41"/>
      <c r="F322" s="41"/>
      <c r="G322" s="41"/>
      <c r="H322" s="41"/>
      <c r="I322" s="41"/>
      <c r="J322" s="41"/>
      <c r="K322" s="41"/>
      <c r="L322" s="41"/>
      <c r="M322" s="41"/>
      <c r="N322" s="41"/>
      <c r="O322" s="41"/>
      <c r="P322" s="41"/>
      <c r="Q322" s="41"/>
      <c r="R322" s="41"/>
      <c r="S322" s="41"/>
      <c r="T322" s="41"/>
      <c r="U322" s="41"/>
      <c r="V322" s="41"/>
      <c r="W322" s="41"/>
      <c r="X322" s="41"/>
      <c r="Y322" s="41"/>
      <c r="Z322" s="41"/>
      <c r="AA322" s="41"/>
      <c r="AB322" s="41"/>
      <c r="AC322" s="41"/>
      <c r="AD322" s="41"/>
      <c r="AE322" s="41"/>
      <c r="AF322" s="41"/>
      <c r="AG322" s="41"/>
      <c r="AH322" s="41"/>
      <c r="AI322" s="41"/>
    </row>
    <row r="323" spans="1:35" ht="15.75" customHeight="1" x14ac:dyDescent="0.2">
      <c r="A323" s="41"/>
      <c r="B323" s="41"/>
      <c r="C323" s="41"/>
      <c r="D323" s="41"/>
      <c r="E323" s="41"/>
      <c r="F323" s="41"/>
      <c r="G323" s="41"/>
      <c r="H323" s="41"/>
      <c r="I323" s="41"/>
      <c r="J323" s="41"/>
      <c r="K323" s="41"/>
      <c r="L323" s="41"/>
      <c r="M323" s="41"/>
      <c r="N323" s="41"/>
      <c r="O323" s="41"/>
      <c r="P323" s="41"/>
      <c r="Q323" s="41"/>
      <c r="R323" s="41"/>
      <c r="S323" s="41"/>
      <c r="T323" s="41"/>
      <c r="U323" s="41"/>
      <c r="V323" s="41"/>
      <c r="W323" s="41"/>
      <c r="X323" s="41"/>
      <c r="Y323" s="41"/>
      <c r="Z323" s="41"/>
      <c r="AA323" s="41"/>
      <c r="AB323" s="41"/>
      <c r="AC323" s="41"/>
      <c r="AD323" s="41"/>
      <c r="AE323" s="41"/>
      <c r="AF323" s="41"/>
      <c r="AG323" s="41"/>
      <c r="AH323" s="41"/>
      <c r="AI323" s="41"/>
    </row>
    <row r="324" spans="1:35" ht="15.75" customHeight="1" x14ac:dyDescent="0.2">
      <c r="A324" s="41"/>
      <c r="B324" s="41"/>
      <c r="C324" s="41"/>
      <c r="D324" s="41"/>
      <c r="E324" s="41"/>
      <c r="F324" s="41"/>
      <c r="G324" s="41"/>
      <c r="H324" s="41"/>
      <c r="I324" s="41"/>
      <c r="J324" s="41"/>
      <c r="K324" s="41"/>
      <c r="L324" s="41"/>
      <c r="M324" s="41"/>
      <c r="N324" s="41"/>
      <c r="O324" s="41"/>
      <c r="P324" s="41"/>
      <c r="Q324" s="41"/>
      <c r="R324" s="41"/>
      <c r="S324" s="41"/>
      <c r="T324" s="41"/>
      <c r="U324" s="41"/>
      <c r="V324" s="41"/>
      <c r="W324" s="41"/>
      <c r="X324" s="41"/>
      <c r="Y324" s="41"/>
      <c r="Z324" s="41"/>
      <c r="AA324" s="41"/>
      <c r="AB324" s="41"/>
      <c r="AC324" s="41"/>
      <c r="AD324" s="41"/>
      <c r="AE324" s="41"/>
      <c r="AF324" s="41"/>
      <c r="AG324" s="41"/>
      <c r="AH324" s="41"/>
      <c r="AI324" s="41"/>
    </row>
    <row r="325" spans="1:35" ht="15.75" customHeight="1" x14ac:dyDescent="0.2">
      <c r="A325" s="41"/>
      <c r="B325" s="41"/>
      <c r="C325" s="41"/>
      <c r="D325" s="41"/>
      <c r="E325" s="41"/>
      <c r="F325" s="41"/>
      <c r="G325" s="41"/>
      <c r="H325" s="41"/>
      <c r="I325" s="41"/>
      <c r="J325" s="41"/>
      <c r="K325" s="41"/>
      <c r="L325" s="41"/>
      <c r="M325" s="41"/>
      <c r="N325" s="41"/>
      <c r="O325" s="41"/>
      <c r="P325" s="41"/>
      <c r="Q325" s="41"/>
      <c r="R325" s="41"/>
      <c r="S325" s="41"/>
      <c r="T325" s="41"/>
      <c r="U325" s="41"/>
      <c r="V325" s="41"/>
      <c r="W325" s="41"/>
      <c r="X325" s="41"/>
      <c r="Y325" s="41"/>
      <c r="Z325" s="41"/>
      <c r="AA325" s="41"/>
      <c r="AB325" s="41"/>
      <c r="AC325" s="41"/>
      <c r="AD325" s="41"/>
      <c r="AE325" s="41"/>
      <c r="AF325" s="41"/>
      <c r="AG325" s="41"/>
      <c r="AH325" s="41"/>
      <c r="AI325" s="41"/>
    </row>
    <row r="326" spans="1:35" ht="15.75" customHeight="1" x14ac:dyDescent="0.2">
      <c r="A326" s="41"/>
      <c r="B326" s="41"/>
      <c r="C326" s="41"/>
      <c r="D326" s="41"/>
      <c r="E326" s="41"/>
      <c r="F326" s="41"/>
      <c r="G326" s="41"/>
      <c r="H326" s="41"/>
      <c r="I326" s="41"/>
      <c r="J326" s="41"/>
      <c r="K326" s="41"/>
      <c r="L326" s="41"/>
      <c r="M326" s="41"/>
      <c r="N326" s="41"/>
      <c r="O326" s="41"/>
      <c r="P326" s="41"/>
      <c r="Q326" s="41"/>
      <c r="R326" s="41"/>
      <c r="S326" s="41"/>
      <c r="T326" s="41"/>
      <c r="U326" s="41"/>
      <c r="V326" s="41"/>
      <c r="W326" s="41"/>
      <c r="X326" s="41"/>
      <c r="Y326" s="41"/>
      <c r="Z326" s="41"/>
      <c r="AA326" s="41"/>
      <c r="AB326" s="41"/>
      <c r="AC326" s="41"/>
      <c r="AD326" s="41"/>
      <c r="AE326" s="41"/>
      <c r="AF326" s="41"/>
      <c r="AG326" s="41"/>
      <c r="AH326" s="41"/>
      <c r="AI326" s="41"/>
    </row>
    <row r="327" spans="1:35" ht="15.75" customHeight="1" x14ac:dyDescent="0.2">
      <c r="A327" s="41"/>
      <c r="B327" s="41"/>
      <c r="C327" s="41"/>
      <c r="D327" s="41"/>
      <c r="E327" s="41"/>
      <c r="F327" s="41"/>
      <c r="G327" s="41"/>
      <c r="H327" s="41"/>
      <c r="I327" s="41"/>
      <c r="J327" s="41"/>
      <c r="K327" s="41"/>
      <c r="L327" s="41"/>
      <c r="M327" s="41"/>
      <c r="N327" s="41"/>
      <c r="O327" s="41"/>
      <c r="P327" s="41"/>
      <c r="Q327" s="41"/>
      <c r="R327" s="41"/>
      <c r="S327" s="41"/>
      <c r="T327" s="41"/>
      <c r="U327" s="41"/>
      <c r="V327" s="41"/>
      <c r="W327" s="41"/>
      <c r="X327" s="41"/>
      <c r="Y327" s="41"/>
      <c r="Z327" s="41"/>
      <c r="AA327" s="41"/>
      <c r="AB327" s="41"/>
      <c r="AC327" s="41"/>
      <c r="AD327" s="41"/>
      <c r="AE327" s="41"/>
      <c r="AF327" s="41"/>
      <c r="AG327" s="41"/>
      <c r="AH327" s="41"/>
      <c r="AI327" s="41"/>
    </row>
    <row r="328" spans="1:35" ht="15.75" customHeight="1" x14ac:dyDescent="0.2">
      <c r="A328" s="41"/>
      <c r="B328" s="41"/>
      <c r="C328" s="41"/>
      <c r="D328" s="41"/>
      <c r="E328" s="41"/>
      <c r="F328" s="41"/>
      <c r="G328" s="41"/>
      <c r="H328" s="41"/>
      <c r="I328" s="41"/>
      <c r="J328" s="41"/>
      <c r="K328" s="41"/>
      <c r="L328" s="41"/>
      <c r="M328" s="41"/>
      <c r="N328" s="41"/>
      <c r="O328" s="41"/>
      <c r="P328" s="41"/>
      <c r="Q328" s="41"/>
      <c r="R328" s="41"/>
      <c r="S328" s="41"/>
      <c r="T328" s="41"/>
      <c r="U328" s="41"/>
      <c r="V328" s="41"/>
      <c r="W328" s="41"/>
      <c r="X328" s="41"/>
      <c r="Y328" s="41"/>
      <c r="Z328" s="41"/>
      <c r="AA328" s="41"/>
      <c r="AB328" s="41"/>
      <c r="AC328" s="41"/>
      <c r="AD328" s="41"/>
      <c r="AE328" s="41"/>
      <c r="AF328" s="41"/>
      <c r="AG328" s="41"/>
      <c r="AH328" s="41"/>
      <c r="AI328" s="41"/>
    </row>
    <row r="329" spans="1:35" ht="15.75" customHeight="1" x14ac:dyDescent="0.2">
      <c r="A329" s="41"/>
      <c r="B329" s="41"/>
      <c r="C329" s="41"/>
      <c r="D329" s="41"/>
      <c r="E329" s="41"/>
      <c r="F329" s="41"/>
      <c r="G329" s="41"/>
      <c r="H329" s="41"/>
      <c r="I329" s="41"/>
      <c r="J329" s="41"/>
      <c r="K329" s="41"/>
      <c r="L329" s="41"/>
      <c r="M329" s="41"/>
      <c r="N329" s="41"/>
      <c r="O329" s="41"/>
      <c r="P329" s="41"/>
      <c r="Q329" s="41"/>
      <c r="R329" s="41"/>
      <c r="S329" s="41"/>
      <c r="T329" s="41"/>
      <c r="U329" s="41"/>
      <c r="V329" s="41"/>
      <c r="W329" s="41"/>
      <c r="X329" s="41"/>
      <c r="Y329" s="41"/>
      <c r="Z329" s="41"/>
      <c r="AA329" s="41"/>
      <c r="AB329" s="41"/>
      <c r="AC329" s="41"/>
      <c r="AD329" s="41"/>
      <c r="AE329" s="41"/>
      <c r="AF329" s="41"/>
      <c r="AG329" s="41"/>
      <c r="AH329" s="41"/>
      <c r="AI329" s="41"/>
    </row>
    <row r="330" spans="1:35" ht="15.75" customHeight="1" x14ac:dyDescent="0.2">
      <c r="A330" s="41"/>
      <c r="B330" s="41"/>
      <c r="C330" s="41"/>
      <c r="D330" s="41"/>
      <c r="E330" s="41"/>
      <c r="F330" s="41"/>
      <c r="G330" s="41"/>
      <c r="H330" s="41"/>
      <c r="I330" s="41"/>
      <c r="J330" s="41"/>
      <c r="K330" s="41"/>
      <c r="L330" s="41"/>
      <c r="M330" s="41"/>
      <c r="N330" s="41"/>
      <c r="O330" s="41"/>
      <c r="P330" s="41"/>
      <c r="Q330" s="41"/>
      <c r="R330" s="41"/>
      <c r="S330" s="41"/>
      <c r="T330" s="41"/>
      <c r="U330" s="41"/>
      <c r="V330" s="41"/>
      <c r="W330" s="41"/>
      <c r="X330" s="41"/>
      <c r="Y330" s="41"/>
      <c r="Z330" s="41"/>
      <c r="AA330" s="41"/>
      <c r="AB330" s="41"/>
      <c r="AC330" s="41"/>
      <c r="AD330" s="41"/>
      <c r="AE330" s="41"/>
      <c r="AF330" s="41"/>
      <c r="AG330" s="41"/>
      <c r="AH330" s="41"/>
      <c r="AI330" s="41"/>
    </row>
    <row r="331" spans="1:35" ht="15.75" customHeight="1" x14ac:dyDescent="0.2">
      <c r="A331" s="41"/>
      <c r="B331" s="41"/>
      <c r="C331" s="41"/>
      <c r="D331" s="41"/>
      <c r="E331" s="41"/>
      <c r="F331" s="41"/>
      <c r="G331" s="41"/>
      <c r="H331" s="41"/>
      <c r="I331" s="41"/>
      <c r="J331" s="41"/>
      <c r="K331" s="41"/>
      <c r="L331" s="41"/>
      <c r="M331" s="41"/>
      <c r="N331" s="41"/>
      <c r="O331" s="41"/>
      <c r="P331" s="41"/>
      <c r="Q331" s="41"/>
      <c r="R331" s="41"/>
      <c r="S331" s="41"/>
      <c r="T331" s="41"/>
      <c r="U331" s="41"/>
      <c r="V331" s="41"/>
      <c r="W331" s="41"/>
      <c r="X331" s="41"/>
      <c r="Y331" s="41"/>
      <c r="Z331" s="41"/>
      <c r="AA331" s="41"/>
      <c r="AB331" s="41"/>
      <c r="AC331" s="41"/>
      <c r="AD331" s="41"/>
      <c r="AE331" s="41"/>
      <c r="AF331" s="41"/>
      <c r="AG331" s="41"/>
      <c r="AH331" s="41"/>
      <c r="AI331" s="41"/>
    </row>
    <row r="332" spans="1:35" ht="15.75" customHeight="1" x14ac:dyDescent="0.2">
      <c r="A332" s="41"/>
      <c r="B332" s="41"/>
      <c r="C332" s="41"/>
      <c r="D332" s="41"/>
      <c r="E332" s="41"/>
      <c r="F332" s="41"/>
      <c r="G332" s="41"/>
      <c r="H332" s="41"/>
      <c r="I332" s="41"/>
      <c r="J332" s="41"/>
      <c r="K332" s="41"/>
      <c r="L332" s="41"/>
      <c r="M332" s="41"/>
      <c r="N332" s="41"/>
      <c r="O332" s="41"/>
      <c r="P332" s="41"/>
      <c r="Q332" s="41"/>
      <c r="R332" s="41"/>
      <c r="S332" s="41"/>
      <c r="T332" s="41"/>
      <c r="U332" s="41"/>
      <c r="V332" s="41"/>
      <c r="W332" s="41"/>
      <c r="X332" s="41"/>
      <c r="Y332" s="41"/>
      <c r="Z332" s="41"/>
      <c r="AA332" s="41"/>
      <c r="AB332" s="41"/>
      <c r="AC332" s="41"/>
      <c r="AD332" s="41"/>
      <c r="AE332" s="41"/>
      <c r="AF332" s="41"/>
      <c r="AG332" s="41"/>
      <c r="AH332" s="41"/>
      <c r="AI332" s="41"/>
    </row>
    <row r="333" spans="1:35" ht="15.75" customHeight="1" x14ac:dyDescent="0.2">
      <c r="A333" s="41"/>
      <c r="B333" s="41"/>
      <c r="C333" s="41"/>
      <c r="D333" s="41"/>
      <c r="E333" s="41"/>
      <c r="F333" s="41"/>
      <c r="G333" s="41"/>
      <c r="H333" s="41"/>
      <c r="I333" s="41"/>
      <c r="J333" s="41"/>
      <c r="K333" s="41"/>
      <c r="L333" s="41"/>
      <c r="M333" s="41"/>
      <c r="N333" s="41"/>
      <c r="O333" s="41"/>
      <c r="P333" s="41"/>
      <c r="Q333" s="41"/>
      <c r="R333" s="41"/>
      <c r="S333" s="41"/>
      <c r="T333" s="41"/>
      <c r="U333" s="41"/>
      <c r="V333" s="41"/>
      <c r="W333" s="41"/>
      <c r="X333" s="41"/>
      <c r="Y333" s="41"/>
      <c r="Z333" s="41"/>
      <c r="AA333" s="41"/>
      <c r="AB333" s="41"/>
      <c r="AC333" s="41"/>
      <c r="AD333" s="41"/>
      <c r="AE333" s="41"/>
      <c r="AF333" s="41"/>
      <c r="AG333" s="41"/>
      <c r="AH333" s="41"/>
      <c r="AI333" s="41"/>
    </row>
    <row r="334" spans="1:35" ht="15.75" customHeight="1" x14ac:dyDescent="0.2">
      <c r="A334" s="41"/>
      <c r="B334" s="41"/>
      <c r="C334" s="41"/>
      <c r="D334" s="41"/>
      <c r="E334" s="41"/>
      <c r="F334" s="41"/>
      <c r="G334" s="41"/>
      <c r="H334" s="41"/>
      <c r="I334" s="41"/>
      <c r="J334" s="41"/>
      <c r="K334" s="41"/>
      <c r="L334" s="41"/>
      <c r="M334" s="41"/>
      <c r="N334" s="41"/>
      <c r="O334" s="41"/>
      <c r="P334" s="41"/>
      <c r="Q334" s="41"/>
      <c r="R334" s="41"/>
      <c r="S334" s="41"/>
      <c r="T334" s="41"/>
      <c r="U334" s="41"/>
      <c r="V334" s="41"/>
      <c r="W334" s="41"/>
      <c r="X334" s="41"/>
      <c r="Y334" s="41"/>
      <c r="Z334" s="41"/>
      <c r="AA334" s="41"/>
      <c r="AB334" s="41"/>
      <c r="AC334" s="41"/>
      <c r="AD334" s="41"/>
      <c r="AE334" s="41"/>
      <c r="AF334" s="41"/>
      <c r="AG334" s="41"/>
      <c r="AH334" s="41"/>
      <c r="AI334" s="41"/>
    </row>
    <row r="335" spans="1:35" ht="15.75" customHeight="1" x14ac:dyDescent="0.2">
      <c r="A335" s="41"/>
      <c r="B335" s="41"/>
      <c r="C335" s="41"/>
      <c r="D335" s="41"/>
      <c r="E335" s="41"/>
      <c r="F335" s="41"/>
      <c r="G335" s="41"/>
      <c r="H335" s="41"/>
      <c r="I335" s="41"/>
      <c r="J335" s="41"/>
      <c r="K335" s="41"/>
      <c r="L335" s="41"/>
      <c r="M335" s="41"/>
      <c r="N335" s="41"/>
      <c r="O335" s="41"/>
      <c r="P335" s="41"/>
      <c r="Q335" s="41"/>
      <c r="R335" s="41"/>
      <c r="S335" s="41"/>
      <c r="T335" s="41"/>
      <c r="U335" s="41"/>
      <c r="V335" s="41"/>
      <c r="W335" s="41"/>
      <c r="X335" s="41"/>
      <c r="Y335" s="41"/>
      <c r="Z335" s="41"/>
      <c r="AA335" s="41"/>
      <c r="AB335" s="41"/>
      <c r="AC335" s="41"/>
      <c r="AD335" s="41"/>
      <c r="AE335" s="41"/>
      <c r="AF335" s="41"/>
      <c r="AG335" s="41"/>
      <c r="AH335" s="41"/>
      <c r="AI335" s="41"/>
    </row>
    <row r="336" spans="1:35" ht="15.75" customHeight="1" x14ac:dyDescent="0.2">
      <c r="A336" s="41"/>
      <c r="B336" s="41"/>
      <c r="C336" s="41"/>
      <c r="D336" s="41"/>
      <c r="E336" s="41"/>
      <c r="F336" s="41"/>
      <c r="G336" s="41"/>
      <c r="H336" s="41"/>
      <c r="I336" s="41"/>
      <c r="J336" s="41"/>
      <c r="K336" s="41"/>
      <c r="L336" s="41"/>
      <c r="M336" s="41"/>
      <c r="N336" s="41"/>
      <c r="O336" s="41"/>
      <c r="P336" s="41"/>
      <c r="Q336" s="41"/>
      <c r="R336" s="41"/>
      <c r="S336" s="41"/>
      <c r="T336" s="41"/>
      <c r="U336" s="41"/>
      <c r="V336" s="41"/>
      <c r="W336" s="41"/>
      <c r="X336" s="41"/>
      <c r="Y336" s="41"/>
      <c r="Z336" s="41"/>
      <c r="AA336" s="41"/>
      <c r="AB336" s="41"/>
      <c r="AC336" s="41"/>
      <c r="AD336" s="41"/>
      <c r="AE336" s="41"/>
      <c r="AF336" s="41"/>
      <c r="AG336" s="41"/>
      <c r="AH336" s="41"/>
      <c r="AI336" s="41"/>
    </row>
    <row r="337" spans="1:35" ht="15.75" customHeight="1" x14ac:dyDescent="0.2">
      <c r="A337" s="41"/>
      <c r="B337" s="41"/>
      <c r="C337" s="41"/>
      <c r="D337" s="41"/>
      <c r="E337" s="41"/>
      <c r="F337" s="41"/>
      <c r="G337" s="41"/>
      <c r="H337" s="41"/>
      <c r="I337" s="41"/>
      <c r="J337" s="41"/>
      <c r="K337" s="41"/>
      <c r="L337" s="41"/>
      <c r="M337" s="41"/>
      <c r="N337" s="41"/>
      <c r="O337" s="41"/>
      <c r="P337" s="41"/>
      <c r="Q337" s="41"/>
      <c r="R337" s="41"/>
      <c r="S337" s="41"/>
      <c r="T337" s="41"/>
      <c r="U337" s="41"/>
      <c r="V337" s="41"/>
      <c r="W337" s="41"/>
      <c r="X337" s="41"/>
      <c r="Y337" s="41"/>
      <c r="Z337" s="41"/>
      <c r="AA337" s="41"/>
      <c r="AB337" s="41"/>
      <c r="AC337" s="41"/>
      <c r="AD337" s="41"/>
      <c r="AE337" s="41"/>
      <c r="AF337" s="41"/>
      <c r="AG337" s="41"/>
      <c r="AH337" s="41"/>
      <c r="AI337" s="41"/>
    </row>
    <row r="338" spans="1:35" ht="15.75" customHeight="1" x14ac:dyDescent="0.2">
      <c r="A338" s="41"/>
      <c r="B338" s="41"/>
      <c r="C338" s="41"/>
      <c r="D338" s="41"/>
      <c r="E338" s="41"/>
      <c r="F338" s="41"/>
      <c r="G338" s="41"/>
      <c r="H338" s="41"/>
      <c r="I338" s="41"/>
      <c r="J338" s="41"/>
      <c r="K338" s="41"/>
      <c r="L338" s="41"/>
      <c r="M338" s="41"/>
      <c r="N338" s="41"/>
      <c r="O338" s="41"/>
      <c r="P338" s="41"/>
      <c r="Q338" s="41"/>
      <c r="R338" s="41"/>
      <c r="S338" s="41"/>
      <c r="T338" s="41"/>
      <c r="U338" s="41"/>
      <c r="V338" s="41"/>
      <c r="W338" s="41"/>
      <c r="X338" s="41"/>
      <c r="Y338" s="41"/>
      <c r="Z338" s="41"/>
      <c r="AA338" s="41"/>
      <c r="AB338" s="41"/>
      <c r="AC338" s="41"/>
      <c r="AD338" s="41"/>
      <c r="AE338" s="41"/>
      <c r="AF338" s="41"/>
      <c r="AG338" s="41"/>
      <c r="AH338" s="41"/>
      <c r="AI338" s="41"/>
    </row>
    <row r="339" spans="1:35" ht="15.75" customHeight="1" x14ac:dyDescent="0.2">
      <c r="A339" s="41"/>
      <c r="B339" s="41"/>
      <c r="C339" s="41"/>
      <c r="D339" s="41"/>
      <c r="E339" s="41"/>
      <c r="F339" s="41"/>
      <c r="G339" s="41"/>
      <c r="H339" s="41"/>
      <c r="I339" s="41"/>
      <c r="J339" s="41"/>
      <c r="K339" s="41"/>
      <c r="L339" s="41"/>
      <c r="M339" s="41"/>
      <c r="N339" s="41"/>
      <c r="O339" s="41"/>
      <c r="P339" s="41"/>
      <c r="Q339" s="41"/>
      <c r="R339" s="41"/>
      <c r="S339" s="41"/>
      <c r="T339" s="41"/>
      <c r="U339" s="41"/>
      <c r="V339" s="41"/>
      <c r="W339" s="41"/>
      <c r="X339" s="41"/>
      <c r="Y339" s="41"/>
      <c r="Z339" s="41"/>
      <c r="AA339" s="41"/>
      <c r="AB339" s="41"/>
      <c r="AC339" s="41"/>
      <c r="AD339" s="41"/>
      <c r="AE339" s="41"/>
      <c r="AF339" s="41"/>
      <c r="AG339" s="41"/>
      <c r="AH339" s="41"/>
      <c r="AI339" s="41"/>
    </row>
    <row r="340" spans="1:35" ht="15.75" customHeight="1" x14ac:dyDescent="0.2">
      <c r="A340" s="41"/>
      <c r="B340" s="41"/>
      <c r="C340" s="41"/>
      <c r="D340" s="41"/>
      <c r="E340" s="41"/>
      <c r="F340" s="41"/>
      <c r="G340" s="41"/>
      <c r="H340" s="41"/>
      <c r="I340" s="41"/>
      <c r="J340" s="41"/>
      <c r="K340" s="41"/>
      <c r="L340" s="41"/>
      <c r="M340" s="41"/>
      <c r="N340" s="41"/>
      <c r="O340" s="41"/>
      <c r="P340" s="41"/>
      <c r="Q340" s="41"/>
      <c r="R340" s="41"/>
      <c r="S340" s="41"/>
      <c r="T340" s="41"/>
      <c r="U340" s="41"/>
      <c r="V340" s="41"/>
      <c r="W340" s="41"/>
      <c r="X340" s="41"/>
      <c r="Y340" s="41"/>
      <c r="Z340" s="41"/>
      <c r="AA340" s="41"/>
      <c r="AB340" s="41"/>
      <c r="AC340" s="41"/>
      <c r="AD340" s="41"/>
      <c r="AE340" s="41"/>
      <c r="AF340" s="41"/>
      <c r="AG340" s="41"/>
      <c r="AH340" s="41"/>
      <c r="AI340" s="41"/>
    </row>
    <row r="341" spans="1:35" ht="15.75" customHeight="1" x14ac:dyDescent="0.2">
      <c r="A341" s="41"/>
      <c r="B341" s="41"/>
      <c r="C341" s="41"/>
      <c r="D341" s="41"/>
      <c r="E341" s="41"/>
      <c r="F341" s="41"/>
      <c r="G341" s="41"/>
      <c r="H341" s="41"/>
      <c r="I341" s="41"/>
      <c r="J341" s="41"/>
      <c r="K341" s="41"/>
      <c r="L341" s="41"/>
      <c r="M341" s="41"/>
      <c r="N341" s="41"/>
      <c r="O341" s="41"/>
      <c r="P341" s="41"/>
      <c r="Q341" s="41"/>
      <c r="R341" s="41"/>
      <c r="S341" s="41"/>
      <c r="T341" s="41"/>
      <c r="U341" s="41"/>
      <c r="V341" s="41"/>
      <c r="W341" s="41"/>
      <c r="X341" s="41"/>
      <c r="Y341" s="41"/>
      <c r="Z341" s="41"/>
      <c r="AA341" s="41"/>
      <c r="AB341" s="41"/>
      <c r="AC341" s="41"/>
      <c r="AD341" s="41"/>
      <c r="AE341" s="41"/>
      <c r="AF341" s="41"/>
      <c r="AG341" s="41"/>
      <c r="AH341" s="41"/>
      <c r="AI341" s="41"/>
    </row>
    <row r="342" spans="1:35" ht="15.75" customHeight="1" x14ac:dyDescent="0.2">
      <c r="A342" s="41"/>
      <c r="B342" s="41"/>
      <c r="C342" s="41"/>
      <c r="D342" s="41"/>
      <c r="E342" s="41"/>
      <c r="F342" s="41"/>
      <c r="G342" s="41"/>
      <c r="H342" s="41"/>
      <c r="I342" s="41"/>
      <c r="J342" s="41"/>
      <c r="K342" s="41"/>
      <c r="L342" s="41"/>
      <c r="M342" s="41"/>
      <c r="N342" s="41"/>
      <c r="O342" s="41"/>
      <c r="P342" s="41"/>
      <c r="Q342" s="41"/>
      <c r="R342" s="41"/>
      <c r="S342" s="41"/>
      <c r="T342" s="41"/>
      <c r="U342" s="41"/>
      <c r="V342" s="41"/>
      <c r="W342" s="41"/>
      <c r="X342" s="41"/>
      <c r="Y342" s="41"/>
      <c r="Z342" s="41"/>
      <c r="AA342" s="41"/>
      <c r="AB342" s="41"/>
      <c r="AC342" s="41"/>
      <c r="AD342" s="41"/>
      <c r="AE342" s="41"/>
      <c r="AF342" s="41"/>
      <c r="AG342" s="41"/>
      <c r="AH342" s="41"/>
      <c r="AI342" s="41"/>
    </row>
    <row r="343" spans="1:35" ht="15.75" customHeight="1" x14ac:dyDescent="0.2">
      <c r="A343" s="41"/>
      <c r="B343" s="41"/>
      <c r="C343" s="41"/>
      <c r="D343" s="41"/>
      <c r="E343" s="41"/>
      <c r="F343" s="41"/>
      <c r="G343" s="41"/>
      <c r="H343" s="41"/>
      <c r="I343" s="41"/>
      <c r="J343" s="41"/>
      <c r="K343" s="41"/>
      <c r="L343" s="41"/>
      <c r="M343" s="41"/>
      <c r="N343" s="41"/>
      <c r="O343" s="41"/>
      <c r="P343" s="41"/>
      <c r="Q343" s="41"/>
      <c r="R343" s="41"/>
      <c r="S343" s="41"/>
      <c r="T343" s="41"/>
      <c r="U343" s="41"/>
      <c r="V343" s="41"/>
      <c r="W343" s="41"/>
      <c r="X343" s="41"/>
      <c r="Y343" s="41"/>
      <c r="Z343" s="41"/>
      <c r="AA343" s="41"/>
      <c r="AB343" s="41"/>
      <c r="AC343" s="41"/>
      <c r="AD343" s="41"/>
      <c r="AE343" s="41"/>
      <c r="AF343" s="41"/>
      <c r="AG343" s="41"/>
      <c r="AH343" s="41"/>
      <c r="AI343" s="41"/>
    </row>
    <row r="344" spans="1:35" ht="15.75" customHeight="1" x14ac:dyDescent="0.2">
      <c r="A344" s="41"/>
      <c r="B344" s="41"/>
      <c r="C344" s="41"/>
      <c r="D344" s="41"/>
      <c r="E344" s="41"/>
      <c r="F344" s="41"/>
      <c r="G344" s="41"/>
      <c r="H344" s="41"/>
      <c r="I344" s="41"/>
      <c r="J344" s="41"/>
      <c r="K344" s="41"/>
      <c r="L344" s="41"/>
      <c r="M344" s="41"/>
      <c r="N344" s="41"/>
      <c r="O344" s="41"/>
      <c r="P344" s="41"/>
      <c r="Q344" s="41"/>
      <c r="R344" s="41"/>
      <c r="S344" s="41"/>
      <c r="T344" s="41"/>
      <c r="U344" s="41"/>
      <c r="V344" s="41"/>
      <c r="W344" s="41"/>
      <c r="X344" s="41"/>
      <c r="Y344" s="41"/>
      <c r="Z344" s="41"/>
      <c r="AA344" s="41"/>
      <c r="AB344" s="41"/>
      <c r="AC344" s="41"/>
      <c r="AD344" s="41"/>
      <c r="AE344" s="41"/>
      <c r="AF344" s="41"/>
      <c r="AG344" s="41"/>
      <c r="AH344" s="41"/>
      <c r="AI344" s="41"/>
    </row>
    <row r="345" spans="1:35" ht="15.75" customHeight="1" x14ac:dyDescent="0.2">
      <c r="A345" s="41"/>
      <c r="B345" s="41"/>
      <c r="C345" s="41"/>
      <c r="D345" s="41"/>
      <c r="E345" s="41"/>
      <c r="F345" s="41"/>
      <c r="G345" s="41"/>
      <c r="H345" s="41"/>
      <c r="I345" s="41"/>
      <c r="J345" s="41"/>
      <c r="K345" s="41"/>
      <c r="L345" s="41"/>
      <c r="M345" s="41"/>
      <c r="N345" s="41"/>
      <c r="O345" s="41"/>
      <c r="P345" s="41"/>
      <c r="Q345" s="41"/>
      <c r="R345" s="41"/>
      <c r="S345" s="41"/>
      <c r="T345" s="41"/>
      <c r="U345" s="41"/>
      <c r="V345" s="41"/>
      <c r="W345" s="41"/>
      <c r="X345" s="41"/>
      <c r="Y345" s="41"/>
      <c r="Z345" s="41"/>
      <c r="AA345" s="41"/>
      <c r="AB345" s="41"/>
      <c r="AC345" s="41"/>
      <c r="AD345" s="41"/>
      <c r="AE345" s="41"/>
      <c r="AF345" s="41"/>
      <c r="AG345" s="41"/>
      <c r="AH345" s="41"/>
      <c r="AI345" s="41"/>
    </row>
    <row r="346" spans="1:35" ht="15.75" customHeight="1" x14ac:dyDescent="0.2">
      <c r="A346" s="41"/>
      <c r="B346" s="41"/>
      <c r="C346" s="41"/>
      <c r="D346" s="41"/>
      <c r="E346" s="41"/>
      <c r="F346" s="41"/>
      <c r="G346" s="41"/>
      <c r="H346" s="41"/>
      <c r="I346" s="41"/>
      <c r="J346" s="41"/>
      <c r="K346" s="41"/>
      <c r="L346" s="41"/>
      <c r="M346" s="41"/>
      <c r="N346" s="41"/>
      <c r="O346" s="41"/>
      <c r="P346" s="41"/>
      <c r="Q346" s="41"/>
      <c r="R346" s="41"/>
      <c r="S346" s="41"/>
      <c r="T346" s="41"/>
      <c r="U346" s="41"/>
      <c r="V346" s="41"/>
      <c r="W346" s="41"/>
      <c r="X346" s="41"/>
      <c r="Y346" s="41"/>
      <c r="Z346" s="41"/>
      <c r="AA346" s="41"/>
      <c r="AB346" s="41"/>
      <c r="AC346" s="41"/>
      <c r="AD346" s="41"/>
      <c r="AE346" s="41"/>
      <c r="AF346" s="41"/>
      <c r="AG346" s="41"/>
      <c r="AH346" s="41"/>
      <c r="AI346" s="41"/>
    </row>
    <row r="347" spans="1:35" ht="15.75" customHeight="1" x14ac:dyDescent="0.2">
      <c r="A347" s="41"/>
      <c r="B347" s="41"/>
      <c r="C347" s="41"/>
      <c r="D347" s="41"/>
      <c r="E347" s="41"/>
      <c r="F347" s="41"/>
      <c r="G347" s="41"/>
      <c r="H347" s="41"/>
      <c r="I347" s="41"/>
      <c r="J347" s="41"/>
      <c r="K347" s="41"/>
      <c r="L347" s="41"/>
      <c r="M347" s="41"/>
      <c r="N347" s="41"/>
      <c r="O347" s="41"/>
      <c r="P347" s="41"/>
      <c r="Q347" s="41"/>
      <c r="R347" s="41"/>
      <c r="S347" s="41"/>
      <c r="T347" s="41"/>
      <c r="U347" s="41"/>
      <c r="V347" s="41"/>
      <c r="W347" s="41"/>
      <c r="X347" s="41"/>
      <c r="Y347" s="41"/>
      <c r="Z347" s="41"/>
      <c r="AA347" s="41"/>
      <c r="AB347" s="41"/>
      <c r="AC347" s="41"/>
      <c r="AD347" s="41"/>
      <c r="AE347" s="41"/>
      <c r="AF347" s="41"/>
      <c r="AG347" s="41"/>
      <c r="AH347" s="41"/>
      <c r="AI347" s="41"/>
    </row>
    <row r="348" spans="1:35" ht="15.75" customHeight="1" x14ac:dyDescent="0.2">
      <c r="A348" s="41"/>
      <c r="B348" s="41"/>
      <c r="C348" s="41"/>
      <c r="D348" s="41"/>
      <c r="E348" s="41"/>
      <c r="F348" s="41"/>
      <c r="G348" s="41"/>
      <c r="H348" s="41"/>
      <c r="I348" s="41"/>
      <c r="J348" s="41"/>
      <c r="K348" s="41"/>
      <c r="L348" s="41"/>
      <c r="M348" s="41"/>
      <c r="N348" s="41"/>
      <c r="O348" s="41"/>
      <c r="P348" s="41"/>
      <c r="Q348" s="41"/>
      <c r="R348" s="41"/>
      <c r="S348" s="41"/>
      <c r="T348" s="41"/>
      <c r="U348" s="41"/>
      <c r="V348" s="41"/>
      <c r="W348" s="41"/>
      <c r="X348" s="41"/>
      <c r="Y348" s="41"/>
      <c r="Z348" s="41"/>
      <c r="AA348" s="41"/>
      <c r="AB348" s="41"/>
      <c r="AC348" s="41"/>
      <c r="AD348" s="41"/>
      <c r="AE348" s="41"/>
      <c r="AF348" s="41"/>
      <c r="AG348" s="41"/>
      <c r="AH348" s="41"/>
      <c r="AI348" s="41"/>
    </row>
    <row r="349" spans="1:35" ht="15.75" customHeight="1" x14ac:dyDescent="0.2">
      <c r="A349" s="41"/>
      <c r="B349" s="41"/>
      <c r="C349" s="41"/>
      <c r="D349" s="41"/>
      <c r="E349" s="41"/>
      <c r="F349" s="41"/>
      <c r="G349" s="41"/>
      <c r="H349" s="41"/>
      <c r="I349" s="41"/>
      <c r="J349" s="41"/>
      <c r="K349" s="41"/>
      <c r="L349" s="41"/>
      <c r="M349" s="41"/>
      <c r="N349" s="41"/>
      <c r="O349" s="41"/>
      <c r="P349" s="41"/>
      <c r="Q349" s="41"/>
      <c r="R349" s="41"/>
      <c r="S349" s="41"/>
      <c r="T349" s="41"/>
      <c r="U349" s="41"/>
      <c r="V349" s="41"/>
      <c r="W349" s="41"/>
      <c r="X349" s="41"/>
      <c r="Y349" s="41"/>
      <c r="Z349" s="41"/>
      <c r="AA349" s="41"/>
      <c r="AB349" s="41"/>
      <c r="AC349" s="41"/>
      <c r="AD349" s="41"/>
      <c r="AE349" s="41"/>
      <c r="AF349" s="41"/>
      <c r="AG349" s="41"/>
      <c r="AH349" s="41"/>
      <c r="AI349" s="41"/>
    </row>
    <row r="350" spans="1:35" ht="15.75" customHeight="1" x14ac:dyDescent="0.2">
      <c r="A350" s="41"/>
      <c r="B350" s="41"/>
      <c r="C350" s="41"/>
      <c r="D350" s="41"/>
      <c r="E350" s="41"/>
      <c r="F350" s="41"/>
      <c r="G350" s="41"/>
      <c r="H350" s="41"/>
      <c r="I350" s="41"/>
      <c r="J350" s="41"/>
      <c r="K350" s="41"/>
      <c r="L350" s="41"/>
      <c r="M350" s="41"/>
      <c r="N350" s="41"/>
      <c r="O350" s="41"/>
      <c r="P350" s="41"/>
      <c r="Q350" s="41"/>
      <c r="R350" s="41"/>
      <c r="S350" s="41"/>
      <c r="T350" s="41"/>
      <c r="U350" s="41"/>
      <c r="V350" s="41"/>
      <c r="W350" s="41"/>
      <c r="X350" s="41"/>
      <c r="Y350" s="41"/>
      <c r="Z350" s="41"/>
      <c r="AA350" s="41"/>
      <c r="AB350" s="41"/>
      <c r="AC350" s="41"/>
      <c r="AD350" s="41"/>
      <c r="AE350" s="41"/>
      <c r="AF350" s="41"/>
      <c r="AG350" s="41"/>
      <c r="AH350" s="41"/>
      <c r="AI350" s="41"/>
    </row>
    <row r="351" spans="1:35" ht="15.75" customHeight="1" x14ac:dyDescent="0.2">
      <c r="A351" s="41"/>
      <c r="B351" s="41"/>
      <c r="C351" s="41"/>
      <c r="D351" s="41"/>
      <c r="E351" s="41"/>
      <c r="F351" s="41"/>
      <c r="G351" s="41"/>
      <c r="H351" s="41"/>
      <c r="I351" s="41"/>
      <c r="J351" s="41"/>
      <c r="K351" s="41"/>
      <c r="L351" s="41"/>
      <c r="M351" s="41"/>
      <c r="N351" s="41"/>
      <c r="O351" s="41"/>
      <c r="P351" s="41"/>
      <c r="Q351" s="41"/>
      <c r="R351" s="41"/>
      <c r="S351" s="41"/>
      <c r="T351" s="41"/>
      <c r="U351" s="41"/>
      <c r="V351" s="41"/>
      <c r="W351" s="41"/>
      <c r="X351" s="41"/>
      <c r="Y351" s="41"/>
      <c r="Z351" s="41"/>
      <c r="AA351" s="41"/>
      <c r="AB351" s="41"/>
      <c r="AC351" s="41"/>
      <c r="AD351" s="41"/>
      <c r="AE351" s="41"/>
      <c r="AF351" s="41"/>
      <c r="AG351" s="41"/>
      <c r="AH351" s="41"/>
      <c r="AI351" s="41"/>
    </row>
    <row r="352" spans="1:35" ht="15.75" customHeight="1" x14ac:dyDescent="0.2">
      <c r="A352" s="41"/>
      <c r="B352" s="41"/>
      <c r="C352" s="41"/>
      <c r="D352" s="41"/>
      <c r="E352" s="41"/>
      <c r="F352" s="41"/>
      <c r="G352" s="41"/>
      <c r="H352" s="41"/>
      <c r="I352" s="41"/>
      <c r="J352" s="41"/>
      <c r="K352" s="41"/>
      <c r="L352" s="41"/>
      <c r="M352" s="41"/>
      <c r="N352" s="41"/>
      <c r="O352" s="41"/>
      <c r="P352" s="41"/>
      <c r="Q352" s="41"/>
      <c r="R352" s="41"/>
      <c r="S352" s="41"/>
      <c r="T352" s="41"/>
      <c r="U352" s="41"/>
      <c r="V352" s="41"/>
      <c r="W352" s="41"/>
      <c r="X352" s="41"/>
      <c r="Y352" s="41"/>
      <c r="Z352" s="41"/>
      <c r="AA352" s="41"/>
      <c r="AB352" s="41"/>
      <c r="AC352" s="41"/>
      <c r="AD352" s="41"/>
      <c r="AE352" s="41"/>
      <c r="AF352" s="41"/>
      <c r="AG352" s="41"/>
      <c r="AH352" s="41"/>
      <c r="AI352" s="41"/>
    </row>
    <row r="353" spans="1:35" ht="15.75" customHeight="1" x14ac:dyDescent="0.2">
      <c r="A353" s="41"/>
      <c r="B353" s="41"/>
      <c r="C353" s="41"/>
      <c r="D353" s="41"/>
      <c r="E353" s="41"/>
      <c r="F353" s="41"/>
      <c r="G353" s="41"/>
      <c r="H353" s="41"/>
      <c r="I353" s="41"/>
      <c r="J353" s="41"/>
      <c r="K353" s="41"/>
      <c r="L353" s="41"/>
      <c r="M353" s="41"/>
      <c r="N353" s="41"/>
      <c r="O353" s="41"/>
      <c r="P353" s="41"/>
      <c r="Q353" s="41"/>
      <c r="R353" s="41"/>
      <c r="S353" s="41"/>
      <c r="T353" s="41"/>
      <c r="U353" s="41"/>
      <c r="V353" s="41"/>
      <c r="W353" s="41"/>
      <c r="X353" s="41"/>
      <c r="Y353" s="41"/>
      <c r="Z353" s="41"/>
      <c r="AA353" s="41"/>
      <c r="AB353" s="41"/>
      <c r="AC353" s="41"/>
      <c r="AD353" s="41"/>
      <c r="AE353" s="41"/>
      <c r="AF353" s="41"/>
      <c r="AG353" s="41"/>
      <c r="AH353" s="41"/>
      <c r="AI353" s="41"/>
    </row>
    <row r="354" spans="1:35" ht="15.75" customHeight="1" x14ac:dyDescent="0.2">
      <c r="A354" s="41"/>
      <c r="B354" s="41"/>
      <c r="C354" s="41"/>
      <c r="D354" s="41"/>
      <c r="E354" s="41"/>
      <c r="F354" s="41"/>
      <c r="G354" s="41"/>
      <c r="H354" s="41"/>
      <c r="I354" s="41"/>
      <c r="J354" s="41"/>
      <c r="K354" s="41"/>
      <c r="L354" s="41"/>
      <c r="M354" s="41"/>
      <c r="N354" s="41"/>
      <c r="O354" s="41"/>
      <c r="P354" s="41"/>
      <c r="Q354" s="41"/>
      <c r="R354" s="41"/>
      <c r="S354" s="41"/>
      <c r="T354" s="41"/>
      <c r="U354" s="41"/>
      <c r="V354" s="41"/>
      <c r="W354" s="41"/>
      <c r="X354" s="41"/>
      <c r="Y354" s="41"/>
      <c r="Z354" s="41"/>
      <c r="AA354" s="41"/>
      <c r="AB354" s="41"/>
      <c r="AC354" s="41"/>
      <c r="AD354" s="41"/>
      <c r="AE354" s="41"/>
      <c r="AF354" s="41"/>
      <c r="AG354" s="41"/>
      <c r="AH354" s="41"/>
      <c r="AI354" s="41"/>
    </row>
    <row r="355" spans="1:35" ht="15.75" customHeight="1" x14ac:dyDescent="0.2">
      <c r="A355" s="41"/>
      <c r="B355" s="41"/>
      <c r="C355" s="41"/>
      <c r="D355" s="41"/>
      <c r="E355" s="41"/>
      <c r="F355" s="41"/>
      <c r="G355" s="41"/>
      <c r="H355" s="41"/>
      <c r="I355" s="41"/>
      <c r="J355" s="41"/>
      <c r="K355" s="41"/>
      <c r="L355" s="41"/>
      <c r="M355" s="41"/>
      <c r="N355" s="41"/>
      <c r="O355" s="41"/>
      <c r="P355" s="41"/>
      <c r="Q355" s="41"/>
      <c r="R355" s="41"/>
      <c r="S355" s="41"/>
      <c r="T355" s="41"/>
      <c r="U355" s="41"/>
      <c r="V355" s="41"/>
      <c r="W355" s="41"/>
      <c r="X355" s="41"/>
      <c r="Y355" s="41"/>
      <c r="Z355" s="41"/>
      <c r="AA355" s="41"/>
      <c r="AB355" s="41"/>
      <c r="AC355" s="41"/>
      <c r="AD355" s="41"/>
      <c r="AE355" s="41"/>
      <c r="AF355" s="41"/>
      <c r="AG355" s="41"/>
      <c r="AH355" s="41"/>
      <c r="AI355" s="41"/>
    </row>
    <row r="356" spans="1:35" ht="15.75" customHeight="1" x14ac:dyDescent="0.2">
      <c r="A356" s="41"/>
      <c r="B356" s="41"/>
      <c r="C356" s="41"/>
      <c r="D356" s="41"/>
      <c r="E356" s="41"/>
      <c r="F356" s="41"/>
      <c r="G356" s="41"/>
      <c r="H356" s="41"/>
      <c r="I356" s="41"/>
      <c r="J356" s="41"/>
      <c r="K356" s="41"/>
      <c r="L356" s="41"/>
      <c r="M356" s="41"/>
      <c r="N356" s="41"/>
      <c r="O356" s="41"/>
      <c r="P356" s="41"/>
      <c r="Q356" s="41"/>
      <c r="R356" s="41"/>
      <c r="S356" s="41"/>
      <c r="T356" s="41"/>
      <c r="U356" s="41"/>
      <c r="V356" s="41"/>
      <c r="W356" s="41"/>
      <c r="X356" s="41"/>
      <c r="Y356" s="41"/>
      <c r="Z356" s="41"/>
      <c r="AA356" s="41"/>
      <c r="AB356" s="41"/>
      <c r="AC356" s="41"/>
      <c r="AD356" s="41"/>
      <c r="AE356" s="41"/>
      <c r="AF356" s="41"/>
      <c r="AG356" s="41"/>
      <c r="AH356" s="41"/>
      <c r="AI356" s="41"/>
    </row>
    <row r="357" spans="1:35" ht="15.75" customHeight="1" x14ac:dyDescent="0.2">
      <c r="A357" s="41"/>
      <c r="B357" s="41"/>
      <c r="C357" s="41"/>
      <c r="D357" s="41"/>
      <c r="E357" s="41"/>
      <c r="F357" s="41"/>
      <c r="G357" s="41"/>
      <c r="H357" s="41"/>
      <c r="I357" s="41"/>
      <c r="J357" s="41"/>
      <c r="K357" s="41"/>
      <c r="L357" s="41"/>
      <c r="M357" s="41"/>
      <c r="N357" s="41"/>
      <c r="O357" s="41"/>
      <c r="P357" s="41"/>
      <c r="Q357" s="41"/>
      <c r="R357" s="41"/>
      <c r="S357" s="41"/>
      <c r="T357" s="41"/>
      <c r="U357" s="41"/>
      <c r="V357" s="41"/>
      <c r="W357" s="41"/>
      <c r="X357" s="41"/>
      <c r="Y357" s="41"/>
      <c r="Z357" s="41"/>
      <c r="AA357" s="41"/>
      <c r="AB357" s="41"/>
      <c r="AC357" s="41"/>
      <c r="AD357" s="41"/>
      <c r="AE357" s="41"/>
      <c r="AF357" s="41"/>
      <c r="AG357" s="41"/>
      <c r="AH357" s="41"/>
      <c r="AI357" s="41"/>
    </row>
    <row r="358" spans="1:35" ht="15.75" customHeight="1" x14ac:dyDescent="0.2">
      <c r="A358" s="41"/>
      <c r="B358" s="41"/>
      <c r="C358" s="41"/>
      <c r="D358" s="41"/>
      <c r="E358" s="41"/>
      <c r="F358" s="41"/>
      <c r="G358" s="41"/>
      <c r="H358" s="41"/>
      <c r="I358" s="41"/>
      <c r="J358" s="41"/>
      <c r="K358" s="41"/>
      <c r="L358" s="41"/>
      <c r="M358" s="41"/>
      <c r="N358" s="41"/>
      <c r="O358" s="41"/>
      <c r="P358" s="41"/>
      <c r="Q358" s="41"/>
      <c r="R358" s="41"/>
      <c r="S358" s="41"/>
      <c r="T358" s="41"/>
      <c r="U358" s="41"/>
      <c r="V358" s="41"/>
      <c r="W358" s="41"/>
      <c r="X358" s="41"/>
      <c r="Y358" s="41"/>
      <c r="Z358" s="41"/>
      <c r="AA358" s="41"/>
      <c r="AB358" s="41"/>
      <c r="AC358" s="41"/>
      <c r="AD358" s="41"/>
      <c r="AE358" s="41"/>
      <c r="AF358" s="41"/>
      <c r="AG358" s="41"/>
      <c r="AH358" s="41"/>
      <c r="AI358" s="41"/>
    </row>
    <row r="359" spans="1:35" ht="15.75" customHeight="1" x14ac:dyDescent="0.2">
      <c r="A359" s="41"/>
      <c r="B359" s="41"/>
      <c r="C359" s="41"/>
      <c r="D359" s="41"/>
      <c r="E359" s="41"/>
      <c r="F359" s="41"/>
      <c r="G359" s="41"/>
      <c r="H359" s="41"/>
      <c r="I359" s="41"/>
      <c r="J359" s="41"/>
      <c r="K359" s="41"/>
      <c r="L359" s="41"/>
      <c r="M359" s="41"/>
      <c r="N359" s="41"/>
      <c r="O359" s="41"/>
      <c r="P359" s="41"/>
      <c r="Q359" s="41"/>
      <c r="R359" s="41"/>
      <c r="S359" s="41"/>
      <c r="T359" s="41"/>
      <c r="U359" s="41"/>
      <c r="V359" s="41"/>
      <c r="W359" s="41"/>
      <c r="X359" s="41"/>
      <c r="Y359" s="41"/>
      <c r="Z359" s="41"/>
      <c r="AA359" s="41"/>
      <c r="AB359" s="41"/>
      <c r="AC359" s="41"/>
      <c r="AD359" s="41"/>
      <c r="AE359" s="41"/>
      <c r="AF359" s="41"/>
      <c r="AG359" s="41"/>
      <c r="AH359" s="41"/>
      <c r="AI359" s="41"/>
    </row>
    <row r="360" spans="1:35" ht="15.75" customHeight="1" x14ac:dyDescent="0.2">
      <c r="A360" s="41"/>
      <c r="B360" s="41"/>
      <c r="C360" s="41"/>
      <c r="D360" s="41"/>
      <c r="E360" s="41"/>
      <c r="F360" s="41"/>
      <c r="G360" s="41"/>
      <c r="H360" s="41"/>
      <c r="I360" s="41"/>
      <c r="J360" s="41"/>
      <c r="K360" s="41"/>
      <c r="L360" s="41"/>
      <c r="M360" s="41"/>
      <c r="N360" s="41"/>
      <c r="O360" s="41"/>
      <c r="P360" s="41"/>
      <c r="Q360" s="41"/>
      <c r="R360" s="41"/>
      <c r="S360" s="41"/>
      <c r="T360" s="41"/>
      <c r="U360" s="41"/>
      <c r="V360" s="41"/>
      <c r="W360" s="41"/>
      <c r="X360" s="41"/>
      <c r="Y360" s="41"/>
      <c r="Z360" s="41"/>
      <c r="AA360" s="41"/>
      <c r="AB360" s="41"/>
      <c r="AC360" s="41"/>
      <c r="AD360" s="41"/>
      <c r="AE360" s="41"/>
      <c r="AF360" s="41"/>
      <c r="AG360" s="41"/>
      <c r="AH360" s="41"/>
      <c r="AI360" s="41"/>
    </row>
    <row r="361" spans="1:35" ht="15.75" customHeight="1" x14ac:dyDescent="0.2">
      <c r="A361" s="41"/>
      <c r="B361" s="41"/>
      <c r="C361" s="41"/>
      <c r="D361" s="41"/>
      <c r="E361" s="41"/>
      <c r="F361" s="41"/>
      <c r="G361" s="41"/>
      <c r="H361" s="41"/>
      <c r="I361" s="41"/>
      <c r="J361" s="41"/>
      <c r="K361" s="41"/>
      <c r="L361" s="41"/>
      <c r="M361" s="41"/>
      <c r="N361" s="41"/>
      <c r="O361" s="41"/>
      <c r="P361" s="41"/>
      <c r="Q361" s="41"/>
      <c r="R361" s="41"/>
      <c r="S361" s="41"/>
      <c r="T361" s="41"/>
      <c r="U361" s="41"/>
      <c r="V361" s="41"/>
      <c r="W361" s="41"/>
      <c r="X361" s="41"/>
      <c r="Y361" s="41"/>
      <c r="Z361" s="41"/>
      <c r="AA361" s="41"/>
      <c r="AB361" s="41"/>
      <c r="AC361" s="41"/>
      <c r="AD361" s="41"/>
      <c r="AE361" s="41"/>
      <c r="AF361" s="41"/>
      <c r="AG361" s="41"/>
      <c r="AH361" s="41"/>
      <c r="AI361" s="41"/>
    </row>
    <row r="362" spans="1:35" ht="15.75" customHeight="1" x14ac:dyDescent="0.2">
      <c r="A362" s="41"/>
      <c r="B362" s="41"/>
      <c r="C362" s="41"/>
      <c r="D362" s="41"/>
      <c r="E362" s="41"/>
      <c r="F362" s="41"/>
      <c r="G362" s="41"/>
      <c r="H362" s="41"/>
      <c r="I362" s="41"/>
      <c r="J362" s="41"/>
      <c r="K362" s="41"/>
      <c r="L362" s="41"/>
      <c r="M362" s="41"/>
      <c r="N362" s="41"/>
      <c r="O362" s="41"/>
      <c r="P362" s="41"/>
      <c r="Q362" s="41"/>
      <c r="R362" s="41"/>
      <c r="S362" s="41"/>
      <c r="T362" s="41"/>
      <c r="U362" s="41"/>
      <c r="V362" s="41"/>
      <c r="W362" s="41"/>
      <c r="X362" s="41"/>
      <c r="Y362" s="41"/>
      <c r="Z362" s="41"/>
      <c r="AA362" s="41"/>
      <c r="AB362" s="41"/>
      <c r="AC362" s="41"/>
      <c r="AD362" s="41"/>
      <c r="AE362" s="41"/>
      <c r="AF362" s="41"/>
      <c r="AG362" s="41"/>
      <c r="AH362" s="41"/>
      <c r="AI362" s="41"/>
    </row>
    <row r="363" spans="1:35" ht="15.75" customHeight="1" x14ac:dyDescent="0.2">
      <c r="A363" s="41"/>
      <c r="B363" s="41"/>
      <c r="C363" s="41"/>
      <c r="D363" s="41"/>
      <c r="E363" s="41"/>
      <c r="F363" s="41"/>
      <c r="G363" s="41"/>
      <c r="H363" s="41"/>
      <c r="I363" s="41"/>
      <c r="J363" s="41"/>
      <c r="K363" s="41"/>
      <c r="L363" s="41"/>
      <c r="M363" s="41"/>
      <c r="N363" s="41"/>
      <c r="O363" s="41"/>
      <c r="P363" s="41"/>
      <c r="Q363" s="41"/>
      <c r="R363" s="41"/>
      <c r="S363" s="41"/>
      <c r="T363" s="41"/>
      <c r="U363" s="41"/>
      <c r="V363" s="41"/>
      <c r="W363" s="41"/>
      <c r="X363" s="41"/>
      <c r="Y363" s="41"/>
      <c r="Z363" s="41"/>
      <c r="AA363" s="41"/>
      <c r="AB363" s="41"/>
      <c r="AC363" s="41"/>
      <c r="AD363" s="41"/>
      <c r="AE363" s="41"/>
      <c r="AF363" s="41"/>
      <c r="AG363" s="41"/>
      <c r="AH363" s="41"/>
      <c r="AI363" s="41"/>
    </row>
    <row r="364" spans="1:35" ht="15.75" customHeight="1" x14ac:dyDescent="0.2">
      <c r="A364" s="41"/>
      <c r="B364" s="41"/>
      <c r="C364" s="41"/>
      <c r="D364" s="41"/>
      <c r="E364" s="41"/>
      <c r="F364" s="41"/>
      <c r="G364" s="41"/>
      <c r="H364" s="41"/>
      <c r="I364" s="41"/>
      <c r="J364" s="41"/>
      <c r="K364" s="41"/>
      <c r="L364" s="41"/>
      <c r="M364" s="41"/>
      <c r="N364" s="41"/>
      <c r="O364" s="41"/>
      <c r="P364" s="41"/>
      <c r="Q364" s="41"/>
      <c r="R364" s="41"/>
      <c r="S364" s="41"/>
      <c r="T364" s="41"/>
      <c r="U364" s="41"/>
      <c r="V364" s="41"/>
      <c r="W364" s="41"/>
      <c r="X364" s="41"/>
      <c r="Y364" s="41"/>
      <c r="Z364" s="41"/>
      <c r="AA364" s="41"/>
      <c r="AB364" s="41"/>
      <c r="AC364" s="41"/>
      <c r="AD364" s="41"/>
      <c r="AE364" s="41"/>
      <c r="AF364" s="41"/>
      <c r="AG364" s="41"/>
      <c r="AH364" s="41"/>
      <c r="AI364" s="41"/>
    </row>
    <row r="365" spans="1:35" ht="15.75" customHeight="1" x14ac:dyDescent="0.2">
      <c r="A365" s="41"/>
      <c r="B365" s="41"/>
      <c r="C365" s="41"/>
      <c r="D365" s="41"/>
      <c r="E365" s="41"/>
      <c r="F365" s="41"/>
      <c r="G365" s="41"/>
      <c r="H365" s="41"/>
      <c r="I365" s="41"/>
      <c r="J365" s="41"/>
      <c r="K365" s="41"/>
      <c r="L365" s="41"/>
      <c r="M365" s="41"/>
      <c r="N365" s="41"/>
      <c r="O365" s="41"/>
      <c r="P365" s="41"/>
      <c r="Q365" s="41"/>
      <c r="R365" s="41"/>
      <c r="S365" s="41"/>
      <c r="T365" s="41"/>
      <c r="U365" s="41"/>
      <c r="V365" s="41"/>
      <c r="W365" s="41"/>
      <c r="X365" s="41"/>
      <c r="Y365" s="41"/>
      <c r="Z365" s="41"/>
      <c r="AA365" s="41"/>
      <c r="AB365" s="41"/>
      <c r="AC365" s="41"/>
      <c r="AD365" s="41"/>
      <c r="AE365" s="41"/>
      <c r="AF365" s="41"/>
      <c r="AG365" s="41"/>
      <c r="AH365" s="41"/>
      <c r="AI365" s="41"/>
    </row>
    <row r="366" spans="1:35" ht="15.75" customHeight="1" x14ac:dyDescent="0.2">
      <c r="A366" s="41"/>
      <c r="B366" s="41"/>
      <c r="C366" s="41"/>
      <c r="D366" s="41"/>
      <c r="E366" s="41"/>
      <c r="F366" s="41"/>
      <c r="G366" s="41"/>
      <c r="H366" s="41"/>
      <c r="I366" s="41"/>
      <c r="J366" s="41"/>
      <c r="K366" s="41"/>
      <c r="L366" s="41"/>
      <c r="M366" s="41"/>
      <c r="N366" s="41"/>
      <c r="O366" s="41"/>
      <c r="P366" s="41"/>
      <c r="Q366" s="41"/>
      <c r="R366" s="41"/>
      <c r="S366" s="41"/>
      <c r="T366" s="41"/>
      <c r="U366" s="41"/>
      <c r="V366" s="41"/>
      <c r="W366" s="41"/>
      <c r="X366" s="41"/>
      <c r="Y366" s="41"/>
      <c r="Z366" s="41"/>
      <c r="AA366" s="41"/>
      <c r="AB366" s="41"/>
      <c r="AC366" s="41"/>
      <c r="AD366" s="41"/>
      <c r="AE366" s="41"/>
      <c r="AF366" s="41"/>
      <c r="AG366" s="41"/>
      <c r="AH366" s="41"/>
      <c r="AI366" s="41"/>
    </row>
    <row r="367" spans="1:35" ht="15.75" customHeight="1" x14ac:dyDescent="0.2">
      <c r="A367" s="41"/>
      <c r="B367" s="41"/>
      <c r="C367" s="41"/>
      <c r="D367" s="41"/>
      <c r="E367" s="41"/>
      <c r="F367" s="41"/>
      <c r="G367" s="41"/>
      <c r="H367" s="41"/>
      <c r="I367" s="41"/>
      <c r="J367" s="41"/>
      <c r="K367" s="41"/>
      <c r="L367" s="41"/>
      <c r="M367" s="41"/>
      <c r="N367" s="41"/>
      <c r="O367" s="41"/>
      <c r="P367" s="41"/>
      <c r="Q367" s="41"/>
      <c r="R367" s="41"/>
      <c r="S367" s="41"/>
      <c r="T367" s="41"/>
      <c r="U367" s="41"/>
      <c r="V367" s="41"/>
      <c r="W367" s="41"/>
      <c r="X367" s="41"/>
      <c r="Y367" s="41"/>
      <c r="Z367" s="41"/>
      <c r="AA367" s="41"/>
      <c r="AB367" s="41"/>
      <c r="AC367" s="41"/>
      <c r="AD367" s="41"/>
      <c r="AE367" s="41"/>
      <c r="AF367" s="41"/>
      <c r="AG367" s="41"/>
      <c r="AH367" s="41"/>
      <c r="AI367" s="41"/>
    </row>
    <row r="368" spans="1:35" ht="15.75" customHeight="1" x14ac:dyDescent="0.2">
      <c r="A368" s="41"/>
      <c r="B368" s="41"/>
      <c r="C368" s="41"/>
      <c r="D368" s="41"/>
      <c r="E368" s="41"/>
      <c r="F368" s="41"/>
      <c r="G368" s="41"/>
      <c r="H368" s="41"/>
      <c r="I368" s="41"/>
      <c r="J368" s="41"/>
      <c r="K368" s="41"/>
      <c r="L368" s="41"/>
      <c r="M368" s="41"/>
      <c r="N368" s="41"/>
      <c r="O368" s="41"/>
      <c r="P368" s="41"/>
      <c r="Q368" s="41"/>
      <c r="R368" s="41"/>
      <c r="S368" s="41"/>
      <c r="T368" s="41"/>
      <c r="U368" s="41"/>
      <c r="V368" s="41"/>
      <c r="W368" s="41"/>
      <c r="X368" s="41"/>
      <c r="Y368" s="41"/>
      <c r="Z368" s="41"/>
      <c r="AA368" s="41"/>
      <c r="AB368" s="41"/>
      <c r="AC368" s="41"/>
      <c r="AD368" s="41"/>
      <c r="AE368" s="41"/>
      <c r="AF368" s="41"/>
      <c r="AG368" s="41"/>
      <c r="AH368" s="41"/>
      <c r="AI368" s="41"/>
    </row>
    <row r="369" spans="1:35" ht="15.75" customHeight="1" x14ac:dyDescent="0.2">
      <c r="A369" s="41"/>
      <c r="B369" s="41"/>
      <c r="C369" s="41"/>
      <c r="D369" s="41"/>
      <c r="E369" s="41"/>
      <c r="F369" s="41"/>
      <c r="G369" s="41"/>
      <c r="H369" s="41"/>
      <c r="I369" s="41"/>
      <c r="J369" s="41"/>
      <c r="K369" s="41"/>
      <c r="L369" s="41"/>
      <c r="M369" s="41"/>
      <c r="N369" s="41"/>
      <c r="O369" s="41"/>
      <c r="P369" s="41"/>
      <c r="Q369" s="41"/>
      <c r="R369" s="41"/>
      <c r="S369" s="41"/>
      <c r="T369" s="41"/>
      <c r="U369" s="41"/>
      <c r="V369" s="41"/>
      <c r="W369" s="41"/>
      <c r="X369" s="41"/>
      <c r="Y369" s="41"/>
      <c r="Z369" s="41"/>
      <c r="AA369" s="41"/>
      <c r="AB369" s="41"/>
      <c r="AC369" s="41"/>
      <c r="AD369" s="41"/>
      <c r="AE369" s="41"/>
      <c r="AF369" s="41"/>
      <c r="AG369" s="41"/>
      <c r="AH369" s="41"/>
      <c r="AI369" s="41"/>
    </row>
    <row r="370" spans="1:35" ht="15.75" customHeight="1" x14ac:dyDescent="0.2">
      <c r="A370" s="41"/>
      <c r="B370" s="41"/>
      <c r="C370" s="41"/>
      <c r="D370" s="41"/>
      <c r="E370" s="41"/>
      <c r="F370" s="41"/>
      <c r="G370" s="41"/>
      <c r="H370" s="41"/>
      <c r="I370" s="41"/>
      <c r="J370" s="41"/>
      <c r="K370" s="41"/>
      <c r="L370" s="41"/>
      <c r="M370" s="41"/>
      <c r="N370" s="41"/>
      <c r="O370" s="41"/>
      <c r="P370" s="41"/>
      <c r="Q370" s="41"/>
      <c r="R370" s="41"/>
      <c r="S370" s="41"/>
      <c r="T370" s="41"/>
      <c r="U370" s="41"/>
      <c r="V370" s="41"/>
      <c r="W370" s="41"/>
      <c r="X370" s="41"/>
      <c r="Y370" s="41"/>
      <c r="Z370" s="41"/>
      <c r="AA370" s="41"/>
      <c r="AB370" s="41"/>
      <c r="AC370" s="41"/>
      <c r="AD370" s="41"/>
      <c r="AE370" s="41"/>
      <c r="AF370" s="41"/>
      <c r="AG370" s="41"/>
      <c r="AH370" s="41"/>
      <c r="AI370" s="41"/>
    </row>
    <row r="371" spans="1:35" ht="15.75" customHeight="1" x14ac:dyDescent="0.2">
      <c r="A371" s="41"/>
      <c r="B371" s="41"/>
      <c r="C371" s="41"/>
      <c r="D371" s="41"/>
      <c r="E371" s="41"/>
      <c r="F371" s="41"/>
      <c r="G371" s="41"/>
      <c r="H371" s="41"/>
      <c r="I371" s="41"/>
      <c r="J371" s="41"/>
      <c r="K371" s="41"/>
      <c r="L371" s="41"/>
      <c r="M371" s="41"/>
      <c r="N371" s="41"/>
      <c r="O371" s="41"/>
      <c r="P371" s="41"/>
      <c r="Q371" s="41"/>
      <c r="R371" s="41"/>
      <c r="S371" s="41"/>
      <c r="T371" s="41"/>
      <c r="U371" s="41"/>
      <c r="V371" s="41"/>
      <c r="W371" s="41"/>
      <c r="X371" s="41"/>
      <c r="Y371" s="41"/>
      <c r="Z371" s="41"/>
      <c r="AA371" s="41"/>
      <c r="AB371" s="41"/>
      <c r="AC371" s="41"/>
      <c r="AD371" s="41"/>
      <c r="AE371" s="41"/>
      <c r="AF371" s="41"/>
      <c r="AG371" s="41"/>
      <c r="AH371" s="41"/>
      <c r="AI371" s="41"/>
    </row>
    <row r="372" spans="1:35" ht="15.75" customHeight="1" x14ac:dyDescent="0.2">
      <c r="A372" s="41"/>
      <c r="B372" s="41"/>
      <c r="C372" s="41"/>
      <c r="D372" s="41"/>
      <c r="E372" s="41"/>
      <c r="F372" s="41"/>
      <c r="G372" s="41"/>
      <c r="H372" s="41"/>
      <c r="I372" s="41"/>
      <c r="J372" s="41"/>
      <c r="K372" s="41"/>
      <c r="L372" s="41"/>
      <c r="M372" s="41"/>
      <c r="N372" s="41"/>
      <c r="O372" s="41"/>
      <c r="P372" s="41"/>
      <c r="Q372" s="41"/>
      <c r="R372" s="41"/>
      <c r="S372" s="41"/>
      <c r="T372" s="41"/>
      <c r="U372" s="41"/>
      <c r="V372" s="41"/>
      <c r="W372" s="41"/>
      <c r="X372" s="41"/>
      <c r="Y372" s="41"/>
      <c r="Z372" s="41"/>
      <c r="AA372" s="41"/>
      <c r="AB372" s="41"/>
      <c r="AC372" s="41"/>
      <c r="AD372" s="41"/>
      <c r="AE372" s="41"/>
      <c r="AF372" s="41"/>
      <c r="AG372" s="41"/>
      <c r="AH372" s="41"/>
      <c r="AI372" s="41"/>
    </row>
    <row r="373" spans="1:35" ht="15.75" customHeight="1" x14ac:dyDescent="0.2">
      <c r="A373" s="41"/>
      <c r="B373" s="41"/>
      <c r="C373" s="41"/>
      <c r="D373" s="41"/>
      <c r="E373" s="41"/>
      <c r="F373" s="41"/>
      <c r="G373" s="41"/>
      <c r="H373" s="41"/>
      <c r="I373" s="41"/>
      <c r="J373" s="41"/>
      <c r="K373" s="41"/>
      <c r="L373" s="41"/>
      <c r="M373" s="41"/>
      <c r="N373" s="41"/>
      <c r="O373" s="41"/>
      <c r="P373" s="41"/>
      <c r="Q373" s="41"/>
      <c r="R373" s="41"/>
      <c r="S373" s="41"/>
      <c r="T373" s="41"/>
      <c r="U373" s="41"/>
      <c r="V373" s="41"/>
      <c r="W373" s="41"/>
      <c r="X373" s="41"/>
      <c r="Y373" s="41"/>
      <c r="Z373" s="41"/>
      <c r="AA373" s="41"/>
      <c r="AB373" s="41"/>
      <c r="AC373" s="41"/>
      <c r="AD373" s="41"/>
      <c r="AE373" s="41"/>
      <c r="AF373" s="41"/>
      <c r="AG373" s="41"/>
      <c r="AH373" s="41"/>
      <c r="AI373" s="41"/>
    </row>
    <row r="374" spans="1:35" ht="15.75" customHeight="1" x14ac:dyDescent="0.2">
      <c r="A374" s="41"/>
      <c r="B374" s="41"/>
      <c r="C374" s="41"/>
      <c r="D374" s="41"/>
      <c r="E374" s="41"/>
      <c r="F374" s="41"/>
      <c r="G374" s="41"/>
      <c r="H374" s="41"/>
      <c r="I374" s="41"/>
      <c r="J374" s="41"/>
      <c r="K374" s="41"/>
      <c r="L374" s="41"/>
      <c r="M374" s="41"/>
      <c r="N374" s="41"/>
      <c r="O374" s="41"/>
      <c r="P374" s="41"/>
      <c r="Q374" s="41"/>
      <c r="R374" s="41"/>
      <c r="S374" s="41"/>
      <c r="T374" s="41"/>
      <c r="U374" s="41"/>
      <c r="V374" s="41"/>
      <c r="W374" s="41"/>
      <c r="X374" s="41"/>
      <c r="Y374" s="41"/>
      <c r="Z374" s="41"/>
      <c r="AA374" s="41"/>
      <c r="AB374" s="41"/>
      <c r="AC374" s="41"/>
      <c r="AD374" s="41"/>
      <c r="AE374" s="41"/>
      <c r="AF374" s="41"/>
      <c r="AG374" s="41"/>
      <c r="AH374" s="41"/>
      <c r="AI374" s="41"/>
    </row>
    <row r="375" spans="1:35" ht="15.75" customHeight="1" x14ac:dyDescent="0.2">
      <c r="A375" s="41"/>
      <c r="B375" s="41"/>
      <c r="C375" s="41"/>
      <c r="D375" s="41"/>
      <c r="E375" s="41"/>
      <c r="F375" s="41"/>
      <c r="G375" s="41"/>
      <c r="H375" s="41"/>
      <c r="I375" s="41"/>
      <c r="J375" s="41"/>
      <c r="K375" s="41"/>
      <c r="L375" s="41"/>
      <c r="M375" s="41"/>
      <c r="N375" s="41"/>
      <c r="O375" s="41"/>
      <c r="P375" s="41"/>
      <c r="Q375" s="41"/>
      <c r="R375" s="41"/>
      <c r="S375" s="41"/>
      <c r="T375" s="41"/>
      <c r="U375" s="41"/>
      <c r="V375" s="41"/>
      <c r="W375" s="41"/>
      <c r="X375" s="41"/>
      <c r="Y375" s="41"/>
      <c r="Z375" s="41"/>
      <c r="AA375" s="41"/>
      <c r="AB375" s="41"/>
      <c r="AC375" s="41"/>
      <c r="AD375" s="41"/>
      <c r="AE375" s="41"/>
      <c r="AF375" s="41"/>
      <c r="AG375" s="41"/>
      <c r="AH375" s="41"/>
      <c r="AI375" s="41"/>
    </row>
    <row r="376" spans="1:35" ht="15.75" customHeight="1" x14ac:dyDescent="0.2">
      <c r="A376" s="41"/>
      <c r="B376" s="41"/>
      <c r="C376" s="41"/>
      <c r="D376" s="41"/>
      <c r="E376" s="41"/>
      <c r="F376" s="41"/>
      <c r="G376" s="41"/>
      <c r="H376" s="41"/>
      <c r="I376" s="41"/>
      <c r="J376" s="41"/>
      <c r="K376" s="41"/>
      <c r="L376" s="41"/>
      <c r="M376" s="41"/>
      <c r="N376" s="41"/>
      <c r="O376" s="41"/>
      <c r="P376" s="41"/>
      <c r="Q376" s="41"/>
      <c r="R376" s="41"/>
      <c r="S376" s="41"/>
      <c r="T376" s="41"/>
      <c r="U376" s="41"/>
      <c r="V376" s="41"/>
      <c r="W376" s="41"/>
      <c r="X376" s="41"/>
      <c r="Y376" s="41"/>
      <c r="Z376" s="41"/>
      <c r="AA376" s="41"/>
      <c r="AB376" s="41"/>
      <c r="AC376" s="41"/>
      <c r="AD376" s="41"/>
      <c r="AE376" s="41"/>
      <c r="AF376" s="41"/>
      <c r="AG376" s="41"/>
      <c r="AH376" s="41"/>
      <c r="AI376" s="41"/>
    </row>
    <row r="377" spans="1:35" ht="15.75" customHeight="1" x14ac:dyDescent="0.2">
      <c r="A377" s="41"/>
      <c r="B377" s="41"/>
      <c r="C377" s="41"/>
      <c r="D377" s="41"/>
      <c r="E377" s="41"/>
      <c r="F377" s="41"/>
      <c r="G377" s="41"/>
      <c r="H377" s="41"/>
      <c r="I377" s="41"/>
      <c r="J377" s="41"/>
      <c r="K377" s="41"/>
      <c r="L377" s="41"/>
      <c r="M377" s="41"/>
      <c r="N377" s="41"/>
      <c r="O377" s="41"/>
      <c r="P377" s="41"/>
      <c r="Q377" s="41"/>
      <c r="R377" s="41"/>
      <c r="S377" s="41"/>
      <c r="T377" s="41"/>
      <c r="U377" s="41"/>
      <c r="V377" s="41"/>
      <c r="W377" s="41"/>
      <c r="X377" s="41"/>
      <c r="Y377" s="41"/>
      <c r="Z377" s="41"/>
      <c r="AA377" s="41"/>
      <c r="AB377" s="41"/>
      <c r="AC377" s="41"/>
      <c r="AD377" s="41"/>
      <c r="AE377" s="41"/>
      <c r="AF377" s="41"/>
      <c r="AG377" s="41"/>
      <c r="AH377" s="41"/>
      <c r="AI377" s="41"/>
    </row>
    <row r="378" spans="1:35" ht="15.75" customHeight="1" x14ac:dyDescent="0.2">
      <c r="A378" s="41"/>
      <c r="B378" s="41"/>
      <c r="C378" s="41"/>
      <c r="D378" s="41"/>
      <c r="E378" s="41"/>
      <c r="F378" s="41"/>
      <c r="G378" s="41"/>
      <c r="H378" s="41"/>
      <c r="I378" s="41"/>
      <c r="J378" s="41"/>
      <c r="K378" s="41"/>
      <c r="L378" s="41"/>
      <c r="M378" s="41"/>
      <c r="N378" s="41"/>
      <c r="O378" s="41"/>
      <c r="P378" s="41"/>
      <c r="Q378" s="41"/>
      <c r="R378" s="41"/>
      <c r="S378" s="41"/>
      <c r="T378" s="41"/>
      <c r="U378" s="41"/>
      <c r="V378" s="41"/>
      <c r="W378" s="41"/>
      <c r="X378" s="41"/>
      <c r="Y378" s="41"/>
      <c r="Z378" s="41"/>
      <c r="AA378" s="41"/>
      <c r="AB378" s="41"/>
      <c r="AC378" s="41"/>
      <c r="AD378" s="41"/>
      <c r="AE378" s="41"/>
      <c r="AF378" s="41"/>
      <c r="AG378" s="41"/>
      <c r="AH378" s="41"/>
      <c r="AI378" s="41"/>
    </row>
    <row r="379" spans="1:35" ht="15.75" customHeight="1" x14ac:dyDescent="0.2">
      <c r="A379" s="41"/>
      <c r="B379" s="41"/>
      <c r="C379" s="41"/>
      <c r="D379" s="41"/>
      <c r="E379" s="41"/>
      <c r="F379" s="41"/>
      <c r="G379" s="41"/>
      <c r="H379" s="41"/>
      <c r="I379" s="41"/>
      <c r="J379" s="41"/>
      <c r="K379" s="41"/>
      <c r="L379" s="41"/>
      <c r="M379" s="41"/>
      <c r="N379" s="41"/>
      <c r="O379" s="41"/>
      <c r="P379" s="41"/>
      <c r="Q379" s="41"/>
      <c r="R379" s="41"/>
      <c r="S379" s="41"/>
      <c r="T379" s="41"/>
      <c r="U379" s="41"/>
      <c r="V379" s="41"/>
      <c r="W379" s="41"/>
      <c r="X379" s="41"/>
      <c r="Y379" s="41"/>
      <c r="Z379" s="41"/>
      <c r="AA379" s="41"/>
      <c r="AB379" s="41"/>
      <c r="AC379" s="41"/>
      <c r="AD379" s="41"/>
      <c r="AE379" s="41"/>
      <c r="AF379" s="41"/>
      <c r="AG379" s="41"/>
      <c r="AH379" s="41"/>
      <c r="AI379" s="41"/>
    </row>
    <row r="380" spans="1:35" ht="15.75" customHeight="1" x14ac:dyDescent="0.2">
      <c r="A380" s="41"/>
      <c r="B380" s="41"/>
      <c r="C380" s="41"/>
      <c r="D380" s="41"/>
      <c r="E380" s="41"/>
      <c r="F380" s="41"/>
      <c r="G380" s="41"/>
      <c r="H380" s="41"/>
      <c r="I380" s="41"/>
      <c r="J380" s="41"/>
      <c r="K380" s="41"/>
      <c r="L380" s="41"/>
      <c r="M380" s="41"/>
      <c r="N380" s="41"/>
      <c r="O380" s="41"/>
      <c r="P380" s="41"/>
      <c r="Q380" s="41"/>
      <c r="R380" s="41"/>
      <c r="S380" s="41"/>
      <c r="T380" s="41"/>
      <c r="U380" s="41"/>
      <c r="V380" s="41"/>
      <c r="W380" s="41"/>
      <c r="X380" s="41"/>
      <c r="Y380" s="41"/>
      <c r="Z380" s="41"/>
      <c r="AA380" s="41"/>
      <c r="AB380" s="41"/>
      <c r="AC380" s="41"/>
      <c r="AD380" s="41"/>
      <c r="AE380" s="41"/>
      <c r="AF380" s="41"/>
      <c r="AG380" s="41"/>
      <c r="AH380" s="41"/>
      <c r="AI380" s="41"/>
    </row>
    <row r="381" spans="1:35" ht="15.75" customHeight="1" x14ac:dyDescent="0.2">
      <c r="A381" s="41"/>
      <c r="B381" s="41"/>
      <c r="C381" s="41"/>
      <c r="D381" s="41"/>
      <c r="E381" s="41"/>
      <c r="F381" s="41"/>
      <c r="G381" s="41"/>
      <c r="H381" s="41"/>
      <c r="I381" s="41"/>
      <c r="J381" s="41"/>
      <c r="K381" s="41"/>
      <c r="L381" s="41"/>
      <c r="M381" s="41"/>
      <c r="N381" s="41"/>
      <c r="O381" s="41"/>
      <c r="P381" s="41"/>
      <c r="Q381" s="41"/>
      <c r="R381" s="41"/>
      <c r="S381" s="41"/>
      <c r="T381" s="41"/>
      <c r="U381" s="41"/>
      <c r="V381" s="41"/>
      <c r="W381" s="41"/>
      <c r="X381" s="41"/>
      <c r="Y381" s="41"/>
      <c r="Z381" s="41"/>
      <c r="AA381" s="41"/>
      <c r="AB381" s="41"/>
      <c r="AC381" s="41"/>
      <c r="AD381" s="41"/>
      <c r="AE381" s="41"/>
      <c r="AF381" s="41"/>
      <c r="AG381" s="41"/>
      <c r="AH381" s="41"/>
      <c r="AI381" s="41"/>
    </row>
    <row r="382" spans="1:35" ht="15.75" customHeight="1" x14ac:dyDescent="0.2">
      <c r="A382" s="41"/>
      <c r="B382" s="41"/>
      <c r="C382" s="41"/>
      <c r="D382" s="41"/>
      <c r="E382" s="41"/>
      <c r="F382" s="41"/>
      <c r="G382" s="41"/>
      <c r="H382" s="41"/>
      <c r="I382" s="41"/>
      <c r="J382" s="41"/>
      <c r="K382" s="41"/>
      <c r="L382" s="41"/>
      <c r="M382" s="41"/>
      <c r="N382" s="41"/>
      <c r="O382" s="41"/>
      <c r="P382" s="41"/>
      <c r="Q382" s="41"/>
      <c r="R382" s="41"/>
      <c r="S382" s="41"/>
      <c r="T382" s="41"/>
      <c r="U382" s="41"/>
      <c r="V382" s="41"/>
      <c r="W382" s="41"/>
      <c r="X382" s="41"/>
      <c r="Y382" s="41"/>
      <c r="Z382" s="41"/>
      <c r="AA382" s="41"/>
      <c r="AB382" s="41"/>
      <c r="AC382" s="41"/>
      <c r="AD382" s="41"/>
      <c r="AE382" s="41"/>
      <c r="AF382" s="41"/>
      <c r="AG382" s="41"/>
      <c r="AH382" s="41"/>
      <c r="AI382" s="41"/>
    </row>
    <row r="383" spans="1:35" ht="15.75" customHeight="1" x14ac:dyDescent="0.2">
      <c r="A383" s="41"/>
      <c r="B383" s="41"/>
      <c r="C383" s="41"/>
      <c r="D383" s="41"/>
      <c r="E383" s="41"/>
      <c r="F383" s="41"/>
      <c r="G383" s="41"/>
      <c r="H383" s="41"/>
      <c r="I383" s="41"/>
      <c r="J383" s="41"/>
      <c r="K383" s="41"/>
      <c r="L383" s="41"/>
      <c r="M383" s="41"/>
      <c r="N383" s="41"/>
      <c r="O383" s="41"/>
      <c r="P383" s="41"/>
      <c r="Q383" s="41"/>
      <c r="R383" s="41"/>
      <c r="S383" s="41"/>
      <c r="T383" s="41"/>
      <c r="U383" s="41"/>
      <c r="V383" s="41"/>
      <c r="W383" s="41"/>
      <c r="X383" s="41"/>
      <c r="Y383" s="41"/>
      <c r="Z383" s="41"/>
      <c r="AA383" s="41"/>
      <c r="AB383" s="41"/>
      <c r="AC383" s="41"/>
      <c r="AD383" s="41"/>
      <c r="AE383" s="41"/>
      <c r="AF383" s="41"/>
      <c r="AG383" s="41"/>
      <c r="AH383" s="41"/>
      <c r="AI383" s="41"/>
    </row>
    <row r="384" spans="1:35" ht="15.75" customHeight="1" x14ac:dyDescent="0.2">
      <c r="A384" s="41"/>
      <c r="B384" s="41"/>
      <c r="C384" s="41"/>
      <c r="D384" s="41"/>
      <c r="E384" s="41"/>
      <c r="F384" s="41"/>
      <c r="G384" s="41"/>
      <c r="H384" s="41"/>
      <c r="I384" s="41"/>
      <c r="J384" s="41"/>
      <c r="K384" s="41"/>
      <c r="L384" s="41"/>
      <c r="M384" s="41"/>
      <c r="N384" s="41"/>
      <c r="O384" s="41"/>
      <c r="P384" s="41"/>
      <c r="Q384" s="41"/>
      <c r="R384" s="41"/>
      <c r="S384" s="41"/>
      <c r="T384" s="41"/>
      <c r="U384" s="41"/>
      <c r="V384" s="41"/>
      <c r="W384" s="41"/>
      <c r="X384" s="41"/>
      <c r="Y384" s="41"/>
      <c r="Z384" s="41"/>
      <c r="AA384" s="41"/>
      <c r="AB384" s="41"/>
      <c r="AC384" s="41"/>
      <c r="AD384" s="41"/>
      <c r="AE384" s="41"/>
      <c r="AF384" s="41"/>
      <c r="AG384" s="41"/>
      <c r="AH384" s="41"/>
      <c r="AI384" s="41"/>
    </row>
    <row r="385" spans="1:35" ht="15.75" customHeight="1" x14ac:dyDescent="0.2">
      <c r="A385" s="41"/>
      <c r="B385" s="41"/>
      <c r="C385" s="41"/>
      <c r="D385" s="41"/>
      <c r="E385" s="41"/>
      <c r="F385" s="41"/>
      <c r="G385" s="41"/>
      <c r="H385" s="41"/>
      <c r="I385" s="41"/>
      <c r="J385" s="41"/>
      <c r="K385" s="41"/>
      <c r="L385" s="41"/>
      <c r="M385" s="41"/>
      <c r="N385" s="41"/>
      <c r="O385" s="41"/>
      <c r="P385" s="41"/>
      <c r="Q385" s="41"/>
      <c r="R385" s="41"/>
      <c r="S385" s="41"/>
      <c r="T385" s="41"/>
      <c r="U385" s="41"/>
      <c r="V385" s="41"/>
      <c r="W385" s="41"/>
      <c r="X385" s="41"/>
      <c r="Y385" s="41"/>
      <c r="Z385" s="41"/>
      <c r="AA385" s="41"/>
      <c r="AB385" s="41"/>
      <c r="AC385" s="41"/>
      <c r="AD385" s="41"/>
      <c r="AE385" s="41"/>
      <c r="AF385" s="41"/>
      <c r="AG385" s="41"/>
      <c r="AH385" s="41"/>
      <c r="AI385" s="41"/>
    </row>
    <row r="386" spans="1:35" ht="15.75" customHeight="1" x14ac:dyDescent="0.2">
      <c r="A386" s="41"/>
      <c r="B386" s="41"/>
      <c r="C386" s="41"/>
      <c r="D386" s="41"/>
      <c r="E386" s="41"/>
      <c r="F386" s="41"/>
      <c r="G386" s="41"/>
      <c r="H386" s="41"/>
      <c r="I386" s="41"/>
      <c r="J386" s="41"/>
      <c r="K386" s="41"/>
      <c r="L386" s="41"/>
      <c r="M386" s="41"/>
      <c r="N386" s="41"/>
      <c r="O386" s="41"/>
      <c r="P386" s="41"/>
      <c r="Q386" s="41"/>
      <c r="R386" s="41"/>
      <c r="S386" s="41"/>
      <c r="T386" s="41"/>
      <c r="U386" s="41"/>
      <c r="V386" s="41"/>
      <c r="W386" s="41"/>
      <c r="X386" s="41"/>
      <c r="Y386" s="41"/>
      <c r="Z386" s="41"/>
      <c r="AA386" s="41"/>
      <c r="AB386" s="41"/>
      <c r="AC386" s="41"/>
      <c r="AD386" s="41"/>
      <c r="AE386" s="41"/>
      <c r="AF386" s="41"/>
      <c r="AG386" s="41"/>
      <c r="AH386" s="41"/>
      <c r="AI386" s="41"/>
    </row>
    <row r="387" spans="1:35" ht="15.75" customHeight="1" x14ac:dyDescent="0.2">
      <c r="A387" s="41"/>
      <c r="B387" s="41"/>
      <c r="C387" s="41"/>
      <c r="D387" s="41"/>
      <c r="E387" s="41"/>
      <c r="F387" s="41"/>
      <c r="G387" s="41"/>
      <c r="H387" s="41"/>
      <c r="I387" s="41"/>
      <c r="J387" s="41"/>
      <c r="K387" s="41"/>
      <c r="L387" s="41"/>
      <c r="M387" s="41"/>
      <c r="N387" s="41"/>
      <c r="O387" s="41"/>
      <c r="P387" s="41"/>
      <c r="Q387" s="41"/>
      <c r="R387" s="41"/>
      <c r="S387" s="41"/>
      <c r="T387" s="41"/>
      <c r="U387" s="41"/>
      <c r="V387" s="41"/>
      <c r="W387" s="41"/>
      <c r="X387" s="41"/>
      <c r="Y387" s="41"/>
      <c r="Z387" s="41"/>
      <c r="AA387" s="41"/>
      <c r="AB387" s="41"/>
      <c r="AC387" s="41"/>
      <c r="AD387" s="41"/>
      <c r="AE387" s="41"/>
      <c r="AF387" s="41"/>
      <c r="AG387" s="41"/>
      <c r="AH387" s="41"/>
      <c r="AI387" s="41"/>
    </row>
    <row r="388" spans="1:35" ht="15.75" customHeight="1" x14ac:dyDescent="0.2">
      <c r="A388" s="41"/>
      <c r="B388" s="41"/>
      <c r="C388" s="41"/>
      <c r="D388" s="41"/>
      <c r="E388" s="41"/>
      <c r="F388" s="41"/>
      <c r="G388" s="41"/>
      <c r="H388" s="41"/>
      <c r="I388" s="41"/>
      <c r="J388" s="41"/>
      <c r="K388" s="41"/>
      <c r="L388" s="41"/>
      <c r="M388" s="41"/>
      <c r="N388" s="41"/>
      <c r="O388" s="41"/>
      <c r="P388" s="41"/>
      <c r="Q388" s="41"/>
      <c r="R388" s="41"/>
      <c r="S388" s="41"/>
      <c r="T388" s="41"/>
      <c r="U388" s="41"/>
      <c r="V388" s="41"/>
      <c r="W388" s="41"/>
      <c r="X388" s="41"/>
      <c r="Y388" s="41"/>
      <c r="Z388" s="41"/>
      <c r="AA388" s="41"/>
      <c r="AB388" s="41"/>
      <c r="AC388" s="41"/>
      <c r="AD388" s="41"/>
      <c r="AE388" s="41"/>
      <c r="AF388" s="41"/>
      <c r="AG388" s="41"/>
      <c r="AH388" s="41"/>
      <c r="AI388" s="41"/>
    </row>
    <row r="389" spans="1:35" ht="15.75" customHeight="1" x14ac:dyDescent="0.2">
      <c r="A389" s="41"/>
      <c r="B389" s="41"/>
      <c r="C389" s="41"/>
      <c r="D389" s="41"/>
      <c r="E389" s="41"/>
      <c r="F389" s="41"/>
      <c r="G389" s="41"/>
      <c r="H389" s="41"/>
      <c r="I389" s="41"/>
      <c r="J389" s="41"/>
      <c r="K389" s="41"/>
      <c r="L389" s="41"/>
      <c r="M389" s="41"/>
      <c r="N389" s="41"/>
      <c r="O389" s="41"/>
      <c r="P389" s="41"/>
      <c r="Q389" s="41"/>
      <c r="R389" s="41"/>
      <c r="S389" s="41"/>
      <c r="T389" s="41"/>
      <c r="U389" s="41"/>
      <c r="V389" s="41"/>
      <c r="W389" s="41"/>
      <c r="X389" s="41"/>
      <c r="Y389" s="41"/>
      <c r="Z389" s="41"/>
      <c r="AA389" s="41"/>
      <c r="AB389" s="41"/>
      <c r="AC389" s="41"/>
      <c r="AD389" s="41"/>
      <c r="AE389" s="41"/>
      <c r="AF389" s="41"/>
      <c r="AG389" s="41"/>
      <c r="AH389" s="41"/>
      <c r="AI389" s="41"/>
    </row>
    <row r="390" spans="1:35" ht="15.75" customHeight="1" x14ac:dyDescent="0.2">
      <c r="A390" s="41"/>
      <c r="B390" s="41"/>
      <c r="C390" s="41"/>
      <c r="D390" s="41"/>
      <c r="E390" s="41"/>
      <c r="F390" s="41"/>
      <c r="G390" s="41"/>
      <c r="H390" s="41"/>
      <c r="I390" s="41"/>
      <c r="J390" s="41"/>
      <c r="K390" s="41"/>
      <c r="L390" s="41"/>
      <c r="M390" s="41"/>
      <c r="N390" s="41"/>
      <c r="O390" s="41"/>
      <c r="P390" s="41"/>
      <c r="Q390" s="41"/>
      <c r="R390" s="41"/>
      <c r="S390" s="41"/>
      <c r="T390" s="41"/>
      <c r="U390" s="41"/>
      <c r="V390" s="41"/>
      <c r="W390" s="41"/>
      <c r="X390" s="41"/>
      <c r="Y390" s="41"/>
      <c r="Z390" s="41"/>
      <c r="AA390" s="41"/>
      <c r="AB390" s="41"/>
      <c r="AC390" s="41"/>
      <c r="AD390" s="41"/>
      <c r="AE390" s="41"/>
      <c r="AF390" s="41"/>
      <c r="AG390" s="41"/>
      <c r="AH390" s="41"/>
      <c r="AI390" s="41"/>
    </row>
    <row r="391" spans="1:35" ht="15.75" customHeight="1" x14ac:dyDescent="0.2">
      <c r="A391" s="41"/>
      <c r="B391" s="41"/>
      <c r="C391" s="41"/>
      <c r="D391" s="41"/>
      <c r="E391" s="41"/>
      <c r="F391" s="41"/>
      <c r="G391" s="41"/>
      <c r="H391" s="41"/>
      <c r="I391" s="41"/>
      <c r="J391" s="41"/>
      <c r="K391" s="41"/>
      <c r="L391" s="41"/>
      <c r="M391" s="41"/>
      <c r="N391" s="41"/>
      <c r="O391" s="41"/>
      <c r="P391" s="41"/>
      <c r="Q391" s="41"/>
      <c r="R391" s="41"/>
      <c r="S391" s="41"/>
      <c r="T391" s="41"/>
      <c r="U391" s="41"/>
      <c r="V391" s="41"/>
      <c r="W391" s="41"/>
      <c r="X391" s="41"/>
      <c r="Y391" s="41"/>
      <c r="Z391" s="41"/>
      <c r="AA391" s="41"/>
      <c r="AB391" s="41"/>
      <c r="AC391" s="41"/>
      <c r="AD391" s="41"/>
      <c r="AE391" s="41"/>
      <c r="AF391" s="41"/>
      <c r="AG391" s="41"/>
      <c r="AH391" s="41"/>
      <c r="AI391" s="41"/>
    </row>
    <row r="392" spans="1:35" ht="15.75" customHeight="1" x14ac:dyDescent="0.2">
      <c r="A392" s="41"/>
      <c r="B392" s="41"/>
      <c r="C392" s="41"/>
      <c r="D392" s="41"/>
      <c r="E392" s="41"/>
      <c r="F392" s="41"/>
      <c r="G392" s="41"/>
      <c r="H392" s="41"/>
      <c r="I392" s="41"/>
      <c r="J392" s="41"/>
      <c r="K392" s="41"/>
      <c r="L392" s="41"/>
      <c r="M392" s="41"/>
      <c r="N392" s="41"/>
      <c r="O392" s="41"/>
      <c r="P392" s="41"/>
      <c r="Q392" s="41"/>
      <c r="R392" s="41"/>
      <c r="S392" s="41"/>
      <c r="T392" s="41"/>
      <c r="U392" s="41"/>
      <c r="V392" s="41"/>
      <c r="W392" s="41"/>
      <c r="X392" s="41"/>
      <c r="Y392" s="41"/>
      <c r="Z392" s="41"/>
      <c r="AA392" s="41"/>
      <c r="AB392" s="41"/>
      <c r="AC392" s="41"/>
      <c r="AD392" s="41"/>
      <c r="AE392" s="41"/>
      <c r="AF392" s="41"/>
      <c r="AG392" s="41"/>
      <c r="AH392" s="41"/>
      <c r="AI392" s="41"/>
    </row>
    <row r="393" spans="1:35" ht="15.75" customHeight="1" x14ac:dyDescent="0.2">
      <c r="A393" s="41"/>
      <c r="B393" s="41"/>
      <c r="C393" s="41"/>
      <c r="D393" s="41"/>
      <c r="E393" s="41"/>
      <c r="F393" s="41"/>
      <c r="G393" s="41"/>
      <c r="H393" s="41"/>
      <c r="I393" s="41"/>
      <c r="J393" s="41"/>
      <c r="K393" s="41"/>
      <c r="L393" s="41"/>
      <c r="M393" s="41"/>
      <c r="N393" s="41"/>
      <c r="O393" s="41"/>
      <c r="P393" s="41"/>
      <c r="Q393" s="41"/>
      <c r="R393" s="41"/>
      <c r="S393" s="41"/>
      <c r="T393" s="41"/>
      <c r="U393" s="41"/>
      <c r="V393" s="41"/>
      <c r="W393" s="41"/>
      <c r="X393" s="41"/>
      <c r="Y393" s="41"/>
      <c r="Z393" s="41"/>
      <c r="AA393" s="41"/>
      <c r="AB393" s="41"/>
      <c r="AC393" s="41"/>
      <c r="AD393" s="41"/>
      <c r="AE393" s="41"/>
      <c r="AF393" s="41"/>
      <c r="AG393" s="41"/>
      <c r="AH393" s="41"/>
      <c r="AI393" s="41"/>
    </row>
    <row r="394" spans="1:35" ht="15.75" customHeight="1" x14ac:dyDescent="0.2">
      <c r="A394" s="41"/>
      <c r="B394" s="41"/>
      <c r="C394" s="41"/>
      <c r="D394" s="41"/>
      <c r="E394" s="41"/>
      <c r="F394" s="41"/>
      <c r="G394" s="41"/>
      <c r="H394" s="41"/>
      <c r="I394" s="41"/>
      <c r="J394" s="41"/>
      <c r="K394" s="41"/>
      <c r="L394" s="41"/>
      <c r="M394" s="41"/>
      <c r="N394" s="41"/>
      <c r="O394" s="41"/>
      <c r="P394" s="41"/>
      <c r="Q394" s="41"/>
      <c r="R394" s="41"/>
      <c r="S394" s="41"/>
      <c r="T394" s="41"/>
      <c r="U394" s="41"/>
      <c r="V394" s="41"/>
      <c r="W394" s="41"/>
      <c r="X394" s="41"/>
      <c r="Y394" s="41"/>
      <c r="Z394" s="41"/>
      <c r="AA394" s="41"/>
      <c r="AB394" s="41"/>
      <c r="AC394" s="41"/>
      <c r="AD394" s="41"/>
      <c r="AE394" s="41"/>
      <c r="AF394" s="41"/>
      <c r="AG394" s="41"/>
      <c r="AH394" s="41"/>
      <c r="AI394" s="41"/>
    </row>
    <row r="395" spans="1:35" ht="15.75" customHeight="1" x14ac:dyDescent="0.2">
      <c r="A395" s="41"/>
      <c r="B395" s="41"/>
      <c r="C395" s="41"/>
      <c r="D395" s="41"/>
      <c r="E395" s="41"/>
      <c r="F395" s="41"/>
      <c r="G395" s="41"/>
      <c r="H395" s="41"/>
      <c r="I395" s="41"/>
      <c r="J395" s="41"/>
      <c r="K395" s="41"/>
      <c r="L395" s="41"/>
      <c r="M395" s="41"/>
      <c r="N395" s="41"/>
      <c r="O395" s="41"/>
      <c r="P395" s="41"/>
      <c r="Q395" s="41"/>
      <c r="R395" s="41"/>
      <c r="S395" s="41"/>
      <c r="T395" s="41"/>
      <c r="U395" s="41"/>
      <c r="V395" s="41"/>
      <c r="W395" s="41"/>
      <c r="X395" s="41"/>
      <c r="Y395" s="41"/>
      <c r="Z395" s="41"/>
      <c r="AA395" s="41"/>
      <c r="AB395" s="41"/>
      <c r="AC395" s="41"/>
      <c r="AD395" s="41"/>
      <c r="AE395" s="41"/>
      <c r="AF395" s="41"/>
      <c r="AG395" s="41"/>
      <c r="AH395" s="41"/>
      <c r="AI395" s="41"/>
    </row>
    <row r="396" spans="1:35" ht="15.75" customHeight="1" x14ac:dyDescent="0.2">
      <c r="A396" s="41"/>
      <c r="B396" s="41"/>
      <c r="C396" s="41"/>
      <c r="D396" s="41"/>
      <c r="E396" s="41"/>
      <c r="F396" s="41"/>
      <c r="G396" s="41"/>
      <c r="H396" s="41"/>
      <c r="I396" s="41"/>
      <c r="J396" s="41"/>
      <c r="K396" s="41"/>
      <c r="L396" s="41"/>
      <c r="M396" s="41"/>
      <c r="N396" s="41"/>
      <c r="O396" s="41"/>
      <c r="P396" s="41"/>
      <c r="Q396" s="41"/>
      <c r="R396" s="41"/>
      <c r="S396" s="41"/>
      <c r="T396" s="41"/>
      <c r="U396" s="41"/>
      <c r="V396" s="41"/>
      <c r="W396" s="41"/>
      <c r="X396" s="41"/>
      <c r="Y396" s="41"/>
      <c r="Z396" s="41"/>
      <c r="AA396" s="41"/>
      <c r="AB396" s="41"/>
      <c r="AC396" s="41"/>
      <c r="AD396" s="41"/>
      <c r="AE396" s="41"/>
      <c r="AF396" s="41"/>
      <c r="AG396" s="41"/>
      <c r="AH396" s="41"/>
      <c r="AI396" s="41"/>
    </row>
    <row r="397" spans="1:35" ht="15.75" customHeight="1" x14ac:dyDescent="0.2">
      <c r="A397" s="41"/>
      <c r="B397" s="41"/>
      <c r="C397" s="41"/>
      <c r="D397" s="41"/>
      <c r="E397" s="41"/>
      <c r="F397" s="41"/>
      <c r="G397" s="41"/>
      <c r="H397" s="41"/>
      <c r="I397" s="41"/>
      <c r="J397" s="41"/>
      <c r="K397" s="41"/>
      <c r="L397" s="41"/>
      <c r="M397" s="41"/>
      <c r="N397" s="41"/>
      <c r="O397" s="41"/>
      <c r="P397" s="41"/>
      <c r="Q397" s="41"/>
      <c r="R397" s="41"/>
      <c r="S397" s="41"/>
      <c r="T397" s="41"/>
      <c r="U397" s="41"/>
      <c r="V397" s="41"/>
      <c r="W397" s="41"/>
      <c r="X397" s="41"/>
      <c r="Y397" s="41"/>
      <c r="Z397" s="41"/>
      <c r="AA397" s="41"/>
      <c r="AB397" s="41"/>
      <c r="AC397" s="41"/>
      <c r="AD397" s="41"/>
      <c r="AE397" s="41"/>
      <c r="AF397" s="41"/>
      <c r="AG397" s="41"/>
      <c r="AH397" s="41"/>
      <c r="AI397" s="41"/>
    </row>
    <row r="398" spans="1:35" ht="15.75" customHeight="1" x14ac:dyDescent="0.2">
      <c r="A398" s="41"/>
      <c r="B398" s="41"/>
      <c r="C398" s="41"/>
      <c r="D398" s="41"/>
      <c r="E398" s="41"/>
      <c r="F398" s="41"/>
      <c r="G398" s="41"/>
      <c r="H398" s="41"/>
      <c r="I398" s="41"/>
      <c r="J398" s="41"/>
      <c r="K398" s="41"/>
      <c r="L398" s="41"/>
      <c r="M398" s="41"/>
      <c r="N398" s="41"/>
      <c r="O398" s="41"/>
      <c r="P398" s="41"/>
      <c r="Q398" s="41"/>
      <c r="R398" s="41"/>
      <c r="S398" s="41"/>
      <c r="T398" s="41"/>
      <c r="U398" s="41"/>
      <c r="V398" s="41"/>
      <c r="W398" s="41"/>
      <c r="X398" s="41"/>
      <c r="Y398" s="41"/>
      <c r="Z398" s="41"/>
      <c r="AA398" s="41"/>
      <c r="AB398" s="41"/>
      <c r="AC398" s="41"/>
      <c r="AD398" s="41"/>
      <c r="AE398" s="41"/>
      <c r="AF398" s="41"/>
      <c r="AG398" s="41"/>
      <c r="AH398" s="41"/>
      <c r="AI398" s="41"/>
    </row>
    <row r="399" spans="1:35" ht="15.75" customHeight="1" x14ac:dyDescent="0.2">
      <c r="A399" s="41"/>
      <c r="B399" s="41"/>
      <c r="C399" s="41"/>
      <c r="D399" s="41"/>
      <c r="E399" s="41"/>
      <c r="F399" s="41"/>
      <c r="G399" s="41"/>
      <c r="H399" s="41"/>
      <c r="I399" s="41"/>
      <c r="J399" s="41"/>
      <c r="K399" s="41"/>
      <c r="L399" s="41"/>
      <c r="M399" s="41"/>
      <c r="N399" s="41"/>
      <c r="O399" s="41"/>
      <c r="P399" s="41"/>
      <c r="Q399" s="41"/>
      <c r="R399" s="41"/>
      <c r="S399" s="41"/>
      <c r="T399" s="41"/>
      <c r="U399" s="41"/>
      <c r="V399" s="41"/>
      <c r="W399" s="41"/>
      <c r="X399" s="41"/>
      <c r="Y399" s="41"/>
      <c r="Z399" s="41"/>
      <c r="AA399" s="41"/>
      <c r="AB399" s="41"/>
      <c r="AC399" s="41"/>
      <c r="AD399" s="41"/>
      <c r="AE399" s="41"/>
      <c r="AF399" s="41"/>
      <c r="AG399" s="41"/>
      <c r="AH399" s="41"/>
      <c r="AI399" s="41"/>
    </row>
    <row r="400" spans="1:35" ht="15.75" customHeight="1" x14ac:dyDescent="0.2">
      <c r="A400" s="41"/>
      <c r="B400" s="41"/>
      <c r="C400" s="41"/>
      <c r="D400" s="41"/>
      <c r="E400" s="41"/>
      <c r="F400" s="41"/>
      <c r="G400" s="41"/>
      <c r="H400" s="41"/>
      <c r="I400" s="41"/>
      <c r="J400" s="41"/>
      <c r="K400" s="41"/>
      <c r="L400" s="41"/>
      <c r="M400" s="41"/>
      <c r="N400" s="41"/>
      <c r="O400" s="41"/>
      <c r="P400" s="41"/>
      <c r="Q400" s="41"/>
      <c r="R400" s="41"/>
      <c r="S400" s="41"/>
      <c r="T400" s="41"/>
      <c r="U400" s="41"/>
      <c r="V400" s="41"/>
      <c r="W400" s="41"/>
      <c r="X400" s="41"/>
      <c r="Y400" s="41"/>
      <c r="Z400" s="41"/>
      <c r="AA400" s="41"/>
      <c r="AB400" s="41"/>
      <c r="AC400" s="41"/>
      <c r="AD400" s="41"/>
      <c r="AE400" s="41"/>
      <c r="AF400" s="41"/>
      <c r="AG400" s="41"/>
      <c r="AH400" s="41"/>
      <c r="AI400" s="41"/>
    </row>
    <row r="401" spans="1:35" ht="15.75" customHeight="1" x14ac:dyDescent="0.2">
      <c r="A401" s="41"/>
      <c r="B401" s="41"/>
      <c r="C401" s="41"/>
      <c r="D401" s="41"/>
      <c r="E401" s="41"/>
      <c r="F401" s="41"/>
      <c r="G401" s="41"/>
      <c r="H401" s="41"/>
      <c r="I401" s="41"/>
      <c r="J401" s="41"/>
      <c r="K401" s="41"/>
      <c r="L401" s="41"/>
      <c r="M401" s="41"/>
      <c r="N401" s="41"/>
      <c r="O401" s="41"/>
      <c r="P401" s="41"/>
      <c r="Q401" s="41"/>
      <c r="R401" s="41"/>
      <c r="S401" s="41"/>
      <c r="T401" s="41"/>
      <c r="U401" s="41"/>
      <c r="V401" s="41"/>
      <c r="W401" s="41"/>
      <c r="X401" s="41"/>
      <c r="Y401" s="41"/>
      <c r="Z401" s="41"/>
      <c r="AA401" s="41"/>
      <c r="AB401" s="41"/>
      <c r="AC401" s="41"/>
      <c r="AD401" s="41"/>
      <c r="AE401" s="41"/>
      <c r="AF401" s="41"/>
      <c r="AG401" s="41"/>
      <c r="AH401" s="41"/>
      <c r="AI401" s="41"/>
    </row>
    <row r="402" spans="1:35" ht="15.75" customHeight="1" x14ac:dyDescent="0.2">
      <c r="A402" s="41"/>
      <c r="B402" s="41"/>
      <c r="C402" s="41"/>
      <c r="D402" s="41"/>
      <c r="E402" s="41"/>
      <c r="F402" s="41"/>
      <c r="G402" s="41"/>
      <c r="H402" s="41"/>
      <c r="I402" s="41"/>
      <c r="J402" s="41"/>
      <c r="K402" s="41"/>
      <c r="L402" s="41"/>
      <c r="M402" s="41"/>
      <c r="N402" s="41"/>
      <c r="O402" s="41"/>
      <c r="P402" s="41"/>
      <c r="Q402" s="41"/>
      <c r="R402" s="41"/>
      <c r="S402" s="41"/>
      <c r="T402" s="41"/>
      <c r="U402" s="41"/>
      <c r="V402" s="41"/>
      <c r="W402" s="41"/>
      <c r="X402" s="41"/>
      <c r="Y402" s="41"/>
      <c r="Z402" s="41"/>
      <c r="AA402" s="41"/>
      <c r="AB402" s="41"/>
      <c r="AC402" s="41"/>
      <c r="AD402" s="41"/>
      <c r="AE402" s="41"/>
      <c r="AF402" s="41"/>
      <c r="AG402" s="41"/>
      <c r="AH402" s="41"/>
      <c r="AI402" s="41"/>
    </row>
    <row r="403" spans="1:35" ht="15.75" customHeight="1" x14ac:dyDescent="0.2">
      <c r="A403" s="41"/>
      <c r="B403" s="41"/>
      <c r="C403" s="41"/>
      <c r="D403" s="41"/>
      <c r="E403" s="41"/>
      <c r="F403" s="41"/>
      <c r="G403" s="41"/>
      <c r="H403" s="41"/>
      <c r="I403" s="41"/>
      <c r="J403" s="41"/>
      <c r="K403" s="41"/>
      <c r="L403" s="41"/>
      <c r="M403" s="41"/>
      <c r="N403" s="41"/>
      <c r="O403" s="41"/>
      <c r="P403" s="41"/>
      <c r="Q403" s="41"/>
      <c r="R403" s="41"/>
      <c r="S403" s="41"/>
      <c r="T403" s="41"/>
      <c r="U403" s="41"/>
      <c r="V403" s="41"/>
      <c r="W403" s="41"/>
      <c r="X403" s="41"/>
      <c r="Y403" s="41"/>
      <c r="Z403" s="41"/>
      <c r="AA403" s="41"/>
      <c r="AB403" s="41"/>
      <c r="AC403" s="41"/>
      <c r="AD403" s="41"/>
      <c r="AE403" s="41"/>
      <c r="AF403" s="41"/>
      <c r="AG403" s="41"/>
      <c r="AH403" s="41"/>
      <c r="AI403" s="41"/>
    </row>
    <row r="404" spans="1:35" ht="15.75" customHeight="1" x14ac:dyDescent="0.2">
      <c r="A404" s="41"/>
      <c r="B404" s="41"/>
      <c r="C404" s="41"/>
      <c r="D404" s="41"/>
      <c r="E404" s="41"/>
      <c r="F404" s="41"/>
      <c r="G404" s="41"/>
      <c r="H404" s="41"/>
      <c r="I404" s="41"/>
      <c r="J404" s="41"/>
      <c r="K404" s="41"/>
      <c r="L404" s="41"/>
      <c r="M404" s="41"/>
      <c r="N404" s="41"/>
      <c r="O404" s="41"/>
      <c r="P404" s="41"/>
      <c r="Q404" s="41"/>
      <c r="R404" s="41"/>
      <c r="S404" s="41"/>
      <c r="T404" s="41"/>
      <c r="U404" s="41"/>
      <c r="V404" s="41"/>
      <c r="W404" s="41"/>
      <c r="X404" s="41"/>
      <c r="Y404" s="41"/>
      <c r="Z404" s="41"/>
      <c r="AA404" s="41"/>
      <c r="AB404" s="41"/>
      <c r="AC404" s="41"/>
      <c r="AD404" s="41"/>
      <c r="AE404" s="41"/>
      <c r="AF404" s="41"/>
      <c r="AG404" s="41"/>
      <c r="AH404" s="41"/>
      <c r="AI404" s="41"/>
    </row>
    <row r="405" spans="1:35" ht="15.75" customHeight="1" x14ac:dyDescent="0.2">
      <c r="A405" s="41"/>
      <c r="B405" s="41"/>
      <c r="C405" s="41"/>
      <c r="D405" s="41"/>
      <c r="E405" s="41"/>
      <c r="F405" s="41"/>
      <c r="G405" s="41"/>
      <c r="H405" s="41"/>
      <c r="I405" s="41"/>
      <c r="J405" s="41"/>
      <c r="K405" s="41"/>
      <c r="L405" s="41"/>
      <c r="M405" s="41"/>
      <c r="N405" s="41"/>
      <c r="O405" s="41"/>
      <c r="P405" s="41"/>
      <c r="Q405" s="41"/>
      <c r="R405" s="41"/>
      <c r="S405" s="41"/>
      <c r="T405" s="41"/>
      <c r="U405" s="41"/>
      <c r="V405" s="41"/>
      <c r="W405" s="41"/>
      <c r="X405" s="41"/>
      <c r="Y405" s="41"/>
      <c r="Z405" s="41"/>
      <c r="AA405" s="41"/>
      <c r="AB405" s="41"/>
      <c r="AC405" s="41"/>
      <c r="AD405" s="41"/>
      <c r="AE405" s="41"/>
      <c r="AF405" s="41"/>
      <c r="AG405" s="41"/>
      <c r="AH405" s="41"/>
      <c r="AI405" s="41"/>
    </row>
    <row r="406" spans="1:35" ht="15.75" customHeight="1" x14ac:dyDescent="0.2">
      <c r="A406" s="41"/>
      <c r="B406" s="41"/>
      <c r="C406" s="41"/>
      <c r="D406" s="41"/>
      <c r="E406" s="41"/>
      <c r="F406" s="41"/>
      <c r="G406" s="41"/>
      <c r="H406" s="41"/>
      <c r="I406" s="41"/>
      <c r="J406" s="41"/>
      <c r="K406" s="41"/>
      <c r="L406" s="41"/>
      <c r="M406" s="41"/>
      <c r="N406" s="41"/>
      <c r="O406" s="41"/>
      <c r="P406" s="41"/>
      <c r="Q406" s="41"/>
      <c r="R406" s="41"/>
      <c r="S406" s="41"/>
      <c r="T406" s="41"/>
      <c r="U406" s="41"/>
      <c r="V406" s="41"/>
      <c r="W406" s="41"/>
      <c r="X406" s="41"/>
      <c r="Y406" s="41"/>
      <c r="Z406" s="41"/>
      <c r="AA406" s="41"/>
      <c r="AB406" s="41"/>
      <c r="AC406" s="41"/>
      <c r="AD406" s="41"/>
      <c r="AE406" s="41"/>
      <c r="AF406" s="41"/>
      <c r="AG406" s="41"/>
      <c r="AH406" s="41"/>
      <c r="AI406" s="41"/>
    </row>
    <row r="407" spans="1:35" ht="15.75" customHeight="1" x14ac:dyDescent="0.2">
      <c r="A407" s="41"/>
      <c r="B407" s="41"/>
      <c r="C407" s="41"/>
      <c r="D407" s="41"/>
      <c r="E407" s="41"/>
      <c r="F407" s="41"/>
      <c r="G407" s="41"/>
      <c r="H407" s="41"/>
      <c r="I407" s="41"/>
      <c r="J407" s="41"/>
      <c r="K407" s="41"/>
      <c r="L407" s="41"/>
      <c r="M407" s="41"/>
      <c r="N407" s="41"/>
      <c r="O407" s="41"/>
      <c r="P407" s="41"/>
      <c r="Q407" s="41"/>
      <c r="R407" s="41"/>
      <c r="S407" s="41"/>
      <c r="T407" s="41"/>
      <c r="U407" s="41"/>
      <c r="V407" s="41"/>
      <c r="W407" s="41"/>
      <c r="X407" s="41"/>
      <c r="Y407" s="41"/>
      <c r="Z407" s="41"/>
      <c r="AA407" s="41"/>
      <c r="AB407" s="41"/>
      <c r="AC407" s="41"/>
      <c r="AD407" s="41"/>
      <c r="AE407" s="41"/>
      <c r="AF407" s="41"/>
      <c r="AG407" s="41"/>
      <c r="AH407" s="41"/>
      <c r="AI407" s="41"/>
    </row>
    <row r="408" spans="1:35" ht="15.75" customHeight="1" x14ac:dyDescent="0.2">
      <c r="A408" s="41"/>
      <c r="B408" s="41"/>
      <c r="C408" s="41"/>
      <c r="D408" s="41"/>
      <c r="E408" s="41"/>
      <c r="F408" s="41"/>
      <c r="G408" s="41"/>
      <c r="H408" s="41"/>
      <c r="I408" s="41"/>
      <c r="J408" s="41"/>
      <c r="K408" s="41"/>
      <c r="L408" s="41"/>
      <c r="M408" s="41"/>
      <c r="N408" s="41"/>
      <c r="O408" s="41"/>
      <c r="P408" s="41"/>
      <c r="Q408" s="41"/>
      <c r="R408" s="41"/>
      <c r="S408" s="41"/>
      <c r="T408" s="41"/>
      <c r="U408" s="41"/>
      <c r="V408" s="41"/>
      <c r="W408" s="41"/>
      <c r="X408" s="41"/>
      <c r="Y408" s="41"/>
      <c r="Z408" s="41"/>
      <c r="AA408" s="41"/>
      <c r="AB408" s="41"/>
      <c r="AC408" s="41"/>
      <c r="AD408" s="41"/>
      <c r="AE408" s="41"/>
      <c r="AF408" s="41"/>
      <c r="AG408" s="41"/>
      <c r="AH408" s="41"/>
      <c r="AI408" s="41"/>
    </row>
    <row r="409" spans="1:35" ht="15.75" customHeight="1" x14ac:dyDescent="0.2">
      <c r="A409" s="41"/>
      <c r="B409" s="41"/>
      <c r="C409" s="41"/>
      <c r="D409" s="41"/>
      <c r="E409" s="41"/>
      <c r="F409" s="41"/>
      <c r="G409" s="41"/>
      <c r="H409" s="41"/>
      <c r="I409" s="41"/>
      <c r="J409" s="41"/>
      <c r="K409" s="41"/>
      <c r="L409" s="41"/>
      <c r="M409" s="41"/>
      <c r="N409" s="41"/>
      <c r="O409" s="41"/>
      <c r="P409" s="41"/>
      <c r="Q409" s="41"/>
      <c r="R409" s="41"/>
      <c r="S409" s="41"/>
      <c r="T409" s="41"/>
      <c r="U409" s="41"/>
      <c r="V409" s="41"/>
      <c r="W409" s="41"/>
      <c r="X409" s="41"/>
      <c r="Y409" s="41"/>
      <c r="Z409" s="41"/>
      <c r="AA409" s="41"/>
      <c r="AB409" s="41"/>
      <c r="AC409" s="41"/>
      <c r="AD409" s="41"/>
      <c r="AE409" s="41"/>
      <c r="AF409" s="41"/>
      <c r="AG409" s="41"/>
      <c r="AH409" s="41"/>
      <c r="AI409" s="41"/>
    </row>
    <row r="410" spans="1:35" ht="15.75" customHeight="1" x14ac:dyDescent="0.2">
      <c r="A410" s="41"/>
      <c r="B410" s="41"/>
      <c r="C410" s="41"/>
      <c r="D410" s="41"/>
      <c r="E410" s="41"/>
      <c r="F410" s="41"/>
      <c r="G410" s="41"/>
      <c r="H410" s="41"/>
      <c r="I410" s="41"/>
      <c r="J410" s="41"/>
      <c r="K410" s="41"/>
      <c r="L410" s="41"/>
      <c r="M410" s="41"/>
      <c r="N410" s="41"/>
      <c r="O410" s="41"/>
      <c r="P410" s="41"/>
      <c r="Q410" s="41"/>
      <c r="R410" s="41"/>
      <c r="S410" s="41"/>
      <c r="T410" s="41"/>
      <c r="U410" s="41"/>
      <c r="V410" s="41"/>
      <c r="W410" s="41"/>
      <c r="X410" s="41"/>
      <c r="Y410" s="41"/>
      <c r="Z410" s="41"/>
      <c r="AA410" s="41"/>
      <c r="AB410" s="41"/>
      <c r="AC410" s="41"/>
      <c r="AD410" s="41"/>
      <c r="AE410" s="41"/>
      <c r="AF410" s="41"/>
      <c r="AG410" s="41"/>
      <c r="AH410" s="41"/>
      <c r="AI410" s="41"/>
    </row>
    <row r="411" spans="1:35" ht="15.75" customHeight="1" x14ac:dyDescent="0.2">
      <c r="A411" s="41"/>
      <c r="B411" s="41"/>
      <c r="C411" s="41"/>
      <c r="D411" s="41"/>
      <c r="E411" s="41"/>
      <c r="F411" s="41"/>
      <c r="G411" s="41"/>
      <c r="H411" s="41"/>
      <c r="I411" s="41"/>
      <c r="J411" s="41"/>
      <c r="K411" s="41"/>
      <c r="L411" s="41"/>
      <c r="M411" s="41"/>
      <c r="N411" s="41"/>
      <c r="O411" s="41"/>
      <c r="P411" s="41"/>
      <c r="Q411" s="41"/>
      <c r="R411" s="41"/>
      <c r="S411" s="41"/>
      <c r="T411" s="41"/>
      <c r="U411" s="41"/>
      <c r="V411" s="41"/>
      <c r="W411" s="41"/>
      <c r="X411" s="41"/>
      <c r="Y411" s="41"/>
      <c r="Z411" s="41"/>
      <c r="AA411" s="41"/>
      <c r="AB411" s="41"/>
      <c r="AC411" s="41"/>
      <c r="AD411" s="41"/>
      <c r="AE411" s="41"/>
      <c r="AF411" s="41"/>
      <c r="AG411" s="41"/>
      <c r="AH411" s="41"/>
      <c r="AI411" s="41"/>
    </row>
    <row r="412" spans="1:35" ht="15.75" customHeight="1" x14ac:dyDescent="0.2">
      <c r="A412" s="41"/>
      <c r="B412" s="41"/>
      <c r="C412" s="41"/>
      <c r="D412" s="41"/>
      <c r="E412" s="41"/>
      <c r="F412" s="41"/>
      <c r="G412" s="41"/>
      <c r="H412" s="41"/>
      <c r="I412" s="41"/>
      <c r="J412" s="41"/>
      <c r="K412" s="41"/>
      <c r="L412" s="41"/>
      <c r="M412" s="41"/>
      <c r="N412" s="41"/>
      <c r="O412" s="41"/>
      <c r="P412" s="41"/>
      <c r="Q412" s="41"/>
      <c r="R412" s="41"/>
      <c r="S412" s="41"/>
      <c r="T412" s="41"/>
      <c r="U412" s="41"/>
      <c r="V412" s="41"/>
      <c r="W412" s="41"/>
      <c r="X412" s="41"/>
      <c r="Y412" s="41"/>
      <c r="Z412" s="41"/>
      <c r="AA412" s="41"/>
      <c r="AB412" s="41"/>
      <c r="AC412" s="41"/>
      <c r="AD412" s="41"/>
      <c r="AE412" s="41"/>
      <c r="AF412" s="41"/>
      <c r="AG412" s="41"/>
      <c r="AH412" s="41"/>
      <c r="AI412" s="41"/>
    </row>
    <row r="413" spans="1:35" ht="15.75" customHeight="1" x14ac:dyDescent="0.2">
      <c r="A413" s="41"/>
      <c r="B413" s="41"/>
      <c r="C413" s="41"/>
      <c r="D413" s="41"/>
      <c r="E413" s="41"/>
      <c r="F413" s="41"/>
      <c r="G413" s="41"/>
      <c r="H413" s="41"/>
      <c r="I413" s="41"/>
      <c r="J413" s="41"/>
      <c r="K413" s="41"/>
      <c r="L413" s="41"/>
      <c r="M413" s="41"/>
      <c r="N413" s="41"/>
      <c r="O413" s="41"/>
      <c r="P413" s="41"/>
      <c r="Q413" s="41"/>
      <c r="R413" s="41"/>
      <c r="S413" s="41"/>
      <c r="T413" s="41"/>
      <c r="U413" s="41"/>
      <c r="V413" s="41"/>
      <c r="W413" s="41"/>
      <c r="X413" s="41"/>
      <c r="Y413" s="41"/>
      <c r="Z413" s="41"/>
      <c r="AA413" s="41"/>
      <c r="AB413" s="41"/>
      <c r="AC413" s="41"/>
      <c r="AD413" s="41"/>
      <c r="AE413" s="41"/>
      <c r="AF413" s="41"/>
      <c r="AG413" s="41"/>
      <c r="AH413" s="41"/>
      <c r="AI413" s="41"/>
    </row>
    <row r="414" spans="1:35" ht="15.75" customHeight="1" x14ac:dyDescent="0.2">
      <c r="A414" s="41"/>
      <c r="B414" s="41"/>
      <c r="C414" s="41"/>
      <c r="D414" s="41"/>
      <c r="E414" s="41"/>
      <c r="F414" s="41"/>
      <c r="G414" s="41"/>
      <c r="H414" s="41"/>
      <c r="I414" s="41"/>
      <c r="J414" s="41"/>
      <c r="K414" s="41"/>
      <c r="L414" s="41"/>
      <c r="M414" s="41"/>
      <c r="N414" s="41"/>
      <c r="O414" s="41"/>
      <c r="P414" s="41"/>
      <c r="Q414" s="41"/>
      <c r="R414" s="41"/>
      <c r="S414" s="41"/>
      <c r="T414" s="41"/>
      <c r="U414" s="41"/>
      <c r="V414" s="41"/>
      <c r="W414" s="41"/>
      <c r="X414" s="41"/>
      <c r="Y414" s="41"/>
      <c r="Z414" s="41"/>
      <c r="AA414" s="41"/>
      <c r="AB414" s="41"/>
      <c r="AC414" s="41"/>
      <c r="AD414" s="41"/>
      <c r="AE414" s="41"/>
      <c r="AF414" s="41"/>
      <c r="AG414" s="41"/>
      <c r="AH414" s="41"/>
      <c r="AI414" s="41"/>
    </row>
    <row r="415" spans="1:35" ht="15.75" customHeight="1" x14ac:dyDescent="0.2">
      <c r="A415" s="41"/>
      <c r="B415" s="41"/>
      <c r="C415" s="41"/>
      <c r="D415" s="41"/>
      <c r="E415" s="41"/>
      <c r="F415" s="41"/>
      <c r="G415" s="41"/>
      <c r="H415" s="41"/>
      <c r="I415" s="41"/>
      <c r="J415" s="41"/>
      <c r="K415" s="41"/>
      <c r="L415" s="41"/>
      <c r="M415" s="41"/>
      <c r="N415" s="41"/>
      <c r="O415" s="41"/>
      <c r="P415" s="41"/>
      <c r="Q415" s="41"/>
      <c r="R415" s="41"/>
      <c r="S415" s="41"/>
      <c r="T415" s="41"/>
      <c r="U415" s="41"/>
      <c r="V415" s="41"/>
      <c r="W415" s="41"/>
      <c r="X415" s="41"/>
      <c r="Y415" s="41"/>
      <c r="Z415" s="41"/>
      <c r="AA415" s="41"/>
      <c r="AB415" s="41"/>
      <c r="AC415" s="41"/>
      <c r="AD415" s="41"/>
      <c r="AE415" s="41"/>
      <c r="AF415" s="41"/>
      <c r="AG415" s="41"/>
      <c r="AH415" s="41"/>
      <c r="AI415" s="41"/>
    </row>
    <row r="416" spans="1:35" ht="15.75" customHeight="1" x14ac:dyDescent="0.2">
      <c r="A416" s="41"/>
      <c r="B416" s="41"/>
      <c r="C416" s="41"/>
      <c r="D416" s="41"/>
      <c r="E416" s="41"/>
      <c r="F416" s="41"/>
      <c r="G416" s="41"/>
      <c r="H416" s="41"/>
      <c r="I416" s="41"/>
      <c r="J416" s="41"/>
      <c r="K416" s="41"/>
      <c r="L416" s="41"/>
      <c r="M416" s="41"/>
      <c r="N416" s="41"/>
      <c r="O416" s="41"/>
      <c r="P416" s="41"/>
      <c r="Q416" s="41"/>
      <c r="R416" s="41"/>
      <c r="S416" s="41"/>
      <c r="T416" s="41"/>
      <c r="U416" s="41"/>
      <c r="V416" s="41"/>
      <c r="W416" s="41"/>
      <c r="X416" s="41"/>
      <c r="Y416" s="41"/>
      <c r="Z416" s="41"/>
      <c r="AA416" s="41"/>
      <c r="AB416" s="41"/>
      <c r="AC416" s="41"/>
      <c r="AD416" s="41"/>
      <c r="AE416" s="41"/>
      <c r="AF416" s="41"/>
      <c r="AG416" s="41"/>
      <c r="AH416" s="41"/>
      <c r="AI416" s="41"/>
    </row>
    <row r="417" spans="1:35" ht="15.75" customHeight="1" x14ac:dyDescent="0.2">
      <c r="A417" s="41"/>
      <c r="B417" s="41"/>
      <c r="C417" s="41"/>
      <c r="D417" s="41"/>
      <c r="E417" s="41"/>
      <c r="F417" s="41"/>
      <c r="G417" s="41"/>
      <c r="H417" s="41"/>
      <c r="I417" s="41"/>
      <c r="J417" s="41"/>
      <c r="K417" s="41"/>
      <c r="L417" s="41"/>
      <c r="M417" s="41"/>
      <c r="N417" s="41"/>
      <c r="O417" s="41"/>
      <c r="P417" s="41"/>
      <c r="Q417" s="41"/>
      <c r="R417" s="41"/>
      <c r="S417" s="41"/>
      <c r="T417" s="41"/>
      <c r="U417" s="41"/>
      <c r="V417" s="41"/>
      <c r="W417" s="41"/>
      <c r="X417" s="41"/>
      <c r="Y417" s="41"/>
      <c r="Z417" s="41"/>
      <c r="AA417" s="41"/>
      <c r="AB417" s="41"/>
      <c r="AC417" s="41"/>
      <c r="AD417" s="41"/>
      <c r="AE417" s="41"/>
      <c r="AF417" s="41"/>
      <c r="AG417" s="41"/>
      <c r="AH417" s="41"/>
      <c r="AI417" s="41"/>
    </row>
    <row r="418" spans="1:35" ht="15.75" customHeight="1" x14ac:dyDescent="0.2">
      <c r="A418" s="41"/>
      <c r="B418" s="41"/>
      <c r="C418" s="41"/>
      <c r="D418" s="41"/>
      <c r="E418" s="41"/>
      <c r="F418" s="41"/>
      <c r="G418" s="41"/>
      <c r="H418" s="41"/>
      <c r="I418" s="41"/>
      <c r="J418" s="41"/>
      <c r="K418" s="41"/>
      <c r="L418" s="41"/>
      <c r="M418" s="41"/>
      <c r="N418" s="41"/>
      <c r="O418" s="41"/>
      <c r="P418" s="41"/>
      <c r="Q418" s="41"/>
      <c r="R418" s="41"/>
      <c r="S418" s="41"/>
      <c r="T418" s="41"/>
      <c r="U418" s="41"/>
      <c r="V418" s="41"/>
      <c r="W418" s="41"/>
      <c r="X418" s="41"/>
      <c r="Y418" s="41"/>
      <c r="Z418" s="41"/>
      <c r="AA418" s="41"/>
      <c r="AB418" s="41"/>
      <c r="AC418" s="41"/>
      <c r="AD418" s="41"/>
      <c r="AE418" s="41"/>
      <c r="AF418" s="41"/>
      <c r="AG418" s="41"/>
      <c r="AH418" s="41"/>
      <c r="AI418" s="41"/>
    </row>
    <row r="419" spans="1:35" ht="15.75" customHeight="1" x14ac:dyDescent="0.2">
      <c r="A419" s="41"/>
      <c r="B419" s="41"/>
      <c r="C419" s="41"/>
      <c r="D419" s="41"/>
      <c r="E419" s="41"/>
      <c r="F419" s="41"/>
      <c r="G419" s="41"/>
      <c r="H419" s="41"/>
      <c r="I419" s="41"/>
      <c r="J419" s="41"/>
      <c r="K419" s="41"/>
      <c r="L419" s="41"/>
      <c r="M419" s="41"/>
      <c r="N419" s="41"/>
      <c r="O419" s="41"/>
      <c r="P419" s="41"/>
      <c r="Q419" s="41"/>
      <c r="R419" s="41"/>
      <c r="S419" s="41"/>
      <c r="T419" s="41"/>
      <c r="U419" s="41"/>
      <c r="V419" s="41"/>
      <c r="W419" s="41"/>
      <c r="X419" s="41"/>
      <c r="Y419" s="41"/>
      <c r="Z419" s="41"/>
      <c r="AA419" s="41"/>
      <c r="AB419" s="41"/>
      <c r="AC419" s="41"/>
      <c r="AD419" s="41"/>
      <c r="AE419" s="41"/>
      <c r="AF419" s="41"/>
      <c r="AG419" s="41"/>
      <c r="AH419" s="41"/>
      <c r="AI419" s="41"/>
    </row>
    <row r="420" spans="1:35" ht="15.75" customHeight="1" x14ac:dyDescent="0.2">
      <c r="A420" s="41"/>
      <c r="B420" s="41"/>
      <c r="C420" s="41"/>
      <c r="D420" s="41"/>
      <c r="E420" s="41"/>
      <c r="F420" s="41"/>
      <c r="G420" s="41"/>
      <c r="H420" s="41"/>
      <c r="I420" s="41"/>
      <c r="J420" s="41"/>
      <c r="K420" s="41"/>
      <c r="L420" s="41"/>
      <c r="M420" s="41"/>
      <c r="N420" s="41"/>
      <c r="O420" s="41"/>
      <c r="P420" s="41"/>
      <c r="Q420" s="41"/>
      <c r="R420" s="41"/>
      <c r="S420" s="41"/>
      <c r="T420" s="41"/>
      <c r="U420" s="41"/>
      <c r="V420" s="41"/>
      <c r="W420" s="41"/>
      <c r="X420" s="41"/>
      <c r="Y420" s="41"/>
      <c r="Z420" s="41"/>
      <c r="AA420" s="41"/>
      <c r="AB420" s="41"/>
      <c r="AC420" s="41"/>
      <c r="AD420" s="41"/>
      <c r="AE420" s="41"/>
      <c r="AF420" s="41"/>
      <c r="AG420" s="41"/>
      <c r="AH420" s="41"/>
      <c r="AI420" s="41"/>
    </row>
    <row r="421" spans="1:35" ht="15.75" customHeight="1" x14ac:dyDescent="0.2">
      <c r="A421" s="41"/>
      <c r="B421" s="41"/>
      <c r="C421" s="41"/>
      <c r="D421" s="41"/>
      <c r="E421" s="41"/>
      <c r="F421" s="41"/>
      <c r="G421" s="41"/>
      <c r="H421" s="41"/>
      <c r="I421" s="41"/>
      <c r="J421" s="41"/>
      <c r="K421" s="41"/>
      <c r="L421" s="41"/>
      <c r="M421" s="41"/>
      <c r="N421" s="41"/>
      <c r="O421" s="41"/>
      <c r="P421" s="41"/>
      <c r="Q421" s="41"/>
      <c r="R421" s="41"/>
      <c r="S421" s="41"/>
      <c r="T421" s="41"/>
      <c r="U421" s="41"/>
      <c r="V421" s="41"/>
      <c r="W421" s="41"/>
      <c r="X421" s="41"/>
      <c r="Y421" s="41"/>
      <c r="Z421" s="41"/>
      <c r="AA421" s="41"/>
      <c r="AB421" s="41"/>
      <c r="AC421" s="41"/>
      <c r="AD421" s="41"/>
      <c r="AE421" s="41"/>
      <c r="AF421" s="41"/>
      <c r="AG421" s="41"/>
      <c r="AH421" s="41"/>
      <c r="AI421" s="41"/>
    </row>
    <row r="422" spans="1:35" ht="15.75" customHeight="1" x14ac:dyDescent="0.2">
      <c r="A422" s="41"/>
      <c r="B422" s="41"/>
      <c r="C422" s="41"/>
      <c r="D422" s="41"/>
      <c r="E422" s="41"/>
      <c r="F422" s="41"/>
      <c r="G422" s="41"/>
      <c r="H422" s="41"/>
      <c r="I422" s="41"/>
      <c r="J422" s="41"/>
      <c r="K422" s="41"/>
      <c r="L422" s="41"/>
      <c r="M422" s="41"/>
      <c r="N422" s="41"/>
      <c r="O422" s="41"/>
      <c r="P422" s="41"/>
      <c r="Q422" s="41"/>
      <c r="R422" s="41"/>
      <c r="S422" s="41"/>
      <c r="T422" s="41"/>
      <c r="U422" s="41"/>
      <c r="V422" s="41"/>
      <c r="W422" s="41"/>
      <c r="X422" s="41"/>
      <c r="Y422" s="41"/>
      <c r="Z422" s="41"/>
      <c r="AA422" s="41"/>
      <c r="AB422" s="41"/>
      <c r="AC422" s="41"/>
      <c r="AD422" s="41"/>
      <c r="AE422" s="41"/>
      <c r="AF422" s="41"/>
      <c r="AG422" s="41"/>
      <c r="AH422" s="41"/>
      <c r="AI422" s="41"/>
    </row>
    <row r="423" spans="1:35" ht="15.75" customHeight="1" x14ac:dyDescent="0.2">
      <c r="A423" s="41"/>
      <c r="B423" s="41"/>
      <c r="C423" s="41"/>
      <c r="D423" s="41"/>
      <c r="E423" s="41"/>
      <c r="F423" s="41"/>
      <c r="G423" s="41"/>
      <c r="H423" s="41"/>
      <c r="I423" s="41"/>
      <c r="J423" s="41"/>
      <c r="K423" s="41"/>
      <c r="L423" s="41"/>
      <c r="M423" s="41"/>
      <c r="N423" s="41"/>
      <c r="O423" s="41"/>
      <c r="P423" s="41"/>
      <c r="Q423" s="41"/>
      <c r="R423" s="41"/>
      <c r="S423" s="41"/>
      <c r="T423" s="41"/>
      <c r="U423" s="41"/>
      <c r="V423" s="41"/>
      <c r="W423" s="41"/>
      <c r="X423" s="41"/>
      <c r="Y423" s="41"/>
      <c r="Z423" s="41"/>
      <c r="AA423" s="41"/>
      <c r="AB423" s="41"/>
      <c r="AC423" s="41"/>
      <c r="AD423" s="41"/>
      <c r="AE423" s="41"/>
      <c r="AF423" s="41"/>
      <c r="AG423" s="41"/>
      <c r="AH423" s="41"/>
      <c r="AI423" s="41"/>
    </row>
    <row r="424" spans="1:35" ht="15.75" customHeight="1" x14ac:dyDescent="0.2">
      <c r="A424" s="41"/>
      <c r="B424" s="41"/>
      <c r="C424" s="41"/>
      <c r="D424" s="41"/>
      <c r="E424" s="41"/>
      <c r="F424" s="41"/>
      <c r="G424" s="41"/>
      <c r="H424" s="41"/>
      <c r="I424" s="41"/>
      <c r="J424" s="41"/>
      <c r="K424" s="41"/>
      <c r="L424" s="41"/>
      <c r="M424" s="41"/>
      <c r="N424" s="41"/>
      <c r="O424" s="41"/>
      <c r="P424" s="41"/>
      <c r="Q424" s="41"/>
      <c r="R424" s="41"/>
      <c r="S424" s="41"/>
      <c r="T424" s="41"/>
      <c r="U424" s="41"/>
      <c r="V424" s="41"/>
      <c r="W424" s="41"/>
      <c r="X424" s="41"/>
      <c r="Y424" s="41"/>
      <c r="Z424" s="41"/>
      <c r="AA424" s="41"/>
      <c r="AB424" s="41"/>
      <c r="AC424" s="41"/>
      <c r="AD424" s="41"/>
      <c r="AE424" s="41"/>
      <c r="AF424" s="41"/>
      <c r="AG424" s="41"/>
      <c r="AH424" s="41"/>
      <c r="AI424" s="41"/>
    </row>
    <row r="425" spans="1:35" ht="15.75" customHeight="1" x14ac:dyDescent="0.2">
      <c r="A425" s="41"/>
      <c r="B425" s="41"/>
      <c r="C425" s="41"/>
      <c r="D425" s="41"/>
      <c r="E425" s="41"/>
      <c r="F425" s="41"/>
      <c r="G425" s="41"/>
      <c r="H425" s="41"/>
      <c r="I425" s="41"/>
      <c r="J425" s="41"/>
      <c r="K425" s="41"/>
      <c r="L425" s="41"/>
      <c r="M425" s="41"/>
      <c r="N425" s="41"/>
      <c r="O425" s="41"/>
      <c r="P425" s="41"/>
      <c r="Q425" s="41"/>
      <c r="R425" s="41"/>
      <c r="S425" s="41"/>
      <c r="T425" s="41"/>
      <c r="U425" s="41"/>
      <c r="V425" s="41"/>
      <c r="W425" s="41"/>
      <c r="X425" s="41"/>
      <c r="Y425" s="41"/>
      <c r="Z425" s="41"/>
      <c r="AA425" s="41"/>
      <c r="AB425" s="41"/>
      <c r="AC425" s="41"/>
      <c r="AD425" s="41"/>
      <c r="AE425" s="41"/>
      <c r="AF425" s="41"/>
      <c r="AG425" s="41"/>
      <c r="AH425" s="41"/>
      <c r="AI425" s="41"/>
    </row>
    <row r="426" spans="1:35" ht="15.75" customHeight="1" x14ac:dyDescent="0.2">
      <c r="A426" s="41"/>
      <c r="B426" s="41"/>
      <c r="C426" s="41"/>
      <c r="D426" s="41"/>
      <c r="E426" s="41"/>
      <c r="F426" s="41"/>
      <c r="G426" s="41"/>
      <c r="H426" s="41"/>
      <c r="I426" s="41"/>
      <c r="J426" s="41"/>
      <c r="K426" s="41"/>
      <c r="L426" s="41"/>
      <c r="M426" s="41"/>
      <c r="N426" s="41"/>
      <c r="O426" s="41"/>
      <c r="P426" s="41"/>
      <c r="Q426" s="41"/>
      <c r="R426" s="41"/>
      <c r="S426" s="41"/>
      <c r="T426" s="41"/>
      <c r="U426" s="41"/>
      <c r="V426" s="41"/>
      <c r="W426" s="41"/>
      <c r="X426" s="41"/>
      <c r="Y426" s="41"/>
      <c r="Z426" s="41"/>
      <c r="AA426" s="41"/>
      <c r="AB426" s="41"/>
      <c r="AC426" s="41"/>
      <c r="AD426" s="41"/>
      <c r="AE426" s="41"/>
      <c r="AF426" s="41"/>
      <c r="AG426" s="41"/>
      <c r="AH426" s="41"/>
      <c r="AI426" s="41"/>
    </row>
    <row r="427" spans="1:35" ht="15.75" customHeight="1" x14ac:dyDescent="0.2">
      <c r="A427" s="41"/>
      <c r="B427" s="41"/>
      <c r="C427" s="41"/>
      <c r="D427" s="41"/>
      <c r="E427" s="41"/>
      <c r="F427" s="41"/>
      <c r="G427" s="41"/>
      <c r="H427" s="41"/>
      <c r="I427" s="41"/>
      <c r="J427" s="41"/>
      <c r="K427" s="41"/>
      <c r="L427" s="41"/>
      <c r="M427" s="41"/>
      <c r="N427" s="41"/>
      <c r="O427" s="41"/>
      <c r="P427" s="41"/>
      <c r="Q427" s="41"/>
      <c r="R427" s="41"/>
      <c r="S427" s="41"/>
      <c r="T427" s="41"/>
      <c r="U427" s="41"/>
      <c r="V427" s="41"/>
      <c r="W427" s="41"/>
      <c r="X427" s="41"/>
      <c r="Y427" s="41"/>
      <c r="Z427" s="41"/>
      <c r="AA427" s="41"/>
      <c r="AB427" s="41"/>
      <c r="AC427" s="41"/>
      <c r="AD427" s="41"/>
      <c r="AE427" s="41"/>
      <c r="AF427" s="41"/>
      <c r="AG427" s="41"/>
      <c r="AH427" s="41"/>
      <c r="AI427" s="41"/>
    </row>
    <row r="428" spans="1:35" ht="15.75" customHeight="1" x14ac:dyDescent="0.2">
      <c r="A428" s="41"/>
      <c r="B428" s="41"/>
      <c r="C428" s="41"/>
      <c r="D428" s="41"/>
      <c r="E428" s="41"/>
      <c r="F428" s="41"/>
      <c r="G428" s="41"/>
      <c r="H428" s="41"/>
      <c r="I428" s="41"/>
      <c r="J428" s="41"/>
      <c r="K428" s="41"/>
      <c r="L428" s="41"/>
      <c r="M428" s="41"/>
      <c r="N428" s="41"/>
      <c r="O428" s="41"/>
      <c r="P428" s="41"/>
      <c r="Q428" s="41"/>
      <c r="R428" s="41"/>
      <c r="S428" s="41"/>
      <c r="T428" s="41"/>
      <c r="U428" s="41"/>
      <c r="V428" s="41"/>
      <c r="W428" s="41"/>
      <c r="X428" s="41"/>
      <c r="Y428" s="41"/>
      <c r="Z428" s="41"/>
      <c r="AA428" s="41"/>
      <c r="AB428" s="41"/>
      <c r="AC428" s="41"/>
      <c r="AD428" s="41"/>
      <c r="AE428" s="41"/>
      <c r="AF428" s="41"/>
      <c r="AG428" s="41"/>
      <c r="AH428" s="41"/>
      <c r="AI428" s="41"/>
    </row>
    <row r="429" spans="1:35" ht="15.75" customHeight="1" x14ac:dyDescent="0.2">
      <c r="A429" s="41"/>
      <c r="B429" s="41"/>
      <c r="C429" s="41"/>
      <c r="D429" s="41"/>
      <c r="E429" s="41"/>
      <c r="F429" s="41"/>
      <c r="G429" s="41"/>
      <c r="H429" s="41"/>
      <c r="I429" s="41"/>
      <c r="J429" s="41"/>
      <c r="K429" s="41"/>
      <c r="L429" s="41"/>
      <c r="M429" s="41"/>
      <c r="N429" s="41"/>
      <c r="O429" s="41"/>
      <c r="P429" s="41"/>
      <c r="Q429" s="41"/>
      <c r="R429" s="41"/>
      <c r="S429" s="41"/>
      <c r="T429" s="41"/>
      <c r="U429" s="41"/>
      <c r="V429" s="41"/>
      <c r="W429" s="41"/>
      <c r="X429" s="41"/>
      <c r="Y429" s="41"/>
      <c r="Z429" s="41"/>
      <c r="AA429" s="41"/>
      <c r="AB429" s="41"/>
      <c r="AC429" s="41"/>
      <c r="AD429" s="41"/>
      <c r="AE429" s="41"/>
      <c r="AF429" s="41"/>
      <c r="AG429" s="41"/>
      <c r="AH429" s="41"/>
      <c r="AI429" s="41"/>
    </row>
    <row r="430" spans="1:35" ht="15.75" customHeight="1" x14ac:dyDescent="0.2">
      <c r="A430" s="41"/>
      <c r="B430" s="41"/>
      <c r="C430" s="41"/>
      <c r="D430" s="41"/>
      <c r="E430" s="41"/>
      <c r="F430" s="41"/>
      <c r="G430" s="41"/>
      <c r="H430" s="41"/>
      <c r="I430" s="41"/>
      <c r="J430" s="41"/>
      <c r="K430" s="41"/>
      <c r="L430" s="41"/>
      <c r="M430" s="41"/>
      <c r="N430" s="41"/>
      <c r="O430" s="41"/>
      <c r="P430" s="41"/>
      <c r="Q430" s="41"/>
      <c r="R430" s="41"/>
      <c r="S430" s="41"/>
      <c r="T430" s="41"/>
      <c r="U430" s="41"/>
      <c r="V430" s="41"/>
      <c r="W430" s="41"/>
      <c r="X430" s="41"/>
      <c r="Y430" s="41"/>
      <c r="Z430" s="41"/>
      <c r="AA430" s="41"/>
      <c r="AB430" s="41"/>
      <c r="AC430" s="41"/>
      <c r="AD430" s="41"/>
      <c r="AE430" s="41"/>
      <c r="AF430" s="41"/>
      <c r="AG430" s="41"/>
      <c r="AH430" s="41"/>
      <c r="AI430" s="41"/>
    </row>
    <row r="431" spans="1:35" ht="15.75" customHeight="1" x14ac:dyDescent="0.2">
      <c r="A431" s="41"/>
      <c r="B431" s="41"/>
      <c r="C431" s="41"/>
      <c r="D431" s="41"/>
      <c r="E431" s="41"/>
      <c r="F431" s="41"/>
      <c r="G431" s="41"/>
      <c r="H431" s="41"/>
      <c r="I431" s="41"/>
      <c r="J431" s="41"/>
      <c r="K431" s="41"/>
      <c r="L431" s="41"/>
      <c r="M431" s="41"/>
      <c r="N431" s="41"/>
      <c r="O431" s="41"/>
      <c r="P431" s="41"/>
      <c r="Q431" s="41"/>
      <c r="R431" s="41"/>
      <c r="S431" s="41"/>
      <c r="T431" s="41"/>
      <c r="U431" s="41"/>
      <c r="V431" s="41"/>
      <c r="W431" s="41"/>
      <c r="X431" s="41"/>
      <c r="Y431" s="41"/>
      <c r="Z431" s="41"/>
      <c r="AA431" s="41"/>
      <c r="AB431" s="41"/>
      <c r="AC431" s="41"/>
      <c r="AD431" s="41"/>
      <c r="AE431" s="41"/>
      <c r="AF431" s="41"/>
      <c r="AG431" s="41"/>
      <c r="AH431" s="41"/>
      <c r="AI431" s="41"/>
    </row>
    <row r="432" spans="1:35" ht="15.75" customHeight="1" x14ac:dyDescent="0.2">
      <c r="A432" s="41"/>
      <c r="B432" s="41"/>
      <c r="C432" s="41"/>
      <c r="D432" s="41"/>
      <c r="E432" s="41"/>
      <c r="F432" s="41"/>
      <c r="G432" s="41"/>
      <c r="H432" s="41"/>
      <c r="I432" s="41"/>
      <c r="J432" s="41"/>
      <c r="K432" s="41"/>
      <c r="L432" s="41"/>
      <c r="M432" s="41"/>
      <c r="N432" s="41"/>
      <c r="O432" s="41"/>
      <c r="P432" s="41"/>
      <c r="Q432" s="41"/>
      <c r="R432" s="41"/>
      <c r="S432" s="41"/>
      <c r="T432" s="41"/>
      <c r="U432" s="41"/>
      <c r="V432" s="41"/>
      <c r="W432" s="41"/>
      <c r="X432" s="41"/>
      <c r="Y432" s="41"/>
      <c r="Z432" s="41"/>
      <c r="AA432" s="41"/>
      <c r="AB432" s="41"/>
      <c r="AC432" s="41"/>
      <c r="AD432" s="41"/>
      <c r="AE432" s="41"/>
      <c r="AF432" s="41"/>
      <c r="AG432" s="41"/>
      <c r="AH432" s="41"/>
      <c r="AI432" s="41"/>
    </row>
    <row r="433" spans="1:35" ht="15.75" customHeight="1" x14ac:dyDescent="0.2">
      <c r="A433" s="41"/>
      <c r="B433" s="41"/>
      <c r="C433" s="41"/>
      <c r="D433" s="41"/>
      <c r="E433" s="41"/>
      <c r="F433" s="41"/>
      <c r="G433" s="41"/>
      <c r="H433" s="41"/>
      <c r="I433" s="41"/>
      <c r="J433" s="41"/>
      <c r="K433" s="41"/>
      <c r="L433" s="41"/>
      <c r="M433" s="41"/>
      <c r="N433" s="41"/>
      <c r="O433" s="41"/>
      <c r="P433" s="41"/>
      <c r="Q433" s="41"/>
      <c r="R433" s="41"/>
      <c r="S433" s="41"/>
      <c r="T433" s="41"/>
      <c r="U433" s="41"/>
      <c r="V433" s="41"/>
      <c r="W433" s="41"/>
      <c r="X433" s="41"/>
      <c r="Y433" s="41"/>
      <c r="Z433" s="41"/>
      <c r="AA433" s="41"/>
      <c r="AB433" s="41"/>
      <c r="AC433" s="41"/>
      <c r="AD433" s="41"/>
      <c r="AE433" s="41"/>
      <c r="AF433" s="41"/>
      <c r="AG433" s="41"/>
      <c r="AH433" s="41"/>
      <c r="AI433" s="41"/>
    </row>
    <row r="434" spans="1:35" ht="15.75" customHeight="1" x14ac:dyDescent="0.2">
      <c r="A434" s="41"/>
      <c r="B434" s="41"/>
      <c r="C434" s="41"/>
      <c r="D434" s="41"/>
      <c r="E434" s="41"/>
      <c r="F434" s="41"/>
      <c r="G434" s="41"/>
      <c r="H434" s="41"/>
      <c r="I434" s="41"/>
      <c r="J434" s="41"/>
      <c r="K434" s="41"/>
      <c r="L434" s="41"/>
      <c r="M434" s="41"/>
      <c r="N434" s="41"/>
      <c r="O434" s="41"/>
      <c r="P434" s="41"/>
      <c r="Q434" s="41"/>
      <c r="R434" s="41"/>
      <c r="S434" s="41"/>
      <c r="T434" s="41"/>
      <c r="U434" s="41"/>
      <c r="V434" s="41"/>
      <c r="W434" s="41"/>
      <c r="X434" s="41"/>
      <c r="Y434" s="41"/>
      <c r="Z434" s="41"/>
      <c r="AA434" s="41"/>
      <c r="AB434" s="41"/>
      <c r="AC434" s="41"/>
      <c r="AD434" s="41"/>
      <c r="AE434" s="41"/>
      <c r="AF434" s="41"/>
      <c r="AG434" s="41"/>
      <c r="AH434" s="41"/>
      <c r="AI434" s="41"/>
    </row>
    <row r="435" spans="1:35" ht="15.75" customHeight="1" x14ac:dyDescent="0.2">
      <c r="A435" s="41"/>
      <c r="B435" s="41"/>
      <c r="C435" s="41"/>
      <c r="D435" s="41"/>
      <c r="E435" s="41"/>
      <c r="F435" s="41"/>
      <c r="G435" s="41"/>
      <c r="H435" s="41"/>
      <c r="I435" s="41"/>
      <c r="J435" s="41"/>
      <c r="K435" s="41"/>
      <c r="L435" s="41"/>
      <c r="M435" s="41"/>
      <c r="N435" s="41"/>
      <c r="O435" s="41"/>
      <c r="P435" s="41"/>
      <c r="Q435" s="41"/>
      <c r="R435" s="41"/>
      <c r="S435" s="41"/>
      <c r="T435" s="41"/>
      <c r="U435" s="41"/>
      <c r="V435" s="41"/>
      <c r="W435" s="41"/>
      <c r="X435" s="41"/>
      <c r="Y435" s="41"/>
      <c r="Z435" s="41"/>
      <c r="AA435" s="41"/>
      <c r="AB435" s="41"/>
      <c r="AC435" s="41"/>
      <c r="AD435" s="41"/>
      <c r="AE435" s="41"/>
      <c r="AF435" s="41"/>
      <c r="AG435" s="41"/>
      <c r="AH435" s="41"/>
      <c r="AI435" s="41"/>
    </row>
    <row r="436" spans="1:35" ht="15.75" customHeight="1" x14ac:dyDescent="0.2">
      <c r="A436" s="41"/>
      <c r="B436" s="41"/>
      <c r="C436" s="41"/>
      <c r="D436" s="41"/>
      <c r="E436" s="41"/>
      <c r="F436" s="41"/>
      <c r="G436" s="41"/>
      <c r="H436" s="41"/>
      <c r="I436" s="41"/>
      <c r="J436" s="41"/>
      <c r="K436" s="41"/>
      <c r="L436" s="41"/>
      <c r="M436" s="41"/>
      <c r="N436" s="41"/>
      <c r="O436" s="41"/>
      <c r="P436" s="41"/>
      <c r="Q436" s="41"/>
      <c r="R436" s="41"/>
      <c r="S436" s="41"/>
      <c r="T436" s="41"/>
      <c r="U436" s="41"/>
      <c r="V436" s="41"/>
      <c r="W436" s="41"/>
      <c r="X436" s="41"/>
      <c r="Y436" s="41"/>
      <c r="Z436" s="41"/>
      <c r="AA436" s="41"/>
      <c r="AB436" s="41"/>
      <c r="AC436" s="41"/>
      <c r="AD436" s="41"/>
      <c r="AE436" s="41"/>
      <c r="AF436" s="41"/>
      <c r="AG436" s="41"/>
      <c r="AH436" s="41"/>
      <c r="AI436" s="41"/>
    </row>
    <row r="437" spans="1:35" ht="15.75" customHeight="1" x14ac:dyDescent="0.2">
      <c r="A437" s="41"/>
      <c r="B437" s="41"/>
      <c r="C437" s="41"/>
      <c r="D437" s="41"/>
      <c r="E437" s="41"/>
      <c r="F437" s="41"/>
      <c r="G437" s="41"/>
      <c r="H437" s="41"/>
      <c r="I437" s="41"/>
      <c r="J437" s="41"/>
      <c r="K437" s="41"/>
      <c r="L437" s="41"/>
      <c r="M437" s="41"/>
      <c r="N437" s="41"/>
      <c r="O437" s="41"/>
      <c r="P437" s="41"/>
      <c r="Q437" s="41"/>
      <c r="R437" s="41"/>
      <c r="S437" s="41"/>
      <c r="T437" s="41"/>
      <c r="U437" s="41"/>
      <c r="V437" s="41"/>
      <c r="W437" s="41"/>
      <c r="X437" s="41"/>
      <c r="Y437" s="41"/>
      <c r="Z437" s="41"/>
      <c r="AA437" s="41"/>
      <c r="AB437" s="41"/>
      <c r="AC437" s="41"/>
      <c r="AD437" s="41"/>
      <c r="AE437" s="41"/>
      <c r="AF437" s="41"/>
      <c r="AG437" s="41"/>
      <c r="AH437" s="41"/>
      <c r="AI437" s="41"/>
    </row>
    <row r="438" spans="1:35" ht="15.75" customHeight="1" x14ac:dyDescent="0.2">
      <c r="A438" s="41"/>
      <c r="B438" s="41"/>
      <c r="C438" s="41"/>
      <c r="D438" s="41"/>
      <c r="E438" s="41"/>
      <c r="F438" s="41"/>
      <c r="G438" s="41"/>
      <c r="H438" s="41"/>
      <c r="I438" s="41"/>
      <c r="J438" s="41"/>
      <c r="K438" s="41"/>
      <c r="L438" s="41"/>
      <c r="M438" s="41"/>
      <c r="N438" s="41"/>
      <c r="O438" s="41"/>
      <c r="P438" s="41"/>
      <c r="Q438" s="41"/>
      <c r="R438" s="41"/>
      <c r="S438" s="41"/>
      <c r="T438" s="41"/>
      <c r="U438" s="41"/>
      <c r="V438" s="41"/>
      <c r="W438" s="41"/>
      <c r="X438" s="41"/>
      <c r="Y438" s="41"/>
      <c r="Z438" s="41"/>
      <c r="AA438" s="41"/>
      <c r="AB438" s="41"/>
      <c r="AC438" s="41"/>
      <c r="AD438" s="41"/>
      <c r="AE438" s="41"/>
      <c r="AF438" s="41"/>
      <c r="AG438" s="41"/>
      <c r="AH438" s="41"/>
      <c r="AI438" s="41"/>
    </row>
    <row r="439" spans="1:35" ht="15.75" customHeight="1" x14ac:dyDescent="0.2">
      <c r="A439" s="41"/>
      <c r="B439" s="41"/>
      <c r="C439" s="41"/>
      <c r="D439" s="41"/>
      <c r="E439" s="41"/>
      <c r="F439" s="41"/>
      <c r="G439" s="41"/>
      <c r="H439" s="41"/>
      <c r="I439" s="41"/>
      <c r="J439" s="41"/>
      <c r="K439" s="41"/>
      <c r="L439" s="41"/>
      <c r="M439" s="41"/>
      <c r="N439" s="41"/>
      <c r="O439" s="41"/>
      <c r="P439" s="41"/>
      <c r="Q439" s="41"/>
      <c r="R439" s="41"/>
      <c r="S439" s="41"/>
      <c r="T439" s="41"/>
      <c r="U439" s="41"/>
      <c r="V439" s="41"/>
      <c r="W439" s="41"/>
      <c r="X439" s="41"/>
      <c r="Y439" s="41"/>
      <c r="Z439" s="41"/>
      <c r="AA439" s="41"/>
      <c r="AB439" s="41"/>
      <c r="AC439" s="41"/>
      <c r="AD439" s="41"/>
      <c r="AE439" s="41"/>
      <c r="AF439" s="41"/>
      <c r="AG439" s="41"/>
      <c r="AH439" s="41"/>
      <c r="AI439" s="41"/>
    </row>
    <row r="440" spans="1:35" ht="15.75" customHeight="1" x14ac:dyDescent="0.2">
      <c r="A440" s="41"/>
      <c r="B440" s="41"/>
      <c r="C440" s="41"/>
      <c r="D440" s="41"/>
      <c r="E440" s="41"/>
      <c r="F440" s="41"/>
      <c r="G440" s="41"/>
      <c r="H440" s="41"/>
      <c r="I440" s="41"/>
      <c r="J440" s="41"/>
      <c r="K440" s="41"/>
      <c r="L440" s="41"/>
      <c r="M440" s="41"/>
      <c r="N440" s="41"/>
      <c r="O440" s="41"/>
      <c r="P440" s="41"/>
      <c r="Q440" s="41"/>
      <c r="R440" s="41"/>
      <c r="S440" s="41"/>
      <c r="T440" s="41"/>
      <c r="U440" s="41"/>
      <c r="V440" s="41"/>
      <c r="W440" s="41"/>
      <c r="X440" s="41"/>
      <c r="Y440" s="41"/>
      <c r="Z440" s="41"/>
      <c r="AA440" s="41"/>
      <c r="AB440" s="41"/>
      <c r="AC440" s="41"/>
      <c r="AD440" s="41"/>
      <c r="AE440" s="41"/>
      <c r="AF440" s="41"/>
      <c r="AG440" s="41"/>
      <c r="AH440" s="41"/>
      <c r="AI440" s="41"/>
    </row>
    <row r="441" spans="1:35" ht="15.75" customHeight="1" x14ac:dyDescent="0.2">
      <c r="A441" s="41"/>
      <c r="B441" s="41"/>
      <c r="C441" s="41"/>
      <c r="D441" s="41"/>
      <c r="E441" s="41"/>
      <c r="F441" s="41"/>
      <c r="G441" s="41"/>
      <c r="H441" s="41"/>
      <c r="I441" s="41"/>
      <c r="J441" s="41"/>
      <c r="K441" s="41"/>
      <c r="L441" s="41"/>
      <c r="M441" s="41"/>
      <c r="N441" s="41"/>
      <c r="O441" s="41"/>
      <c r="P441" s="41"/>
      <c r="Q441" s="41"/>
      <c r="R441" s="41"/>
      <c r="S441" s="41"/>
      <c r="T441" s="41"/>
      <c r="U441" s="41"/>
      <c r="V441" s="41"/>
      <c r="W441" s="41"/>
      <c r="X441" s="41"/>
      <c r="Y441" s="41"/>
      <c r="Z441" s="41"/>
      <c r="AA441" s="41"/>
      <c r="AB441" s="41"/>
      <c r="AC441" s="41"/>
      <c r="AD441" s="41"/>
      <c r="AE441" s="41"/>
      <c r="AF441" s="41"/>
      <c r="AG441" s="41"/>
      <c r="AH441" s="41"/>
      <c r="AI441" s="41"/>
    </row>
    <row r="442" spans="1:35" ht="15.75" customHeight="1" x14ac:dyDescent="0.2">
      <c r="A442" s="41"/>
      <c r="B442" s="41"/>
      <c r="C442" s="41"/>
      <c r="D442" s="41"/>
      <c r="E442" s="41"/>
      <c r="F442" s="41"/>
      <c r="G442" s="41"/>
      <c r="H442" s="41"/>
      <c r="I442" s="41"/>
      <c r="J442" s="41"/>
      <c r="K442" s="41"/>
      <c r="L442" s="41"/>
      <c r="M442" s="41"/>
      <c r="N442" s="41"/>
      <c r="O442" s="41"/>
      <c r="P442" s="41"/>
      <c r="Q442" s="41"/>
      <c r="R442" s="41"/>
      <c r="S442" s="41"/>
      <c r="T442" s="41"/>
      <c r="U442" s="41"/>
      <c r="V442" s="41"/>
      <c r="W442" s="41"/>
      <c r="X442" s="41"/>
      <c r="Y442" s="41"/>
      <c r="Z442" s="41"/>
      <c r="AA442" s="41"/>
      <c r="AB442" s="41"/>
      <c r="AC442" s="41"/>
      <c r="AD442" s="41"/>
      <c r="AE442" s="41"/>
      <c r="AF442" s="41"/>
      <c r="AG442" s="41"/>
      <c r="AH442" s="41"/>
      <c r="AI442" s="41"/>
    </row>
    <row r="443" spans="1:35" ht="15.75" customHeight="1" x14ac:dyDescent="0.2">
      <c r="A443" s="41"/>
      <c r="B443" s="41"/>
      <c r="C443" s="41"/>
      <c r="D443" s="41"/>
      <c r="E443" s="41"/>
      <c r="F443" s="41"/>
      <c r="G443" s="41"/>
      <c r="H443" s="41"/>
      <c r="I443" s="41"/>
      <c r="J443" s="41"/>
      <c r="K443" s="41"/>
      <c r="L443" s="41"/>
      <c r="M443" s="41"/>
      <c r="N443" s="41"/>
      <c r="O443" s="41"/>
      <c r="P443" s="41"/>
      <c r="Q443" s="41"/>
      <c r="R443" s="41"/>
      <c r="S443" s="41"/>
      <c r="T443" s="41"/>
      <c r="U443" s="41"/>
      <c r="V443" s="41"/>
      <c r="W443" s="41"/>
      <c r="X443" s="41"/>
      <c r="Y443" s="41"/>
      <c r="Z443" s="41"/>
      <c r="AA443" s="41"/>
      <c r="AB443" s="41"/>
      <c r="AC443" s="41"/>
      <c r="AD443" s="41"/>
      <c r="AE443" s="41"/>
      <c r="AF443" s="41"/>
      <c r="AG443" s="41"/>
      <c r="AH443" s="41"/>
      <c r="AI443" s="41"/>
    </row>
    <row r="444" spans="1:35" ht="15.75" customHeight="1" x14ac:dyDescent="0.2">
      <c r="A444" s="41"/>
      <c r="B444" s="41"/>
      <c r="C444" s="41"/>
      <c r="D444" s="41"/>
      <c r="E444" s="41"/>
      <c r="F444" s="41"/>
      <c r="G444" s="41"/>
      <c r="H444" s="41"/>
      <c r="I444" s="41"/>
      <c r="J444" s="41"/>
      <c r="K444" s="41"/>
      <c r="L444" s="41"/>
      <c r="M444" s="41"/>
      <c r="N444" s="41"/>
      <c r="O444" s="41"/>
      <c r="P444" s="41"/>
      <c r="Q444" s="41"/>
      <c r="R444" s="41"/>
      <c r="S444" s="41"/>
      <c r="T444" s="41"/>
      <c r="U444" s="41"/>
      <c r="V444" s="41"/>
      <c r="W444" s="41"/>
      <c r="X444" s="41"/>
      <c r="Y444" s="41"/>
      <c r="Z444" s="41"/>
      <c r="AA444" s="41"/>
      <c r="AB444" s="41"/>
      <c r="AC444" s="41"/>
      <c r="AD444" s="41"/>
      <c r="AE444" s="41"/>
      <c r="AF444" s="41"/>
      <c r="AG444" s="41"/>
      <c r="AH444" s="41"/>
      <c r="AI444" s="41"/>
    </row>
    <row r="445" spans="1:35" ht="15.75" customHeight="1" x14ac:dyDescent="0.2">
      <c r="A445" s="41"/>
      <c r="B445" s="41"/>
      <c r="C445" s="41"/>
      <c r="D445" s="41"/>
      <c r="E445" s="41"/>
      <c r="F445" s="41"/>
      <c r="G445" s="41"/>
      <c r="H445" s="41"/>
      <c r="I445" s="41"/>
      <c r="J445" s="41"/>
      <c r="K445" s="41"/>
      <c r="L445" s="41"/>
      <c r="M445" s="41"/>
      <c r="N445" s="41"/>
      <c r="O445" s="41"/>
      <c r="P445" s="41"/>
      <c r="Q445" s="41"/>
      <c r="R445" s="41"/>
      <c r="S445" s="41"/>
      <c r="T445" s="41"/>
      <c r="U445" s="41"/>
      <c r="V445" s="41"/>
      <c r="W445" s="41"/>
      <c r="X445" s="41"/>
      <c r="Y445" s="41"/>
      <c r="Z445" s="41"/>
      <c r="AA445" s="41"/>
      <c r="AB445" s="41"/>
      <c r="AC445" s="41"/>
      <c r="AD445" s="41"/>
      <c r="AE445" s="41"/>
      <c r="AF445" s="41"/>
      <c r="AG445" s="41"/>
      <c r="AH445" s="41"/>
      <c r="AI445" s="41"/>
    </row>
    <row r="446" spans="1:35" ht="15.75" customHeight="1" x14ac:dyDescent="0.2">
      <c r="A446" s="41"/>
      <c r="B446" s="41"/>
      <c r="C446" s="41"/>
      <c r="D446" s="41"/>
      <c r="E446" s="41"/>
      <c r="F446" s="41"/>
      <c r="G446" s="41"/>
      <c r="H446" s="41"/>
      <c r="I446" s="41"/>
      <c r="J446" s="41"/>
      <c r="K446" s="41"/>
      <c r="L446" s="41"/>
      <c r="M446" s="41"/>
      <c r="N446" s="41"/>
      <c r="O446" s="41"/>
      <c r="P446" s="41"/>
      <c r="Q446" s="41"/>
      <c r="R446" s="41"/>
      <c r="S446" s="41"/>
      <c r="T446" s="41"/>
      <c r="U446" s="41"/>
      <c r="V446" s="41"/>
      <c r="W446" s="41"/>
      <c r="X446" s="41"/>
      <c r="Y446" s="41"/>
      <c r="Z446" s="41"/>
      <c r="AA446" s="41"/>
      <c r="AB446" s="41"/>
      <c r="AC446" s="41"/>
      <c r="AD446" s="41"/>
      <c r="AE446" s="41"/>
      <c r="AF446" s="41"/>
      <c r="AG446" s="41"/>
      <c r="AH446" s="41"/>
      <c r="AI446" s="41"/>
    </row>
    <row r="447" spans="1:35" ht="15.75" customHeight="1" x14ac:dyDescent="0.2">
      <c r="A447" s="41"/>
      <c r="B447" s="41"/>
      <c r="C447" s="41"/>
      <c r="D447" s="41"/>
      <c r="E447" s="41"/>
      <c r="F447" s="41"/>
      <c r="G447" s="41"/>
      <c r="H447" s="41"/>
      <c r="I447" s="41"/>
      <c r="J447" s="41"/>
      <c r="K447" s="41"/>
      <c r="L447" s="41"/>
      <c r="M447" s="41"/>
      <c r="N447" s="41"/>
      <c r="O447" s="41"/>
      <c r="P447" s="41"/>
      <c r="Q447" s="41"/>
      <c r="R447" s="41"/>
      <c r="S447" s="41"/>
      <c r="T447" s="41"/>
      <c r="U447" s="41"/>
      <c r="V447" s="41"/>
      <c r="W447" s="41"/>
      <c r="X447" s="41"/>
      <c r="Y447" s="41"/>
      <c r="Z447" s="41"/>
      <c r="AA447" s="41"/>
      <c r="AB447" s="41"/>
      <c r="AC447" s="41"/>
      <c r="AD447" s="41"/>
      <c r="AE447" s="41"/>
      <c r="AF447" s="41"/>
      <c r="AG447" s="41"/>
      <c r="AH447" s="41"/>
      <c r="AI447" s="41"/>
    </row>
    <row r="448" spans="1:35" ht="15.75" customHeight="1" x14ac:dyDescent="0.2">
      <c r="A448" s="41"/>
      <c r="B448" s="41"/>
      <c r="C448" s="41"/>
      <c r="D448" s="41"/>
      <c r="E448" s="41"/>
      <c r="F448" s="41"/>
      <c r="G448" s="41"/>
      <c r="H448" s="41"/>
      <c r="I448" s="41"/>
      <c r="J448" s="41"/>
      <c r="K448" s="41"/>
      <c r="L448" s="41"/>
      <c r="M448" s="41"/>
      <c r="N448" s="41"/>
      <c r="O448" s="41"/>
      <c r="P448" s="41"/>
      <c r="Q448" s="41"/>
      <c r="R448" s="41"/>
      <c r="S448" s="41"/>
      <c r="T448" s="41"/>
      <c r="U448" s="41"/>
      <c r="V448" s="41"/>
      <c r="W448" s="41"/>
      <c r="X448" s="41"/>
      <c r="Y448" s="41"/>
      <c r="Z448" s="41"/>
      <c r="AA448" s="41"/>
      <c r="AB448" s="41"/>
      <c r="AC448" s="41"/>
      <c r="AD448" s="41"/>
      <c r="AE448" s="41"/>
      <c r="AF448" s="41"/>
      <c r="AG448" s="41"/>
      <c r="AH448" s="41"/>
      <c r="AI448" s="41"/>
    </row>
    <row r="449" spans="1:35" ht="15.75" customHeight="1" x14ac:dyDescent="0.2">
      <c r="A449" s="41"/>
      <c r="B449" s="41"/>
      <c r="C449" s="41"/>
      <c r="D449" s="41"/>
      <c r="E449" s="41"/>
      <c r="F449" s="41"/>
      <c r="G449" s="41"/>
      <c r="H449" s="41"/>
      <c r="I449" s="41"/>
      <c r="J449" s="41"/>
      <c r="K449" s="41"/>
      <c r="L449" s="41"/>
      <c r="M449" s="41"/>
      <c r="N449" s="41"/>
      <c r="O449" s="41"/>
      <c r="P449" s="41"/>
      <c r="Q449" s="41"/>
      <c r="R449" s="41"/>
      <c r="S449" s="41"/>
      <c r="T449" s="41"/>
      <c r="U449" s="41"/>
      <c r="V449" s="41"/>
      <c r="W449" s="41"/>
      <c r="X449" s="41"/>
      <c r="Y449" s="41"/>
      <c r="Z449" s="41"/>
      <c r="AA449" s="41"/>
      <c r="AB449" s="41"/>
      <c r="AC449" s="41"/>
      <c r="AD449" s="41"/>
      <c r="AE449" s="41"/>
      <c r="AF449" s="41"/>
      <c r="AG449" s="41"/>
      <c r="AH449" s="41"/>
      <c r="AI449" s="41"/>
    </row>
    <row r="450" spans="1:35" ht="15.75" customHeight="1" x14ac:dyDescent="0.2">
      <c r="A450" s="41"/>
      <c r="B450" s="41"/>
      <c r="C450" s="41"/>
      <c r="D450" s="41"/>
      <c r="E450" s="41"/>
      <c r="F450" s="41"/>
      <c r="G450" s="41"/>
      <c r="H450" s="41"/>
      <c r="I450" s="41"/>
      <c r="J450" s="41"/>
      <c r="K450" s="41"/>
      <c r="L450" s="41"/>
      <c r="M450" s="41"/>
      <c r="N450" s="41"/>
      <c r="O450" s="41"/>
      <c r="P450" s="41"/>
      <c r="Q450" s="41"/>
      <c r="R450" s="41"/>
      <c r="S450" s="41"/>
      <c r="T450" s="41"/>
      <c r="U450" s="41"/>
      <c r="V450" s="41"/>
      <c r="W450" s="41"/>
      <c r="X450" s="41"/>
      <c r="Y450" s="41"/>
      <c r="Z450" s="41"/>
      <c r="AA450" s="41"/>
      <c r="AB450" s="41"/>
      <c r="AC450" s="41"/>
      <c r="AD450" s="41"/>
      <c r="AE450" s="41"/>
      <c r="AF450" s="41"/>
      <c r="AG450" s="41"/>
      <c r="AH450" s="41"/>
      <c r="AI450" s="41"/>
    </row>
    <row r="451" spans="1:35" ht="15.75" customHeight="1" x14ac:dyDescent="0.2">
      <c r="A451" s="41"/>
      <c r="B451" s="41"/>
      <c r="C451" s="41"/>
      <c r="D451" s="41"/>
      <c r="E451" s="41"/>
      <c r="F451" s="41"/>
      <c r="G451" s="41"/>
      <c r="H451" s="41"/>
      <c r="I451" s="41"/>
      <c r="J451" s="41"/>
      <c r="K451" s="41"/>
      <c r="L451" s="41"/>
      <c r="M451" s="41"/>
      <c r="N451" s="41"/>
      <c r="O451" s="41"/>
      <c r="P451" s="41"/>
      <c r="Q451" s="41"/>
      <c r="R451" s="41"/>
      <c r="S451" s="41"/>
      <c r="T451" s="41"/>
      <c r="U451" s="41"/>
      <c r="V451" s="41"/>
      <c r="W451" s="41"/>
      <c r="X451" s="41"/>
      <c r="Y451" s="41"/>
      <c r="Z451" s="41"/>
      <c r="AA451" s="41"/>
      <c r="AB451" s="41"/>
      <c r="AC451" s="41"/>
      <c r="AD451" s="41"/>
      <c r="AE451" s="41"/>
      <c r="AF451" s="41"/>
      <c r="AG451" s="41"/>
      <c r="AH451" s="41"/>
      <c r="AI451" s="41"/>
    </row>
    <row r="452" spans="1:35" ht="15.75" customHeight="1" x14ac:dyDescent="0.2">
      <c r="A452" s="41"/>
      <c r="B452" s="41"/>
      <c r="C452" s="41"/>
      <c r="D452" s="41"/>
      <c r="E452" s="41"/>
      <c r="F452" s="41"/>
      <c r="G452" s="41"/>
      <c r="H452" s="41"/>
      <c r="I452" s="41"/>
      <c r="J452" s="41"/>
      <c r="K452" s="41"/>
      <c r="L452" s="41"/>
      <c r="M452" s="41"/>
      <c r="N452" s="41"/>
      <c r="O452" s="41"/>
      <c r="P452" s="41"/>
      <c r="Q452" s="41"/>
      <c r="R452" s="41"/>
      <c r="S452" s="41"/>
      <c r="T452" s="41"/>
      <c r="U452" s="41"/>
      <c r="V452" s="41"/>
      <c r="W452" s="41"/>
      <c r="X452" s="41"/>
      <c r="Y452" s="41"/>
      <c r="Z452" s="41"/>
      <c r="AA452" s="41"/>
      <c r="AB452" s="41"/>
      <c r="AC452" s="41"/>
      <c r="AD452" s="41"/>
      <c r="AE452" s="41"/>
      <c r="AF452" s="41"/>
      <c r="AG452" s="41"/>
      <c r="AH452" s="41"/>
      <c r="AI452" s="41"/>
    </row>
    <row r="453" spans="1:35" ht="15.75" customHeight="1" x14ac:dyDescent="0.2">
      <c r="A453" s="41"/>
      <c r="B453" s="41"/>
      <c r="C453" s="41"/>
      <c r="D453" s="41"/>
      <c r="E453" s="41"/>
      <c r="F453" s="41"/>
      <c r="G453" s="41"/>
      <c r="H453" s="41"/>
      <c r="I453" s="41"/>
      <c r="J453" s="41"/>
      <c r="K453" s="41"/>
      <c r="L453" s="41"/>
      <c r="M453" s="41"/>
      <c r="N453" s="41"/>
      <c r="O453" s="41"/>
      <c r="P453" s="41"/>
      <c r="Q453" s="41"/>
      <c r="R453" s="41"/>
      <c r="S453" s="41"/>
      <c r="T453" s="41"/>
      <c r="U453" s="41"/>
      <c r="V453" s="41"/>
      <c r="W453" s="41"/>
      <c r="X453" s="41"/>
      <c r="Y453" s="41"/>
      <c r="Z453" s="41"/>
      <c r="AA453" s="41"/>
      <c r="AB453" s="41"/>
      <c r="AC453" s="41"/>
      <c r="AD453" s="41"/>
      <c r="AE453" s="41"/>
      <c r="AF453" s="41"/>
      <c r="AG453" s="41"/>
      <c r="AH453" s="41"/>
      <c r="AI453" s="41"/>
    </row>
    <row r="454" spans="1:35" ht="15.75" customHeight="1" x14ac:dyDescent="0.2">
      <c r="A454" s="41"/>
      <c r="B454" s="41"/>
      <c r="C454" s="41"/>
      <c r="D454" s="41"/>
      <c r="E454" s="41"/>
      <c r="F454" s="41"/>
      <c r="G454" s="41"/>
      <c r="H454" s="41"/>
      <c r="I454" s="41"/>
      <c r="J454" s="41"/>
      <c r="K454" s="41"/>
      <c r="L454" s="41"/>
      <c r="M454" s="41"/>
      <c r="N454" s="41"/>
      <c r="O454" s="41"/>
      <c r="P454" s="41"/>
      <c r="Q454" s="41"/>
      <c r="R454" s="41"/>
      <c r="S454" s="41"/>
      <c r="T454" s="41"/>
      <c r="U454" s="41"/>
      <c r="V454" s="41"/>
      <c r="W454" s="41"/>
      <c r="X454" s="41"/>
      <c r="Y454" s="41"/>
      <c r="Z454" s="41"/>
      <c r="AA454" s="41"/>
      <c r="AB454" s="41"/>
      <c r="AC454" s="41"/>
      <c r="AD454" s="41"/>
      <c r="AE454" s="41"/>
      <c r="AF454" s="41"/>
      <c r="AG454" s="41"/>
      <c r="AH454" s="41"/>
      <c r="AI454" s="41"/>
    </row>
    <row r="455" spans="1:35" ht="15.75" customHeight="1" x14ac:dyDescent="0.2">
      <c r="A455" s="41"/>
      <c r="B455" s="41"/>
      <c r="C455" s="41"/>
      <c r="D455" s="41"/>
      <c r="E455" s="41"/>
      <c r="F455" s="41"/>
      <c r="G455" s="41"/>
      <c r="H455" s="41"/>
      <c r="I455" s="41"/>
      <c r="J455" s="41"/>
      <c r="K455" s="41"/>
      <c r="L455" s="41"/>
      <c r="M455" s="41"/>
      <c r="N455" s="41"/>
      <c r="O455" s="41"/>
      <c r="P455" s="41"/>
      <c r="Q455" s="41"/>
      <c r="R455" s="41"/>
      <c r="S455" s="41"/>
      <c r="T455" s="41"/>
      <c r="U455" s="41"/>
      <c r="V455" s="41"/>
      <c r="W455" s="41"/>
      <c r="X455" s="41"/>
      <c r="Y455" s="41"/>
      <c r="Z455" s="41"/>
      <c r="AA455" s="41"/>
      <c r="AB455" s="41"/>
      <c r="AC455" s="41"/>
      <c r="AD455" s="41"/>
      <c r="AE455" s="41"/>
      <c r="AF455" s="41"/>
      <c r="AG455" s="41"/>
      <c r="AH455" s="41"/>
      <c r="AI455" s="41"/>
    </row>
    <row r="456" spans="1:35" ht="15.75" customHeight="1" x14ac:dyDescent="0.2">
      <c r="A456" s="41"/>
      <c r="B456" s="41"/>
      <c r="C456" s="41"/>
      <c r="D456" s="41"/>
      <c r="E456" s="41"/>
      <c r="F456" s="41"/>
      <c r="G456" s="41"/>
      <c r="H456" s="41"/>
      <c r="I456" s="41"/>
      <c r="J456" s="41"/>
      <c r="K456" s="41"/>
      <c r="L456" s="41"/>
      <c r="M456" s="41"/>
      <c r="N456" s="41"/>
      <c r="O456" s="41"/>
      <c r="P456" s="41"/>
      <c r="Q456" s="41"/>
      <c r="R456" s="41"/>
      <c r="S456" s="41"/>
      <c r="T456" s="41"/>
      <c r="U456" s="41"/>
      <c r="V456" s="41"/>
      <c r="W456" s="41"/>
      <c r="X456" s="41"/>
      <c r="Y456" s="41"/>
      <c r="Z456" s="41"/>
      <c r="AA456" s="41"/>
      <c r="AB456" s="41"/>
      <c r="AC456" s="41"/>
      <c r="AD456" s="41"/>
      <c r="AE456" s="41"/>
      <c r="AF456" s="41"/>
      <c r="AG456" s="41"/>
      <c r="AH456" s="41"/>
      <c r="AI456" s="41"/>
    </row>
    <row r="457" spans="1:35" ht="15.75" customHeight="1" x14ac:dyDescent="0.2">
      <c r="A457" s="41"/>
      <c r="B457" s="41"/>
      <c r="C457" s="41"/>
      <c r="D457" s="41"/>
      <c r="E457" s="41"/>
      <c r="F457" s="41"/>
      <c r="G457" s="41"/>
      <c r="H457" s="41"/>
      <c r="I457" s="41"/>
      <c r="J457" s="41"/>
      <c r="K457" s="41"/>
      <c r="L457" s="41"/>
      <c r="M457" s="41"/>
      <c r="N457" s="41"/>
      <c r="O457" s="41"/>
      <c r="P457" s="41"/>
      <c r="Q457" s="41"/>
      <c r="R457" s="41"/>
      <c r="S457" s="41"/>
      <c r="T457" s="41"/>
      <c r="U457" s="41"/>
      <c r="V457" s="41"/>
      <c r="W457" s="41"/>
      <c r="X457" s="41"/>
      <c r="Y457" s="41"/>
      <c r="Z457" s="41"/>
      <c r="AA457" s="41"/>
      <c r="AB457" s="41"/>
      <c r="AC457" s="41"/>
      <c r="AD457" s="41"/>
      <c r="AE457" s="41"/>
      <c r="AF457" s="41"/>
      <c r="AG457" s="41"/>
      <c r="AH457" s="41"/>
      <c r="AI457" s="41"/>
    </row>
    <row r="458" spans="1:35" ht="15.75" customHeight="1" x14ac:dyDescent="0.2">
      <c r="A458" s="41"/>
      <c r="B458" s="41"/>
      <c r="C458" s="41"/>
      <c r="D458" s="41"/>
      <c r="E458" s="41"/>
      <c r="F458" s="41"/>
      <c r="G458" s="41"/>
      <c r="H458" s="41"/>
      <c r="I458" s="41"/>
      <c r="J458" s="41"/>
      <c r="K458" s="41"/>
      <c r="L458" s="41"/>
      <c r="M458" s="41"/>
      <c r="N458" s="41"/>
      <c r="O458" s="41"/>
      <c r="P458" s="41"/>
      <c r="Q458" s="41"/>
      <c r="R458" s="41"/>
      <c r="S458" s="41"/>
      <c r="T458" s="41"/>
      <c r="U458" s="41"/>
      <c r="V458" s="41"/>
      <c r="W458" s="41"/>
      <c r="X458" s="41"/>
      <c r="Y458" s="41"/>
      <c r="Z458" s="41"/>
      <c r="AA458" s="41"/>
      <c r="AB458" s="41"/>
      <c r="AC458" s="41"/>
      <c r="AD458" s="41"/>
      <c r="AE458" s="41"/>
      <c r="AF458" s="41"/>
      <c r="AG458" s="41"/>
      <c r="AH458" s="41"/>
      <c r="AI458" s="41"/>
    </row>
    <row r="459" spans="1:35" ht="15.75" customHeight="1" x14ac:dyDescent="0.2">
      <c r="A459" s="41"/>
      <c r="B459" s="41"/>
      <c r="C459" s="41"/>
      <c r="D459" s="41"/>
      <c r="E459" s="41"/>
      <c r="F459" s="41"/>
      <c r="G459" s="41"/>
      <c r="H459" s="41"/>
      <c r="I459" s="41"/>
      <c r="J459" s="41"/>
      <c r="K459" s="41"/>
      <c r="L459" s="41"/>
      <c r="M459" s="41"/>
      <c r="N459" s="41"/>
      <c r="O459" s="41"/>
      <c r="P459" s="41"/>
      <c r="Q459" s="41"/>
      <c r="R459" s="41"/>
      <c r="S459" s="41"/>
      <c r="T459" s="41"/>
      <c r="U459" s="41"/>
      <c r="V459" s="41"/>
      <c r="W459" s="41"/>
      <c r="X459" s="41"/>
      <c r="Y459" s="41"/>
      <c r="Z459" s="41"/>
      <c r="AA459" s="41"/>
      <c r="AB459" s="41"/>
      <c r="AC459" s="41"/>
      <c r="AD459" s="41"/>
      <c r="AE459" s="41"/>
      <c r="AF459" s="41"/>
      <c r="AG459" s="41"/>
      <c r="AH459" s="41"/>
      <c r="AI459" s="41"/>
    </row>
    <row r="460" spans="1:35" ht="15.75" customHeight="1" x14ac:dyDescent="0.2">
      <c r="A460" s="41"/>
      <c r="B460" s="41"/>
      <c r="C460" s="41"/>
      <c r="D460" s="41"/>
      <c r="E460" s="41"/>
      <c r="F460" s="41"/>
      <c r="G460" s="41"/>
      <c r="H460" s="41"/>
      <c r="I460" s="41"/>
      <c r="J460" s="41"/>
      <c r="K460" s="41"/>
      <c r="L460" s="41"/>
      <c r="M460" s="41"/>
      <c r="N460" s="41"/>
      <c r="O460" s="41"/>
      <c r="P460" s="41"/>
      <c r="Q460" s="41"/>
      <c r="R460" s="41"/>
      <c r="S460" s="41"/>
      <c r="T460" s="41"/>
      <c r="U460" s="41"/>
      <c r="V460" s="41"/>
      <c r="W460" s="41"/>
      <c r="X460" s="41"/>
      <c r="Y460" s="41"/>
      <c r="Z460" s="41"/>
      <c r="AA460" s="41"/>
      <c r="AB460" s="41"/>
      <c r="AC460" s="41"/>
      <c r="AD460" s="41"/>
      <c r="AE460" s="41"/>
      <c r="AF460" s="41"/>
      <c r="AG460" s="41"/>
      <c r="AH460" s="41"/>
      <c r="AI460" s="41"/>
    </row>
    <row r="461" spans="1:35" ht="15.75" customHeight="1" x14ac:dyDescent="0.2">
      <c r="A461" s="41"/>
      <c r="B461" s="41"/>
      <c r="C461" s="41"/>
      <c r="D461" s="41"/>
      <c r="E461" s="41"/>
      <c r="F461" s="41"/>
      <c r="G461" s="41"/>
      <c r="H461" s="41"/>
      <c r="I461" s="41"/>
      <c r="J461" s="41"/>
      <c r="K461" s="41"/>
      <c r="L461" s="41"/>
      <c r="M461" s="41"/>
      <c r="N461" s="41"/>
      <c r="O461" s="41"/>
      <c r="P461" s="41"/>
      <c r="Q461" s="41"/>
      <c r="R461" s="41"/>
      <c r="S461" s="41"/>
      <c r="T461" s="41"/>
      <c r="U461" s="41"/>
      <c r="V461" s="41"/>
      <c r="W461" s="41"/>
      <c r="X461" s="41"/>
      <c r="Y461" s="41"/>
      <c r="Z461" s="41"/>
      <c r="AA461" s="41"/>
      <c r="AB461" s="41"/>
      <c r="AC461" s="41"/>
      <c r="AD461" s="41"/>
      <c r="AE461" s="41"/>
      <c r="AF461" s="41"/>
      <c r="AG461" s="41"/>
      <c r="AH461" s="41"/>
      <c r="AI461" s="41"/>
    </row>
    <row r="462" spans="1:35" ht="15.75" customHeight="1" x14ac:dyDescent="0.2">
      <c r="A462" s="41"/>
      <c r="B462" s="41"/>
      <c r="C462" s="41"/>
      <c r="D462" s="41"/>
      <c r="E462" s="41"/>
      <c r="F462" s="41"/>
      <c r="G462" s="41"/>
      <c r="H462" s="41"/>
      <c r="I462" s="41"/>
      <c r="J462" s="41"/>
      <c r="K462" s="41"/>
      <c r="L462" s="41"/>
      <c r="M462" s="41"/>
      <c r="N462" s="41"/>
      <c r="O462" s="41"/>
      <c r="P462" s="41"/>
      <c r="Q462" s="41"/>
      <c r="R462" s="41"/>
      <c r="S462" s="41"/>
      <c r="T462" s="41"/>
      <c r="U462" s="41"/>
      <c r="V462" s="41"/>
      <c r="W462" s="41"/>
      <c r="X462" s="41"/>
      <c r="Y462" s="41"/>
      <c r="Z462" s="41"/>
      <c r="AA462" s="41"/>
      <c r="AB462" s="41"/>
      <c r="AC462" s="41"/>
      <c r="AD462" s="41"/>
      <c r="AE462" s="41"/>
      <c r="AF462" s="41"/>
      <c r="AG462" s="41"/>
      <c r="AH462" s="41"/>
      <c r="AI462" s="41"/>
    </row>
    <row r="463" spans="1:35" ht="15.75" customHeight="1" x14ac:dyDescent="0.2">
      <c r="A463" s="41"/>
      <c r="B463" s="41"/>
      <c r="C463" s="41"/>
      <c r="D463" s="41"/>
      <c r="E463" s="41"/>
      <c r="F463" s="41"/>
      <c r="G463" s="41"/>
      <c r="H463" s="41"/>
      <c r="I463" s="41"/>
      <c r="J463" s="41"/>
      <c r="K463" s="41"/>
      <c r="L463" s="41"/>
      <c r="M463" s="41"/>
      <c r="N463" s="41"/>
      <c r="O463" s="41"/>
      <c r="P463" s="41"/>
      <c r="Q463" s="41"/>
      <c r="R463" s="41"/>
      <c r="S463" s="41"/>
      <c r="T463" s="41"/>
      <c r="U463" s="41"/>
      <c r="V463" s="41"/>
      <c r="W463" s="41"/>
      <c r="X463" s="41"/>
      <c r="Y463" s="41"/>
      <c r="Z463" s="41"/>
      <c r="AA463" s="41"/>
      <c r="AB463" s="41"/>
      <c r="AC463" s="41"/>
      <c r="AD463" s="41"/>
      <c r="AE463" s="41"/>
      <c r="AF463" s="41"/>
      <c r="AG463" s="41"/>
      <c r="AH463" s="41"/>
      <c r="AI463" s="41"/>
    </row>
    <row r="464" spans="1:35" ht="15.75" customHeight="1" x14ac:dyDescent="0.2">
      <c r="A464" s="41"/>
      <c r="B464" s="41"/>
      <c r="C464" s="41"/>
      <c r="D464" s="41"/>
      <c r="E464" s="41"/>
      <c r="F464" s="41"/>
      <c r="G464" s="41"/>
      <c r="H464" s="41"/>
      <c r="I464" s="41"/>
      <c r="J464" s="41"/>
      <c r="K464" s="41"/>
      <c r="L464" s="41"/>
      <c r="M464" s="41"/>
      <c r="N464" s="41"/>
      <c r="O464" s="41"/>
      <c r="P464" s="41"/>
      <c r="Q464" s="41"/>
      <c r="R464" s="41"/>
      <c r="S464" s="41"/>
      <c r="T464" s="41"/>
      <c r="U464" s="41"/>
      <c r="V464" s="41"/>
      <c r="W464" s="41"/>
      <c r="X464" s="41"/>
      <c r="Y464" s="41"/>
      <c r="Z464" s="41"/>
      <c r="AA464" s="41"/>
      <c r="AB464" s="41"/>
      <c r="AC464" s="41"/>
      <c r="AD464" s="41"/>
      <c r="AE464" s="41"/>
      <c r="AF464" s="41"/>
      <c r="AG464" s="41"/>
      <c r="AH464" s="41"/>
      <c r="AI464" s="41"/>
    </row>
    <row r="465" spans="1:35" ht="15.75" customHeight="1" x14ac:dyDescent="0.2">
      <c r="A465" s="41"/>
      <c r="B465" s="41"/>
      <c r="C465" s="41"/>
      <c r="D465" s="41"/>
      <c r="E465" s="41"/>
      <c r="F465" s="41"/>
      <c r="G465" s="41"/>
      <c r="H465" s="41"/>
      <c r="I465" s="41"/>
      <c r="J465" s="41"/>
      <c r="K465" s="41"/>
      <c r="L465" s="41"/>
      <c r="M465" s="41"/>
      <c r="N465" s="41"/>
      <c r="O465" s="41"/>
      <c r="P465" s="41"/>
      <c r="Q465" s="41"/>
      <c r="R465" s="41"/>
      <c r="S465" s="41"/>
      <c r="T465" s="41"/>
      <c r="U465" s="41"/>
      <c r="V465" s="41"/>
      <c r="W465" s="41"/>
      <c r="X465" s="41"/>
      <c r="Y465" s="41"/>
      <c r="Z465" s="41"/>
      <c r="AA465" s="41"/>
      <c r="AB465" s="41"/>
      <c r="AC465" s="41"/>
      <c r="AD465" s="41"/>
      <c r="AE465" s="41"/>
      <c r="AF465" s="41"/>
      <c r="AG465" s="41"/>
      <c r="AH465" s="41"/>
      <c r="AI465" s="41"/>
    </row>
    <row r="466" spans="1:35" ht="15.75" customHeight="1" x14ac:dyDescent="0.2">
      <c r="A466" s="41"/>
      <c r="B466" s="41"/>
      <c r="C466" s="41"/>
      <c r="D466" s="41"/>
      <c r="E466" s="41"/>
      <c r="F466" s="41"/>
      <c r="G466" s="41"/>
      <c r="H466" s="41"/>
      <c r="I466" s="41"/>
      <c r="J466" s="41"/>
      <c r="K466" s="41"/>
      <c r="L466" s="41"/>
      <c r="M466" s="41"/>
      <c r="N466" s="41"/>
      <c r="O466" s="41"/>
      <c r="P466" s="41"/>
      <c r="Q466" s="41"/>
      <c r="R466" s="41"/>
      <c r="S466" s="41"/>
      <c r="T466" s="41"/>
      <c r="U466" s="41"/>
      <c r="V466" s="41"/>
      <c r="W466" s="41"/>
      <c r="X466" s="41"/>
      <c r="Y466" s="41"/>
      <c r="Z466" s="41"/>
      <c r="AA466" s="41"/>
      <c r="AB466" s="41"/>
      <c r="AC466" s="41"/>
      <c r="AD466" s="41"/>
      <c r="AE466" s="41"/>
      <c r="AF466" s="41"/>
      <c r="AG466" s="41"/>
      <c r="AH466" s="41"/>
      <c r="AI466" s="41"/>
    </row>
    <row r="467" spans="1:35" ht="15.75" customHeight="1" x14ac:dyDescent="0.2">
      <c r="A467" s="41"/>
      <c r="B467" s="41"/>
      <c r="C467" s="41"/>
      <c r="D467" s="41"/>
      <c r="E467" s="41"/>
      <c r="F467" s="41"/>
      <c r="G467" s="41"/>
      <c r="H467" s="41"/>
      <c r="I467" s="41"/>
      <c r="J467" s="41"/>
      <c r="K467" s="41"/>
      <c r="L467" s="41"/>
      <c r="M467" s="41"/>
      <c r="N467" s="41"/>
      <c r="O467" s="41"/>
      <c r="P467" s="41"/>
      <c r="Q467" s="41"/>
      <c r="R467" s="41"/>
      <c r="S467" s="41"/>
      <c r="T467" s="41"/>
      <c r="U467" s="41"/>
      <c r="V467" s="41"/>
      <c r="W467" s="41"/>
      <c r="X467" s="41"/>
      <c r="Y467" s="41"/>
      <c r="Z467" s="41"/>
      <c r="AA467" s="41"/>
      <c r="AB467" s="41"/>
      <c r="AC467" s="41"/>
      <c r="AD467" s="41"/>
      <c r="AE467" s="41"/>
      <c r="AF467" s="41"/>
      <c r="AG467" s="41"/>
      <c r="AH467" s="41"/>
      <c r="AI467" s="41"/>
    </row>
    <row r="468" spans="1:35" ht="15.75" customHeight="1" x14ac:dyDescent="0.2">
      <c r="A468" s="41"/>
      <c r="B468" s="41"/>
      <c r="C468" s="41"/>
      <c r="D468" s="41"/>
      <c r="E468" s="41"/>
      <c r="F468" s="41"/>
      <c r="G468" s="41"/>
      <c r="H468" s="41"/>
      <c r="I468" s="41"/>
      <c r="J468" s="41"/>
      <c r="K468" s="41"/>
      <c r="L468" s="41"/>
      <c r="M468" s="41"/>
      <c r="N468" s="41"/>
      <c r="O468" s="41"/>
      <c r="P468" s="41"/>
      <c r="Q468" s="41"/>
      <c r="R468" s="41"/>
      <c r="S468" s="41"/>
      <c r="T468" s="41"/>
      <c r="U468" s="41"/>
      <c r="V468" s="41"/>
      <c r="W468" s="41"/>
      <c r="X468" s="41"/>
      <c r="Y468" s="41"/>
      <c r="Z468" s="41"/>
      <c r="AA468" s="41"/>
      <c r="AB468" s="41"/>
      <c r="AC468" s="41"/>
      <c r="AD468" s="41"/>
      <c r="AE468" s="41"/>
      <c r="AF468" s="41"/>
      <c r="AG468" s="41"/>
      <c r="AH468" s="41"/>
      <c r="AI468" s="41"/>
    </row>
    <row r="469" spans="1:35" ht="15.75" customHeight="1" x14ac:dyDescent="0.2">
      <c r="A469" s="41"/>
      <c r="B469" s="41"/>
      <c r="C469" s="41"/>
      <c r="D469" s="41"/>
      <c r="E469" s="41"/>
      <c r="F469" s="41"/>
      <c r="G469" s="41"/>
      <c r="H469" s="41"/>
      <c r="I469" s="41"/>
      <c r="J469" s="41"/>
      <c r="K469" s="41"/>
      <c r="L469" s="41"/>
      <c r="M469" s="41"/>
      <c r="N469" s="41"/>
      <c r="O469" s="41"/>
      <c r="P469" s="41"/>
      <c r="Q469" s="41"/>
      <c r="R469" s="41"/>
      <c r="S469" s="41"/>
      <c r="T469" s="41"/>
      <c r="U469" s="41"/>
      <c r="V469" s="41"/>
      <c r="W469" s="41"/>
      <c r="X469" s="41"/>
      <c r="Y469" s="41"/>
      <c r="Z469" s="41"/>
      <c r="AA469" s="41"/>
      <c r="AB469" s="41"/>
      <c r="AC469" s="41"/>
      <c r="AD469" s="41"/>
      <c r="AE469" s="41"/>
      <c r="AF469" s="41"/>
      <c r="AG469" s="41"/>
      <c r="AH469" s="41"/>
      <c r="AI469" s="41"/>
    </row>
    <row r="470" spans="1:35" ht="15.75" customHeight="1" x14ac:dyDescent="0.2">
      <c r="A470" s="41"/>
      <c r="B470" s="41"/>
      <c r="C470" s="41"/>
      <c r="D470" s="41"/>
      <c r="E470" s="41"/>
      <c r="F470" s="41"/>
      <c r="G470" s="41"/>
      <c r="H470" s="41"/>
      <c r="I470" s="41"/>
      <c r="J470" s="41"/>
      <c r="K470" s="41"/>
      <c r="L470" s="41"/>
      <c r="M470" s="41"/>
      <c r="N470" s="41"/>
      <c r="O470" s="41"/>
      <c r="P470" s="41"/>
      <c r="Q470" s="41"/>
      <c r="R470" s="41"/>
      <c r="S470" s="41"/>
      <c r="T470" s="41"/>
      <c r="U470" s="41"/>
      <c r="V470" s="41"/>
      <c r="W470" s="41"/>
      <c r="X470" s="41"/>
      <c r="Y470" s="41"/>
      <c r="Z470" s="41"/>
      <c r="AA470" s="41"/>
      <c r="AB470" s="41"/>
      <c r="AC470" s="41"/>
      <c r="AD470" s="41"/>
      <c r="AE470" s="41"/>
      <c r="AF470" s="41"/>
      <c r="AG470" s="41"/>
      <c r="AH470" s="41"/>
      <c r="AI470" s="41"/>
    </row>
    <row r="471" spans="1:35" ht="15.75" customHeight="1" x14ac:dyDescent="0.2">
      <c r="A471" s="41"/>
      <c r="B471" s="41"/>
      <c r="C471" s="41"/>
      <c r="D471" s="41"/>
      <c r="E471" s="41"/>
      <c r="F471" s="41"/>
      <c r="G471" s="41"/>
      <c r="H471" s="41"/>
      <c r="I471" s="41"/>
      <c r="J471" s="41"/>
      <c r="K471" s="41"/>
      <c r="L471" s="41"/>
      <c r="M471" s="41"/>
      <c r="N471" s="41"/>
      <c r="O471" s="41"/>
      <c r="P471" s="41"/>
      <c r="Q471" s="41"/>
      <c r="R471" s="41"/>
      <c r="S471" s="41"/>
      <c r="T471" s="41"/>
      <c r="U471" s="41"/>
      <c r="V471" s="41"/>
      <c r="W471" s="41"/>
      <c r="X471" s="41"/>
      <c r="Y471" s="41"/>
      <c r="Z471" s="41"/>
      <c r="AA471" s="41"/>
      <c r="AB471" s="41"/>
      <c r="AC471" s="41"/>
      <c r="AD471" s="41"/>
      <c r="AE471" s="41"/>
      <c r="AF471" s="41"/>
      <c r="AG471" s="41"/>
      <c r="AH471" s="41"/>
      <c r="AI471" s="41"/>
    </row>
    <row r="472" spans="1:35" ht="15.75" customHeight="1" x14ac:dyDescent="0.2">
      <c r="A472" s="41"/>
      <c r="B472" s="41"/>
      <c r="C472" s="41"/>
      <c r="D472" s="41"/>
      <c r="E472" s="41"/>
      <c r="F472" s="41"/>
      <c r="G472" s="41"/>
      <c r="H472" s="41"/>
      <c r="I472" s="41"/>
      <c r="J472" s="41"/>
      <c r="K472" s="41"/>
      <c r="L472" s="41"/>
      <c r="M472" s="41"/>
      <c r="N472" s="41"/>
      <c r="O472" s="41"/>
      <c r="P472" s="41"/>
      <c r="Q472" s="41"/>
      <c r="R472" s="41"/>
      <c r="S472" s="41"/>
      <c r="T472" s="41"/>
      <c r="U472" s="41"/>
      <c r="V472" s="41"/>
      <c r="W472" s="41"/>
      <c r="X472" s="41"/>
      <c r="Y472" s="41"/>
      <c r="Z472" s="41"/>
      <c r="AA472" s="41"/>
      <c r="AB472" s="41"/>
      <c r="AC472" s="41"/>
      <c r="AD472" s="41"/>
      <c r="AE472" s="41"/>
      <c r="AF472" s="41"/>
      <c r="AG472" s="41"/>
      <c r="AH472" s="41"/>
      <c r="AI472" s="41"/>
    </row>
    <row r="473" spans="1:35" ht="15.75" customHeight="1" x14ac:dyDescent="0.2">
      <c r="A473" s="41"/>
      <c r="B473" s="41"/>
      <c r="C473" s="41"/>
      <c r="D473" s="41"/>
      <c r="E473" s="41"/>
      <c r="F473" s="41"/>
      <c r="G473" s="41"/>
      <c r="H473" s="41"/>
      <c r="I473" s="41"/>
      <c r="J473" s="41"/>
      <c r="K473" s="41"/>
      <c r="L473" s="41"/>
      <c r="M473" s="41"/>
      <c r="N473" s="41"/>
      <c r="O473" s="41"/>
      <c r="P473" s="41"/>
      <c r="Q473" s="41"/>
      <c r="R473" s="41"/>
      <c r="S473" s="41"/>
      <c r="T473" s="41"/>
      <c r="U473" s="41"/>
      <c r="V473" s="41"/>
      <c r="W473" s="41"/>
      <c r="X473" s="41"/>
      <c r="Y473" s="41"/>
      <c r="Z473" s="41"/>
      <c r="AA473" s="41"/>
      <c r="AB473" s="41"/>
      <c r="AC473" s="41"/>
      <c r="AD473" s="41"/>
      <c r="AE473" s="41"/>
      <c r="AF473" s="41"/>
      <c r="AG473" s="41"/>
      <c r="AH473" s="41"/>
      <c r="AI473" s="41"/>
    </row>
    <row r="474" spans="1:35" ht="15.75" customHeight="1" x14ac:dyDescent="0.2">
      <c r="A474" s="41"/>
      <c r="B474" s="41"/>
      <c r="C474" s="41"/>
      <c r="D474" s="41"/>
      <c r="E474" s="41"/>
      <c r="F474" s="41"/>
      <c r="G474" s="41"/>
      <c r="H474" s="41"/>
      <c r="I474" s="41"/>
      <c r="J474" s="41"/>
      <c r="K474" s="41"/>
      <c r="L474" s="41"/>
      <c r="M474" s="41"/>
      <c r="N474" s="41"/>
      <c r="O474" s="41"/>
      <c r="P474" s="41"/>
      <c r="Q474" s="41"/>
      <c r="R474" s="41"/>
      <c r="S474" s="41"/>
      <c r="T474" s="41"/>
      <c r="U474" s="41"/>
      <c r="V474" s="41"/>
      <c r="W474" s="41"/>
      <c r="X474" s="41"/>
      <c r="Y474" s="41"/>
      <c r="Z474" s="41"/>
      <c r="AA474" s="41"/>
      <c r="AB474" s="41"/>
      <c r="AC474" s="41"/>
      <c r="AD474" s="41"/>
      <c r="AE474" s="41"/>
      <c r="AF474" s="41"/>
      <c r="AG474" s="41"/>
      <c r="AH474" s="41"/>
      <c r="AI474" s="41"/>
    </row>
    <row r="475" spans="1:35" ht="15.75" customHeight="1" x14ac:dyDescent="0.2">
      <c r="A475" s="41"/>
      <c r="B475" s="41"/>
      <c r="C475" s="41"/>
      <c r="D475" s="41"/>
      <c r="E475" s="41"/>
      <c r="F475" s="41"/>
      <c r="G475" s="41"/>
      <c r="H475" s="41"/>
      <c r="I475" s="41"/>
      <c r="J475" s="41"/>
      <c r="K475" s="41"/>
      <c r="L475" s="41"/>
      <c r="M475" s="41"/>
      <c r="N475" s="41"/>
      <c r="O475" s="41"/>
      <c r="P475" s="41"/>
      <c r="Q475" s="41"/>
      <c r="R475" s="41"/>
      <c r="S475" s="41"/>
      <c r="T475" s="41"/>
      <c r="U475" s="41"/>
      <c r="V475" s="41"/>
      <c r="W475" s="41"/>
      <c r="X475" s="41"/>
      <c r="Y475" s="41"/>
      <c r="Z475" s="41"/>
      <c r="AA475" s="41"/>
      <c r="AB475" s="41"/>
      <c r="AC475" s="41"/>
      <c r="AD475" s="41"/>
      <c r="AE475" s="41"/>
      <c r="AF475" s="41"/>
      <c r="AG475" s="41"/>
      <c r="AH475" s="41"/>
      <c r="AI475" s="41"/>
    </row>
    <row r="476" spans="1:35" ht="15.75" customHeight="1" x14ac:dyDescent="0.2">
      <c r="A476" s="41"/>
      <c r="B476" s="41"/>
      <c r="C476" s="41"/>
      <c r="D476" s="41"/>
      <c r="E476" s="41"/>
      <c r="F476" s="41"/>
      <c r="G476" s="41"/>
      <c r="H476" s="41"/>
      <c r="I476" s="41"/>
      <c r="J476" s="41"/>
      <c r="K476" s="41"/>
      <c r="L476" s="41"/>
      <c r="M476" s="41"/>
      <c r="N476" s="41"/>
      <c r="O476" s="41"/>
      <c r="P476" s="41"/>
      <c r="Q476" s="41"/>
      <c r="R476" s="41"/>
      <c r="S476" s="41"/>
      <c r="T476" s="41"/>
      <c r="U476" s="41"/>
      <c r="V476" s="41"/>
      <c r="W476" s="41"/>
      <c r="X476" s="41"/>
      <c r="Y476" s="41"/>
      <c r="Z476" s="41"/>
      <c r="AA476" s="41"/>
      <c r="AB476" s="41"/>
      <c r="AC476" s="41"/>
      <c r="AD476" s="41"/>
      <c r="AE476" s="41"/>
      <c r="AF476" s="41"/>
      <c r="AG476" s="41"/>
      <c r="AH476" s="41"/>
      <c r="AI476" s="41"/>
    </row>
    <row r="477" spans="1:35" ht="15.75" customHeight="1" x14ac:dyDescent="0.2">
      <c r="A477" s="41"/>
      <c r="B477" s="41"/>
      <c r="C477" s="41"/>
      <c r="D477" s="41"/>
      <c r="E477" s="41"/>
      <c r="F477" s="41"/>
      <c r="G477" s="41"/>
      <c r="H477" s="41"/>
      <c r="I477" s="41"/>
      <c r="J477" s="41"/>
      <c r="K477" s="41"/>
      <c r="L477" s="41"/>
      <c r="M477" s="41"/>
      <c r="N477" s="41"/>
      <c r="O477" s="41"/>
      <c r="P477" s="41"/>
      <c r="Q477" s="41"/>
      <c r="R477" s="41"/>
      <c r="S477" s="41"/>
      <c r="T477" s="41"/>
      <c r="U477" s="41"/>
      <c r="V477" s="41"/>
      <c r="W477" s="41"/>
      <c r="X477" s="41"/>
      <c r="Y477" s="41"/>
      <c r="Z477" s="41"/>
      <c r="AA477" s="41"/>
      <c r="AB477" s="41"/>
      <c r="AC477" s="41"/>
      <c r="AD477" s="41"/>
      <c r="AE477" s="41"/>
      <c r="AF477" s="41"/>
      <c r="AG477" s="41"/>
      <c r="AH477" s="41"/>
      <c r="AI477" s="41"/>
    </row>
    <row r="478" spans="1:35" ht="15.75" customHeight="1" x14ac:dyDescent="0.2">
      <c r="A478" s="41"/>
      <c r="B478" s="41"/>
      <c r="C478" s="41"/>
      <c r="D478" s="41"/>
      <c r="E478" s="41"/>
      <c r="F478" s="41"/>
      <c r="G478" s="41"/>
      <c r="H478" s="41"/>
      <c r="I478" s="41"/>
      <c r="J478" s="41"/>
      <c r="K478" s="41"/>
      <c r="L478" s="41"/>
      <c r="M478" s="41"/>
      <c r="N478" s="41"/>
      <c r="O478" s="41"/>
      <c r="P478" s="41"/>
      <c r="Q478" s="41"/>
      <c r="R478" s="41"/>
      <c r="S478" s="41"/>
      <c r="T478" s="41"/>
      <c r="U478" s="41"/>
      <c r="V478" s="41"/>
      <c r="W478" s="41"/>
      <c r="X478" s="41"/>
      <c r="Y478" s="41"/>
      <c r="Z478" s="41"/>
      <c r="AA478" s="41"/>
      <c r="AB478" s="41"/>
      <c r="AC478" s="41"/>
      <c r="AD478" s="41"/>
      <c r="AE478" s="41"/>
      <c r="AF478" s="41"/>
      <c r="AG478" s="41"/>
      <c r="AH478" s="41"/>
      <c r="AI478" s="41"/>
    </row>
    <row r="479" spans="1:35" ht="15.75" customHeight="1" x14ac:dyDescent="0.2">
      <c r="A479" s="41"/>
      <c r="B479" s="41"/>
      <c r="C479" s="41"/>
      <c r="D479" s="41"/>
      <c r="E479" s="41"/>
      <c r="F479" s="41"/>
      <c r="G479" s="41"/>
      <c r="H479" s="41"/>
      <c r="I479" s="41"/>
      <c r="J479" s="41"/>
      <c r="K479" s="41"/>
      <c r="L479" s="41"/>
      <c r="M479" s="41"/>
      <c r="N479" s="41"/>
      <c r="O479" s="41"/>
      <c r="P479" s="41"/>
      <c r="Q479" s="41"/>
      <c r="R479" s="41"/>
      <c r="S479" s="41"/>
      <c r="T479" s="41"/>
      <c r="U479" s="41"/>
      <c r="V479" s="41"/>
      <c r="W479" s="41"/>
      <c r="X479" s="41"/>
      <c r="Y479" s="41"/>
      <c r="Z479" s="41"/>
      <c r="AA479" s="41"/>
      <c r="AB479" s="41"/>
      <c r="AC479" s="41"/>
      <c r="AD479" s="41"/>
      <c r="AE479" s="41"/>
      <c r="AF479" s="41"/>
      <c r="AG479" s="41"/>
      <c r="AH479" s="41"/>
      <c r="AI479" s="41"/>
    </row>
    <row r="480" spans="1:35" ht="15.75" customHeight="1" x14ac:dyDescent="0.2">
      <c r="A480" s="41"/>
      <c r="B480" s="41"/>
      <c r="C480" s="41"/>
      <c r="D480" s="41"/>
      <c r="E480" s="41"/>
      <c r="F480" s="41"/>
      <c r="G480" s="41"/>
      <c r="H480" s="41"/>
      <c r="I480" s="41"/>
      <c r="J480" s="41"/>
      <c r="K480" s="41"/>
      <c r="L480" s="41"/>
      <c r="M480" s="41"/>
      <c r="N480" s="41"/>
      <c r="O480" s="41"/>
      <c r="P480" s="41"/>
      <c r="Q480" s="41"/>
      <c r="R480" s="41"/>
      <c r="S480" s="41"/>
      <c r="T480" s="41"/>
      <c r="U480" s="41"/>
      <c r="V480" s="41"/>
      <c r="W480" s="41"/>
      <c r="X480" s="41"/>
      <c r="Y480" s="41"/>
      <c r="Z480" s="41"/>
      <c r="AA480" s="41"/>
      <c r="AB480" s="41"/>
      <c r="AC480" s="41"/>
      <c r="AD480" s="41"/>
      <c r="AE480" s="41"/>
      <c r="AF480" s="41"/>
      <c r="AG480" s="41"/>
      <c r="AH480" s="41"/>
      <c r="AI480" s="41"/>
    </row>
    <row r="481" spans="1:35" ht="15.75" customHeight="1" x14ac:dyDescent="0.2">
      <c r="A481" s="41"/>
      <c r="B481" s="41"/>
      <c r="C481" s="41"/>
      <c r="D481" s="41"/>
      <c r="E481" s="41"/>
      <c r="F481" s="41"/>
      <c r="G481" s="41"/>
      <c r="H481" s="41"/>
      <c r="I481" s="41"/>
      <c r="J481" s="41"/>
      <c r="K481" s="41"/>
      <c r="L481" s="41"/>
      <c r="M481" s="41"/>
      <c r="N481" s="41"/>
      <c r="O481" s="41"/>
      <c r="P481" s="41"/>
      <c r="Q481" s="41"/>
      <c r="R481" s="41"/>
      <c r="S481" s="41"/>
      <c r="T481" s="41"/>
      <c r="U481" s="41"/>
      <c r="V481" s="41"/>
      <c r="W481" s="41"/>
      <c r="X481" s="41"/>
      <c r="Y481" s="41"/>
      <c r="Z481" s="41"/>
      <c r="AA481" s="41"/>
      <c r="AB481" s="41"/>
      <c r="AC481" s="41"/>
      <c r="AD481" s="41"/>
      <c r="AE481" s="41"/>
      <c r="AF481" s="41"/>
      <c r="AG481" s="41"/>
      <c r="AH481" s="41"/>
      <c r="AI481" s="41"/>
    </row>
    <row r="482" spans="1:35" ht="15.75" customHeight="1" x14ac:dyDescent="0.2">
      <c r="A482" s="41"/>
      <c r="B482" s="41"/>
      <c r="C482" s="41"/>
      <c r="D482" s="41"/>
      <c r="E482" s="41"/>
      <c r="F482" s="41"/>
      <c r="G482" s="41"/>
      <c r="H482" s="41"/>
      <c r="I482" s="41"/>
      <c r="J482" s="41"/>
      <c r="K482" s="41"/>
      <c r="L482" s="41"/>
      <c r="M482" s="41"/>
      <c r="N482" s="41"/>
      <c r="O482" s="41"/>
      <c r="P482" s="41"/>
      <c r="Q482" s="41"/>
      <c r="R482" s="41"/>
      <c r="S482" s="41"/>
      <c r="T482" s="41"/>
      <c r="U482" s="41"/>
      <c r="V482" s="41"/>
      <c r="W482" s="41"/>
      <c r="X482" s="41"/>
      <c r="Y482" s="41"/>
      <c r="Z482" s="41"/>
      <c r="AA482" s="41"/>
      <c r="AB482" s="41"/>
      <c r="AC482" s="41"/>
      <c r="AD482" s="41"/>
      <c r="AE482" s="41"/>
      <c r="AF482" s="41"/>
      <c r="AG482" s="41"/>
      <c r="AH482" s="41"/>
      <c r="AI482" s="41"/>
    </row>
    <row r="483" spans="1:35" ht="15.75" customHeight="1" x14ac:dyDescent="0.2">
      <c r="A483" s="41"/>
      <c r="B483" s="41"/>
      <c r="C483" s="41"/>
      <c r="D483" s="41"/>
      <c r="E483" s="41"/>
      <c r="F483" s="41"/>
      <c r="G483" s="41"/>
      <c r="H483" s="41"/>
      <c r="I483" s="41"/>
      <c r="J483" s="41"/>
      <c r="K483" s="41"/>
      <c r="L483" s="41"/>
      <c r="M483" s="41"/>
      <c r="N483" s="41"/>
      <c r="O483" s="41"/>
      <c r="P483" s="41"/>
      <c r="Q483" s="41"/>
      <c r="R483" s="41"/>
      <c r="S483" s="41"/>
      <c r="T483" s="41"/>
      <c r="U483" s="41"/>
      <c r="V483" s="41"/>
      <c r="W483" s="41"/>
      <c r="X483" s="41"/>
      <c r="Y483" s="41"/>
      <c r="Z483" s="41"/>
      <c r="AA483" s="41"/>
      <c r="AB483" s="41"/>
      <c r="AC483" s="41"/>
      <c r="AD483" s="41"/>
      <c r="AE483" s="41"/>
      <c r="AF483" s="41"/>
      <c r="AG483" s="41"/>
      <c r="AH483" s="41"/>
      <c r="AI483" s="41"/>
    </row>
    <row r="484" spans="1:35" ht="15.75" customHeight="1" x14ac:dyDescent="0.2">
      <c r="A484" s="41"/>
      <c r="B484" s="41"/>
      <c r="C484" s="41"/>
      <c r="D484" s="41"/>
      <c r="E484" s="41"/>
      <c r="F484" s="41"/>
      <c r="G484" s="41"/>
      <c r="H484" s="41"/>
      <c r="I484" s="41"/>
      <c r="J484" s="41"/>
      <c r="K484" s="41"/>
      <c r="L484" s="41"/>
      <c r="M484" s="41"/>
      <c r="N484" s="41"/>
      <c r="O484" s="41"/>
      <c r="P484" s="41"/>
      <c r="Q484" s="41"/>
      <c r="R484" s="41"/>
      <c r="S484" s="41"/>
      <c r="T484" s="41"/>
      <c r="U484" s="41"/>
      <c r="V484" s="41"/>
      <c r="W484" s="41"/>
      <c r="X484" s="41"/>
      <c r="Y484" s="41"/>
      <c r="Z484" s="41"/>
      <c r="AA484" s="41"/>
      <c r="AB484" s="41"/>
      <c r="AC484" s="41"/>
      <c r="AD484" s="41"/>
      <c r="AE484" s="41"/>
      <c r="AF484" s="41"/>
      <c r="AG484" s="41"/>
      <c r="AH484" s="41"/>
      <c r="AI484" s="41"/>
    </row>
    <row r="485" spans="1:35" ht="15.75" customHeight="1" x14ac:dyDescent="0.2">
      <c r="A485" s="41"/>
      <c r="B485" s="41"/>
      <c r="C485" s="41"/>
      <c r="D485" s="41"/>
      <c r="E485" s="41"/>
      <c r="F485" s="41"/>
      <c r="G485" s="41"/>
      <c r="H485" s="41"/>
      <c r="I485" s="41"/>
      <c r="J485" s="41"/>
      <c r="K485" s="41"/>
      <c r="L485" s="41"/>
      <c r="M485" s="41"/>
      <c r="N485" s="41"/>
      <c r="O485" s="41"/>
      <c r="P485" s="41"/>
      <c r="Q485" s="41"/>
      <c r="R485" s="41"/>
      <c r="S485" s="41"/>
      <c r="T485" s="41"/>
      <c r="U485" s="41"/>
      <c r="V485" s="41"/>
      <c r="W485" s="41"/>
      <c r="X485" s="41"/>
      <c r="Y485" s="41"/>
      <c r="Z485" s="41"/>
      <c r="AA485" s="41"/>
      <c r="AB485" s="41"/>
      <c r="AC485" s="41"/>
      <c r="AD485" s="41"/>
      <c r="AE485" s="41"/>
      <c r="AF485" s="41"/>
      <c r="AG485" s="41"/>
      <c r="AH485" s="41"/>
      <c r="AI485" s="41"/>
    </row>
    <row r="486" spans="1:35" ht="15.75" customHeight="1" x14ac:dyDescent="0.2">
      <c r="A486" s="41"/>
      <c r="B486" s="41"/>
      <c r="C486" s="41"/>
      <c r="D486" s="41"/>
      <c r="E486" s="41"/>
      <c r="F486" s="41"/>
      <c r="G486" s="41"/>
      <c r="H486" s="41"/>
      <c r="I486" s="41"/>
      <c r="J486" s="41"/>
      <c r="K486" s="41"/>
      <c r="L486" s="41"/>
      <c r="M486" s="41"/>
      <c r="N486" s="41"/>
      <c r="O486" s="41"/>
      <c r="P486" s="41"/>
      <c r="Q486" s="41"/>
      <c r="R486" s="41"/>
      <c r="S486" s="41"/>
      <c r="T486" s="41"/>
      <c r="U486" s="41"/>
      <c r="V486" s="41"/>
      <c r="W486" s="41"/>
      <c r="X486" s="41"/>
      <c r="Y486" s="41"/>
      <c r="Z486" s="41"/>
      <c r="AA486" s="41"/>
      <c r="AB486" s="41"/>
      <c r="AC486" s="41"/>
      <c r="AD486" s="41"/>
      <c r="AE486" s="41"/>
      <c r="AF486" s="41"/>
      <c r="AG486" s="41"/>
      <c r="AH486" s="41"/>
      <c r="AI486" s="41"/>
    </row>
    <row r="487" spans="1:35" ht="15.75" customHeight="1" x14ac:dyDescent="0.2">
      <c r="A487" s="41"/>
      <c r="B487" s="41"/>
      <c r="C487" s="41"/>
      <c r="D487" s="41"/>
      <c r="E487" s="41"/>
      <c r="F487" s="41"/>
      <c r="G487" s="41"/>
      <c r="H487" s="41"/>
      <c r="I487" s="41"/>
      <c r="J487" s="41"/>
      <c r="K487" s="41"/>
      <c r="L487" s="41"/>
      <c r="M487" s="41"/>
      <c r="N487" s="41"/>
      <c r="O487" s="41"/>
      <c r="P487" s="41"/>
      <c r="Q487" s="41"/>
      <c r="R487" s="41"/>
      <c r="S487" s="41"/>
      <c r="T487" s="41"/>
      <c r="U487" s="41"/>
      <c r="V487" s="41"/>
      <c r="W487" s="41"/>
      <c r="X487" s="41"/>
      <c r="Y487" s="41"/>
      <c r="Z487" s="41"/>
      <c r="AA487" s="41"/>
      <c r="AB487" s="41"/>
      <c r="AC487" s="41"/>
      <c r="AD487" s="41"/>
      <c r="AE487" s="41"/>
      <c r="AF487" s="41"/>
      <c r="AG487" s="41"/>
      <c r="AH487" s="41"/>
      <c r="AI487" s="41"/>
    </row>
    <row r="488" spans="1:35" ht="15.75" customHeight="1" x14ac:dyDescent="0.2">
      <c r="A488" s="41"/>
      <c r="B488" s="41"/>
      <c r="C488" s="41"/>
      <c r="D488" s="41"/>
      <c r="E488" s="41"/>
      <c r="F488" s="41"/>
      <c r="G488" s="41"/>
      <c r="H488" s="41"/>
      <c r="I488" s="41"/>
      <c r="J488" s="41"/>
      <c r="K488" s="41"/>
      <c r="L488" s="41"/>
      <c r="M488" s="41"/>
      <c r="N488" s="41"/>
      <c r="O488" s="41"/>
      <c r="P488" s="41"/>
      <c r="Q488" s="41"/>
      <c r="R488" s="41"/>
      <c r="S488" s="41"/>
      <c r="T488" s="41"/>
      <c r="U488" s="41"/>
      <c r="V488" s="41"/>
      <c r="W488" s="41"/>
      <c r="X488" s="41"/>
      <c r="Y488" s="41"/>
      <c r="Z488" s="41"/>
      <c r="AA488" s="41"/>
      <c r="AB488" s="41"/>
      <c r="AC488" s="41"/>
      <c r="AD488" s="41"/>
      <c r="AE488" s="41"/>
      <c r="AF488" s="41"/>
      <c r="AG488" s="41"/>
      <c r="AH488" s="41"/>
      <c r="AI488" s="41"/>
    </row>
    <row r="489" spans="1:35" ht="15.75" customHeight="1" x14ac:dyDescent="0.2">
      <c r="A489" s="41"/>
      <c r="B489" s="41"/>
      <c r="C489" s="41"/>
      <c r="D489" s="41"/>
      <c r="E489" s="41"/>
      <c r="F489" s="41"/>
      <c r="G489" s="41"/>
      <c r="H489" s="41"/>
      <c r="I489" s="41"/>
      <c r="J489" s="41"/>
      <c r="K489" s="41"/>
      <c r="L489" s="41"/>
      <c r="M489" s="41"/>
      <c r="N489" s="41"/>
      <c r="O489" s="41"/>
      <c r="P489" s="41"/>
      <c r="Q489" s="41"/>
      <c r="R489" s="41"/>
      <c r="S489" s="41"/>
      <c r="T489" s="41"/>
      <c r="U489" s="41"/>
      <c r="V489" s="41"/>
      <c r="W489" s="41"/>
      <c r="X489" s="41"/>
      <c r="Y489" s="41"/>
      <c r="Z489" s="41"/>
      <c r="AA489" s="41"/>
      <c r="AB489" s="41"/>
      <c r="AC489" s="41"/>
      <c r="AD489" s="41"/>
      <c r="AE489" s="41"/>
      <c r="AF489" s="41"/>
      <c r="AG489" s="41"/>
      <c r="AH489" s="41"/>
      <c r="AI489" s="41"/>
    </row>
    <row r="490" spans="1:35" ht="15.75" customHeight="1" x14ac:dyDescent="0.2">
      <c r="A490" s="41"/>
      <c r="B490" s="41"/>
      <c r="C490" s="41"/>
      <c r="D490" s="41"/>
      <c r="E490" s="41"/>
      <c r="F490" s="41"/>
      <c r="G490" s="41"/>
      <c r="H490" s="41"/>
      <c r="I490" s="41"/>
      <c r="J490" s="41"/>
      <c r="K490" s="41"/>
      <c r="L490" s="41"/>
      <c r="M490" s="41"/>
      <c r="N490" s="41"/>
      <c r="O490" s="41"/>
      <c r="P490" s="41"/>
      <c r="Q490" s="41"/>
      <c r="R490" s="41"/>
      <c r="S490" s="41"/>
      <c r="T490" s="41"/>
      <c r="U490" s="41"/>
      <c r="V490" s="41"/>
      <c r="W490" s="41"/>
      <c r="X490" s="41"/>
      <c r="Y490" s="41"/>
      <c r="Z490" s="41"/>
      <c r="AA490" s="41"/>
      <c r="AB490" s="41"/>
      <c r="AC490" s="41"/>
      <c r="AD490" s="41"/>
      <c r="AE490" s="41"/>
      <c r="AF490" s="41"/>
      <c r="AG490" s="41"/>
      <c r="AH490" s="41"/>
      <c r="AI490" s="41"/>
    </row>
    <row r="491" spans="1:35" ht="15.75" customHeight="1" x14ac:dyDescent="0.2">
      <c r="A491" s="41"/>
      <c r="B491" s="41"/>
      <c r="C491" s="41"/>
      <c r="D491" s="41"/>
      <c r="E491" s="41"/>
      <c r="F491" s="41"/>
      <c r="G491" s="41"/>
      <c r="H491" s="41"/>
      <c r="I491" s="41"/>
      <c r="J491" s="41"/>
      <c r="K491" s="41"/>
      <c r="L491" s="41"/>
      <c r="M491" s="41"/>
      <c r="N491" s="41"/>
      <c r="O491" s="41"/>
      <c r="P491" s="41"/>
      <c r="Q491" s="41"/>
      <c r="R491" s="41"/>
      <c r="S491" s="41"/>
      <c r="T491" s="41"/>
      <c r="U491" s="41"/>
      <c r="V491" s="41"/>
      <c r="W491" s="41"/>
      <c r="X491" s="41"/>
      <c r="Y491" s="41"/>
      <c r="Z491" s="41"/>
      <c r="AA491" s="41"/>
      <c r="AB491" s="41"/>
      <c r="AC491" s="41"/>
      <c r="AD491" s="41"/>
      <c r="AE491" s="41"/>
      <c r="AF491" s="41"/>
      <c r="AG491" s="41"/>
      <c r="AH491" s="41"/>
      <c r="AI491" s="41"/>
    </row>
    <row r="492" spans="1:35" ht="15.75" customHeight="1" x14ac:dyDescent="0.2">
      <c r="A492" s="41"/>
      <c r="B492" s="41"/>
      <c r="C492" s="41"/>
      <c r="D492" s="41"/>
      <c r="E492" s="41"/>
      <c r="F492" s="41"/>
      <c r="G492" s="41"/>
      <c r="H492" s="41"/>
      <c r="I492" s="41"/>
      <c r="J492" s="41"/>
      <c r="K492" s="41"/>
      <c r="L492" s="41"/>
      <c r="M492" s="41"/>
      <c r="N492" s="41"/>
      <c r="O492" s="41"/>
      <c r="P492" s="41"/>
      <c r="Q492" s="41"/>
      <c r="R492" s="41"/>
      <c r="S492" s="41"/>
      <c r="T492" s="41"/>
      <c r="U492" s="41"/>
      <c r="V492" s="41"/>
      <c r="W492" s="41"/>
      <c r="X492" s="41"/>
      <c r="Y492" s="41"/>
      <c r="Z492" s="41"/>
      <c r="AA492" s="41"/>
      <c r="AB492" s="41"/>
      <c r="AC492" s="41"/>
      <c r="AD492" s="41"/>
      <c r="AE492" s="41"/>
      <c r="AF492" s="41"/>
      <c r="AG492" s="41"/>
      <c r="AH492" s="41"/>
      <c r="AI492" s="41"/>
    </row>
    <row r="493" spans="1:35" ht="15.75" customHeight="1" x14ac:dyDescent="0.2">
      <c r="A493" s="41"/>
      <c r="B493" s="41"/>
      <c r="C493" s="41"/>
      <c r="D493" s="41"/>
      <c r="E493" s="41"/>
      <c r="F493" s="41"/>
      <c r="G493" s="41"/>
      <c r="H493" s="41"/>
      <c r="I493" s="41"/>
      <c r="J493" s="41"/>
      <c r="K493" s="41"/>
      <c r="L493" s="41"/>
      <c r="M493" s="41"/>
      <c r="N493" s="41"/>
      <c r="O493" s="41"/>
      <c r="P493" s="41"/>
      <c r="Q493" s="41"/>
      <c r="R493" s="41"/>
      <c r="S493" s="41"/>
      <c r="T493" s="41"/>
      <c r="U493" s="41"/>
      <c r="V493" s="41"/>
      <c r="W493" s="41"/>
      <c r="X493" s="41"/>
      <c r="Y493" s="41"/>
      <c r="Z493" s="41"/>
      <c r="AA493" s="41"/>
      <c r="AB493" s="41"/>
      <c r="AC493" s="41"/>
      <c r="AD493" s="41"/>
      <c r="AE493" s="41"/>
      <c r="AF493" s="41"/>
      <c r="AG493" s="41"/>
      <c r="AH493" s="41"/>
      <c r="AI493" s="41"/>
    </row>
    <row r="494" spans="1:35" ht="15.75" customHeight="1" x14ac:dyDescent="0.2">
      <c r="A494" s="41"/>
      <c r="B494" s="41"/>
      <c r="C494" s="41"/>
      <c r="D494" s="41"/>
      <c r="E494" s="41"/>
      <c r="F494" s="41"/>
      <c r="G494" s="41"/>
      <c r="H494" s="41"/>
      <c r="I494" s="41"/>
      <c r="J494" s="41"/>
      <c r="K494" s="41"/>
      <c r="L494" s="41"/>
      <c r="M494" s="41"/>
      <c r="N494" s="41"/>
      <c r="O494" s="41"/>
      <c r="P494" s="41"/>
      <c r="Q494" s="41"/>
      <c r="R494" s="41"/>
      <c r="S494" s="41"/>
      <c r="T494" s="41"/>
      <c r="U494" s="41"/>
      <c r="V494" s="41"/>
      <c r="W494" s="41"/>
      <c r="X494" s="41"/>
      <c r="Y494" s="41"/>
      <c r="Z494" s="41"/>
      <c r="AA494" s="41"/>
      <c r="AB494" s="41"/>
      <c r="AC494" s="41"/>
      <c r="AD494" s="41"/>
      <c r="AE494" s="41"/>
      <c r="AF494" s="41"/>
      <c r="AG494" s="41"/>
      <c r="AH494" s="41"/>
      <c r="AI494" s="41"/>
    </row>
    <row r="495" spans="1:35" ht="15.75" customHeight="1" x14ac:dyDescent="0.2">
      <c r="A495" s="41"/>
      <c r="B495" s="41"/>
      <c r="C495" s="41"/>
      <c r="D495" s="41"/>
      <c r="E495" s="41"/>
      <c r="F495" s="41"/>
      <c r="G495" s="41"/>
      <c r="H495" s="41"/>
      <c r="I495" s="41"/>
      <c r="J495" s="41"/>
      <c r="K495" s="41"/>
      <c r="L495" s="41"/>
      <c r="M495" s="41"/>
      <c r="N495" s="41"/>
      <c r="O495" s="41"/>
      <c r="P495" s="41"/>
      <c r="Q495" s="41"/>
      <c r="R495" s="41"/>
      <c r="S495" s="41"/>
      <c r="T495" s="41"/>
      <c r="U495" s="41"/>
      <c r="V495" s="41"/>
      <c r="W495" s="41"/>
      <c r="X495" s="41"/>
      <c r="Y495" s="41"/>
      <c r="Z495" s="41"/>
      <c r="AA495" s="41"/>
      <c r="AB495" s="41"/>
      <c r="AC495" s="41"/>
      <c r="AD495" s="41"/>
      <c r="AE495" s="41"/>
      <c r="AF495" s="41"/>
      <c r="AG495" s="41"/>
      <c r="AH495" s="41"/>
      <c r="AI495" s="41"/>
    </row>
    <row r="496" spans="1:35" ht="15.75" customHeight="1" x14ac:dyDescent="0.2">
      <c r="A496" s="41"/>
      <c r="B496" s="41"/>
      <c r="C496" s="41"/>
      <c r="D496" s="41"/>
      <c r="E496" s="41"/>
      <c r="F496" s="41"/>
      <c r="G496" s="41"/>
      <c r="H496" s="41"/>
      <c r="I496" s="41"/>
      <c r="J496" s="41"/>
      <c r="K496" s="41"/>
      <c r="L496" s="41"/>
      <c r="M496" s="41"/>
      <c r="N496" s="41"/>
      <c r="O496" s="41"/>
      <c r="P496" s="41"/>
      <c r="Q496" s="41"/>
      <c r="R496" s="41"/>
      <c r="S496" s="41"/>
      <c r="T496" s="41"/>
      <c r="U496" s="41"/>
      <c r="V496" s="41"/>
      <c r="W496" s="41"/>
      <c r="X496" s="41"/>
      <c r="Y496" s="41"/>
      <c r="Z496" s="41"/>
      <c r="AA496" s="41"/>
      <c r="AB496" s="41"/>
      <c r="AC496" s="41"/>
      <c r="AD496" s="41"/>
      <c r="AE496" s="41"/>
      <c r="AF496" s="41"/>
      <c r="AG496" s="41"/>
      <c r="AH496" s="41"/>
      <c r="AI496" s="41"/>
    </row>
    <row r="497" spans="1:35" ht="15.75" customHeight="1" x14ac:dyDescent="0.2">
      <c r="A497" s="41"/>
      <c r="B497" s="41"/>
      <c r="C497" s="41"/>
      <c r="D497" s="41"/>
      <c r="E497" s="41"/>
      <c r="F497" s="41"/>
      <c r="G497" s="41"/>
      <c r="H497" s="41"/>
      <c r="I497" s="41"/>
      <c r="J497" s="41"/>
      <c r="K497" s="41"/>
      <c r="L497" s="41"/>
      <c r="M497" s="41"/>
      <c r="N497" s="41"/>
      <c r="O497" s="41"/>
      <c r="P497" s="41"/>
      <c r="Q497" s="41"/>
      <c r="R497" s="41"/>
      <c r="S497" s="41"/>
      <c r="T497" s="41"/>
      <c r="U497" s="41"/>
      <c r="V497" s="41"/>
      <c r="W497" s="41"/>
      <c r="X497" s="41"/>
      <c r="Y497" s="41"/>
      <c r="Z497" s="41"/>
      <c r="AA497" s="41"/>
      <c r="AB497" s="41"/>
      <c r="AC497" s="41"/>
      <c r="AD497" s="41"/>
      <c r="AE497" s="41"/>
      <c r="AF497" s="41"/>
      <c r="AG497" s="41"/>
      <c r="AH497" s="41"/>
      <c r="AI497" s="41"/>
    </row>
    <row r="498" spans="1:35" ht="15.75" customHeight="1" x14ac:dyDescent="0.2">
      <c r="A498" s="41"/>
      <c r="B498" s="41"/>
      <c r="C498" s="41"/>
      <c r="D498" s="41"/>
      <c r="E498" s="41"/>
      <c r="F498" s="41"/>
      <c r="G498" s="41"/>
      <c r="H498" s="41"/>
      <c r="I498" s="41"/>
      <c r="J498" s="41"/>
      <c r="K498" s="41"/>
      <c r="L498" s="41"/>
      <c r="M498" s="41"/>
      <c r="N498" s="41"/>
      <c r="O498" s="41"/>
      <c r="P498" s="41"/>
      <c r="Q498" s="41"/>
      <c r="R498" s="41"/>
      <c r="S498" s="41"/>
      <c r="T498" s="41"/>
      <c r="U498" s="41"/>
      <c r="V498" s="41"/>
      <c r="W498" s="41"/>
      <c r="X498" s="41"/>
      <c r="Y498" s="41"/>
      <c r="Z498" s="41"/>
      <c r="AA498" s="41"/>
      <c r="AB498" s="41"/>
      <c r="AC498" s="41"/>
      <c r="AD498" s="41"/>
      <c r="AE498" s="41"/>
      <c r="AF498" s="41"/>
      <c r="AG498" s="41"/>
      <c r="AH498" s="41"/>
      <c r="AI498" s="41"/>
    </row>
    <row r="499" spans="1:35" ht="15.75" customHeight="1" x14ac:dyDescent="0.2">
      <c r="A499" s="41"/>
      <c r="B499" s="41"/>
      <c r="C499" s="41"/>
      <c r="D499" s="41"/>
      <c r="E499" s="41"/>
      <c r="F499" s="41"/>
      <c r="G499" s="41"/>
      <c r="H499" s="41"/>
      <c r="I499" s="41"/>
      <c r="J499" s="41"/>
      <c r="K499" s="41"/>
      <c r="L499" s="41"/>
      <c r="M499" s="41"/>
      <c r="N499" s="41"/>
      <c r="O499" s="41"/>
      <c r="P499" s="41"/>
      <c r="Q499" s="41"/>
      <c r="R499" s="41"/>
      <c r="S499" s="41"/>
      <c r="T499" s="41"/>
      <c r="U499" s="41"/>
      <c r="V499" s="41"/>
      <c r="W499" s="41"/>
      <c r="X499" s="41"/>
      <c r="Y499" s="41"/>
      <c r="Z499" s="41"/>
      <c r="AA499" s="41"/>
      <c r="AB499" s="41"/>
      <c r="AC499" s="41"/>
      <c r="AD499" s="41"/>
      <c r="AE499" s="41"/>
      <c r="AF499" s="41"/>
      <c r="AG499" s="41"/>
      <c r="AH499" s="41"/>
      <c r="AI499" s="41"/>
    </row>
    <row r="500" spans="1:35" ht="15.75" customHeight="1" x14ac:dyDescent="0.2">
      <c r="A500" s="41"/>
      <c r="B500" s="41"/>
      <c r="C500" s="41"/>
      <c r="D500" s="41"/>
      <c r="E500" s="41"/>
      <c r="F500" s="41"/>
      <c r="G500" s="41"/>
      <c r="H500" s="41"/>
      <c r="I500" s="41"/>
      <c r="J500" s="41"/>
      <c r="K500" s="41"/>
      <c r="L500" s="41"/>
      <c r="M500" s="41"/>
      <c r="N500" s="41"/>
      <c r="O500" s="41"/>
      <c r="P500" s="41"/>
      <c r="Q500" s="41"/>
      <c r="R500" s="41"/>
      <c r="S500" s="41"/>
      <c r="T500" s="41"/>
      <c r="U500" s="41"/>
      <c r="V500" s="41"/>
      <c r="W500" s="41"/>
      <c r="X500" s="41"/>
      <c r="Y500" s="41"/>
      <c r="Z500" s="41"/>
      <c r="AA500" s="41"/>
      <c r="AB500" s="41"/>
      <c r="AC500" s="41"/>
      <c r="AD500" s="41"/>
      <c r="AE500" s="41"/>
      <c r="AF500" s="41"/>
      <c r="AG500" s="41"/>
      <c r="AH500" s="41"/>
      <c r="AI500" s="41"/>
    </row>
    <row r="501" spans="1:35" ht="15.75" customHeight="1" x14ac:dyDescent="0.2">
      <c r="A501" s="41"/>
      <c r="B501" s="41"/>
      <c r="C501" s="41"/>
      <c r="D501" s="41"/>
      <c r="E501" s="41"/>
      <c r="F501" s="41"/>
      <c r="G501" s="41"/>
      <c r="H501" s="41"/>
      <c r="I501" s="41"/>
      <c r="J501" s="41"/>
      <c r="K501" s="41"/>
      <c r="L501" s="41"/>
      <c r="M501" s="41"/>
      <c r="N501" s="41"/>
      <c r="O501" s="41"/>
      <c r="P501" s="41"/>
      <c r="Q501" s="41"/>
      <c r="R501" s="41"/>
      <c r="S501" s="41"/>
      <c r="T501" s="41"/>
      <c r="U501" s="41"/>
      <c r="V501" s="41"/>
      <c r="W501" s="41"/>
      <c r="X501" s="41"/>
      <c r="Y501" s="41"/>
      <c r="Z501" s="41"/>
      <c r="AA501" s="41"/>
      <c r="AB501" s="41"/>
      <c r="AC501" s="41"/>
      <c r="AD501" s="41"/>
      <c r="AE501" s="41"/>
      <c r="AF501" s="41"/>
      <c r="AG501" s="41"/>
      <c r="AH501" s="41"/>
      <c r="AI501" s="41"/>
    </row>
    <row r="502" spans="1:35" ht="15.75" customHeight="1" x14ac:dyDescent="0.2">
      <c r="A502" s="41"/>
      <c r="B502" s="41"/>
      <c r="C502" s="41"/>
      <c r="D502" s="41"/>
      <c r="E502" s="41"/>
      <c r="F502" s="41"/>
      <c r="G502" s="41"/>
      <c r="H502" s="41"/>
      <c r="I502" s="41"/>
      <c r="J502" s="41"/>
      <c r="K502" s="41"/>
      <c r="L502" s="41"/>
      <c r="M502" s="41"/>
      <c r="N502" s="41"/>
      <c r="O502" s="41"/>
      <c r="P502" s="41"/>
      <c r="Q502" s="41"/>
      <c r="R502" s="41"/>
      <c r="S502" s="41"/>
      <c r="T502" s="41"/>
      <c r="U502" s="41"/>
      <c r="V502" s="41"/>
      <c r="W502" s="41"/>
      <c r="X502" s="41"/>
      <c r="Y502" s="41"/>
      <c r="Z502" s="41"/>
      <c r="AA502" s="41"/>
      <c r="AB502" s="41"/>
      <c r="AC502" s="41"/>
      <c r="AD502" s="41"/>
      <c r="AE502" s="41"/>
      <c r="AF502" s="41"/>
      <c r="AG502" s="41"/>
      <c r="AH502" s="41"/>
      <c r="AI502" s="41"/>
    </row>
    <row r="503" spans="1:35" ht="15.75" customHeight="1" x14ac:dyDescent="0.2">
      <c r="A503" s="41"/>
      <c r="B503" s="41"/>
      <c r="C503" s="41"/>
      <c r="D503" s="41"/>
      <c r="E503" s="41"/>
      <c r="F503" s="41"/>
      <c r="G503" s="41"/>
      <c r="H503" s="41"/>
      <c r="I503" s="41"/>
      <c r="J503" s="41"/>
      <c r="K503" s="41"/>
      <c r="L503" s="41"/>
      <c r="M503" s="41"/>
      <c r="N503" s="41"/>
      <c r="O503" s="41"/>
      <c r="P503" s="41"/>
      <c r="Q503" s="41"/>
      <c r="R503" s="41"/>
      <c r="S503" s="41"/>
      <c r="T503" s="41"/>
      <c r="U503" s="41"/>
      <c r="V503" s="41"/>
      <c r="W503" s="41"/>
      <c r="X503" s="41"/>
      <c r="Y503" s="41"/>
      <c r="Z503" s="41"/>
      <c r="AA503" s="41"/>
      <c r="AB503" s="41"/>
      <c r="AC503" s="41"/>
      <c r="AD503" s="41"/>
      <c r="AE503" s="41"/>
      <c r="AF503" s="41"/>
      <c r="AG503" s="41"/>
      <c r="AH503" s="41"/>
      <c r="AI503" s="41"/>
    </row>
    <row r="504" spans="1:35" ht="15.75" customHeight="1" x14ac:dyDescent="0.2">
      <c r="A504" s="41"/>
      <c r="B504" s="41"/>
      <c r="C504" s="41"/>
      <c r="D504" s="41"/>
      <c r="E504" s="41"/>
      <c r="F504" s="41"/>
      <c r="G504" s="41"/>
      <c r="H504" s="41"/>
      <c r="I504" s="41"/>
      <c r="J504" s="41"/>
      <c r="K504" s="41"/>
      <c r="L504" s="41"/>
      <c r="M504" s="41"/>
      <c r="N504" s="41"/>
      <c r="O504" s="41"/>
      <c r="P504" s="41"/>
      <c r="Q504" s="41"/>
      <c r="R504" s="41"/>
      <c r="S504" s="41"/>
      <c r="T504" s="41"/>
      <c r="U504" s="41"/>
      <c r="V504" s="41"/>
      <c r="W504" s="41"/>
      <c r="X504" s="41"/>
      <c r="Y504" s="41"/>
      <c r="Z504" s="41"/>
      <c r="AA504" s="41"/>
      <c r="AB504" s="41"/>
      <c r="AC504" s="41"/>
      <c r="AD504" s="41"/>
      <c r="AE504" s="41"/>
      <c r="AF504" s="41"/>
      <c r="AG504" s="41"/>
      <c r="AH504" s="41"/>
      <c r="AI504" s="41"/>
    </row>
    <row r="505" spans="1:35" ht="15.75" customHeight="1" x14ac:dyDescent="0.2">
      <c r="A505" s="41"/>
      <c r="B505" s="41"/>
      <c r="C505" s="41"/>
      <c r="D505" s="41"/>
      <c r="E505" s="41"/>
      <c r="F505" s="41"/>
      <c r="G505" s="41"/>
      <c r="H505" s="41"/>
      <c r="I505" s="41"/>
      <c r="J505" s="41"/>
      <c r="K505" s="41"/>
      <c r="L505" s="41"/>
      <c r="M505" s="41"/>
      <c r="N505" s="41"/>
      <c r="O505" s="41"/>
      <c r="P505" s="41"/>
      <c r="Q505" s="41"/>
      <c r="R505" s="41"/>
      <c r="S505" s="41"/>
      <c r="T505" s="41"/>
      <c r="U505" s="41"/>
      <c r="V505" s="41"/>
      <c r="W505" s="41"/>
      <c r="X505" s="41"/>
      <c r="Y505" s="41"/>
      <c r="Z505" s="41"/>
      <c r="AA505" s="41"/>
      <c r="AB505" s="41"/>
      <c r="AC505" s="41"/>
      <c r="AD505" s="41"/>
      <c r="AE505" s="41"/>
      <c r="AF505" s="41"/>
      <c r="AG505" s="41"/>
      <c r="AH505" s="41"/>
      <c r="AI505" s="41"/>
    </row>
    <row r="506" spans="1:35" ht="15.75" customHeight="1" x14ac:dyDescent="0.2">
      <c r="A506" s="41"/>
      <c r="B506" s="41"/>
      <c r="C506" s="41"/>
      <c r="D506" s="41"/>
      <c r="E506" s="41"/>
      <c r="F506" s="41"/>
      <c r="G506" s="41"/>
      <c r="H506" s="41"/>
      <c r="I506" s="41"/>
      <c r="J506" s="41"/>
      <c r="K506" s="41"/>
      <c r="L506" s="41"/>
      <c r="M506" s="41"/>
      <c r="N506" s="41"/>
      <c r="O506" s="41"/>
      <c r="P506" s="41"/>
      <c r="Q506" s="41"/>
      <c r="R506" s="41"/>
      <c r="S506" s="41"/>
      <c r="T506" s="41"/>
      <c r="U506" s="41"/>
      <c r="V506" s="41"/>
      <c r="W506" s="41"/>
      <c r="X506" s="41"/>
      <c r="Y506" s="41"/>
      <c r="Z506" s="41"/>
      <c r="AA506" s="41"/>
      <c r="AB506" s="41"/>
      <c r="AC506" s="41"/>
      <c r="AD506" s="41"/>
      <c r="AE506" s="41"/>
      <c r="AF506" s="41"/>
      <c r="AG506" s="41"/>
      <c r="AH506" s="41"/>
      <c r="AI506" s="41"/>
    </row>
    <row r="507" spans="1:35" ht="15.75" customHeight="1" x14ac:dyDescent="0.2">
      <c r="A507" s="41"/>
      <c r="B507" s="41"/>
      <c r="C507" s="41"/>
      <c r="D507" s="41"/>
      <c r="E507" s="41"/>
      <c r="F507" s="41"/>
      <c r="G507" s="41"/>
      <c r="H507" s="41"/>
      <c r="I507" s="41"/>
      <c r="J507" s="41"/>
      <c r="K507" s="41"/>
      <c r="L507" s="41"/>
      <c r="M507" s="41"/>
      <c r="N507" s="41"/>
      <c r="O507" s="41"/>
      <c r="P507" s="41"/>
      <c r="Q507" s="41"/>
      <c r="R507" s="41"/>
      <c r="S507" s="41"/>
      <c r="T507" s="41"/>
      <c r="U507" s="41"/>
      <c r="V507" s="41"/>
      <c r="W507" s="41"/>
      <c r="X507" s="41"/>
      <c r="Y507" s="41"/>
      <c r="Z507" s="41"/>
      <c r="AA507" s="41"/>
      <c r="AB507" s="41"/>
      <c r="AC507" s="41"/>
      <c r="AD507" s="41"/>
      <c r="AE507" s="41"/>
      <c r="AF507" s="41"/>
      <c r="AG507" s="41"/>
      <c r="AH507" s="41"/>
      <c r="AI507" s="41"/>
    </row>
    <row r="508" spans="1:35" ht="15.75" customHeight="1" x14ac:dyDescent="0.2">
      <c r="A508" s="41"/>
      <c r="B508" s="41"/>
      <c r="C508" s="41"/>
      <c r="D508" s="41"/>
      <c r="E508" s="41"/>
      <c r="F508" s="41"/>
      <c r="G508" s="41"/>
      <c r="H508" s="41"/>
      <c r="I508" s="41"/>
      <c r="J508" s="41"/>
      <c r="K508" s="41"/>
      <c r="L508" s="41"/>
      <c r="M508" s="41"/>
      <c r="N508" s="41"/>
      <c r="O508" s="41"/>
      <c r="P508" s="41"/>
      <c r="Q508" s="41"/>
      <c r="R508" s="41"/>
      <c r="S508" s="41"/>
      <c r="T508" s="41"/>
      <c r="U508" s="41"/>
      <c r="V508" s="41"/>
      <c r="W508" s="41"/>
      <c r="X508" s="41"/>
      <c r="Y508" s="41"/>
      <c r="Z508" s="41"/>
      <c r="AA508" s="41"/>
      <c r="AB508" s="41"/>
      <c r="AC508" s="41"/>
      <c r="AD508" s="41"/>
      <c r="AE508" s="41"/>
      <c r="AF508" s="41"/>
      <c r="AG508" s="41"/>
      <c r="AH508" s="41"/>
      <c r="AI508" s="41"/>
    </row>
    <row r="509" spans="1:35" ht="15.75" customHeight="1" x14ac:dyDescent="0.2">
      <c r="A509" s="41"/>
      <c r="B509" s="41"/>
      <c r="C509" s="41"/>
      <c r="D509" s="41"/>
      <c r="E509" s="41"/>
      <c r="F509" s="41"/>
      <c r="G509" s="41"/>
      <c r="H509" s="41"/>
      <c r="I509" s="41"/>
      <c r="J509" s="41"/>
      <c r="K509" s="41"/>
      <c r="L509" s="41"/>
      <c r="M509" s="41"/>
      <c r="N509" s="41"/>
      <c r="O509" s="41"/>
      <c r="P509" s="41"/>
      <c r="Q509" s="41"/>
      <c r="R509" s="41"/>
      <c r="S509" s="41"/>
      <c r="T509" s="41"/>
      <c r="U509" s="41"/>
      <c r="V509" s="41"/>
      <c r="W509" s="41"/>
      <c r="X509" s="41"/>
      <c r="Y509" s="41"/>
      <c r="Z509" s="41"/>
      <c r="AA509" s="41"/>
      <c r="AB509" s="41"/>
      <c r="AC509" s="41"/>
      <c r="AD509" s="41"/>
      <c r="AE509" s="41"/>
      <c r="AF509" s="41"/>
      <c r="AG509" s="41"/>
      <c r="AH509" s="41"/>
      <c r="AI509" s="41"/>
    </row>
    <row r="510" spans="1:35" ht="15.75" customHeight="1" x14ac:dyDescent="0.2">
      <c r="A510" s="41"/>
      <c r="B510" s="41"/>
      <c r="C510" s="41"/>
      <c r="D510" s="41"/>
      <c r="E510" s="41"/>
      <c r="F510" s="41"/>
      <c r="G510" s="41"/>
      <c r="H510" s="41"/>
      <c r="I510" s="41"/>
      <c r="J510" s="41"/>
      <c r="K510" s="41"/>
      <c r="L510" s="41"/>
      <c r="M510" s="41"/>
      <c r="N510" s="41"/>
      <c r="O510" s="41"/>
      <c r="P510" s="41"/>
      <c r="Q510" s="41"/>
      <c r="R510" s="41"/>
      <c r="S510" s="41"/>
      <c r="T510" s="41"/>
      <c r="U510" s="41"/>
      <c r="V510" s="41"/>
      <c r="W510" s="41"/>
      <c r="X510" s="41"/>
      <c r="Y510" s="41"/>
      <c r="Z510" s="41"/>
      <c r="AA510" s="41"/>
      <c r="AB510" s="41"/>
      <c r="AC510" s="41"/>
      <c r="AD510" s="41"/>
      <c r="AE510" s="41"/>
      <c r="AF510" s="41"/>
      <c r="AG510" s="41"/>
      <c r="AH510" s="41"/>
      <c r="AI510" s="41"/>
    </row>
    <row r="511" spans="1:35" ht="15.75" customHeight="1" x14ac:dyDescent="0.2">
      <c r="A511" s="41"/>
      <c r="B511" s="41"/>
      <c r="C511" s="41"/>
      <c r="D511" s="41"/>
      <c r="E511" s="41"/>
      <c r="F511" s="41"/>
      <c r="G511" s="41"/>
      <c r="H511" s="41"/>
      <c r="I511" s="41"/>
      <c r="J511" s="41"/>
      <c r="K511" s="41"/>
      <c r="L511" s="41"/>
      <c r="M511" s="41"/>
      <c r="N511" s="41"/>
      <c r="O511" s="41"/>
      <c r="P511" s="41"/>
      <c r="Q511" s="41"/>
      <c r="R511" s="41"/>
      <c r="S511" s="41"/>
      <c r="T511" s="41"/>
      <c r="U511" s="41"/>
      <c r="V511" s="41"/>
      <c r="W511" s="41"/>
      <c r="X511" s="41"/>
      <c r="Y511" s="41"/>
      <c r="Z511" s="41"/>
      <c r="AA511" s="41"/>
      <c r="AB511" s="41"/>
      <c r="AC511" s="41"/>
      <c r="AD511" s="41"/>
      <c r="AE511" s="41"/>
      <c r="AF511" s="41"/>
      <c r="AG511" s="41"/>
      <c r="AH511" s="41"/>
      <c r="AI511" s="41"/>
    </row>
    <row r="512" spans="1:35" ht="15.75" customHeight="1" x14ac:dyDescent="0.2">
      <c r="A512" s="41"/>
      <c r="B512" s="41"/>
      <c r="C512" s="41"/>
      <c r="D512" s="41"/>
      <c r="E512" s="41"/>
      <c r="F512" s="41"/>
      <c r="G512" s="41"/>
      <c r="H512" s="41"/>
      <c r="I512" s="41"/>
      <c r="J512" s="41"/>
      <c r="K512" s="41"/>
      <c r="L512" s="41"/>
      <c r="M512" s="41"/>
      <c r="N512" s="41"/>
      <c r="O512" s="41"/>
      <c r="P512" s="41"/>
      <c r="Q512" s="41"/>
      <c r="R512" s="41"/>
      <c r="S512" s="41"/>
      <c r="T512" s="41"/>
      <c r="U512" s="41"/>
      <c r="V512" s="41"/>
      <c r="W512" s="41"/>
      <c r="X512" s="41"/>
      <c r="Y512" s="41"/>
      <c r="Z512" s="41"/>
      <c r="AA512" s="41"/>
      <c r="AB512" s="41"/>
      <c r="AC512" s="41"/>
      <c r="AD512" s="41"/>
      <c r="AE512" s="41"/>
      <c r="AF512" s="41"/>
      <c r="AG512" s="41"/>
      <c r="AH512" s="41"/>
      <c r="AI512" s="41"/>
    </row>
    <row r="513" spans="1:35" ht="15.75" customHeight="1" x14ac:dyDescent="0.2">
      <c r="A513" s="41"/>
      <c r="B513" s="41"/>
      <c r="C513" s="41"/>
      <c r="D513" s="41"/>
      <c r="E513" s="41"/>
      <c r="F513" s="41"/>
      <c r="G513" s="41"/>
      <c r="H513" s="41"/>
      <c r="I513" s="41"/>
      <c r="J513" s="41"/>
      <c r="K513" s="41"/>
      <c r="L513" s="41"/>
      <c r="M513" s="41"/>
      <c r="N513" s="41"/>
      <c r="O513" s="41"/>
      <c r="P513" s="41"/>
      <c r="Q513" s="41"/>
      <c r="R513" s="41"/>
      <c r="S513" s="41"/>
      <c r="T513" s="41"/>
      <c r="U513" s="41"/>
      <c r="V513" s="41"/>
      <c r="W513" s="41"/>
      <c r="X513" s="41"/>
      <c r="Y513" s="41"/>
      <c r="Z513" s="41"/>
      <c r="AA513" s="41"/>
      <c r="AB513" s="41"/>
      <c r="AC513" s="41"/>
      <c r="AD513" s="41"/>
      <c r="AE513" s="41"/>
      <c r="AF513" s="41"/>
      <c r="AG513" s="41"/>
      <c r="AH513" s="41"/>
      <c r="AI513" s="41"/>
    </row>
    <row r="514" spans="1:35" ht="15.75" customHeight="1" x14ac:dyDescent="0.2">
      <c r="A514" s="41"/>
      <c r="B514" s="41"/>
      <c r="C514" s="41"/>
      <c r="D514" s="41"/>
      <c r="E514" s="41"/>
      <c r="F514" s="41"/>
      <c r="G514" s="41"/>
      <c r="H514" s="41"/>
      <c r="I514" s="41"/>
      <c r="J514" s="41"/>
      <c r="K514" s="41"/>
      <c r="L514" s="41"/>
      <c r="M514" s="41"/>
      <c r="N514" s="41"/>
      <c r="O514" s="41"/>
      <c r="P514" s="41"/>
      <c r="Q514" s="41"/>
      <c r="R514" s="41"/>
      <c r="S514" s="41"/>
      <c r="T514" s="41"/>
      <c r="U514" s="41"/>
      <c r="V514" s="41"/>
      <c r="W514" s="41"/>
      <c r="X514" s="41"/>
      <c r="Y514" s="41"/>
      <c r="Z514" s="41"/>
      <c r="AA514" s="41"/>
      <c r="AB514" s="41"/>
      <c r="AC514" s="41"/>
      <c r="AD514" s="41"/>
      <c r="AE514" s="41"/>
      <c r="AF514" s="41"/>
      <c r="AG514" s="41"/>
      <c r="AH514" s="41"/>
      <c r="AI514" s="41"/>
    </row>
    <row r="515" spans="1:35" ht="15.75" customHeight="1" x14ac:dyDescent="0.2">
      <c r="A515" s="41"/>
      <c r="B515" s="41"/>
      <c r="C515" s="41"/>
      <c r="D515" s="41"/>
      <c r="E515" s="41"/>
      <c r="F515" s="41"/>
      <c r="G515" s="41"/>
      <c r="H515" s="41"/>
      <c r="I515" s="41"/>
      <c r="J515" s="41"/>
      <c r="K515" s="41"/>
      <c r="L515" s="41"/>
      <c r="M515" s="41"/>
      <c r="N515" s="41"/>
      <c r="O515" s="41"/>
      <c r="P515" s="41"/>
      <c r="Q515" s="41"/>
      <c r="R515" s="41"/>
      <c r="S515" s="41"/>
      <c r="T515" s="41"/>
      <c r="U515" s="41"/>
      <c r="V515" s="41"/>
      <c r="W515" s="41"/>
      <c r="X515" s="41"/>
      <c r="Y515" s="41"/>
      <c r="Z515" s="41"/>
      <c r="AA515" s="41"/>
      <c r="AB515" s="41"/>
      <c r="AC515" s="41"/>
      <c r="AD515" s="41"/>
      <c r="AE515" s="41"/>
      <c r="AF515" s="41"/>
      <c r="AG515" s="41"/>
      <c r="AH515" s="41"/>
      <c r="AI515" s="41"/>
    </row>
    <row r="516" spans="1:35" ht="15.75" customHeight="1" x14ac:dyDescent="0.2">
      <c r="A516" s="41"/>
      <c r="B516" s="41"/>
      <c r="C516" s="41"/>
      <c r="D516" s="41"/>
      <c r="E516" s="41"/>
      <c r="F516" s="41"/>
      <c r="G516" s="41"/>
      <c r="H516" s="41"/>
      <c r="I516" s="41"/>
      <c r="J516" s="41"/>
      <c r="K516" s="41"/>
      <c r="L516" s="41"/>
      <c r="M516" s="41"/>
      <c r="N516" s="41"/>
      <c r="O516" s="41"/>
      <c r="P516" s="41"/>
      <c r="Q516" s="41"/>
      <c r="R516" s="41"/>
      <c r="S516" s="41"/>
      <c r="T516" s="41"/>
      <c r="U516" s="41"/>
      <c r="V516" s="41"/>
      <c r="W516" s="41"/>
      <c r="X516" s="41"/>
      <c r="Y516" s="41"/>
      <c r="Z516" s="41"/>
      <c r="AA516" s="41"/>
      <c r="AB516" s="41"/>
      <c r="AC516" s="41"/>
      <c r="AD516" s="41"/>
      <c r="AE516" s="41"/>
      <c r="AF516" s="41"/>
      <c r="AG516" s="41"/>
      <c r="AH516" s="41"/>
      <c r="AI516" s="41"/>
    </row>
    <row r="517" spans="1:35" ht="15.75" customHeight="1" x14ac:dyDescent="0.2">
      <c r="A517" s="41"/>
      <c r="B517" s="41"/>
      <c r="C517" s="41"/>
      <c r="D517" s="41"/>
      <c r="E517" s="41"/>
      <c r="F517" s="41"/>
      <c r="G517" s="41"/>
      <c r="H517" s="41"/>
      <c r="I517" s="41"/>
      <c r="J517" s="41"/>
      <c r="K517" s="41"/>
      <c r="L517" s="41"/>
      <c r="M517" s="41"/>
      <c r="N517" s="41"/>
      <c r="O517" s="41"/>
      <c r="P517" s="41"/>
      <c r="Q517" s="41"/>
      <c r="R517" s="41"/>
      <c r="S517" s="41"/>
      <c r="T517" s="41"/>
      <c r="U517" s="41"/>
      <c r="V517" s="41"/>
      <c r="W517" s="41"/>
      <c r="X517" s="41"/>
      <c r="Y517" s="41"/>
      <c r="Z517" s="41"/>
      <c r="AA517" s="41"/>
      <c r="AB517" s="41"/>
      <c r="AC517" s="41"/>
      <c r="AD517" s="41"/>
      <c r="AE517" s="41"/>
      <c r="AF517" s="41"/>
      <c r="AG517" s="41"/>
      <c r="AH517" s="41"/>
      <c r="AI517" s="41"/>
    </row>
    <row r="518" spans="1:35" ht="15.75" customHeight="1" x14ac:dyDescent="0.2">
      <c r="A518" s="41"/>
      <c r="B518" s="41"/>
      <c r="C518" s="41"/>
      <c r="D518" s="41"/>
      <c r="E518" s="41"/>
      <c r="F518" s="41"/>
      <c r="G518" s="41"/>
      <c r="H518" s="41"/>
      <c r="I518" s="41"/>
      <c r="J518" s="41"/>
      <c r="K518" s="41"/>
      <c r="L518" s="41"/>
      <c r="M518" s="41"/>
      <c r="N518" s="41"/>
      <c r="O518" s="41"/>
      <c r="P518" s="41"/>
      <c r="Q518" s="41"/>
      <c r="R518" s="41"/>
      <c r="S518" s="41"/>
      <c r="T518" s="41"/>
      <c r="U518" s="41"/>
      <c r="V518" s="41"/>
      <c r="W518" s="41"/>
      <c r="X518" s="41"/>
      <c r="Y518" s="41"/>
      <c r="Z518" s="41"/>
      <c r="AA518" s="41"/>
      <c r="AB518" s="41"/>
      <c r="AC518" s="41"/>
      <c r="AD518" s="41"/>
      <c r="AE518" s="41"/>
      <c r="AF518" s="41"/>
      <c r="AG518" s="41"/>
      <c r="AH518" s="41"/>
      <c r="AI518" s="41"/>
    </row>
    <row r="519" spans="1:35" ht="15.75" customHeight="1" x14ac:dyDescent="0.2">
      <c r="A519" s="41"/>
      <c r="B519" s="41"/>
      <c r="C519" s="41"/>
      <c r="D519" s="41"/>
      <c r="E519" s="41"/>
      <c r="F519" s="41"/>
      <c r="G519" s="41"/>
      <c r="H519" s="41"/>
      <c r="I519" s="41"/>
      <c r="J519" s="41"/>
      <c r="K519" s="41"/>
      <c r="L519" s="41"/>
      <c r="M519" s="41"/>
      <c r="N519" s="41"/>
      <c r="O519" s="41"/>
      <c r="P519" s="41"/>
      <c r="Q519" s="41"/>
      <c r="R519" s="41"/>
      <c r="S519" s="41"/>
      <c r="T519" s="41"/>
      <c r="U519" s="41"/>
      <c r="V519" s="41"/>
      <c r="W519" s="41"/>
      <c r="X519" s="41"/>
      <c r="Y519" s="41"/>
      <c r="Z519" s="41"/>
      <c r="AA519" s="41"/>
      <c r="AB519" s="41"/>
      <c r="AC519" s="41"/>
      <c r="AD519" s="41"/>
      <c r="AE519" s="41"/>
      <c r="AF519" s="41"/>
      <c r="AG519" s="41"/>
      <c r="AH519" s="41"/>
      <c r="AI519" s="41"/>
    </row>
    <row r="520" spans="1:35" ht="15.75" customHeight="1" x14ac:dyDescent="0.2">
      <c r="A520" s="41"/>
      <c r="B520" s="41"/>
      <c r="C520" s="41"/>
      <c r="D520" s="41"/>
      <c r="E520" s="41"/>
      <c r="F520" s="41"/>
      <c r="G520" s="41"/>
      <c r="H520" s="41"/>
      <c r="I520" s="41"/>
      <c r="J520" s="41"/>
      <c r="K520" s="41"/>
      <c r="L520" s="41"/>
      <c r="M520" s="41"/>
      <c r="N520" s="41"/>
      <c r="O520" s="41"/>
      <c r="P520" s="41"/>
      <c r="Q520" s="41"/>
      <c r="R520" s="41"/>
      <c r="S520" s="41"/>
      <c r="T520" s="41"/>
      <c r="U520" s="41"/>
      <c r="V520" s="41"/>
      <c r="W520" s="41"/>
      <c r="X520" s="41"/>
      <c r="Y520" s="41"/>
      <c r="Z520" s="41"/>
      <c r="AA520" s="41"/>
      <c r="AB520" s="41"/>
      <c r="AC520" s="41"/>
      <c r="AD520" s="41"/>
      <c r="AE520" s="41"/>
      <c r="AF520" s="41"/>
      <c r="AG520" s="41"/>
      <c r="AH520" s="41"/>
      <c r="AI520" s="41"/>
    </row>
    <row r="521" spans="1:35" ht="15.75" customHeight="1" x14ac:dyDescent="0.2">
      <c r="A521" s="41"/>
      <c r="B521" s="41"/>
      <c r="C521" s="41"/>
      <c r="D521" s="41"/>
      <c r="E521" s="41"/>
      <c r="F521" s="41"/>
      <c r="G521" s="41"/>
      <c r="H521" s="41"/>
      <c r="I521" s="41"/>
      <c r="J521" s="41"/>
      <c r="K521" s="41"/>
      <c r="L521" s="41"/>
      <c r="M521" s="41"/>
      <c r="N521" s="41"/>
      <c r="O521" s="41"/>
      <c r="P521" s="41"/>
      <c r="Q521" s="41"/>
      <c r="R521" s="41"/>
      <c r="S521" s="41"/>
      <c r="T521" s="41"/>
      <c r="U521" s="41"/>
      <c r="V521" s="41"/>
      <c r="W521" s="41"/>
      <c r="X521" s="41"/>
      <c r="Y521" s="41"/>
      <c r="Z521" s="41"/>
      <c r="AA521" s="41"/>
      <c r="AB521" s="41"/>
      <c r="AC521" s="41"/>
      <c r="AD521" s="41"/>
      <c r="AE521" s="41"/>
      <c r="AF521" s="41"/>
      <c r="AG521" s="41"/>
      <c r="AH521" s="41"/>
      <c r="AI521" s="41"/>
    </row>
    <row r="522" spans="1:35" ht="15.75" customHeight="1" x14ac:dyDescent="0.2">
      <c r="A522" s="41"/>
      <c r="B522" s="41"/>
      <c r="C522" s="41"/>
      <c r="D522" s="41"/>
      <c r="E522" s="41"/>
      <c r="F522" s="41"/>
      <c r="G522" s="41"/>
      <c r="H522" s="41"/>
      <c r="I522" s="41"/>
      <c r="J522" s="41"/>
      <c r="K522" s="41"/>
      <c r="L522" s="41"/>
      <c r="M522" s="41"/>
      <c r="N522" s="41"/>
      <c r="O522" s="41"/>
      <c r="P522" s="41"/>
      <c r="Q522" s="41"/>
      <c r="R522" s="41"/>
      <c r="S522" s="41"/>
      <c r="T522" s="41"/>
      <c r="U522" s="41"/>
      <c r="V522" s="41"/>
      <c r="W522" s="41"/>
      <c r="X522" s="41"/>
      <c r="Y522" s="41"/>
      <c r="Z522" s="41"/>
      <c r="AA522" s="41"/>
      <c r="AB522" s="41"/>
      <c r="AC522" s="41"/>
      <c r="AD522" s="41"/>
      <c r="AE522" s="41"/>
      <c r="AF522" s="41"/>
      <c r="AG522" s="41"/>
      <c r="AH522" s="41"/>
      <c r="AI522" s="41"/>
    </row>
    <row r="523" spans="1:35" ht="15.75" customHeight="1" x14ac:dyDescent="0.2">
      <c r="A523" s="41"/>
      <c r="B523" s="41"/>
      <c r="C523" s="41"/>
      <c r="D523" s="41"/>
      <c r="E523" s="41"/>
      <c r="F523" s="41"/>
      <c r="G523" s="41"/>
      <c r="H523" s="41"/>
      <c r="I523" s="41"/>
      <c r="J523" s="41"/>
      <c r="K523" s="41"/>
      <c r="L523" s="41"/>
      <c r="M523" s="41"/>
      <c r="N523" s="41"/>
      <c r="O523" s="41"/>
      <c r="P523" s="41"/>
      <c r="Q523" s="41"/>
      <c r="R523" s="41"/>
      <c r="S523" s="41"/>
      <c r="T523" s="41"/>
      <c r="U523" s="41"/>
      <c r="V523" s="41"/>
      <c r="W523" s="41"/>
      <c r="X523" s="41"/>
      <c r="Y523" s="41"/>
      <c r="Z523" s="41"/>
      <c r="AA523" s="41"/>
      <c r="AB523" s="41"/>
      <c r="AC523" s="41"/>
      <c r="AD523" s="41"/>
      <c r="AE523" s="41"/>
      <c r="AF523" s="41"/>
      <c r="AG523" s="41"/>
      <c r="AH523" s="41"/>
      <c r="AI523" s="41"/>
    </row>
    <row r="524" spans="1:35" ht="15.75" customHeight="1" x14ac:dyDescent="0.2">
      <c r="A524" s="41"/>
      <c r="B524" s="41"/>
      <c r="C524" s="41"/>
      <c r="D524" s="41"/>
      <c r="E524" s="41"/>
      <c r="F524" s="41"/>
      <c r="G524" s="41"/>
      <c r="H524" s="41"/>
      <c r="I524" s="41"/>
      <c r="J524" s="41"/>
      <c r="K524" s="41"/>
      <c r="L524" s="41"/>
      <c r="M524" s="41"/>
      <c r="N524" s="41"/>
      <c r="O524" s="41"/>
      <c r="P524" s="41"/>
      <c r="Q524" s="41"/>
      <c r="R524" s="41"/>
      <c r="S524" s="41"/>
      <c r="T524" s="41"/>
      <c r="U524" s="41"/>
      <c r="V524" s="41"/>
      <c r="W524" s="41"/>
      <c r="X524" s="41"/>
      <c r="Y524" s="41"/>
      <c r="Z524" s="41"/>
      <c r="AA524" s="41"/>
      <c r="AB524" s="41"/>
      <c r="AC524" s="41"/>
      <c r="AD524" s="41"/>
      <c r="AE524" s="41"/>
      <c r="AF524" s="41"/>
      <c r="AG524" s="41"/>
      <c r="AH524" s="41"/>
      <c r="AI524" s="41"/>
    </row>
    <row r="525" spans="1:35" ht="15.75" customHeight="1" x14ac:dyDescent="0.2">
      <c r="A525" s="41"/>
      <c r="B525" s="41"/>
      <c r="C525" s="41"/>
      <c r="D525" s="41"/>
      <c r="E525" s="41"/>
      <c r="F525" s="41"/>
      <c r="G525" s="41"/>
      <c r="H525" s="41"/>
      <c r="I525" s="41"/>
      <c r="J525" s="41"/>
      <c r="K525" s="41"/>
      <c r="L525" s="41"/>
      <c r="M525" s="41"/>
      <c r="N525" s="41"/>
      <c r="O525" s="41"/>
      <c r="P525" s="41"/>
      <c r="Q525" s="41"/>
      <c r="R525" s="41"/>
      <c r="S525" s="41"/>
      <c r="T525" s="41"/>
      <c r="U525" s="41"/>
      <c r="V525" s="41"/>
      <c r="W525" s="41"/>
      <c r="X525" s="41"/>
      <c r="Y525" s="41"/>
      <c r="Z525" s="41"/>
      <c r="AA525" s="41"/>
      <c r="AB525" s="41"/>
      <c r="AC525" s="41"/>
      <c r="AD525" s="41"/>
      <c r="AE525" s="41"/>
      <c r="AF525" s="41"/>
      <c r="AG525" s="41"/>
      <c r="AH525" s="41"/>
      <c r="AI525" s="41"/>
    </row>
    <row r="526" spans="1:35" ht="15.75" customHeight="1" x14ac:dyDescent="0.2">
      <c r="A526" s="41"/>
      <c r="B526" s="41"/>
      <c r="C526" s="41"/>
      <c r="D526" s="41"/>
      <c r="E526" s="41"/>
      <c r="F526" s="41"/>
      <c r="G526" s="41"/>
      <c r="H526" s="41"/>
      <c r="I526" s="41"/>
      <c r="J526" s="41"/>
      <c r="K526" s="41"/>
      <c r="L526" s="41"/>
      <c r="M526" s="41"/>
      <c r="N526" s="41"/>
      <c r="O526" s="41"/>
      <c r="P526" s="41"/>
      <c r="Q526" s="41"/>
      <c r="R526" s="41"/>
      <c r="S526" s="41"/>
      <c r="T526" s="41"/>
      <c r="U526" s="41"/>
      <c r="V526" s="41"/>
      <c r="W526" s="41"/>
      <c r="X526" s="41"/>
      <c r="Y526" s="41"/>
      <c r="Z526" s="41"/>
      <c r="AA526" s="41"/>
      <c r="AB526" s="41"/>
      <c r="AC526" s="41"/>
      <c r="AD526" s="41"/>
      <c r="AE526" s="41"/>
      <c r="AF526" s="41"/>
      <c r="AG526" s="41"/>
      <c r="AH526" s="41"/>
      <c r="AI526" s="41"/>
    </row>
    <row r="527" spans="1:35" ht="15.75" customHeight="1" x14ac:dyDescent="0.2">
      <c r="A527" s="41"/>
      <c r="B527" s="41"/>
      <c r="C527" s="41"/>
      <c r="D527" s="41"/>
      <c r="E527" s="41"/>
      <c r="F527" s="41"/>
      <c r="G527" s="41"/>
      <c r="H527" s="41"/>
      <c r="I527" s="41"/>
      <c r="J527" s="41"/>
      <c r="K527" s="41"/>
      <c r="L527" s="41"/>
      <c r="M527" s="41"/>
      <c r="N527" s="41"/>
      <c r="O527" s="41"/>
      <c r="P527" s="41"/>
      <c r="Q527" s="41"/>
      <c r="R527" s="41"/>
      <c r="S527" s="41"/>
      <c r="T527" s="41"/>
      <c r="U527" s="41"/>
      <c r="V527" s="41"/>
      <c r="W527" s="41"/>
      <c r="X527" s="41"/>
      <c r="Y527" s="41"/>
      <c r="Z527" s="41"/>
      <c r="AA527" s="41"/>
      <c r="AB527" s="41"/>
      <c r="AC527" s="41"/>
      <c r="AD527" s="41"/>
      <c r="AE527" s="41"/>
      <c r="AF527" s="41"/>
      <c r="AG527" s="41"/>
      <c r="AH527" s="41"/>
      <c r="AI527" s="41"/>
    </row>
    <row r="528" spans="1:35" ht="15.75" customHeight="1" x14ac:dyDescent="0.2">
      <c r="A528" s="41"/>
      <c r="B528" s="41"/>
      <c r="C528" s="41"/>
      <c r="D528" s="41"/>
      <c r="E528" s="41"/>
      <c r="F528" s="41"/>
      <c r="G528" s="41"/>
      <c r="H528" s="41"/>
      <c r="I528" s="41"/>
      <c r="J528" s="41"/>
      <c r="K528" s="41"/>
      <c r="L528" s="41"/>
      <c r="M528" s="41"/>
      <c r="N528" s="41"/>
      <c r="O528" s="41"/>
      <c r="P528" s="41"/>
      <c r="Q528" s="41"/>
      <c r="R528" s="41"/>
      <c r="S528" s="41"/>
      <c r="T528" s="41"/>
      <c r="U528" s="41"/>
      <c r="V528" s="41"/>
      <c r="W528" s="41"/>
      <c r="X528" s="41"/>
      <c r="Y528" s="41"/>
      <c r="Z528" s="41"/>
      <c r="AA528" s="41"/>
      <c r="AB528" s="41"/>
      <c r="AC528" s="41"/>
      <c r="AD528" s="41"/>
      <c r="AE528" s="41"/>
      <c r="AF528" s="41"/>
      <c r="AG528" s="41"/>
      <c r="AH528" s="41"/>
      <c r="AI528" s="41"/>
    </row>
    <row r="529" spans="1:35" ht="15.75" customHeight="1" x14ac:dyDescent="0.2">
      <c r="A529" s="41"/>
      <c r="B529" s="41"/>
      <c r="C529" s="41"/>
      <c r="D529" s="41"/>
      <c r="E529" s="41"/>
      <c r="F529" s="41"/>
      <c r="G529" s="41"/>
      <c r="H529" s="41"/>
      <c r="I529" s="41"/>
      <c r="J529" s="41"/>
      <c r="K529" s="41"/>
      <c r="L529" s="41"/>
      <c r="M529" s="41"/>
      <c r="N529" s="41"/>
      <c r="O529" s="41"/>
      <c r="P529" s="41"/>
      <c r="Q529" s="41"/>
      <c r="R529" s="41"/>
      <c r="S529" s="41"/>
      <c r="T529" s="41"/>
      <c r="U529" s="41"/>
      <c r="V529" s="41"/>
      <c r="W529" s="41"/>
      <c r="X529" s="41"/>
      <c r="Y529" s="41"/>
      <c r="Z529" s="41"/>
      <c r="AA529" s="41"/>
      <c r="AB529" s="41"/>
      <c r="AC529" s="41"/>
      <c r="AD529" s="41"/>
      <c r="AE529" s="41"/>
      <c r="AF529" s="41"/>
      <c r="AG529" s="41"/>
      <c r="AH529" s="41"/>
      <c r="AI529" s="41"/>
    </row>
    <row r="530" spans="1:35" ht="15.75" customHeight="1" x14ac:dyDescent="0.2">
      <c r="A530" s="41"/>
      <c r="B530" s="41"/>
      <c r="C530" s="41"/>
      <c r="D530" s="41"/>
      <c r="E530" s="41"/>
      <c r="F530" s="41"/>
      <c r="G530" s="41"/>
      <c r="H530" s="41"/>
      <c r="I530" s="41"/>
      <c r="J530" s="41"/>
      <c r="K530" s="41"/>
      <c r="L530" s="41"/>
      <c r="M530" s="41"/>
      <c r="N530" s="41"/>
      <c r="O530" s="41"/>
      <c r="P530" s="41"/>
      <c r="Q530" s="41"/>
      <c r="R530" s="41"/>
      <c r="S530" s="41"/>
      <c r="T530" s="41"/>
      <c r="U530" s="41"/>
      <c r="V530" s="41"/>
      <c r="W530" s="41"/>
      <c r="X530" s="41"/>
      <c r="Y530" s="41"/>
      <c r="Z530" s="41"/>
      <c r="AA530" s="41"/>
      <c r="AB530" s="41"/>
      <c r="AC530" s="41"/>
      <c r="AD530" s="41"/>
      <c r="AE530" s="41"/>
      <c r="AF530" s="41"/>
      <c r="AG530" s="41"/>
      <c r="AH530" s="41"/>
      <c r="AI530" s="41"/>
    </row>
    <row r="531" spans="1:35" ht="15.75" customHeight="1" x14ac:dyDescent="0.2">
      <c r="A531" s="41"/>
      <c r="B531" s="41"/>
      <c r="C531" s="41"/>
      <c r="D531" s="41"/>
      <c r="E531" s="41"/>
      <c r="F531" s="41"/>
      <c r="G531" s="41"/>
      <c r="H531" s="41"/>
      <c r="I531" s="41"/>
      <c r="J531" s="41"/>
      <c r="K531" s="41"/>
      <c r="L531" s="41"/>
      <c r="M531" s="41"/>
      <c r="N531" s="41"/>
      <c r="O531" s="41"/>
      <c r="P531" s="41"/>
      <c r="Q531" s="41"/>
      <c r="R531" s="41"/>
      <c r="S531" s="41"/>
      <c r="T531" s="41"/>
      <c r="U531" s="41"/>
      <c r="V531" s="41"/>
      <c r="W531" s="41"/>
      <c r="X531" s="41"/>
      <c r="Y531" s="41"/>
      <c r="Z531" s="41"/>
      <c r="AA531" s="41"/>
      <c r="AB531" s="41"/>
      <c r="AC531" s="41"/>
      <c r="AD531" s="41"/>
      <c r="AE531" s="41"/>
      <c r="AF531" s="41"/>
      <c r="AG531" s="41"/>
      <c r="AH531" s="41"/>
      <c r="AI531" s="41"/>
    </row>
    <row r="532" spans="1:35" ht="15.75" customHeight="1" x14ac:dyDescent="0.2">
      <c r="A532" s="41"/>
      <c r="B532" s="41"/>
      <c r="C532" s="41"/>
      <c r="D532" s="41"/>
      <c r="E532" s="41"/>
      <c r="F532" s="41"/>
      <c r="G532" s="41"/>
      <c r="H532" s="41"/>
      <c r="I532" s="41"/>
      <c r="J532" s="41"/>
      <c r="K532" s="41"/>
      <c r="L532" s="41"/>
      <c r="M532" s="41"/>
      <c r="N532" s="41"/>
      <c r="O532" s="41"/>
      <c r="P532" s="41"/>
      <c r="Q532" s="41"/>
      <c r="R532" s="41"/>
      <c r="S532" s="41"/>
      <c r="T532" s="41"/>
      <c r="U532" s="41"/>
      <c r="V532" s="41"/>
      <c r="W532" s="41"/>
      <c r="X532" s="41"/>
      <c r="Y532" s="41"/>
      <c r="Z532" s="41"/>
      <c r="AA532" s="41"/>
      <c r="AB532" s="41"/>
      <c r="AC532" s="41"/>
      <c r="AD532" s="41"/>
      <c r="AE532" s="41"/>
      <c r="AF532" s="41"/>
      <c r="AG532" s="41"/>
      <c r="AH532" s="41"/>
      <c r="AI532" s="41"/>
    </row>
    <row r="533" spans="1:35" ht="15.75" customHeight="1" x14ac:dyDescent="0.2">
      <c r="A533" s="41"/>
      <c r="B533" s="41"/>
      <c r="C533" s="41"/>
      <c r="D533" s="41"/>
      <c r="E533" s="41"/>
      <c r="F533" s="41"/>
      <c r="G533" s="41"/>
      <c r="H533" s="41"/>
      <c r="I533" s="41"/>
      <c r="J533" s="41"/>
      <c r="K533" s="41"/>
      <c r="L533" s="41"/>
      <c r="M533" s="41"/>
      <c r="N533" s="41"/>
      <c r="O533" s="41"/>
      <c r="P533" s="41"/>
      <c r="Q533" s="41"/>
      <c r="R533" s="41"/>
      <c r="S533" s="41"/>
      <c r="T533" s="41"/>
      <c r="U533" s="41"/>
      <c r="V533" s="41"/>
      <c r="W533" s="41"/>
      <c r="X533" s="41"/>
      <c r="Y533" s="41"/>
      <c r="Z533" s="41"/>
      <c r="AA533" s="41"/>
      <c r="AB533" s="41"/>
      <c r="AC533" s="41"/>
      <c r="AD533" s="41"/>
      <c r="AE533" s="41"/>
      <c r="AF533" s="41"/>
      <c r="AG533" s="41"/>
      <c r="AH533" s="41"/>
      <c r="AI533" s="41"/>
    </row>
    <row r="534" spans="1:35" ht="15.75" customHeight="1" x14ac:dyDescent="0.2">
      <c r="A534" s="41"/>
      <c r="B534" s="41"/>
      <c r="C534" s="41"/>
      <c r="D534" s="41"/>
      <c r="E534" s="41"/>
      <c r="F534" s="41"/>
      <c r="G534" s="41"/>
      <c r="H534" s="41"/>
      <c r="I534" s="41"/>
      <c r="J534" s="41"/>
      <c r="K534" s="41"/>
      <c r="L534" s="41"/>
      <c r="M534" s="41"/>
      <c r="N534" s="41"/>
      <c r="O534" s="41"/>
      <c r="P534" s="41"/>
      <c r="Q534" s="41"/>
      <c r="R534" s="41"/>
      <c r="S534" s="41"/>
      <c r="T534" s="41"/>
      <c r="U534" s="41"/>
      <c r="V534" s="41"/>
      <c r="W534" s="41"/>
      <c r="X534" s="41"/>
      <c r="Y534" s="41"/>
      <c r="Z534" s="41"/>
      <c r="AA534" s="41"/>
      <c r="AB534" s="41"/>
      <c r="AC534" s="41"/>
      <c r="AD534" s="41"/>
      <c r="AE534" s="41"/>
      <c r="AF534" s="41"/>
      <c r="AG534" s="41"/>
      <c r="AH534" s="41"/>
      <c r="AI534" s="41"/>
    </row>
    <row r="535" spans="1:35" ht="15.75" customHeight="1" x14ac:dyDescent="0.2">
      <c r="A535" s="41"/>
      <c r="B535" s="41"/>
      <c r="C535" s="41"/>
      <c r="D535" s="41"/>
      <c r="E535" s="41"/>
      <c r="F535" s="41"/>
      <c r="G535" s="41"/>
      <c r="H535" s="41"/>
      <c r="I535" s="41"/>
      <c r="J535" s="41"/>
      <c r="K535" s="41"/>
      <c r="L535" s="41"/>
      <c r="M535" s="41"/>
      <c r="N535" s="41"/>
      <c r="O535" s="41"/>
      <c r="P535" s="41"/>
      <c r="Q535" s="41"/>
      <c r="R535" s="41"/>
      <c r="S535" s="41"/>
      <c r="T535" s="41"/>
      <c r="U535" s="41"/>
      <c r="V535" s="41"/>
      <c r="W535" s="41"/>
      <c r="X535" s="41"/>
      <c r="Y535" s="41"/>
      <c r="Z535" s="41"/>
      <c r="AA535" s="41"/>
      <c r="AB535" s="41"/>
      <c r="AC535" s="41"/>
      <c r="AD535" s="41"/>
      <c r="AE535" s="41"/>
      <c r="AF535" s="41"/>
      <c r="AG535" s="41"/>
      <c r="AH535" s="41"/>
      <c r="AI535" s="41"/>
    </row>
    <row r="536" spans="1:35" ht="15.75" customHeight="1" x14ac:dyDescent="0.2">
      <c r="A536" s="41"/>
      <c r="B536" s="41"/>
      <c r="C536" s="41"/>
      <c r="D536" s="41"/>
      <c r="E536" s="41"/>
      <c r="F536" s="41"/>
      <c r="G536" s="41"/>
      <c r="H536" s="41"/>
      <c r="I536" s="41"/>
      <c r="J536" s="41"/>
      <c r="K536" s="41"/>
      <c r="L536" s="41"/>
      <c r="M536" s="41"/>
      <c r="N536" s="41"/>
      <c r="O536" s="41"/>
      <c r="P536" s="41"/>
      <c r="Q536" s="41"/>
      <c r="R536" s="41"/>
      <c r="S536" s="41"/>
      <c r="T536" s="41"/>
      <c r="U536" s="41"/>
      <c r="V536" s="41"/>
      <c r="W536" s="41"/>
      <c r="X536" s="41"/>
      <c r="Y536" s="41"/>
      <c r="Z536" s="41"/>
      <c r="AA536" s="41"/>
      <c r="AB536" s="41"/>
      <c r="AC536" s="41"/>
      <c r="AD536" s="41"/>
      <c r="AE536" s="41"/>
      <c r="AF536" s="41"/>
      <c r="AG536" s="41"/>
      <c r="AH536" s="41"/>
      <c r="AI536" s="41"/>
    </row>
    <row r="537" spans="1:35" ht="15.75" customHeight="1" x14ac:dyDescent="0.2">
      <c r="A537" s="41"/>
      <c r="B537" s="41"/>
      <c r="C537" s="41"/>
      <c r="D537" s="41"/>
      <c r="E537" s="41"/>
      <c r="F537" s="41"/>
      <c r="G537" s="41"/>
      <c r="H537" s="41"/>
      <c r="I537" s="41"/>
      <c r="J537" s="41"/>
      <c r="K537" s="41"/>
      <c r="L537" s="41"/>
      <c r="M537" s="41"/>
      <c r="N537" s="41"/>
      <c r="O537" s="41"/>
      <c r="P537" s="41"/>
      <c r="Q537" s="41"/>
      <c r="R537" s="41"/>
      <c r="S537" s="41"/>
      <c r="T537" s="41"/>
      <c r="U537" s="41"/>
      <c r="V537" s="41"/>
      <c r="W537" s="41"/>
      <c r="X537" s="41"/>
      <c r="Y537" s="41"/>
      <c r="Z537" s="41"/>
      <c r="AA537" s="41"/>
      <c r="AB537" s="41"/>
      <c r="AC537" s="41"/>
      <c r="AD537" s="41"/>
      <c r="AE537" s="41"/>
      <c r="AF537" s="41"/>
      <c r="AG537" s="41"/>
      <c r="AH537" s="41"/>
      <c r="AI537" s="41"/>
    </row>
    <row r="538" spans="1:35" ht="15.75" customHeight="1" x14ac:dyDescent="0.2">
      <c r="A538" s="41"/>
      <c r="B538" s="41"/>
      <c r="C538" s="41"/>
      <c r="D538" s="41"/>
      <c r="E538" s="41"/>
      <c r="F538" s="41"/>
      <c r="G538" s="41"/>
      <c r="H538" s="41"/>
      <c r="I538" s="41"/>
      <c r="J538" s="41"/>
      <c r="K538" s="41"/>
      <c r="L538" s="41"/>
      <c r="M538" s="41"/>
      <c r="N538" s="41"/>
      <c r="O538" s="41"/>
      <c r="P538" s="41"/>
      <c r="Q538" s="41"/>
      <c r="R538" s="41"/>
      <c r="S538" s="41"/>
      <c r="T538" s="41"/>
      <c r="U538" s="41"/>
      <c r="V538" s="41"/>
      <c r="W538" s="41"/>
      <c r="X538" s="41"/>
      <c r="Y538" s="41"/>
      <c r="Z538" s="41"/>
      <c r="AA538" s="41"/>
      <c r="AB538" s="41"/>
      <c r="AC538" s="41"/>
      <c r="AD538" s="41"/>
      <c r="AE538" s="41"/>
      <c r="AF538" s="41"/>
      <c r="AG538" s="41"/>
      <c r="AH538" s="41"/>
      <c r="AI538" s="41"/>
    </row>
    <row r="539" spans="1:35" ht="15.75" customHeight="1" x14ac:dyDescent="0.2">
      <c r="A539" s="41"/>
      <c r="B539" s="41"/>
      <c r="C539" s="41"/>
      <c r="D539" s="41"/>
      <c r="E539" s="41"/>
      <c r="F539" s="41"/>
      <c r="G539" s="41"/>
      <c r="H539" s="41"/>
      <c r="I539" s="41"/>
      <c r="J539" s="41"/>
      <c r="K539" s="41"/>
      <c r="L539" s="41"/>
      <c r="M539" s="41"/>
      <c r="N539" s="41"/>
      <c r="O539" s="41"/>
      <c r="P539" s="41"/>
      <c r="Q539" s="41"/>
      <c r="R539" s="41"/>
      <c r="S539" s="41"/>
      <c r="T539" s="41"/>
      <c r="U539" s="41"/>
      <c r="V539" s="41"/>
      <c r="W539" s="41"/>
      <c r="X539" s="41"/>
      <c r="Y539" s="41"/>
      <c r="Z539" s="41"/>
      <c r="AA539" s="41"/>
      <c r="AB539" s="41"/>
      <c r="AC539" s="41"/>
      <c r="AD539" s="41"/>
      <c r="AE539" s="41"/>
      <c r="AF539" s="41"/>
      <c r="AG539" s="41"/>
      <c r="AH539" s="41"/>
      <c r="AI539" s="41"/>
    </row>
    <row r="540" spans="1:35" ht="15.75" customHeight="1" x14ac:dyDescent="0.2">
      <c r="A540" s="41"/>
      <c r="B540" s="41"/>
      <c r="C540" s="41"/>
      <c r="D540" s="41"/>
      <c r="E540" s="41"/>
      <c r="F540" s="41"/>
      <c r="G540" s="41"/>
      <c r="H540" s="41"/>
      <c r="I540" s="41"/>
      <c r="J540" s="41"/>
      <c r="K540" s="41"/>
      <c r="L540" s="41"/>
      <c r="M540" s="41"/>
      <c r="N540" s="41"/>
      <c r="O540" s="41"/>
      <c r="P540" s="41"/>
      <c r="Q540" s="41"/>
      <c r="R540" s="41"/>
      <c r="S540" s="41"/>
      <c r="T540" s="41"/>
      <c r="U540" s="41"/>
      <c r="V540" s="41"/>
      <c r="W540" s="41"/>
      <c r="X540" s="41"/>
      <c r="Y540" s="41"/>
      <c r="Z540" s="41"/>
      <c r="AA540" s="41"/>
      <c r="AB540" s="41"/>
      <c r="AC540" s="41"/>
      <c r="AD540" s="41"/>
      <c r="AE540" s="41"/>
      <c r="AF540" s="41"/>
      <c r="AG540" s="41"/>
      <c r="AH540" s="41"/>
      <c r="AI540" s="41"/>
    </row>
    <row r="541" spans="1:35" ht="15.75" customHeight="1" x14ac:dyDescent="0.2">
      <c r="A541" s="41"/>
      <c r="B541" s="41"/>
      <c r="C541" s="41"/>
      <c r="D541" s="41"/>
      <c r="E541" s="41"/>
      <c r="F541" s="41"/>
      <c r="G541" s="41"/>
      <c r="H541" s="41"/>
      <c r="I541" s="41"/>
      <c r="J541" s="41"/>
      <c r="K541" s="41"/>
      <c r="L541" s="41"/>
      <c r="M541" s="41"/>
      <c r="N541" s="41"/>
      <c r="O541" s="41"/>
      <c r="P541" s="41"/>
      <c r="Q541" s="41"/>
      <c r="R541" s="41"/>
      <c r="S541" s="41"/>
      <c r="T541" s="41"/>
      <c r="U541" s="41"/>
      <c r="V541" s="41"/>
      <c r="W541" s="41"/>
      <c r="X541" s="41"/>
      <c r="Y541" s="41"/>
      <c r="Z541" s="41"/>
      <c r="AA541" s="41"/>
      <c r="AB541" s="41"/>
      <c r="AC541" s="41"/>
      <c r="AD541" s="41"/>
      <c r="AE541" s="41"/>
      <c r="AF541" s="41"/>
      <c r="AG541" s="41"/>
      <c r="AH541" s="41"/>
      <c r="AI541" s="41"/>
    </row>
    <row r="542" spans="1:35" ht="15.75" customHeight="1" x14ac:dyDescent="0.2">
      <c r="A542" s="41"/>
      <c r="B542" s="41"/>
      <c r="C542" s="41"/>
      <c r="D542" s="41"/>
      <c r="E542" s="41"/>
      <c r="F542" s="41"/>
      <c r="G542" s="41"/>
      <c r="H542" s="41"/>
      <c r="I542" s="41"/>
      <c r="J542" s="41"/>
      <c r="K542" s="41"/>
      <c r="L542" s="41"/>
      <c r="M542" s="41"/>
      <c r="N542" s="41"/>
      <c r="O542" s="41"/>
      <c r="P542" s="41"/>
      <c r="Q542" s="41"/>
      <c r="R542" s="41"/>
      <c r="S542" s="41"/>
      <c r="T542" s="41"/>
      <c r="U542" s="41"/>
      <c r="V542" s="41"/>
      <c r="W542" s="41"/>
      <c r="X542" s="41"/>
      <c r="Y542" s="41"/>
      <c r="Z542" s="41"/>
      <c r="AA542" s="41"/>
      <c r="AB542" s="41"/>
      <c r="AC542" s="41"/>
      <c r="AD542" s="41"/>
      <c r="AE542" s="41"/>
      <c r="AF542" s="41"/>
      <c r="AG542" s="41"/>
      <c r="AH542" s="41"/>
      <c r="AI542" s="41"/>
    </row>
    <row r="543" spans="1:35" ht="15.75" customHeight="1" x14ac:dyDescent="0.2">
      <c r="A543" s="41"/>
      <c r="B543" s="41"/>
      <c r="C543" s="41"/>
      <c r="D543" s="41"/>
      <c r="E543" s="41"/>
      <c r="F543" s="41"/>
      <c r="G543" s="41"/>
      <c r="H543" s="41"/>
      <c r="I543" s="41"/>
      <c r="J543" s="41"/>
      <c r="K543" s="41"/>
      <c r="L543" s="41"/>
      <c r="M543" s="41"/>
      <c r="N543" s="41"/>
      <c r="O543" s="41"/>
      <c r="P543" s="41"/>
      <c r="Q543" s="41"/>
      <c r="R543" s="41"/>
      <c r="S543" s="41"/>
      <c r="T543" s="41"/>
      <c r="U543" s="41"/>
      <c r="V543" s="41"/>
      <c r="W543" s="41"/>
      <c r="X543" s="41"/>
      <c r="Y543" s="41"/>
      <c r="Z543" s="41"/>
      <c r="AA543" s="41"/>
      <c r="AB543" s="41"/>
      <c r="AC543" s="41"/>
      <c r="AD543" s="41"/>
      <c r="AE543" s="41"/>
      <c r="AF543" s="41"/>
      <c r="AG543" s="41"/>
      <c r="AH543" s="41"/>
      <c r="AI543" s="41"/>
    </row>
    <row r="544" spans="1:35" ht="15.75" customHeight="1" x14ac:dyDescent="0.2">
      <c r="A544" s="41"/>
      <c r="B544" s="41"/>
      <c r="C544" s="41"/>
      <c r="D544" s="41"/>
      <c r="E544" s="41"/>
      <c r="F544" s="41"/>
      <c r="G544" s="41"/>
      <c r="H544" s="41"/>
      <c r="I544" s="41"/>
      <c r="J544" s="41"/>
      <c r="K544" s="41"/>
      <c r="L544" s="41"/>
      <c r="M544" s="41"/>
      <c r="N544" s="41"/>
      <c r="O544" s="41"/>
      <c r="P544" s="41"/>
      <c r="Q544" s="41"/>
      <c r="R544" s="41"/>
      <c r="S544" s="41"/>
      <c r="T544" s="41"/>
      <c r="U544" s="41"/>
      <c r="V544" s="41"/>
      <c r="W544" s="41"/>
      <c r="X544" s="41"/>
      <c r="Y544" s="41"/>
      <c r="Z544" s="41"/>
      <c r="AA544" s="41"/>
      <c r="AB544" s="41"/>
      <c r="AC544" s="41"/>
      <c r="AD544" s="41"/>
      <c r="AE544" s="41"/>
      <c r="AF544" s="41"/>
      <c r="AG544" s="41"/>
      <c r="AH544" s="41"/>
      <c r="AI544" s="41"/>
    </row>
    <row r="545" spans="1:35" ht="15.75" customHeight="1" x14ac:dyDescent="0.2">
      <c r="A545" s="41"/>
      <c r="B545" s="41"/>
      <c r="C545" s="41"/>
      <c r="D545" s="41"/>
      <c r="E545" s="41"/>
      <c r="F545" s="41"/>
      <c r="G545" s="41"/>
      <c r="H545" s="41"/>
      <c r="I545" s="41"/>
      <c r="J545" s="41"/>
      <c r="K545" s="41"/>
      <c r="L545" s="41"/>
      <c r="M545" s="41"/>
      <c r="N545" s="41"/>
      <c r="O545" s="41"/>
      <c r="P545" s="41"/>
      <c r="Q545" s="41"/>
      <c r="R545" s="41"/>
      <c r="S545" s="41"/>
      <c r="T545" s="41"/>
      <c r="U545" s="41"/>
      <c r="V545" s="41"/>
      <c r="W545" s="41"/>
      <c r="X545" s="41"/>
      <c r="Y545" s="41"/>
      <c r="Z545" s="41"/>
      <c r="AA545" s="41"/>
      <c r="AB545" s="41"/>
      <c r="AC545" s="41"/>
      <c r="AD545" s="41"/>
      <c r="AE545" s="41"/>
      <c r="AF545" s="41"/>
      <c r="AG545" s="41"/>
      <c r="AH545" s="41"/>
      <c r="AI545" s="41"/>
    </row>
    <row r="546" spans="1:35" ht="15.75" customHeight="1" x14ac:dyDescent="0.2">
      <c r="A546" s="41"/>
      <c r="B546" s="41"/>
      <c r="C546" s="41"/>
      <c r="D546" s="41"/>
      <c r="E546" s="41"/>
      <c r="F546" s="41"/>
      <c r="G546" s="41"/>
      <c r="H546" s="41"/>
      <c r="I546" s="41"/>
      <c r="J546" s="41"/>
      <c r="K546" s="41"/>
      <c r="L546" s="41"/>
      <c r="M546" s="41"/>
      <c r="N546" s="41"/>
      <c r="O546" s="41"/>
      <c r="P546" s="41"/>
      <c r="Q546" s="41"/>
      <c r="R546" s="41"/>
      <c r="S546" s="41"/>
      <c r="T546" s="41"/>
      <c r="U546" s="41"/>
      <c r="V546" s="41"/>
      <c r="W546" s="41"/>
      <c r="X546" s="41"/>
      <c r="Y546" s="41"/>
      <c r="Z546" s="41"/>
      <c r="AA546" s="41"/>
      <c r="AB546" s="41"/>
      <c r="AC546" s="41"/>
      <c r="AD546" s="41"/>
      <c r="AE546" s="41"/>
      <c r="AF546" s="41"/>
      <c r="AG546" s="41"/>
      <c r="AH546" s="41"/>
      <c r="AI546" s="41"/>
    </row>
    <row r="547" spans="1:35" ht="15.75" customHeight="1" x14ac:dyDescent="0.2">
      <c r="A547" s="41"/>
      <c r="B547" s="41"/>
      <c r="C547" s="41"/>
      <c r="D547" s="41"/>
      <c r="E547" s="41"/>
      <c r="F547" s="41"/>
      <c r="G547" s="41"/>
      <c r="H547" s="41"/>
      <c r="I547" s="41"/>
      <c r="J547" s="41"/>
      <c r="K547" s="41"/>
      <c r="L547" s="41"/>
      <c r="M547" s="41"/>
      <c r="N547" s="41"/>
      <c r="O547" s="41"/>
      <c r="P547" s="41"/>
      <c r="Q547" s="41"/>
      <c r="R547" s="41"/>
      <c r="S547" s="41"/>
      <c r="T547" s="41"/>
      <c r="U547" s="41"/>
      <c r="V547" s="41"/>
      <c r="W547" s="41"/>
      <c r="X547" s="41"/>
      <c r="Y547" s="41"/>
      <c r="Z547" s="41"/>
      <c r="AA547" s="41"/>
      <c r="AB547" s="41"/>
      <c r="AC547" s="41"/>
      <c r="AD547" s="41"/>
      <c r="AE547" s="41"/>
      <c r="AF547" s="41"/>
      <c r="AG547" s="41"/>
      <c r="AH547" s="41"/>
      <c r="AI547" s="41"/>
    </row>
    <row r="548" spans="1:35" ht="15.75" customHeight="1" x14ac:dyDescent="0.2">
      <c r="A548" s="41"/>
      <c r="B548" s="41"/>
      <c r="C548" s="41"/>
      <c r="D548" s="41"/>
      <c r="E548" s="41"/>
      <c r="F548" s="41"/>
      <c r="G548" s="41"/>
      <c r="H548" s="41"/>
      <c r="I548" s="41"/>
      <c r="J548" s="41"/>
      <c r="K548" s="41"/>
      <c r="L548" s="41"/>
      <c r="M548" s="41"/>
      <c r="N548" s="41"/>
      <c r="O548" s="41"/>
      <c r="P548" s="41"/>
      <c r="Q548" s="41"/>
      <c r="R548" s="41"/>
      <c r="S548" s="41"/>
      <c r="T548" s="41"/>
      <c r="U548" s="41"/>
      <c r="V548" s="41"/>
      <c r="W548" s="41"/>
      <c r="X548" s="41"/>
      <c r="Y548" s="41"/>
      <c r="Z548" s="41"/>
      <c r="AA548" s="41"/>
      <c r="AB548" s="41"/>
      <c r="AC548" s="41"/>
      <c r="AD548" s="41"/>
      <c r="AE548" s="41"/>
      <c r="AF548" s="41"/>
      <c r="AG548" s="41"/>
      <c r="AH548" s="41"/>
      <c r="AI548" s="41"/>
    </row>
    <row r="549" spans="1:35" ht="15.75" customHeight="1" x14ac:dyDescent="0.2">
      <c r="A549" s="41"/>
      <c r="B549" s="41"/>
      <c r="C549" s="41"/>
      <c r="D549" s="41"/>
      <c r="E549" s="41"/>
      <c r="F549" s="41"/>
      <c r="G549" s="41"/>
      <c r="H549" s="41"/>
      <c r="I549" s="41"/>
      <c r="J549" s="41"/>
      <c r="K549" s="41"/>
      <c r="L549" s="41"/>
      <c r="M549" s="41"/>
      <c r="N549" s="41"/>
      <c r="O549" s="41"/>
      <c r="P549" s="41"/>
      <c r="Q549" s="41"/>
      <c r="R549" s="41"/>
      <c r="S549" s="41"/>
      <c r="T549" s="41"/>
      <c r="U549" s="41"/>
      <c r="V549" s="41"/>
      <c r="W549" s="41"/>
      <c r="X549" s="41"/>
      <c r="Y549" s="41"/>
      <c r="Z549" s="41"/>
      <c r="AA549" s="41"/>
      <c r="AB549" s="41"/>
      <c r="AC549" s="41"/>
      <c r="AD549" s="41"/>
      <c r="AE549" s="41"/>
      <c r="AF549" s="41"/>
      <c r="AG549" s="41"/>
      <c r="AH549" s="41"/>
      <c r="AI549" s="41"/>
    </row>
    <row r="550" spans="1:35" ht="15.75" customHeight="1" x14ac:dyDescent="0.2">
      <c r="A550" s="41"/>
      <c r="B550" s="41"/>
      <c r="C550" s="41"/>
      <c r="D550" s="41"/>
      <c r="E550" s="41"/>
      <c r="F550" s="41"/>
      <c r="G550" s="41"/>
      <c r="H550" s="41"/>
      <c r="I550" s="41"/>
      <c r="J550" s="41"/>
      <c r="K550" s="41"/>
      <c r="L550" s="41"/>
      <c r="M550" s="41"/>
      <c r="N550" s="41"/>
      <c r="O550" s="41"/>
      <c r="P550" s="41"/>
      <c r="Q550" s="41"/>
      <c r="R550" s="41"/>
      <c r="S550" s="41"/>
      <c r="T550" s="41"/>
      <c r="U550" s="41"/>
      <c r="V550" s="41"/>
      <c r="W550" s="41"/>
      <c r="X550" s="41"/>
      <c r="Y550" s="41"/>
      <c r="Z550" s="41"/>
      <c r="AA550" s="41"/>
      <c r="AB550" s="41"/>
      <c r="AC550" s="41"/>
      <c r="AD550" s="41"/>
      <c r="AE550" s="41"/>
      <c r="AF550" s="41"/>
      <c r="AG550" s="41"/>
      <c r="AH550" s="41"/>
      <c r="AI550" s="41"/>
    </row>
    <row r="551" spans="1:35" ht="15.75" customHeight="1" x14ac:dyDescent="0.2">
      <c r="A551" s="41"/>
      <c r="B551" s="41"/>
      <c r="C551" s="41"/>
      <c r="D551" s="41"/>
      <c r="E551" s="41"/>
      <c r="F551" s="41"/>
      <c r="G551" s="41"/>
      <c r="H551" s="41"/>
      <c r="I551" s="41"/>
      <c r="J551" s="41"/>
      <c r="K551" s="41"/>
      <c r="L551" s="41"/>
      <c r="M551" s="41"/>
      <c r="N551" s="41"/>
      <c r="O551" s="41"/>
      <c r="P551" s="41"/>
      <c r="Q551" s="41"/>
      <c r="R551" s="41"/>
      <c r="S551" s="41"/>
      <c r="T551" s="41"/>
      <c r="U551" s="41"/>
      <c r="V551" s="41"/>
      <c r="W551" s="41"/>
      <c r="X551" s="41"/>
      <c r="Y551" s="41"/>
      <c r="Z551" s="41"/>
      <c r="AA551" s="41"/>
      <c r="AB551" s="41"/>
      <c r="AC551" s="41"/>
      <c r="AD551" s="41"/>
      <c r="AE551" s="41"/>
      <c r="AF551" s="41"/>
      <c r="AG551" s="41"/>
      <c r="AH551" s="41"/>
      <c r="AI551" s="41"/>
    </row>
    <row r="552" spans="1:35" ht="15.75" customHeight="1" x14ac:dyDescent="0.2">
      <c r="A552" s="41"/>
      <c r="B552" s="41"/>
      <c r="C552" s="41"/>
      <c r="D552" s="41"/>
      <c r="E552" s="41"/>
      <c r="F552" s="41"/>
      <c r="G552" s="41"/>
      <c r="H552" s="41"/>
      <c r="I552" s="41"/>
      <c r="J552" s="41"/>
      <c r="K552" s="41"/>
      <c r="L552" s="41"/>
      <c r="M552" s="41"/>
      <c r="N552" s="41"/>
      <c r="O552" s="41"/>
      <c r="P552" s="41"/>
      <c r="Q552" s="41"/>
      <c r="R552" s="41"/>
      <c r="S552" s="41"/>
      <c r="T552" s="41"/>
      <c r="U552" s="41"/>
      <c r="V552" s="41"/>
      <c r="W552" s="41"/>
      <c r="X552" s="41"/>
      <c r="Y552" s="41"/>
      <c r="Z552" s="41"/>
      <c r="AA552" s="41"/>
      <c r="AB552" s="41"/>
      <c r="AC552" s="41"/>
      <c r="AD552" s="41"/>
      <c r="AE552" s="41"/>
      <c r="AF552" s="41"/>
      <c r="AG552" s="41"/>
      <c r="AH552" s="41"/>
      <c r="AI552" s="41"/>
    </row>
    <row r="553" spans="1:35" ht="15.75" customHeight="1" x14ac:dyDescent="0.2">
      <c r="A553" s="41"/>
      <c r="B553" s="41"/>
      <c r="C553" s="41"/>
      <c r="D553" s="41"/>
      <c r="E553" s="41"/>
      <c r="F553" s="41"/>
      <c r="G553" s="41"/>
      <c r="H553" s="41"/>
      <c r="I553" s="41"/>
      <c r="J553" s="41"/>
      <c r="K553" s="41"/>
      <c r="L553" s="41"/>
      <c r="M553" s="41"/>
      <c r="N553" s="41"/>
      <c r="O553" s="41"/>
      <c r="P553" s="41"/>
      <c r="Q553" s="41"/>
      <c r="R553" s="41"/>
      <c r="S553" s="41"/>
      <c r="T553" s="41"/>
      <c r="U553" s="41"/>
      <c r="V553" s="41"/>
      <c r="W553" s="41"/>
      <c r="X553" s="41"/>
      <c r="Y553" s="41"/>
      <c r="Z553" s="41"/>
      <c r="AA553" s="41"/>
      <c r="AB553" s="41"/>
      <c r="AC553" s="41"/>
      <c r="AD553" s="41"/>
      <c r="AE553" s="41"/>
      <c r="AF553" s="41"/>
      <c r="AG553" s="41"/>
      <c r="AH553" s="41"/>
      <c r="AI553" s="41"/>
    </row>
    <row r="554" spans="1:35" ht="15.75" customHeight="1" x14ac:dyDescent="0.2">
      <c r="A554" s="41"/>
      <c r="B554" s="41"/>
      <c r="C554" s="41"/>
      <c r="D554" s="41"/>
      <c r="E554" s="41"/>
      <c r="F554" s="41"/>
      <c r="G554" s="41"/>
      <c r="H554" s="41"/>
      <c r="I554" s="41"/>
      <c r="J554" s="41"/>
      <c r="K554" s="41"/>
      <c r="L554" s="41"/>
      <c r="M554" s="41"/>
      <c r="N554" s="41"/>
      <c r="O554" s="41"/>
      <c r="P554" s="41"/>
      <c r="Q554" s="41"/>
      <c r="R554" s="41"/>
      <c r="S554" s="41"/>
      <c r="T554" s="41"/>
      <c r="U554" s="41"/>
      <c r="V554" s="41"/>
      <c r="W554" s="41"/>
      <c r="X554" s="41"/>
      <c r="Y554" s="41"/>
      <c r="Z554" s="41"/>
      <c r="AA554" s="41"/>
      <c r="AB554" s="41"/>
      <c r="AC554" s="41"/>
      <c r="AD554" s="41"/>
      <c r="AE554" s="41"/>
      <c r="AF554" s="41"/>
      <c r="AG554" s="41"/>
      <c r="AH554" s="41"/>
      <c r="AI554" s="41"/>
    </row>
    <row r="555" spans="1:35" ht="15.75" customHeight="1" x14ac:dyDescent="0.2">
      <c r="A555" s="41"/>
      <c r="B555" s="41"/>
      <c r="C555" s="41"/>
      <c r="D555" s="41"/>
      <c r="E555" s="41"/>
      <c r="F555" s="41"/>
      <c r="G555" s="41"/>
      <c r="H555" s="41"/>
      <c r="I555" s="41"/>
      <c r="J555" s="41"/>
      <c r="K555" s="41"/>
      <c r="L555" s="41"/>
      <c r="M555" s="41"/>
      <c r="N555" s="41"/>
      <c r="O555" s="41"/>
      <c r="P555" s="41"/>
      <c r="Q555" s="41"/>
      <c r="R555" s="41"/>
      <c r="S555" s="41"/>
      <c r="T555" s="41"/>
      <c r="U555" s="41"/>
      <c r="V555" s="41"/>
      <c r="W555" s="41"/>
      <c r="X555" s="41"/>
      <c r="Y555" s="41"/>
      <c r="Z555" s="41"/>
      <c r="AA555" s="41"/>
      <c r="AB555" s="41"/>
      <c r="AC555" s="41"/>
      <c r="AD555" s="41"/>
      <c r="AE555" s="41"/>
      <c r="AF555" s="41"/>
      <c r="AG555" s="41"/>
      <c r="AH555" s="41"/>
      <c r="AI555" s="41"/>
    </row>
    <row r="556" spans="1:35" ht="15.75" customHeight="1" x14ac:dyDescent="0.2">
      <c r="A556" s="41"/>
      <c r="B556" s="41"/>
      <c r="C556" s="41"/>
      <c r="D556" s="41"/>
      <c r="E556" s="41"/>
      <c r="F556" s="41"/>
      <c r="G556" s="41"/>
      <c r="H556" s="41"/>
      <c r="I556" s="41"/>
      <c r="J556" s="41"/>
      <c r="K556" s="41"/>
      <c r="L556" s="41"/>
      <c r="M556" s="41"/>
      <c r="N556" s="41"/>
      <c r="O556" s="41"/>
      <c r="P556" s="41"/>
      <c r="Q556" s="41"/>
      <c r="R556" s="41"/>
      <c r="S556" s="41"/>
      <c r="T556" s="41"/>
      <c r="U556" s="41"/>
      <c r="V556" s="41"/>
      <c r="W556" s="41"/>
      <c r="X556" s="41"/>
      <c r="Y556" s="41"/>
      <c r="Z556" s="41"/>
      <c r="AA556" s="41"/>
      <c r="AB556" s="41"/>
      <c r="AC556" s="41"/>
      <c r="AD556" s="41"/>
      <c r="AE556" s="41"/>
      <c r="AF556" s="41"/>
      <c r="AG556" s="41"/>
      <c r="AH556" s="41"/>
      <c r="AI556" s="41"/>
    </row>
    <row r="557" spans="1:35" ht="15.75" customHeight="1" x14ac:dyDescent="0.2">
      <c r="A557" s="41"/>
      <c r="B557" s="41"/>
      <c r="C557" s="41"/>
      <c r="D557" s="41"/>
      <c r="E557" s="41"/>
      <c r="F557" s="41"/>
      <c r="G557" s="41"/>
      <c r="H557" s="41"/>
      <c r="I557" s="41"/>
      <c r="J557" s="41"/>
      <c r="K557" s="41"/>
      <c r="L557" s="41"/>
      <c r="M557" s="41"/>
      <c r="N557" s="41"/>
      <c r="O557" s="41"/>
      <c r="P557" s="41"/>
      <c r="Q557" s="41"/>
      <c r="R557" s="41"/>
      <c r="S557" s="41"/>
      <c r="T557" s="41"/>
      <c r="U557" s="41"/>
      <c r="V557" s="41"/>
      <c r="W557" s="41"/>
      <c r="X557" s="41"/>
      <c r="Y557" s="41"/>
      <c r="Z557" s="41"/>
      <c r="AA557" s="41"/>
      <c r="AB557" s="41"/>
      <c r="AC557" s="41"/>
      <c r="AD557" s="41"/>
      <c r="AE557" s="41"/>
      <c r="AF557" s="41"/>
      <c r="AG557" s="41"/>
      <c r="AH557" s="41"/>
      <c r="AI557" s="41"/>
    </row>
    <row r="558" spans="1:35" ht="15.75" customHeight="1" x14ac:dyDescent="0.2">
      <c r="A558" s="41"/>
      <c r="B558" s="41"/>
      <c r="C558" s="41"/>
      <c r="D558" s="41"/>
      <c r="E558" s="41"/>
      <c r="F558" s="41"/>
      <c r="G558" s="41"/>
      <c r="H558" s="41"/>
      <c r="I558" s="41"/>
      <c r="J558" s="41"/>
      <c r="K558" s="41"/>
      <c r="L558" s="41"/>
      <c r="M558" s="41"/>
      <c r="N558" s="41"/>
      <c r="O558" s="41"/>
      <c r="P558" s="41"/>
      <c r="Q558" s="41"/>
      <c r="R558" s="41"/>
      <c r="S558" s="41"/>
      <c r="T558" s="41"/>
      <c r="U558" s="41"/>
      <c r="V558" s="41"/>
      <c r="W558" s="41"/>
      <c r="X558" s="41"/>
      <c r="Y558" s="41"/>
      <c r="Z558" s="41"/>
      <c r="AA558" s="41"/>
      <c r="AB558" s="41"/>
      <c r="AC558" s="41"/>
      <c r="AD558" s="41"/>
      <c r="AE558" s="41"/>
      <c r="AF558" s="41"/>
      <c r="AG558" s="41"/>
      <c r="AH558" s="41"/>
      <c r="AI558" s="41"/>
    </row>
    <row r="559" spans="1:35" ht="15.75" customHeight="1" x14ac:dyDescent="0.2">
      <c r="A559" s="41"/>
      <c r="B559" s="41"/>
      <c r="C559" s="41"/>
      <c r="D559" s="41"/>
      <c r="E559" s="41"/>
      <c r="F559" s="41"/>
      <c r="G559" s="41"/>
      <c r="H559" s="41"/>
      <c r="I559" s="41"/>
      <c r="J559" s="41"/>
      <c r="K559" s="41"/>
      <c r="L559" s="41"/>
      <c r="M559" s="41"/>
      <c r="N559" s="41"/>
      <c r="O559" s="41"/>
      <c r="P559" s="41"/>
      <c r="Q559" s="41"/>
      <c r="R559" s="41"/>
      <c r="S559" s="41"/>
      <c r="T559" s="41"/>
      <c r="U559" s="41"/>
      <c r="V559" s="41"/>
      <c r="W559" s="41"/>
      <c r="X559" s="41"/>
      <c r="Y559" s="41"/>
      <c r="Z559" s="41"/>
      <c r="AA559" s="41"/>
      <c r="AB559" s="41"/>
      <c r="AC559" s="41"/>
      <c r="AD559" s="41"/>
      <c r="AE559" s="41"/>
      <c r="AF559" s="41"/>
      <c r="AG559" s="41"/>
      <c r="AH559" s="41"/>
      <c r="AI559" s="41"/>
    </row>
    <row r="560" spans="1:35" ht="15.75" customHeight="1" x14ac:dyDescent="0.2">
      <c r="A560" s="41"/>
      <c r="B560" s="41"/>
      <c r="C560" s="41"/>
      <c r="D560" s="41"/>
      <c r="E560" s="41"/>
      <c r="F560" s="41"/>
      <c r="G560" s="41"/>
      <c r="H560" s="41"/>
      <c r="I560" s="41"/>
      <c r="J560" s="41"/>
      <c r="K560" s="41"/>
      <c r="L560" s="41"/>
      <c r="M560" s="41"/>
      <c r="N560" s="41"/>
      <c r="O560" s="41"/>
      <c r="P560" s="41"/>
      <c r="Q560" s="41"/>
      <c r="R560" s="41"/>
      <c r="S560" s="41"/>
      <c r="T560" s="41"/>
      <c r="U560" s="41"/>
      <c r="V560" s="41"/>
      <c r="W560" s="41"/>
      <c r="X560" s="41"/>
      <c r="Y560" s="41"/>
      <c r="Z560" s="41"/>
      <c r="AA560" s="41"/>
      <c r="AB560" s="41"/>
      <c r="AC560" s="41"/>
      <c r="AD560" s="41"/>
      <c r="AE560" s="41"/>
      <c r="AF560" s="41"/>
      <c r="AG560" s="41"/>
      <c r="AH560" s="41"/>
      <c r="AI560" s="41"/>
    </row>
    <row r="561" spans="1:35" ht="15.75" customHeight="1" x14ac:dyDescent="0.2">
      <c r="A561" s="41"/>
      <c r="B561" s="41"/>
      <c r="C561" s="41"/>
      <c r="D561" s="41"/>
      <c r="E561" s="41"/>
      <c r="F561" s="41"/>
      <c r="G561" s="41"/>
      <c r="H561" s="41"/>
      <c r="I561" s="41"/>
      <c r="J561" s="41"/>
      <c r="K561" s="41"/>
      <c r="L561" s="41"/>
      <c r="M561" s="41"/>
      <c r="N561" s="41"/>
      <c r="O561" s="41"/>
      <c r="P561" s="41"/>
      <c r="Q561" s="41"/>
      <c r="R561" s="41"/>
      <c r="S561" s="41"/>
      <c r="T561" s="41"/>
      <c r="U561" s="41"/>
      <c r="V561" s="41"/>
      <c r="W561" s="41"/>
      <c r="X561" s="41"/>
      <c r="Y561" s="41"/>
      <c r="Z561" s="41"/>
      <c r="AA561" s="41"/>
      <c r="AB561" s="41"/>
      <c r="AC561" s="41"/>
      <c r="AD561" s="41"/>
      <c r="AE561" s="41"/>
      <c r="AF561" s="41"/>
      <c r="AG561" s="41"/>
      <c r="AH561" s="41"/>
      <c r="AI561" s="41"/>
    </row>
    <row r="562" spans="1:35" ht="15.75" customHeight="1" x14ac:dyDescent="0.2">
      <c r="A562" s="41"/>
      <c r="B562" s="41"/>
      <c r="C562" s="41"/>
      <c r="D562" s="41"/>
      <c r="E562" s="41"/>
      <c r="F562" s="41"/>
      <c r="G562" s="41"/>
      <c r="H562" s="41"/>
      <c r="I562" s="41"/>
      <c r="J562" s="41"/>
      <c r="K562" s="41"/>
      <c r="L562" s="41"/>
      <c r="M562" s="41"/>
      <c r="N562" s="41"/>
      <c r="O562" s="41"/>
      <c r="P562" s="41"/>
      <c r="Q562" s="41"/>
      <c r="R562" s="41"/>
      <c r="S562" s="41"/>
      <c r="T562" s="41"/>
      <c r="U562" s="41"/>
      <c r="V562" s="41"/>
      <c r="W562" s="41"/>
      <c r="X562" s="41"/>
      <c r="Y562" s="41"/>
      <c r="Z562" s="41"/>
      <c r="AA562" s="41"/>
      <c r="AB562" s="41"/>
      <c r="AC562" s="41"/>
      <c r="AD562" s="41"/>
      <c r="AE562" s="41"/>
      <c r="AF562" s="41"/>
      <c r="AG562" s="41"/>
      <c r="AH562" s="41"/>
      <c r="AI562" s="41"/>
    </row>
    <row r="563" spans="1:35" ht="15.75" customHeight="1" x14ac:dyDescent="0.2">
      <c r="A563" s="41"/>
      <c r="B563" s="41"/>
      <c r="C563" s="41"/>
      <c r="D563" s="41"/>
      <c r="E563" s="41"/>
      <c r="F563" s="41"/>
      <c r="G563" s="41"/>
      <c r="H563" s="41"/>
      <c r="I563" s="41"/>
      <c r="J563" s="41"/>
      <c r="K563" s="41"/>
      <c r="L563" s="41"/>
      <c r="M563" s="41"/>
      <c r="N563" s="41"/>
      <c r="O563" s="41"/>
      <c r="P563" s="41"/>
      <c r="Q563" s="41"/>
      <c r="R563" s="41"/>
      <c r="S563" s="41"/>
      <c r="T563" s="41"/>
      <c r="U563" s="41"/>
      <c r="V563" s="41"/>
      <c r="W563" s="41"/>
      <c r="X563" s="41"/>
      <c r="Y563" s="41"/>
      <c r="Z563" s="41"/>
      <c r="AA563" s="41"/>
      <c r="AB563" s="41"/>
      <c r="AC563" s="41"/>
      <c r="AD563" s="41"/>
      <c r="AE563" s="41"/>
      <c r="AF563" s="41"/>
      <c r="AG563" s="41"/>
      <c r="AH563" s="41"/>
      <c r="AI563" s="41"/>
    </row>
    <row r="564" spans="1:35" ht="15.75" customHeight="1" x14ac:dyDescent="0.2">
      <c r="A564" s="41"/>
      <c r="B564" s="41"/>
      <c r="C564" s="41"/>
      <c r="D564" s="41"/>
      <c r="E564" s="41"/>
      <c r="F564" s="41"/>
      <c r="G564" s="41"/>
      <c r="H564" s="41"/>
      <c r="I564" s="41"/>
      <c r="J564" s="41"/>
      <c r="K564" s="41"/>
      <c r="L564" s="41"/>
      <c r="M564" s="41"/>
      <c r="N564" s="41"/>
      <c r="O564" s="41"/>
      <c r="P564" s="41"/>
      <c r="Q564" s="41"/>
      <c r="R564" s="41"/>
      <c r="S564" s="41"/>
      <c r="T564" s="41"/>
      <c r="U564" s="41"/>
      <c r="V564" s="41"/>
      <c r="W564" s="41"/>
      <c r="X564" s="41"/>
      <c r="Y564" s="41"/>
      <c r="Z564" s="41"/>
      <c r="AA564" s="41"/>
      <c r="AB564" s="41"/>
      <c r="AC564" s="41"/>
      <c r="AD564" s="41"/>
      <c r="AE564" s="41"/>
      <c r="AF564" s="41"/>
      <c r="AG564" s="41"/>
      <c r="AH564" s="41"/>
      <c r="AI564" s="41"/>
    </row>
    <row r="565" spans="1:35" ht="15.75" customHeight="1" x14ac:dyDescent="0.2">
      <c r="A565" s="41"/>
      <c r="B565" s="41"/>
      <c r="C565" s="41"/>
      <c r="D565" s="41"/>
      <c r="E565" s="41"/>
      <c r="F565" s="41"/>
      <c r="G565" s="41"/>
      <c r="H565" s="41"/>
      <c r="I565" s="41"/>
      <c r="J565" s="41"/>
      <c r="K565" s="41"/>
      <c r="L565" s="41"/>
      <c r="M565" s="41"/>
      <c r="N565" s="41"/>
      <c r="O565" s="41"/>
      <c r="P565" s="41"/>
      <c r="Q565" s="41"/>
      <c r="R565" s="41"/>
      <c r="S565" s="41"/>
      <c r="T565" s="41"/>
      <c r="U565" s="41"/>
      <c r="V565" s="41"/>
      <c r="W565" s="41"/>
      <c r="X565" s="41"/>
      <c r="Y565" s="41"/>
      <c r="Z565" s="41"/>
      <c r="AA565" s="41"/>
      <c r="AB565" s="41"/>
      <c r="AC565" s="41"/>
      <c r="AD565" s="41"/>
      <c r="AE565" s="41"/>
      <c r="AF565" s="41"/>
      <c r="AG565" s="41"/>
      <c r="AH565" s="41"/>
      <c r="AI565" s="41"/>
    </row>
    <row r="566" spans="1:35" ht="15.75" customHeight="1" x14ac:dyDescent="0.2">
      <c r="A566" s="41"/>
      <c r="B566" s="41"/>
      <c r="C566" s="41"/>
      <c r="D566" s="41"/>
      <c r="E566" s="41"/>
      <c r="F566" s="41"/>
      <c r="G566" s="41"/>
      <c r="H566" s="41"/>
      <c r="I566" s="41"/>
      <c r="J566" s="41"/>
      <c r="K566" s="41"/>
      <c r="L566" s="41"/>
      <c r="M566" s="41"/>
      <c r="N566" s="41"/>
      <c r="O566" s="41"/>
      <c r="P566" s="41"/>
      <c r="Q566" s="41"/>
      <c r="R566" s="41"/>
      <c r="S566" s="41"/>
      <c r="T566" s="41"/>
      <c r="U566" s="41"/>
      <c r="V566" s="41"/>
      <c r="W566" s="41"/>
      <c r="X566" s="41"/>
      <c r="Y566" s="41"/>
      <c r="Z566" s="41"/>
      <c r="AA566" s="41"/>
      <c r="AB566" s="41"/>
      <c r="AC566" s="41"/>
      <c r="AD566" s="41"/>
      <c r="AE566" s="41"/>
      <c r="AF566" s="41"/>
      <c r="AG566" s="41"/>
      <c r="AH566" s="41"/>
      <c r="AI566" s="41"/>
    </row>
    <row r="567" spans="1:35" ht="15.75" customHeight="1" x14ac:dyDescent="0.2">
      <c r="A567" s="41"/>
      <c r="B567" s="41"/>
      <c r="C567" s="41"/>
      <c r="D567" s="41"/>
      <c r="E567" s="41"/>
      <c r="F567" s="41"/>
      <c r="G567" s="41"/>
      <c r="H567" s="41"/>
      <c r="I567" s="41"/>
      <c r="J567" s="41"/>
      <c r="K567" s="41"/>
      <c r="L567" s="41"/>
      <c r="M567" s="41"/>
      <c r="N567" s="41"/>
      <c r="O567" s="41"/>
      <c r="P567" s="41"/>
      <c r="Q567" s="41"/>
      <c r="R567" s="41"/>
      <c r="S567" s="41"/>
      <c r="T567" s="41"/>
      <c r="U567" s="41"/>
      <c r="V567" s="41"/>
      <c r="W567" s="41"/>
      <c r="X567" s="41"/>
      <c r="Y567" s="41"/>
      <c r="Z567" s="41"/>
      <c r="AA567" s="41"/>
      <c r="AB567" s="41"/>
      <c r="AC567" s="41"/>
      <c r="AD567" s="41"/>
      <c r="AE567" s="41"/>
      <c r="AF567" s="41"/>
      <c r="AG567" s="41"/>
      <c r="AH567" s="41"/>
      <c r="AI567" s="41"/>
    </row>
    <row r="568" spans="1:35" ht="15.75" customHeight="1" x14ac:dyDescent="0.2">
      <c r="A568" s="41"/>
      <c r="B568" s="41"/>
      <c r="C568" s="41"/>
      <c r="D568" s="41"/>
      <c r="E568" s="41"/>
      <c r="F568" s="41"/>
      <c r="G568" s="41"/>
      <c r="H568" s="41"/>
      <c r="I568" s="41"/>
      <c r="J568" s="41"/>
      <c r="K568" s="41"/>
      <c r="L568" s="41"/>
      <c r="M568" s="41"/>
      <c r="N568" s="41"/>
      <c r="O568" s="41"/>
      <c r="P568" s="41"/>
      <c r="Q568" s="41"/>
      <c r="R568" s="41"/>
      <c r="S568" s="41"/>
      <c r="T568" s="41"/>
      <c r="U568" s="41"/>
      <c r="V568" s="41"/>
      <c r="W568" s="41"/>
      <c r="X568" s="41"/>
      <c r="Y568" s="41"/>
      <c r="Z568" s="41"/>
      <c r="AA568" s="41"/>
      <c r="AB568" s="41"/>
      <c r="AC568" s="41"/>
      <c r="AD568" s="41"/>
      <c r="AE568" s="41"/>
      <c r="AF568" s="41"/>
      <c r="AG568" s="41"/>
      <c r="AH568" s="41"/>
      <c r="AI568" s="41"/>
    </row>
    <row r="569" spans="1:35" ht="15.75" customHeight="1" x14ac:dyDescent="0.2">
      <c r="A569" s="41"/>
      <c r="B569" s="41"/>
      <c r="C569" s="41"/>
      <c r="D569" s="41"/>
      <c r="E569" s="41"/>
      <c r="F569" s="41"/>
      <c r="G569" s="41"/>
      <c r="H569" s="41"/>
      <c r="I569" s="41"/>
      <c r="J569" s="41"/>
      <c r="K569" s="41"/>
      <c r="L569" s="41"/>
      <c r="M569" s="41"/>
      <c r="N569" s="41"/>
      <c r="O569" s="41"/>
      <c r="P569" s="41"/>
      <c r="Q569" s="41"/>
      <c r="R569" s="41"/>
      <c r="S569" s="41"/>
      <c r="T569" s="41"/>
      <c r="U569" s="41"/>
      <c r="V569" s="41"/>
      <c r="W569" s="41"/>
      <c r="X569" s="41"/>
      <c r="Y569" s="41"/>
      <c r="Z569" s="41"/>
      <c r="AA569" s="41"/>
      <c r="AB569" s="41"/>
      <c r="AC569" s="41"/>
      <c r="AD569" s="41"/>
      <c r="AE569" s="41"/>
      <c r="AF569" s="41"/>
      <c r="AG569" s="41"/>
      <c r="AH569" s="41"/>
      <c r="AI569" s="41"/>
    </row>
    <row r="570" spans="1:35" ht="15.75" customHeight="1" x14ac:dyDescent="0.2">
      <c r="A570" s="41"/>
      <c r="B570" s="41"/>
      <c r="C570" s="41"/>
      <c r="D570" s="41"/>
      <c r="E570" s="41"/>
      <c r="F570" s="41"/>
      <c r="G570" s="41"/>
      <c r="H570" s="41"/>
      <c r="I570" s="41"/>
      <c r="J570" s="41"/>
      <c r="K570" s="41"/>
      <c r="L570" s="41"/>
      <c r="M570" s="41"/>
      <c r="N570" s="41"/>
      <c r="O570" s="41"/>
      <c r="P570" s="41"/>
      <c r="Q570" s="41"/>
      <c r="R570" s="41"/>
      <c r="S570" s="41"/>
      <c r="T570" s="41"/>
      <c r="U570" s="41"/>
      <c r="V570" s="41"/>
      <c r="W570" s="41"/>
      <c r="X570" s="41"/>
      <c r="Y570" s="41"/>
      <c r="Z570" s="41"/>
      <c r="AA570" s="41"/>
      <c r="AB570" s="41"/>
      <c r="AC570" s="41"/>
      <c r="AD570" s="41"/>
      <c r="AE570" s="41"/>
      <c r="AF570" s="41"/>
      <c r="AG570" s="41"/>
      <c r="AH570" s="41"/>
      <c r="AI570" s="41"/>
    </row>
    <row r="571" spans="1:35" ht="15.75" customHeight="1" x14ac:dyDescent="0.2">
      <c r="A571" s="41"/>
      <c r="B571" s="41"/>
      <c r="C571" s="41"/>
      <c r="D571" s="41"/>
      <c r="E571" s="41"/>
      <c r="F571" s="41"/>
      <c r="G571" s="41"/>
      <c r="H571" s="41"/>
      <c r="I571" s="41"/>
      <c r="J571" s="41"/>
      <c r="K571" s="41"/>
      <c r="L571" s="41"/>
      <c r="M571" s="41"/>
      <c r="N571" s="41"/>
      <c r="O571" s="41"/>
      <c r="P571" s="41"/>
      <c r="Q571" s="41"/>
      <c r="R571" s="41"/>
      <c r="S571" s="41"/>
      <c r="T571" s="41"/>
      <c r="U571" s="41"/>
      <c r="V571" s="41"/>
      <c r="W571" s="41"/>
      <c r="X571" s="41"/>
      <c r="Y571" s="41"/>
      <c r="Z571" s="41"/>
      <c r="AA571" s="41"/>
      <c r="AB571" s="41"/>
      <c r="AC571" s="41"/>
      <c r="AD571" s="41"/>
      <c r="AE571" s="41"/>
      <c r="AF571" s="41"/>
      <c r="AG571" s="41"/>
      <c r="AH571" s="41"/>
      <c r="AI571" s="41"/>
    </row>
    <row r="572" spans="1:35" ht="15.75" customHeight="1" x14ac:dyDescent="0.2">
      <c r="A572" s="41"/>
      <c r="B572" s="41"/>
      <c r="C572" s="41"/>
      <c r="D572" s="41"/>
      <c r="E572" s="41"/>
      <c r="F572" s="41"/>
      <c r="G572" s="41"/>
      <c r="H572" s="41"/>
      <c r="I572" s="41"/>
      <c r="J572" s="41"/>
      <c r="K572" s="41"/>
      <c r="L572" s="41"/>
      <c r="M572" s="41"/>
      <c r="N572" s="41"/>
      <c r="O572" s="41"/>
      <c r="P572" s="41"/>
      <c r="Q572" s="41"/>
      <c r="R572" s="41"/>
      <c r="S572" s="41"/>
      <c r="T572" s="41"/>
      <c r="U572" s="41"/>
      <c r="V572" s="41"/>
      <c r="W572" s="41"/>
      <c r="X572" s="41"/>
      <c r="Y572" s="41"/>
      <c r="Z572" s="41"/>
      <c r="AA572" s="41"/>
      <c r="AB572" s="41"/>
      <c r="AC572" s="41"/>
      <c r="AD572" s="41"/>
      <c r="AE572" s="41"/>
      <c r="AF572" s="41"/>
      <c r="AG572" s="41"/>
      <c r="AH572" s="41"/>
      <c r="AI572" s="41"/>
    </row>
    <row r="573" spans="1:35" ht="15.75" customHeight="1" x14ac:dyDescent="0.2">
      <c r="A573" s="41"/>
      <c r="B573" s="41"/>
      <c r="C573" s="41"/>
      <c r="D573" s="41"/>
      <c r="E573" s="41"/>
      <c r="F573" s="41"/>
      <c r="G573" s="41"/>
      <c r="H573" s="41"/>
      <c r="I573" s="41"/>
      <c r="J573" s="41"/>
      <c r="K573" s="41"/>
      <c r="L573" s="41"/>
      <c r="M573" s="41"/>
      <c r="N573" s="41"/>
      <c r="O573" s="41"/>
      <c r="P573" s="41"/>
      <c r="Q573" s="41"/>
      <c r="R573" s="41"/>
      <c r="S573" s="41"/>
      <c r="T573" s="41"/>
      <c r="U573" s="41"/>
      <c r="V573" s="41"/>
      <c r="W573" s="41"/>
      <c r="X573" s="41"/>
      <c r="Y573" s="41"/>
      <c r="Z573" s="41"/>
      <c r="AA573" s="41"/>
      <c r="AB573" s="41"/>
      <c r="AC573" s="41"/>
      <c r="AD573" s="41"/>
      <c r="AE573" s="41"/>
      <c r="AF573" s="41"/>
      <c r="AG573" s="41"/>
      <c r="AH573" s="41"/>
      <c r="AI573" s="41"/>
    </row>
    <row r="574" spans="1:35" ht="15.75" customHeight="1" x14ac:dyDescent="0.2">
      <c r="A574" s="41"/>
      <c r="B574" s="41"/>
      <c r="C574" s="41"/>
      <c r="D574" s="41"/>
      <c r="E574" s="41"/>
      <c r="F574" s="41"/>
      <c r="G574" s="41"/>
      <c r="H574" s="41"/>
      <c r="I574" s="41"/>
      <c r="J574" s="41"/>
      <c r="K574" s="41"/>
      <c r="L574" s="41"/>
      <c r="M574" s="41"/>
      <c r="N574" s="41"/>
      <c r="O574" s="41"/>
      <c r="P574" s="41"/>
      <c r="Q574" s="41"/>
      <c r="R574" s="41"/>
      <c r="S574" s="41"/>
      <c r="T574" s="41"/>
      <c r="U574" s="41"/>
      <c r="V574" s="41"/>
      <c r="W574" s="41"/>
      <c r="X574" s="41"/>
      <c r="Y574" s="41"/>
      <c r="Z574" s="41"/>
      <c r="AA574" s="41"/>
      <c r="AB574" s="41"/>
      <c r="AC574" s="41"/>
      <c r="AD574" s="41"/>
      <c r="AE574" s="41"/>
      <c r="AF574" s="41"/>
      <c r="AG574" s="41"/>
      <c r="AH574" s="41"/>
      <c r="AI574" s="41"/>
    </row>
    <row r="575" spans="1:35" ht="15.75" customHeight="1" x14ac:dyDescent="0.2">
      <c r="A575" s="41"/>
      <c r="B575" s="41"/>
      <c r="C575" s="41"/>
      <c r="D575" s="41"/>
      <c r="E575" s="41"/>
      <c r="F575" s="41"/>
      <c r="G575" s="41"/>
      <c r="H575" s="41"/>
      <c r="I575" s="41"/>
      <c r="J575" s="41"/>
      <c r="K575" s="41"/>
      <c r="L575" s="41"/>
      <c r="M575" s="41"/>
      <c r="N575" s="41"/>
      <c r="O575" s="41"/>
      <c r="P575" s="41"/>
      <c r="Q575" s="41"/>
      <c r="R575" s="41"/>
      <c r="S575" s="41"/>
      <c r="T575" s="41"/>
      <c r="U575" s="41"/>
      <c r="V575" s="41"/>
      <c r="W575" s="41"/>
      <c r="X575" s="41"/>
      <c r="Y575" s="41"/>
      <c r="Z575" s="41"/>
      <c r="AA575" s="41"/>
      <c r="AB575" s="41"/>
      <c r="AC575" s="41"/>
      <c r="AD575" s="41"/>
      <c r="AE575" s="41"/>
      <c r="AF575" s="41"/>
      <c r="AG575" s="41"/>
      <c r="AH575" s="41"/>
      <c r="AI575" s="41"/>
    </row>
    <row r="576" spans="1:35" ht="15.75" customHeight="1" x14ac:dyDescent="0.2">
      <c r="A576" s="41"/>
      <c r="B576" s="41"/>
      <c r="C576" s="41"/>
      <c r="D576" s="41"/>
      <c r="E576" s="41"/>
      <c r="F576" s="41"/>
      <c r="G576" s="41"/>
      <c r="H576" s="41"/>
      <c r="I576" s="41"/>
      <c r="J576" s="41"/>
      <c r="K576" s="41"/>
      <c r="L576" s="41"/>
      <c r="M576" s="41"/>
      <c r="N576" s="41"/>
      <c r="O576" s="41"/>
      <c r="P576" s="41"/>
      <c r="Q576" s="41"/>
      <c r="R576" s="41"/>
      <c r="S576" s="41"/>
      <c r="T576" s="41"/>
      <c r="U576" s="41"/>
      <c r="V576" s="41"/>
      <c r="W576" s="41"/>
      <c r="X576" s="41"/>
      <c r="Y576" s="41"/>
      <c r="Z576" s="41"/>
      <c r="AA576" s="41"/>
      <c r="AB576" s="41"/>
      <c r="AC576" s="41"/>
      <c r="AD576" s="41"/>
      <c r="AE576" s="41"/>
      <c r="AF576" s="41"/>
      <c r="AG576" s="41"/>
      <c r="AH576" s="41"/>
      <c r="AI576" s="41"/>
    </row>
    <row r="577" spans="1:35" ht="15.75" customHeight="1" x14ac:dyDescent="0.2">
      <c r="A577" s="41"/>
      <c r="B577" s="41"/>
      <c r="C577" s="41"/>
      <c r="D577" s="41"/>
      <c r="E577" s="41"/>
      <c r="F577" s="41"/>
      <c r="G577" s="41"/>
      <c r="H577" s="41"/>
      <c r="I577" s="41"/>
      <c r="J577" s="41"/>
      <c r="K577" s="41"/>
      <c r="L577" s="41"/>
      <c r="M577" s="41"/>
      <c r="N577" s="41"/>
      <c r="O577" s="41"/>
      <c r="P577" s="41"/>
      <c r="Q577" s="41"/>
      <c r="R577" s="41"/>
      <c r="S577" s="41"/>
      <c r="T577" s="41"/>
      <c r="U577" s="41"/>
      <c r="V577" s="41"/>
      <c r="W577" s="41"/>
      <c r="X577" s="41"/>
      <c r="Y577" s="41"/>
      <c r="Z577" s="41"/>
      <c r="AA577" s="41"/>
      <c r="AB577" s="41"/>
      <c r="AC577" s="41"/>
      <c r="AD577" s="41"/>
      <c r="AE577" s="41"/>
      <c r="AF577" s="41"/>
      <c r="AG577" s="41"/>
      <c r="AH577" s="41"/>
      <c r="AI577" s="41"/>
    </row>
    <row r="578" spans="1:35" ht="15.75" customHeight="1" x14ac:dyDescent="0.2">
      <c r="A578" s="41"/>
      <c r="B578" s="41"/>
      <c r="C578" s="41"/>
      <c r="D578" s="41"/>
      <c r="E578" s="41"/>
      <c r="F578" s="41"/>
      <c r="G578" s="41"/>
      <c r="H578" s="41"/>
      <c r="I578" s="41"/>
      <c r="J578" s="41"/>
      <c r="K578" s="41"/>
      <c r="L578" s="41"/>
      <c r="M578" s="41"/>
      <c r="N578" s="41"/>
      <c r="O578" s="41"/>
      <c r="P578" s="41"/>
      <c r="Q578" s="41"/>
      <c r="R578" s="41"/>
      <c r="S578" s="41"/>
      <c r="T578" s="41"/>
      <c r="U578" s="41"/>
      <c r="V578" s="41"/>
      <c r="W578" s="41"/>
      <c r="X578" s="41"/>
      <c r="Y578" s="41"/>
      <c r="Z578" s="41"/>
      <c r="AA578" s="41"/>
      <c r="AB578" s="41"/>
      <c r="AC578" s="41"/>
      <c r="AD578" s="41"/>
      <c r="AE578" s="41"/>
      <c r="AF578" s="41"/>
      <c r="AG578" s="41"/>
      <c r="AH578" s="41"/>
      <c r="AI578" s="41"/>
    </row>
    <row r="579" spans="1:35" ht="15.75" customHeight="1" x14ac:dyDescent="0.2">
      <c r="A579" s="41"/>
      <c r="B579" s="41"/>
      <c r="C579" s="41"/>
      <c r="D579" s="41"/>
      <c r="E579" s="41"/>
      <c r="F579" s="41"/>
      <c r="G579" s="41"/>
      <c r="H579" s="41"/>
      <c r="I579" s="41"/>
      <c r="J579" s="41"/>
      <c r="K579" s="41"/>
      <c r="L579" s="41"/>
      <c r="M579" s="41"/>
      <c r="N579" s="41"/>
      <c r="O579" s="41"/>
      <c r="P579" s="41"/>
      <c r="Q579" s="41"/>
      <c r="R579" s="41"/>
      <c r="S579" s="41"/>
      <c r="T579" s="41"/>
      <c r="U579" s="41"/>
      <c r="V579" s="41"/>
      <c r="W579" s="41"/>
      <c r="X579" s="41"/>
      <c r="Y579" s="41"/>
      <c r="Z579" s="41"/>
      <c r="AA579" s="41"/>
      <c r="AB579" s="41"/>
      <c r="AC579" s="41"/>
      <c r="AD579" s="41"/>
      <c r="AE579" s="41"/>
      <c r="AF579" s="41"/>
      <c r="AG579" s="41"/>
      <c r="AH579" s="41"/>
      <c r="AI579" s="41"/>
    </row>
    <row r="580" spans="1:35" ht="15.75" customHeight="1" x14ac:dyDescent="0.2">
      <c r="A580" s="41"/>
      <c r="B580" s="41"/>
      <c r="C580" s="41"/>
      <c r="D580" s="41"/>
      <c r="E580" s="41"/>
      <c r="F580" s="41"/>
      <c r="G580" s="41"/>
      <c r="H580" s="41"/>
      <c r="I580" s="41"/>
      <c r="J580" s="41"/>
      <c r="K580" s="41"/>
      <c r="L580" s="41"/>
      <c r="M580" s="41"/>
      <c r="N580" s="41"/>
      <c r="O580" s="41"/>
      <c r="P580" s="41"/>
      <c r="Q580" s="41"/>
      <c r="R580" s="41"/>
      <c r="S580" s="41"/>
      <c r="T580" s="41"/>
      <c r="U580" s="41"/>
      <c r="V580" s="41"/>
      <c r="W580" s="41"/>
      <c r="X580" s="41"/>
      <c r="Y580" s="41"/>
      <c r="Z580" s="41"/>
      <c r="AA580" s="41"/>
      <c r="AB580" s="41"/>
      <c r="AC580" s="41"/>
      <c r="AD580" s="41"/>
      <c r="AE580" s="41"/>
      <c r="AF580" s="41"/>
      <c r="AG580" s="41"/>
      <c r="AH580" s="41"/>
      <c r="AI580" s="41"/>
    </row>
    <row r="581" spans="1:35" ht="15.75" customHeight="1" x14ac:dyDescent="0.2">
      <c r="A581" s="41"/>
      <c r="B581" s="41"/>
      <c r="C581" s="41"/>
      <c r="D581" s="41"/>
      <c r="E581" s="41"/>
      <c r="F581" s="41"/>
      <c r="G581" s="41"/>
      <c r="H581" s="41"/>
      <c r="I581" s="41"/>
      <c r="J581" s="41"/>
      <c r="K581" s="41"/>
      <c r="L581" s="41"/>
      <c r="M581" s="41"/>
      <c r="N581" s="41"/>
      <c r="O581" s="41"/>
      <c r="P581" s="41"/>
      <c r="Q581" s="41"/>
      <c r="R581" s="41"/>
      <c r="S581" s="41"/>
      <c r="T581" s="41"/>
      <c r="U581" s="41"/>
      <c r="V581" s="41"/>
      <c r="W581" s="41"/>
      <c r="X581" s="41"/>
      <c r="Y581" s="41"/>
      <c r="Z581" s="41"/>
      <c r="AA581" s="41"/>
      <c r="AB581" s="41"/>
      <c r="AC581" s="41"/>
      <c r="AD581" s="41"/>
      <c r="AE581" s="41"/>
      <c r="AF581" s="41"/>
      <c r="AG581" s="41"/>
      <c r="AH581" s="41"/>
      <c r="AI581" s="41"/>
    </row>
    <row r="582" spans="1:35" ht="15.75" customHeight="1" x14ac:dyDescent="0.2">
      <c r="A582" s="41"/>
      <c r="B582" s="41"/>
      <c r="C582" s="41"/>
      <c r="D582" s="41"/>
      <c r="E582" s="41"/>
      <c r="F582" s="41"/>
      <c r="G582" s="41"/>
      <c r="H582" s="41"/>
      <c r="I582" s="41"/>
      <c r="J582" s="41"/>
      <c r="K582" s="41"/>
      <c r="L582" s="41"/>
      <c r="M582" s="41"/>
      <c r="N582" s="41"/>
      <c r="O582" s="41"/>
      <c r="P582" s="41"/>
      <c r="Q582" s="41"/>
      <c r="R582" s="41"/>
      <c r="S582" s="41"/>
      <c r="T582" s="41"/>
      <c r="U582" s="41"/>
      <c r="V582" s="41"/>
      <c r="W582" s="41"/>
      <c r="X582" s="41"/>
      <c r="Y582" s="41"/>
      <c r="Z582" s="41"/>
      <c r="AA582" s="41"/>
      <c r="AB582" s="41"/>
      <c r="AC582" s="41"/>
      <c r="AD582" s="41"/>
      <c r="AE582" s="41"/>
      <c r="AF582" s="41"/>
      <c r="AG582" s="41"/>
      <c r="AH582" s="41"/>
      <c r="AI582" s="41"/>
    </row>
    <row r="583" spans="1:35" ht="15.75" customHeight="1" x14ac:dyDescent="0.2">
      <c r="A583" s="41"/>
      <c r="B583" s="41"/>
      <c r="C583" s="41"/>
      <c r="D583" s="41"/>
      <c r="E583" s="41"/>
      <c r="F583" s="41"/>
      <c r="G583" s="41"/>
      <c r="H583" s="41"/>
      <c r="I583" s="41"/>
      <c r="J583" s="41"/>
      <c r="K583" s="41"/>
      <c r="L583" s="41"/>
      <c r="M583" s="41"/>
      <c r="N583" s="41"/>
      <c r="O583" s="41"/>
      <c r="P583" s="41"/>
      <c r="Q583" s="41"/>
      <c r="R583" s="41"/>
      <c r="S583" s="41"/>
      <c r="T583" s="41"/>
      <c r="U583" s="41"/>
      <c r="V583" s="41"/>
      <c r="W583" s="41"/>
      <c r="X583" s="41"/>
      <c r="Y583" s="41"/>
      <c r="Z583" s="41"/>
      <c r="AA583" s="41"/>
      <c r="AB583" s="41"/>
      <c r="AC583" s="41"/>
      <c r="AD583" s="41"/>
      <c r="AE583" s="41"/>
      <c r="AF583" s="41"/>
      <c r="AG583" s="41"/>
      <c r="AH583" s="41"/>
      <c r="AI583" s="41"/>
    </row>
    <row r="584" spans="1:35" ht="15.75" customHeight="1" x14ac:dyDescent="0.2">
      <c r="A584" s="41"/>
      <c r="B584" s="41"/>
      <c r="C584" s="41"/>
      <c r="D584" s="41"/>
      <c r="E584" s="41"/>
      <c r="F584" s="41"/>
      <c r="G584" s="41"/>
      <c r="H584" s="41"/>
      <c r="I584" s="41"/>
      <c r="J584" s="41"/>
      <c r="K584" s="41"/>
      <c r="L584" s="41"/>
      <c r="M584" s="41"/>
      <c r="N584" s="41"/>
      <c r="O584" s="41"/>
      <c r="P584" s="41"/>
      <c r="Q584" s="41"/>
      <c r="R584" s="41"/>
      <c r="S584" s="41"/>
      <c r="T584" s="41"/>
      <c r="U584" s="41"/>
      <c r="V584" s="41"/>
      <c r="W584" s="41"/>
      <c r="X584" s="41"/>
      <c r="Y584" s="41"/>
      <c r="Z584" s="41"/>
      <c r="AA584" s="41"/>
      <c r="AB584" s="41"/>
      <c r="AC584" s="41"/>
      <c r="AD584" s="41"/>
      <c r="AE584" s="41"/>
      <c r="AF584" s="41"/>
      <c r="AG584" s="41"/>
      <c r="AH584" s="41"/>
      <c r="AI584" s="41"/>
    </row>
    <row r="585" spans="1:35" ht="15.75" customHeight="1" x14ac:dyDescent="0.2">
      <c r="A585" s="41"/>
      <c r="B585" s="41"/>
      <c r="C585" s="41"/>
      <c r="D585" s="41"/>
      <c r="E585" s="41"/>
      <c r="F585" s="41"/>
      <c r="G585" s="41"/>
      <c r="H585" s="41"/>
      <c r="I585" s="41"/>
      <c r="J585" s="41"/>
      <c r="K585" s="41"/>
      <c r="L585" s="41"/>
      <c r="M585" s="41"/>
      <c r="N585" s="41"/>
      <c r="O585" s="41"/>
      <c r="P585" s="41"/>
      <c r="Q585" s="41"/>
      <c r="R585" s="41"/>
      <c r="S585" s="41"/>
      <c r="T585" s="41"/>
      <c r="U585" s="41"/>
      <c r="V585" s="41"/>
      <c r="W585" s="41"/>
      <c r="X585" s="41"/>
      <c r="Y585" s="41"/>
      <c r="Z585" s="41"/>
      <c r="AA585" s="41"/>
      <c r="AB585" s="41"/>
      <c r="AC585" s="41"/>
      <c r="AD585" s="41"/>
      <c r="AE585" s="41"/>
      <c r="AF585" s="41"/>
      <c r="AG585" s="41"/>
      <c r="AH585" s="41"/>
      <c r="AI585" s="41"/>
    </row>
    <row r="586" spans="1:35" ht="15.75" customHeight="1" x14ac:dyDescent="0.2">
      <c r="A586" s="41"/>
      <c r="B586" s="41"/>
      <c r="C586" s="41"/>
      <c r="D586" s="41"/>
      <c r="E586" s="41"/>
      <c r="F586" s="41"/>
      <c r="G586" s="41"/>
      <c r="H586" s="41"/>
      <c r="I586" s="41"/>
      <c r="J586" s="41"/>
      <c r="K586" s="41"/>
      <c r="L586" s="41"/>
      <c r="M586" s="41"/>
      <c r="N586" s="41"/>
      <c r="O586" s="41"/>
      <c r="P586" s="41"/>
      <c r="Q586" s="41"/>
      <c r="R586" s="41"/>
      <c r="S586" s="41"/>
      <c r="T586" s="41"/>
      <c r="U586" s="41"/>
      <c r="V586" s="41"/>
      <c r="W586" s="41"/>
      <c r="X586" s="41"/>
      <c r="Y586" s="41"/>
      <c r="Z586" s="41"/>
      <c r="AA586" s="41"/>
      <c r="AB586" s="41"/>
      <c r="AC586" s="41"/>
      <c r="AD586" s="41"/>
      <c r="AE586" s="41"/>
      <c r="AF586" s="41"/>
      <c r="AG586" s="41"/>
      <c r="AH586" s="41"/>
      <c r="AI586" s="41"/>
    </row>
    <row r="587" spans="1:35" ht="15.75" customHeight="1" x14ac:dyDescent="0.2">
      <c r="A587" s="41"/>
      <c r="B587" s="41"/>
      <c r="C587" s="41"/>
      <c r="D587" s="41"/>
      <c r="E587" s="41"/>
      <c r="F587" s="41"/>
      <c r="G587" s="41"/>
      <c r="H587" s="41"/>
      <c r="I587" s="41"/>
      <c r="J587" s="41"/>
      <c r="K587" s="41"/>
      <c r="L587" s="41"/>
      <c r="M587" s="41"/>
      <c r="N587" s="41"/>
      <c r="O587" s="41"/>
      <c r="P587" s="41"/>
      <c r="Q587" s="41"/>
      <c r="R587" s="41"/>
      <c r="S587" s="41"/>
      <c r="T587" s="41"/>
      <c r="U587" s="41"/>
      <c r="V587" s="41"/>
      <c r="W587" s="41"/>
      <c r="X587" s="41"/>
      <c r="Y587" s="41"/>
      <c r="Z587" s="41"/>
      <c r="AA587" s="41"/>
      <c r="AB587" s="41"/>
      <c r="AC587" s="41"/>
      <c r="AD587" s="41"/>
      <c r="AE587" s="41"/>
      <c r="AF587" s="41"/>
      <c r="AG587" s="41"/>
      <c r="AH587" s="41"/>
      <c r="AI587" s="41"/>
    </row>
    <row r="588" spans="1:35" ht="15.75" customHeight="1" x14ac:dyDescent="0.2">
      <c r="A588" s="41"/>
      <c r="B588" s="41"/>
      <c r="C588" s="41"/>
      <c r="D588" s="41"/>
      <c r="E588" s="41"/>
      <c r="F588" s="41"/>
      <c r="G588" s="41"/>
      <c r="H588" s="41"/>
      <c r="I588" s="41"/>
      <c r="J588" s="41"/>
      <c r="K588" s="41"/>
      <c r="L588" s="41"/>
      <c r="M588" s="41"/>
      <c r="N588" s="41"/>
      <c r="O588" s="41"/>
      <c r="P588" s="41"/>
      <c r="Q588" s="41"/>
      <c r="R588" s="41"/>
      <c r="S588" s="41"/>
      <c r="T588" s="41"/>
      <c r="U588" s="41"/>
      <c r="V588" s="41"/>
      <c r="W588" s="41"/>
      <c r="X588" s="41"/>
      <c r="Y588" s="41"/>
      <c r="Z588" s="41"/>
      <c r="AA588" s="41"/>
      <c r="AB588" s="41"/>
      <c r="AC588" s="41"/>
      <c r="AD588" s="41"/>
      <c r="AE588" s="41"/>
      <c r="AF588" s="41"/>
      <c r="AG588" s="41"/>
      <c r="AH588" s="41"/>
      <c r="AI588" s="41"/>
    </row>
    <row r="589" spans="1:35" ht="15.75" customHeight="1" x14ac:dyDescent="0.2">
      <c r="A589" s="41"/>
      <c r="B589" s="41"/>
      <c r="C589" s="41"/>
      <c r="D589" s="41"/>
      <c r="E589" s="41"/>
      <c r="F589" s="41"/>
      <c r="G589" s="41"/>
      <c r="H589" s="41"/>
      <c r="I589" s="41"/>
      <c r="J589" s="41"/>
      <c r="K589" s="41"/>
      <c r="L589" s="41"/>
      <c r="M589" s="41"/>
      <c r="N589" s="41"/>
      <c r="O589" s="41"/>
      <c r="P589" s="41"/>
      <c r="Q589" s="41"/>
      <c r="R589" s="41"/>
      <c r="S589" s="41"/>
      <c r="T589" s="41"/>
      <c r="U589" s="41"/>
      <c r="V589" s="41"/>
      <c r="W589" s="41"/>
      <c r="X589" s="41"/>
      <c r="Y589" s="41"/>
      <c r="Z589" s="41"/>
      <c r="AA589" s="41"/>
      <c r="AB589" s="41"/>
      <c r="AC589" s="41"/>
      <c r="AD589" s="41"/>
      <c r="AE589" s="41"/>
      <c r="AF589" s="41"/>
      <c r="AG589" s="41"/>
      <c r="AH589" s="41"/>
      <c r="AI589" s="41"/>
    </row>
    <row r="590" spans="1:35" ht="15.75" customHeight="1" x14ac:dyDescent="0.2">
      <c r="A590" s="41"/>
      <c r="B590" s="41"/>
      <c r="C590" s="41"/>
      <c r="D590" s="41"/>
      <c r="E590" s="41"/>
      <c r="F590" s="41"/>
      <c r="G590" s="41"/>
      <c r="H590" s="41"/>
      <c r="I590" s="41"/>
      <c r="J590" s="41"/>
      <c r="K590" s="41"/>
      <c r="L590" s="41"/>
      <c r="M590" s="41"/>
      <c r="N590" s="41"/>
      <c r="O590" s="41"/>
      <c r="P590" s="41"/>
      <c r="Q590" s="41"/>
      <c r="R590" s="41"/>
      <c r="S590" s="41"/>
      <c r="T590" s="41"/>
      <c r="U590" s="41"/>
      <c r="V590" s="41"/>
      <c r="W590" s="41"/>
      <c r="X590" s="41"/>
      <c r="Y590" s="41"/>
      <c r="Z590" s="41"/>
      <c r="AA590" s="41"/>
      <c r="AB590" s="41"/>
      <c r="AC590" s="41"/>
      <c r="AD590" s="41"/>
      <c r="AE590" s="41"/>
      <c r="AF590" s="41"/>
      <c r="AG590" s="41"/>
      <c r="AH590" s="41"/>
      <c r="AI590" s="41"/>
    </row>
    <row r="591" spans="1:35" ht="15.75" customHeight="1" x14ac:dyDescent="0.2">
      <c r="A591" s="41"/>
      <c r="B591" s="41"/>
      <c r="C591" s="41"/>
      <c r="D591" s="41"/>
      <c r="E591" s="41"/>
      <c r="F591" s="41"/>
      <c r="G591" s="41"/>
      <c r="H591" s="41"/>
      <c r="I591" s="41"/>
      <c r="J591" s="41"/>
      <c r="K591" s="41"/>
      <c r="L591" s="41"/>
      <c r="M591" s="41"/>
      <c r="N591" s="41"/>
      <c r="O591" s="41"/>
      <c r="P591" s="41"/>
      <c r="Q591" s="41"/>
      <c r="R591" s="41"/>
      <c r="S591" s="41"/>
      <c r="T591" s="41"/>
      <c r="U591" s="41"/>
      <c r="V591" s="41"/>
      <c r="W591" s="41"/>
      <c r="X591" s="41"/>
      <c r="Y591" s="41"/>
      <c r="Z591" s="41"/>
      <c r="AA591" s="41"/>
      <c r="AB591" s="41"/>
      <c r="AC591" s="41"/>
      <c r="AD591" s="41"/>
      <c r="AE591" s="41"/>
      <c r="AF591" s="41"/>
      <c r="AG591" s="41"/>
      <c r="AH591" s="41"/>
      <c r="AI591" s="41"/>
    </row>
    <row r="592" spans="1:35" ht="15.75" customHeight="1" x14ac:dyDescent="0.2">
      <c r="A592" s="41"/>
      <c r="B592" s="41"/>
      <c r="C592" s="41"/>
      <c r="D592" s="41"/>
      <c r="E592" s="41"/>
      <c r="F592" s="41"/>
      <c r="G592" s="41"/>
      <c r="H592" s="41"/>
      <c r="I592" s="41"/>
      <c r="J592" s="41"/>
      <c r="K592" s="41"/>
      <c r="L592" s="41"/>
      <c r="M592" s="41"/>
      <c r="N592" s="41"/>
      <c r="O592" s="41"/>
      <c r="P592" s="41"/>
      <c r="Q592" s="41"/>
      <c r="R592" s="41"/>
      <c r="S592" s="41"/>
      <c r="T592" s="41"/>
      <c r="U592" s="41"/>
      <c r="V592" s="41"/>
      <c r="W592" s="41"/>
      <c r="X592" s="41"/>
      <c r="Y592" s="41"/>
      <c r="Z592" s="41"/>
      <c r="AA592" s="41"/>
      <c r="AB592" s="41"/>
      <c r="AC592" s="41"/>
      <c r="AD592" s="41"/>
      <c r="AE592" s="41"/>
      <c r="AF592" s="41"/>
      <c r="AG592" s="41"/>
      <c r="AH592" s="41"/>
      <c r="AI592" s="41"/>
    </row>
    <row r="593" spans="1:35" ht="15.75" customHeight="1" x14ac:dyDescent="0.2">
      <c r="A593" s="41"/>
      <c r="B593" s="41"/>
      <c r="C593" s="41"/>
      <c r="D593" s="41"/>
      <c r="E593" s="41"/>
      <c r="F593" s="41"/>
      <c r="G593" s="41"/>
      <c r="H593" s="41"/>
      <c r="I593" s="41"/>
      <c r="J593" s="41"/>
      <c r="K593" s="41"/>
      <c r="L593" s="41"/>
      <c r="M593" s="41"/>
      <c r="N593" s="41"/>
      <c r="O593" s="41"/>
      <c r="P593" s="41"/>
      <c r="Q593" s="41"/>
      <c r="R593" s="41"/>
      <c r="S593" s="41"/>
      <c r="T593" s="41"/>
      <c r="U593" s="41"/>
      <c r="V593" s="41"/>
      <c r="W593" s="41"/>
      <c r="X593" s="41"/>
      <c r="Y593" s="41"/>
      <c r="Z593" s="41"/>
      <c r="AA593" s="41"/>
      <c r="AB593" s="41"/>
      <c r="AC593" s="41"/>
      <c r="AD593" s="41"/>
      <c r="AE593" s="41"/>
      <c r="AF593" s="41"/>
      <c r="AG593" s="41"/>
      <c r="AH593" s="41"/>
      <c r="AI593" s="41"/>
    </row>
    <row r="594" spans="1:35" ht="15.75" customHeight="1" x14ac:dyDescent="0.2">
      <c r="A594" s="41"/>
      <c r="B594" s="41"/>
      <c r="C594" s="41"/>
      <c r="D594" s="41"/>
      <c r="E594" s="41"/>
      <c r="F594" s="41"/>
      <c r="G594" s="41"/>
      <c r="H594" s="41"/>
      <c r="I594" s="41"/>
      <c r="J594" s="41"/>
      <c r="K594" s="41"/>
      <c r="L594" s="41"/>
      <c r="M594" s="41"/>
      <c r="N594" s="41"/>
      <c r="O594" s="41"/>
      <c r="P594" s="41"/>
      <c r="Q594" s="41"/>
      <c r="R594" s="41"/>
      <c r="S594" s="41"/>
      <c r="T594" s="41"/>
      <c r="U594" s="41"/>
      <c r="V594" s="41"/>
      <c r="W594" s="41"/>
      <c r="X594" s="41"/>
      <c r="Y594" s="41"/>
      <c r="Z594" s="41"/>
      <c r="AA594" s="41"/>
      <c r="AB594" s="41"/>
      <c r="AC594" s="41"/>
      <c r="AD594" s="41"/>
      <c r="AE594" s="41"/>
      <c r="AF594" s="41"/>
      <c r="AG594" s="41"/>
      <c r="AH594" s="41"/>
      <c r="AI594" s="41"/>
    </row>
    <row r="595" spans="1:35" ht="15.75" customHeight="1" x14ac:dyDescent="0.2">
      <c r="A595" s="41"/>
      <c r="B595" s="41"/>
      <c r="C595" s="41"/>
      <c r="D595" s="41"/>
      <c r="E595" s="41"/>
      <c r="F595" s="41"/>
      <c r="G595" s="41"/>
      <c r="H595" s="41"/>
      <c r="I595" s="41"/>
      <c r="J595" s="41"/>
      <c r="K595" s="41"/>
      <c r="L595" s="41"/>
      <c r="M595" s="41"/>
      <c r="N595" s="41"/>
      <c r="O595" s="41"/>
      <c r="P595" s="41"/>
      <c r="Q595" s="41"/>
      <c r="R595" s="41"/>
      <c r="S595" s="41"/>
      <c r="T595" s="41"/>
      <c r="U595" s="41"/>
      <c r="V595" s="41"/>
      <c r="W595" s="41"/>
      <c r="X595" s="41"/>
      <c r="Y595" s="41"/>
      <c r="Z595" s="41"/>
      <c r="AA595" s="41"/>
      <c r="AB595" s="41"/>
      <c r="AC595" s="41"/>
      <c r="AD595" s="41"/>
      <c r="AE595" s="41"/>
      <c r="AF595" s="41"/>
      <c r="AG595" s="41"/>
      <c r="AH595" s="41"/>
      <c r="AI595" s="41"/>
    </row>
    <row r="596" spans="1:35" ht="15.75" customHeight="1" x14ac:dyDescent="0.2">
      <c r="A596" s="41"/>
      <c r="B596" s="41"/>
      <c r="C596" s="41"/>
      <c r="D596" s="41"/>
      <c r="E596" s="41"/>
      <c r="F596" s="41"/>
      <c r="G596" s="41"/>
      <c r="H596" s="41"/>
      <c r="I596" s="41"/>
      <c r="J596" s="41"/>
      <c r="K596" s="41"/>
      <c r="L596" s="41"/>
      <c r="M596" s="41"/>
      <c r="N596" s="41"/>
      <c r="O596" s="41"/>
      <c r="P596" s="41"/>
      <c r="Q596" s="41"/>
      <c r="R596" s="41"/>
      <c r="S596" s="41"/>
      <c r="T596" s="41"/>
      <c r="U596" s="41"/>
      <c r="V596" s="41"/>
      <c r="W596" s="41"/>
      <c r="X596" s="41"/>
      <c r="Y596" s="41"/>
      <c r="Z596" s="41"/>
      <c r="AA596" s="41"/>
      <c r="AB596" s="41"/>
      <c r="AC596" s="41"/>
      <c r="AD596" s="41"/>
      <c r="AE596" s="41"/>
      <c r="AF596" s="41"/>
      <c r="AG596" s="41"/>
      <c r="AH596" s="41"/>
      <c r="AI596" s="41"/>
    </row>
    <row r="597" spans="1:35" ht="15.75" customHeight="1" x14ac:dyDescent="0.2">
      <c r="A597" s="41"/>
      <c r="B597" s="41"/>
      <c r="C597" s="41"/>
      <c r="D597" s="41"/>
      <c r="E597" s="41"/>
      <c r="F597" s="41"/>
      <c r="G597" s="41"/>
      <c r="H597" s="41"/>
      <c r="I597" s="41"/>
      <c r="J597" s="41"/>
      <c r="K597" s="41"/>
      <c r="L597" s="41"/>
      <c r="M597" s="41"/>
      <c r="N597" s="41"/>
      <c r="O597" s="41"/>
      <c r="P597" s="41"/>
      <c r="Q597" s="41"/>
      <c r="R597" s="41"/>
      <c r="S597" s="41"/>
      <c r="T597" s="41"/>
      <c r="U597" s="41"/>
      <c r="V597" s="41"/>
      <c r="W597" s="41"/>
      <c r="X597" s="41"/>
      <c r="Y597" s="41"/>
      <c r="Z597" s="41"/>
      <c r="AA597" s="41"/>
      <c r="AB597" s="41"/>
      <c r="AC597" s="41"/>
      <c r="AD597" s="41"/>
      <c r="AE597" s="41"/>
      <c r="AF597" s="41"/>
      <c r="AG597" s="41"/>
      <c r="AH597" s="41"/>
      <c r="AI597" s="41"/>
    </row>
    <row r="598" spans="1:35" ht="15.75" customHeight="1" x14ac:dyDescent="0.2">
      <c r="A598" s="41"/>
      <c r="B598" s="41"/>
      <c r="C598" s="41"/>
      <c r="D598" s="41"/>
      <c r="E598" s="41"/>
      <c r="F598" s="41"/>
      <c r="G598" s="41"/>
      <c r="H598" s="41"/>
      <c r="I598" s="41"/>
      <c r="J598" s="41"/>
      <c r="K598" s="41"/>
      <c r="L598" s="41"/>
      <c r="M598" s="41"/>
      <c r="N598" s="41"/>
      <c r="O598" s="41"/>
      <c r="P598" s="41"/>
      <c r="Q598" s="41"/>
      <c r="R598" s="41"/>
      <c r="S598" s="41"/>
      <c r="T598" s="41"/>
      <c r="U598" s="41"/>
      <c r="V598" s="41"/>
      <c r="W598" s="41"/>
      <c r="X598" s="41"/>
      <c r="Y598" s="41"/>
      <c r="Z598" s="41"/>
      <c r="AA598" s="41"/>
      <c r="AB598" s="41"/>
      <c r="AC598" s="41"/>
      <c r="AD598" s="41"/>
      <c r="AE598" s="41"/>
      <c r="AF598" s="41"/>
      <c r="AG598" s="41"/>
      <c r="AH598" s="41"/>
      <c r="AI598" s="41"/>
    </row>
    <row r="599" spans="1:35" ht="15.75" customHeight="1" x14ac:dyDescent="0.2">
      <c r="A599" s="41"/>
      <c r="B599" s="41"/>
      <c r="C599" s="41"/>
      <c r="D599" s="41"/>
      <c r="E599" s="41"/>
      <c r="F599" s="41"/>
      <c r="G599" s="41"/>
      <c r="H599" s="41"/>
      <c r="I599" s="41"/>
      <c r="J599" s="41"/>
      <c r="K599" s="41"/>
      <c r="L599" s="41"/>
      <c r="M599" s="41"/>
      <c r="N599" s="41"/>
      <c r="O599" s="41"/>
      <c r="P599" s="41"/>
      <c r="Q599" s="41"/>
      <c r="R599" s="41"/>
      <c r="S599" s="41"/>
      <c r="T599" s="41"/>
      <c r="U599" s="41"/>
      <c r="V599" s="41"/>
      <c r="W599" s="41"/>
      <c r="X599" s="41"/>
      <c r="Y599" s="41"/>
      <c r="Z599" s="41"/>
      <c r="AA599" s="41"/>
      <c r="AB599" s="41"/>
      <c r="AC599" s="41"/>
      <c r="AD599" s="41"/>
      <c r="AE599" s="41"/>
      <c r="AF599" s="41"/>
      <c r="AG599" s="41"/>
      <c r="AH599" s="41"/>
      <c r="AI599" s="41"/>
    </row>
    <row r="600" spans="1:35" ht="15.75" customHeight="1" x14ac:dyDescent="0.2">
      <c r="A600" s="41"/>
      <c r="B600" s="41"/>
      <c r="C600" s="41"/>
      <c r="D600" s="41"/>
      <c r="E600" s="41"/>
      <c r="F600" s="41"/>
      <c r="G600" s="41"/>
      <c r="H600" s="41"/>
      <c r="I600" s="41"/>
      <c r="J600" s="41"/>
      <c r="K600" s="41"/>
      <c r="L600" s="41"/>
      <c r="M600" s="41"/>
      <c r="N600" s="41"/>
      <c r="O600" s="41"/>
      <c r="P600" s="41"/>
      <c r="Q600" s="41"/>
      <c r="R600" s="41"/>
      <c r="S600" s="41"/>
      <c r="T600" s="41"/>
      <c r="U600" s="41"/>
      <c r="V600" s="41"/>
      <c r="W600" s="41"/>
      <c r="X600" s="41"/>
      <c r="Y600" s="41"/>
      <c r="Z600" s="41"/>
      <c r="AA600" s="41"/>
      <c r="AB600" s="41"/>
      <c r="AC600" s="41"/>
      <c r="AD600" s="41"/>
      <c r="AE600" s="41"/>
      <c r="AF600" s="41"/>
      <c r="AG600" s="41"/>
      <c r="AH600" s="41"/>
      <c r="AI600" s="41"/>
    </row>
    <row r="601" spans="1:35" ht="15.75" customHeight="1" x14ac:dyDescent="0.2">
      <c r="A601" s="41"/>
      <c r="B601" s="41"/>
      <c r="C601" s="41"/>
      <c r="D601" s="41"/>
      <c r="E601" s="41"/>
      <c r="F601" s="41"/>
      <c r="G601" s="41"/>
      <c r="H601" s="41"/>
      <c r="I601" s="41"/>
      <c r="J601" s="41"/>
      <c r="K601" s="41"/>
      <c r="L601" s="41"/>
      <c r="M601" s="41"/>
      <c r="N601" s="41"/>
      <c r="O601" s="41"/>
      <c r="P601" s="41"/>
      <c r="Q601" s="41"/>
      <c r="R601" s="41"/>
      <c r="S601" s="41"/>
      <c r="T601" s="41"/>
      <c r="U601" s="41"/>
      <c r="V601" s="41"/>
      <c r="W601" s="41"/>
      <c r="X601" s="41"/>
      <c r="Y601" s="41"/>
      <c r="Z601" s="41"/>
      <c r="AA601" s="41"/>
      <c r="AB601" s="41"/>
      <c r="AC601" s="41"/>
      <c r="AD601" s="41"/>
      <c r="AE601" s="41"/>
      <c r="AF601" s="41"/>
      <c r="AG601" s="41"/>
      <c r="AH601" s="41"/>
      <c r="AI601" s="41"/>
    </row>
    <row r="602" spans="1:35" ht="15.75" customHeight="1" x14ac:dyDescent="0.2">
      <c r="A602" s="41"/>
      <c r="B602" s="41"/>
      <c r="C602" s="41"/>
      <c r="D602" s="41"/>
      <c r="E602" s="41"/>
      <c r="F602" s="41"/>
      <c r="G602" s="41"/>
      <c r="H602" s="41"/>
      <c r="I602" s="41"/>
      <c r="J602" s="41"/>
      <c r="K602" s="41"/>
      <c r="L602" s="41"/>
      <c r="M602" s="41"/>
      <c r="N602" s="41"/>
      <c r="O602" s="41"/>
      <c r="P602" s="41"/>
      <c r="Q602" s="41"/>
      <c r="R602" s="41"/>
      <c r="S602" s="41"/>
      <c r="T602" s="41"/>
      <c r="U602" s="41"/>
      <c r="V602" s="41"/>
      <c r="W602" s="41"/>
      <c r="X602" s="41"/>
      <c r="Y602" s="41"/>
      <c r="Z602" s="41"/>
      <c r="AA602" s="41"/>
      <c r="AB602" s="41"/>
      <c r="AC602" s="41"/>
      <c r="AD602" s="41"/>
      <c r="AE602" s="41"/>
      <c r="AF602" s="41"/>
      <c r="AG602" s="41"/>
      <c r="AH602" s="41"/>
      <c r="AI602" s="41"/>
    </row>
    <row r="603" spans="1:35" ht="15.75" customHeight="1" x14ac:dyDescent="0.2">
      <c r="A603" s="41"/>
      <c r="B603" s="41"/>
      <c r="C603" s="41"/>
      <c r="D603" s="41"/>
      <c r="E603" s="41"/>
      <c r="F603" s="41"/>
      <c r="G603" s="41"/>
      <c r="H603" s="41"/>
      <c r="I603" s="41"/>
      <c r="J603" s="41"/>
      <c r="K603" s="41"/>
      <c r="L603" s="41"/>
      <c r="M603" s="41"/>
      <c r="N603" s="41"/>
      <c r="O603" s="41"/>
      <c r="P603" s="41"/>
      <c r="Q603" s="41"/>
      <c r="R603" s="41"/>
      <c r="S603" s="41"/>
      <c r="T603" s="41"/>
      <c r="U603" s="41"/>
      <c r="V603" s="41"/>
      <c r="W603" s="41"/>
      <c r="X603" s="41"/>
      <c r="Y603" s="41"/>
      <c r="Z603" s="41"/>
      <c r="AA603" s="41"/>
      <c r="AB603" s="41"/>
      <c r="AC603" s="41"/>
      <c r="AD603" s="41"/>
      <c r="AE603" s="41"/>
      <c r="AF603" s="41"/>
      <c r="AG603" s="41"/>
      <c r="AH603" s="41"/>
      <c r="AI603" s="41"/>
    </row>
    <row r="604" spans="1:35" ht="15.75" customHeight="1" x14ac:dyDescent="0.2">
      <c r="A604" s="41"/>
      <c r="B604" s="41"/>
      <c r="C604" s="41"/>
      <c r="D604" s="41"/>
      <c r="E604" s="41"/>
      <c r="F604" s="41"/>
      <c r="G604" s="41"/>
      <c r="H604" s="41"/>
      <c r="I604" s="41"/>
      <c r="J604" s="41"/>
      <c r="K604" s="41"/>
      <c r="L604" s="41"/>
      <c r="M604" s="41"/>
      <c r="N604" s="41"/>
      <c r="O604" s="41"/>
      <c r="P604" s="41"/>
      <c r="Q604" s="41"/>
      <c r="R604" s="41"/>
      <c r="S604" s="41"/>
      <c r="T604" s="41"/>
      <c r="U604" s="41"/>
      <c r="V604" s="41"/>
      <c r="W604" s="41"/>
      <c r="X604" s="41"/>
      <c r="Y604" s="41"/>
      <c r="Z604" s="41"/>
      <c r="AA604" s="41"/>
      <c r="AB604" s="41"/>
      <c r="AC604" s="41"/>
      <c r="AD604" s="41"/>
      <c r="AE604" s="41"/>
      <c r="AF604" s="41"/>
      <c r="AG604" s="41"/>
      <c r="AH604" s="41"/>
      <c r="AI604" s="41"/>
    </row>
    <row r="605" spans="1:35" ht="15.75" customHeight="1" x14ac:dyDescent="0.2">
      <c r="A605" s="41"/>
      <c r="B605" s="41"/>
      <c r="C605" s="41"/>
      <c r="D605" s="41"/>
      <c r="E605" s="41"/>
      <c r="F605" s="41"/>
      <c r="G605" s="41"/>
      <c r="H605" s="41"/>
      <c r="I605" s="41"/>
      <c r="J605" s="41"/>
      <c r="K605" s="41"/>
      <c r="L605" s="41"/>
      <c r="M605" s="41"/>
      <c r="N605" s="41"/>
      <c r="O605" s="41"/>
      <c r="P605" s="41"/>
      <c r="Q605" s="41"/>
      <c r="R605" s="41"/>
      <c r="S605" s="41"/>
      <c r="T605" s="41"/>
      <c r="U605" s="41"/>
      <c r="V605" s="41"/>
      <c r="W605" s="41"/>
      <c r="X605" s="41"/>
      <c r="Y605" s="41"/>
      <c r="Z605" s="41"/>
      <c r="AA605" s="41"/>
      <c r="AB605" s="41"/>
      <c r="AC605" s="41"/>
      <c r="AD605" s="41"/>
      <c r="AE605" s="41"/>
      <c r="AF605" s="41"/>
      <c r="AG605" s="41"/>
      <c r="AH605" s="41"/>
      <c r="AI605" s="41"/>
    </row>
    <row r="606" spans="1:35" ht="15.75" customHeight="1" x14ac:dyDescent="0.2">
      <c r="A606" s="41"/>
      <c r="B606" s="41"/>
      <c r="C606" s="41"/>
      <c r="D606" s="41"/>
      <c r="E606" s="41"/>
      <c r="F606" s="41"/>
      <c r="G606" s="41"/>
      <c r="H606" s="41"/>
      <c r="I606" s="41"/>
      <c r="J606" s="41"/>
      <c r="K606" s="41"/>
      <c r="L606" s="41"/>
      <c r="M606" s="41"/>
      <c r="N606" s="41"/>
      <c r="O606" s="41"/>
      <c r="P606" s="41"/>
      <c r="Q606" s="41"/>
      <c r="R606" s="41"/>
      <c r="S606" s="41"/>
      <c r="T606" s="41"/>
      <c r="U606" s="41"/>
      <c r="V606" s="41"/>
      <c r="W606" s="41"/>
      <c r="X606" s="41"/>
      <c r="Y606" s="41"/>
      <c r="Z606" s="41"/>
      <c r="AA606" s="41"/>
      <c r="AB606" s="41"/>
      <c r="AC606" s="41"/>
      <c r="AD606" s="41"/>
      <c r="AE606" s="41"/>
      <c r="AF606" s="41"/>
      <c r="AG606" s="41"/>
      <c r="AH606" s="41"/>
      <c r="AI606" s="41"/>
    </row>
    <row r="607" spans="1:35" ht="15.75" customHeight="1" x14ac:dyDescent="0.2">
      <c r="A607" s="41"/>
      <c r="B607" s="41"/>
      <c r="C607" s="41"/>
      <c r="D607" s="41"/>
      <c r="E607" s="41"/>
      <c r="F607" s="41"/>
      <c r="G607" s="41"/>
      <c r="H607" s="41"/>
      <c r="I607" s="41"/>
      <c r="J607" s="41"/>
      <c r="K607" s="41"/>
      <c r="L607" s="41"/>
      <c r="M607" s="41"/>
      <c r="N607" s="41"/>
      <c r="O607" s="41"/>
      <c r="P607" s="41"/>
      <c r="Q607" s="41"/>
      <c r="R607" s="41"/>
      <c r="S607" s="41"/>
      <c r="T607" s="41"/>
      <c r="U607" s="41"/>
      <c r="V607" s="41"/>
      <c r="W607" s="41"/>
      <c r="X607" s="41"/>
      <c r="Y607" s="41"/>
      <c r="Z607" s="41"/>
      <c r="AA607" s="41"/>
      <c r="AB607" s="41"/>
      <c r="AC607" s="41"/>
      <c r="AD607" s="41"/>
      <c r="AE607" s="41"/>
      <c r="AF607" s="41"/>
      <c r="AG607" s="41"/>
      <c r="AH607" s="41"/>
      <c r="AI607" s="41"/>
    </row>
    <row r="608" spans="1:35" ht="15.75" customHeight="1" x14ac:dyDescent="0.2">
      <c r="A608" s="41"/>
      <c r="B608" s="41"/>
      <c r="C608" s="41"/>
      <c r="D608" s="41"/>
      <c r="E608" s="41"/>
      <c r="F608" s="41"/>
      <c r="G608" s="41"/>
      <c r="H608" s="41"/>
      <c r="I608" s="41"/>
      <c r="J608" s="41"/>
      <c r="K608" s="41"/>
      <c r="L608" s="41"/>
      <c r="M608" s="41"/>
      <c r="N608" s="41"/>
      <c r="O608" s="41"/>
      <c r="P608" s="41"/>
      <c r="Q608" s="41"/>
      <c r="R608" s="41"/>
      <c r="S608" s="41"/>
      <c r="T608" s="41"/>
      <c r="U608" s="41"/>
      <c r="V608" s="41"/>
      <c r="W608" s="41"/>
      <c r="X608" s="41"/>
      <c r="Y608" s="41"/>
      <c r="Z608" s="41"/>
      <c r="AA608" s="41"/>
      <c r="AB608" s="41"/>
      <c r="AC608" s="41"/>
      <c r="AD608" s="41"/>
      <c r="AE608" s="41"/>
      <c r="AF608" s="41"/>
      <c r="AG608" s="41"/>
      <c r="AH608" s="41"/>
      <c r="AI608" s="41"/>
    </row>
    <row r="609" spans="1:35" ht="15.75" customHeight="1" x14ac:dyDescent="0.2">
      <c r="A609" s="41"/>
      <c r="B609" s="41"/>
      <c r="C609" s="41"/>
      <c r="D609" s="41"/>
      <c r="E609" s="41"/>
      <c r="F609" s="41"/>
      <c r="G609" s="41"/>
      <c r="H609" s="41"/>
      <c r="I609" s="41"/>
      <c r="J609" s="41"/>
      <c r="K609" s="41"/>
      <c r="L609" s="41"/>
      <c r="M609" s="41"/>
      <c r="N609" s="41"/>
      <c r="O609" s="41"/>
      <c r="P609" s="41"/>
      <c r="Q609" s="41"/>
      <c r="R609" s="41"/>
      <c r="S609" s="41"/>
      <c r="T609" s="41"/>
      <c r="U609" s="41"/>
      <c r="V609" s="41"/>
      <c r="W609" s="41"/>
      <c r="X609" s="41"/>
      <c r="Y609" s="41"/>
      <c r="Z609" s="41"/>
      <c r="AA609" s="41"/>
      <c r="AB609" s="41"/>
      <c r="AC609" s="41"/>
      <c r="AD609" s="41"/>
      <c r="AE609" s="41"/>
      <c r="AF609" s="41"/>
      <c r="AG609" s="41"/>
      <c r="AH609" s="41"/>
      <c r="AI609" s="41"/>
    </row>
    <row r="610" spans="1:35" ht="15.75" customHeight="1" x14ac:dyDescent="0.2">
      <c r="A610" s="41"/>
      <c r="B610" s="41"/>
      <c r="C610" s="41"/>
      <c r="D610" s="41"/>
      <c r="E610" s="41"/>
      <c r="F610" s="41"/>
      <c r="G610" s="41"/>
      <c r="H610" s="41"/>
      <c r="I610" s="41"/>
      <c r="J610" s="41"/>
      <c r="K610" s="41"/>
      <c r="L610" s="41"/>
      <c r="M610" s="41"/>
      <c r="N610" s="41"/>
      <c r="O610" s="41"/>
      <c r="P610" s="41"/>
      <c r="Q610" s="41"/>
      <c r="R610" s="41"/>
      <c r="S610" s="41"/>
      <c r="T610" s="41"/>
      <c r="U610" s="41"/>
      <c r="V610" s="41"/>
      <c r="W610" s="41"/>
      <c r="X610" s="41"/>
      <c r="Y610" s="41"/>
      <c r="Z610" s="41"/>
      <c r="AA610" s="41"/>
      <c r="AB610" s="41"/>
      <c r="AC610" s="41"/>
      <c r="AD610" s="41"/>
      <c r="AE610" s="41"/>
      <c r="AF610" s="41"/>
      <c r="AG610" s="41"/>
      <c r="AH610" s="41"/>
      <c r="AI610" s="41"/>
    </row>
    <row r="611" spans="1:35" ht="15.75" customHeight="1" x14ac:dyDescent="0.2">
      <c r="A611" s="41"/>
      <c r="B611" s="41"/>
      <c r="C611" s="41"/>
      <c r="D611" s="41"/>
      <c r="E611" s="41"/>
      <c r="F611" s="41"/>
      <c r="G611" s="41"/>
      <c r="H611" s="41"/>
      <c r="I611" s="41"/>
      <c r="J611" s="41"/>
      <c r="K611" s="41"/>
      <c r="L611" s="41"/>
      <c r="M611" s="41"/>
      <c r="N611" s="41"/>
      <c r="O611" s="41"/>
      <c r="P611" s="41"/>
      <c r="Q611" s="41"/>
      <c r="R611" s="41"/>
      <c r="S611" s="41"/>
      <c r="T611" s="41"/>
      <c r="U611" s="41"/>
      <c r="V611" s="41"/>
      <c r="W611" s="41"/>
      <c r="X611" s="41"/>
      <c r="Y611" s="41"/>
      <c r="Z611" s="41"/>
      <c r="AA611" s="41"/>
      <c r="AB611" s="41"/>
      <c r="AC611" s="41"/>
      <c r="AD611" s="41"/>
      <c r="AE611" s="41"/>
      <c r="AF611" s="41"/>
      <c r="AG611" s="41"/>
      <c r="AH611" s="41"/>
      <c r="AI611" s="41"/>
    </row>
    <row r="612" spans="1:35" ht="15.75" customHeight="1" x14ac:dyDescent="0.2">
      <c r="A612" s="41"/>
      <c r="B612" s="41"/>
      <c r="C612" s="41"/>
      <c r="D612" s="41"/>
      <c r="E612" s="41"/>
      <c r="F612" s="41"/>
      <c r="G612" s="41"/>
      <c r="H612" s="41"/>
      <c r="I612" s="41"/>
      <c r="J612" s="41"/>
      <c r="K612" s="41"/>
      <c r="L612" s="41"/>
      <c r="M612" s="41"/>
      <c r="N612" s="41"/>
      <c r="O612" s="41"/>
      <c r="P612" s="41"/>
      <c r="Q612" s="41"/>
      <c r="R612" s="41"/>
      <c r="S612" s="41"/>
      <c r="T612" s="41"/>
      <c r="U612" s="41"/>
      <c r="V612" s="41"/>
      <c r="W612" s="41"/>
      <c r="X612" s="41"/>
      <c r="Y612" s="41"/>
      <c r="Z612" s="41"/>
      <c r="AA612" s="41"/>
      <c r="AB612" s="41"/>
      <c r="AC612" s="41"/>
      <c r="AD612" s="41"/>
      <c r="AE612" s="41"/>
      <c r="AF612" s="41"/>
      <c r="AG612" s="41"/>
      <c r="AH612" s="41"/>
      <c r="AI612" s="41"/>
    </row>
    <row r="613" spans="1:35" ht="15.75" customHeight="1" x14ac:dyDescent="0.2">
      <c r="A613" s="41"/>
      <c r="B613" s="41"/>
      <c r="C613" s="41"/>
      <c r="D613" s="41"/>
      <c r="E613" s="41"/>
      <c r="F613" s="41"/>
      <c r="G613" s="41"/>
      <c r="H613" s="41"/>
      <c r="I613" s="41"/>
      <c r="J613" s="41"/>
      <c r="K613" s="41"/>
      <c r="L613" s="41"/>
      <c r="M613" s="41"/>
      <c r="N613" s="41"/>
      <c r="O613" s="41"/>
      <c r="P613" s="41"/>
      <c r="Q613" s="41"/>
      <c r="R613" s="41"/>
      <c r="S613" s="41"/>
      <c r="T613" s="41"/>
      <c r="U613" s="41"/>
      <c r="V613" s="41"/>
      <c r="W613" s="41"/>
      <c r="X613" s="41"/>
      <c r="Y613" s="41"/>
      <c r="Z613" s="41"/>
      <c r="AA613" s="41"/>
      <c r="AB613" s="41"/>
      <c r="AC613" s="41"/>
      <c r="AD613" s="41"/>
      <c r="AE613" s="41"/>
      <c r="AF613" s="41"/>
      <c r="AG613" s="41"/>
      <c r="AH613" s="41"/>
      <c r="AI613" s="41"/>
    </row>
    <row r="614" spans="1:35" ht="15.75" customHeight="1" x14ac:dyDescent="0.2">
      <c r="A614" s="41"/>
      <c r="B614" s="41"/>
      <c r="C614" s="41"/>
      <c r="D614" s="41"/>
      <c r="E614" s="41"/>
      <c r="F614" s="41"/>
      <c r="G614" s="41"/>
      <c r="H614" s="41"/>
      <c r="I614" s="41"/>
      <c r="J614" s="41"/>
      <c r="K614" s="41"/>
      <c r="L614" s="41"/>
      <c r="M614" s="41"/>
      <c r="N614" s="41"/>
      <c r="O614" s="41"/>
      <c r="P614" s="41"/>
      <c r="Q614" s="41"/>
      <c r="R614" s="41"/>
      <c r="S614" s="41"/>
      <c r="T614" s="41"/>
      <c r="U614" s="41"/>
      <c r="V614" s="41"/>
      <c r="W614" s="41"/>
      <c r="X614" s="41"/>
      <c r="Y614" s="41"/>
      <c r="Z614" s="41"/>
      <c r="AA614" s="41"/>
      <c r="AB614" s="41"/>
      <c r="AC614" s="41"/>
      <c r="AD614" s="41"/>
      <c r="AE614" s="41"/>
      <c r="AF614" s="41"/>
      <c r="AG614" s="41"/>
      <c r="AH614" s="41"/>
      <c r="AI614" s="41"/>
    </row>
    <row r="615" spans="1:35" ht="15.75" customHeight="1" x14ac:dyDescent="0.2">
      <c r="A615" s="41"/>
      <c r="B615" s="41"/>
      <c r="C615" s="41"/>
      <c r="D615" s="41"/>
      <c r="E615" s="41"/>
      <c r="F615" s="41"/>
      <c r="G615" s="41"/>
      <c r="H615" s="41"/>
      <c r="I615" s="41"/>
      <c r="J615" s="41"/>
      <c r="K615" s="41"/>
      <c r="L615" s="41"/>
      <c r="M615" s="41"/>
      <c r="N615" s="41"/>
      <c r="O615" s="41"/>
      <c r="P615" s="41"/>
      <c r="Q615" s="41"/>
      <c r="R615" s="41"/>
      <c r="S615" s="41"/>
      <c r="T615" s="41"/>
      <c r="U615" s="41"/>
      <c r="V615" s="41"/>
      <c r="W615" s="41"/>
      <c r="X615" s="41"/>
      <c r="Y615" s="41"/>
      <c r="Z615" s="41"/>
      <c r="AA615" s="41"/>
      <c r="AB615" s="41"/>
      <c r="AC615" s="41"/>
      <c r="AD615" s="41"/>
      <c r="AE615" s="41"/>
      <c r="AF615" s="41"/>
      <c r="AG615" s="41"/>
      <c r="AH615" s="41"/>
      <c r="AI615" s="41"/>
    </row>
    <row r="616" spans="1:35" ht="15.75" customHeight="1" x14ac:dyDescent="0.2">
      <c r="A616" s="41"/>
      <c r="B616" s="41"/>
      <c r="C616" s="41"/>
      <c r="D616" s="41"/>
      <c r="E616" s="41"/>
      <c r="F616" s="41"/>
      <c r="G616" s="41"/>
      <c r="H616" s="41"/>
      <c r="I616" s="41"/>
      <c r="J616" s="41"/>
      <c r="K616" s="41"/>
      <c r="L616" s="41"/>
      <c r="M616" s="41"/>
      <c r="N616" s="41"/>
      <c r="O616" s="41"/>
      <c r="P616" s="41"/>
      <c r="Q616" s="41"/>
      <c r="R616" s="41"/>
      <c r="S616" s="41"/>
      <c r="T616" s="41"/>
      <c r="U616" s="41"/>
      <c r="V616" s="41"/>
      <c r="W616" s="41"/>
      <c r="X616" s="41"/>
      <c r="Y616" s="41"/>
      <c r="Z616" s="41"/>
      <c r="AA616" s="41"/>
      <c r="AB616" s="41"/>
      <c r="AC616" s="41"/>
      <c r="AD616" s="41"/>
      <c r="AE616" s="41"/>
      <c r="AF616" s="41"/>
      <c r="AG616" s="41"/>
      <c r="AH616" s="41"/>
      <c r="AI616" s="41"/>
    </row>
    <row r="617" spans="1:35" ht="15.75" customHeight="1" x14ac:dyDescent="0.2">
      <c r="A617" s="41"/>
      <c r="B617" s="41"/>
      <c r="C617" s="41"/>
      <c r="D617" s="41"/>
      <c r="E617" s="41"/>
      <c r="F617" s="41"/>
      <c r="G617" s="41"/>
      <c r="H617" s="41"/>
      <c r="I617" s="41"/>
      <c r="J617" s="41"/>
      <c r="K617" s="41"/>
      <c r="L617" s="41"/>
      <c r="M617" s="41"/>
      <c r="N617" s="41"/>
      <c r="O617" s="41"/>
      <c r="P617" s="41"/>
      <c r="Q617" s="41"/>
      <c r="R617" s="41"/>
      <c r="S617" s="41"/>
      <c r="T617" s="41"/>
      <c r="U617" s="41"/>
      <c r="V617" s="41"/>
      <c r="W617" s="41"/>
      <c r="X617" s="41"/>
      <c r="Y617" s="41"/>
      <c r="Z617" s="41"/>
      <c r="AA617" s="41"/>
      <c r="AB617" s="41"/>
      <c r="AC617" s="41"/>
      <c r="AD617" s="41"/>
      <c r="AE617" s="41"/>
      <c r="AF617" s="41"/>
      <c r="AG617" s="41"/>
      <c r="AH617" s="41"/>
      <c r="AI617" s="41"/>
    </row>
    <row r="618" spans="1:35" ht="15.75" customHeight="1" x14ac:dyDescent="0.2">
      <c r="A618" s="41"/>
      <c r="B618" s="41"/>
      <c r="C618" s="41"/>
      <c r="D618" s="41"/>
      <c r="E618" s="41"/>
      <c r="F618" s="41"/>
      <c r="G618" s="41"/>
      <c r="H618" s="41"/>
      <c r="I618" s="41"/>
      <c r="J618" s="41"/>
      <c r="K618" s="41"/>
      <c r="L618" s="41"/>
      <c r="M618" s="41"/>
      <c r="N618" s="41"/>
      <c r="O618" s="41"/>
      <c r="P618" s="41"/>
      <c r="Q618" s="41"/>
      <c r="R618" s="41"/>
      <c r="S618" s="41"/>
      <c r="T618" s="41"/>
      <c r="U618" s="41"/>
      <c r="V618" s="41"/>
      <c r="W618" s="41"/>
      <c r="X618" s="41"/>
      <c r="Y618" s="41"/>
      <c r="Z618" s="41"/>
      <c r="AA618" s="41"/>
      <c r="AB618" s="41"/>
      <c r="AC618" s="41"/>
      <c r="AD618" s="41"/>
      <c r="AE618" s="41"/>
      <c r="AF618" s="41"/>
      <c r="AG618" s="41"/>
      <c r="AH618" s="41"/>
      <c r="AI618" s="41"/>
    </row>
    <row r="619" spans="1:35" ht="15.75" customHeight="1" x14ac:dyDescent="0.2">
      <c r="A619" s="41"/>
      <c r="B619" s="41"/>
      <c r="C619" s="41"/>
      <c r="D619" s="41"/>
      <c r="E619" s="41"/>
      <c r="F619" s="41"/>
      <c r="G619" s="41"/>
      <c r="H619" s="41"/>
      <c r="I619" s="41"/>
      <c r="J619" s="41"/>
      <c r="K619" s="41"/>
      <c r="L619" s="41"/>
      <c r="M619" s="41"/>
      <c r="N619" s="41"/>
      <c r="O619" s="41"/>
      <c r="P619" s="41"/>
      <c r="Q619" s="41"/>
      <c r="R619" s="41"/>
      <c r="S619" s="41"/>
      <c r="T619" s="41"/>
      <c r="U619" s="41"/>
      <c r="V619" s="41"/>
      <c r="W619" s="41"/>
      <c r="X619" s="41"/>
      <c r="Y619" s="41"/>
      <c r="Z619" s="41"/>
      <c r="AA619" s="41"/>
      <c r="AB619" s="41"/>
      <c r="AC619" s="41"/>
      <c r="AD619" s="41"/>
      <c r="AE619" s="41"/>
      <c r="AF619" s="41"/>
      <c r="AG619" s="41"/>
      <c r="AH619" s="41"/>
      <c r="AI619" s="41"/>
    </row>
    <row r="620" spans="1:35" ht="15.75" customHeight="1" x14ac:dyDescent="0.2">
      <c r="A620" s="41"/>
      <c r="B620" s="41"/>
      <c r="C620" s="41"/>
      <c r="D620" s="41"/>
      <c r="E620" s="41"/>
      <c r="F620" s="41"/>
      <c r="G620" s="41"/>
      <c r="H620" s="41"/>
      <c r="I620" s="41"/>
      <c r="J620" s="41"/>
      <c r="K620" s="41"/>
      <c r="L620" s="41"/>
      <c r="M620" s="41"/>
      <c r="N620" s="41"/>
      <c r="O620" s="41"/>
      <c r="P620" s="41"/>
      <c r="Q620" s="41"/>
      <c r="R620" s="41"/>
      <c r="S620" s="41"/>
      <c r="T620" s="41"/>
      <c r="U620" s="41"/>
      <c r="V620" s="41"/>
      <c r="W620" s="41"/>
      <c r="X620" s="41"/>
      <c r="Y620" s="41"/>
      <c r="Z620" s="41"/>
      <c r="AA620" s="41"/>
      <c r="AB620" s="41"/>
      <c r="AC620" s="41"/>
      <c r="AD620" s="41"/>
      <c r="AE620" s="41"/>
      <c r="AF620" s="41"/>
      <c r="AG620" s="41"/>
      <c r="AH620" s="41"/>
      <c r="AI620" s="41"/>
    </row>
    <row r="621" spans="1:35" ht="15.75" customHeight="1" x14ac:dyDescent="0.2">
      <c r="A621" s="41"/>
      <c r="B621" s="41"/>
      <c r="C621" s="41"/>
      <c r="D621" s="41"/>
      <c r="E621" s="41"/>
      <c r="F621" s="41"/>
      <c r="G621" s="41"/>
      <c r="H621" s="41"/>
      <c r="I621" s="41"/>
      <c r="J621" s="41"/>
      <c r="K621" s="41"/>
      <c r="L621" s="41"/>
      <c r="M621" s="41"/>
      <c r="N621" s="41"/>
      <c r="O621" s="41"/>
      <c r="P621" s="41"/>
      <c r="Q621" s="41"/>
      <c r="R621" s="41"/>
      <c r="S621" s="41"/>
      <c r="T621" s="41"/>
      <c r="U621" s="41"/>
      <c r="V621" s="41"/>
      <c r="W621" s="41"/>
      <c r="X621" s="41"/>
      <c r="Y621" s="41"/>
      <c r="Z621" s="41"/>
      <c r="AA621" s="41"/>
      <c r="AB621" s="41"/>
      <c r="AC621" s="41"/>
      <c r="AD621" s="41"/>
      <c r="AE621" s="41"/>
      <c r="AF621" s="41"/>
      <c r="AG621" s="41"/>
      <c r="AH621" s="41"/>
      <c r="AI621" s="41"/>
    </row>
    <row r="622" spans="1:35" ht="15.75" customHeight="1" x14ac:dyDescent="0.2">
      <c r="A622" s="41"/>
      <c r="B622" s="41"/>
      <c r="C622" s="41"/>
      <c r="D622" s="41"/>
      <c r="E622" s="41"/>
      <c r="F622" s="41"/>
      <c r="G622" s="41"/>
      <c r="H622" s="41"/>
      <c r="I622" s="41"/>
      <c r="J622" s="41"/>
      <c r="K622" s="41"/>
      <c r="L622" s="41"/>
      <c r="M622" s="41"/>
      <c r="N622" s="41"/>
      <c r="O622" s="41"/>
      <c r="P622" s="41"/>
      <c r="Q622" s="41"/>
      <c r="R622" s="41"/>
      <c r="S622" s="41"/>
      <c r="T622" s="41"/>
      <c r="U622" s="41"/>
      <c r="V622" s="41"/>
      <c r="W622" s="41"/>
      <c r="X622" s="41"/>
      <c r="Y622" s="41"/>
      <c r="Z622" s="41"/>
      <c r="AA622" s="41"/>
      <c r="AB622" s="41"/>
      <c r="AC622" s="41"/>
      <c r="AD622" s="41"/>
      <c r="AE622" s="41"/>
      <c r="AF622" s="41"/>
      <c r="AG622" s="41"/>
      <c r="AH622" s="41"/>
      <c r="AI622" s="41"/>
    </row>
    <row r="623" spans="1:35" ht="15.75" customHeight="1" x14ac:dyDescent="0.2">
      <c r="A623" s="41"/>
      <c r="B623" s="41"/>
      <c r="C623" s="41"/>
      <c r="D623" s="41"/>
      <c r="E623" s="41"/>
      <c r="F623" s="41"/>
      <c r="G623" s="41"/>
      <c r="H623" s="41"/>
      <c r="I623" s="41"/>
      <c r="J623" s="41"/>
      <c r="K623" s="41"/>
      <c r="L623" s="41"/>
      <c r="M623" s="41"/>
      <c r="N623" s="41"/>
      <c r="O623" s="41"/>
      <c r="P623" s="41"/>
      <c r="Q623" s="41"/>
      <c r="R623" s="41"/>
      <c r="S623" s="41"/>
      <c r="T623" s="41"/>
      <c r="U623" s="41"/>
      <c r="V623" s="41"/>
      <c r="W623" s="41"/>
      <c r="X623" s="41"/>
      <c r="Y623" s="41"/>
      <c r="Z623" s="41"/>
      <c r="AA623" s="41"/>
      <c r="AB623" s="41"/>
      <c r="AC623" s="41"/>
      <c r="AD623" s="41"/>
      <c r="AE623" s="41"/>
      <c r="AF623" s="41"/>
      <c r="AG623" s="41"/>
      <c r="AH623" s="41"/>
      <c r="AI623" s="41"/>
    </row>
    <row r="624" spans="1:35" ht="15.75" customHeight="1" x14ac:dyDescent="0.2">
      <c r="A624" s="41"/>
      <c r="B624" s="41"/>
      <c r="C624" s="41"/>
      <c r="D624" s="41"/>
      <c r="E624" s="41"/>
      <c r="F624" s="41"/>
      <c r="G624" s="41"/>
      <c r="H624" s="41"/>
      <c r="I624" s="41"/>
      <c r="J624" s="41"/>
      <c r="K624" s="41"/>
      <c r="L624" s="41"/>
      <c r="M624" s="41"/>
      <c r="N624" s="41"/>
      <c r="O624" s="41"/>
      <c r="P624" s="41"/>
      <c r="Q624" s="41"/>
      <c r="R624" s="41"/>
      <c r="S624" s="41"/>
      <c r="T624" s="41"/>
      <c r="U624" s="41"/>
      <c r="V624" s="41"/>
      <c r="W624" s="41"/>
      <c r="X624" s="41"/>
      <c r="Y624" s="41"/>
      <c r="Z624" s="41"/>
      <c r="AA624" s="41"/>
      <c r="AB624" s="41"/>
      <c r="AC624" s="41"/>
      <c r="AD624" s="41"/>
      <c r="AE624" s="41"/>
      <c r="AF624" s="41"/>
      <c r="AG624" s="41"/>
      <c r="AH624" s="41"/>
      <c r="AI624" s="41"/>
    </row>
    <row r="625" spans="1:35" ht="15.75" customHeight="1" x14ac:dyDescent="0.2">
      <c r="A625" s="41"/>
      <c r="B625" s="41"/>
      <c r="C625" s="41"/>
      <c r="D625" s="41"/>
      <c r="E625" s="41"/>
      <c r="F625" s="41"/>
      <c r="G625" s="41"/>
      <c r="H625" s="41"/>
      <c r="I625" s="41"/>
      <c r="J625" s="41"/>
      <c r="K625" s="41"/>
      <c r="L625" s="41"/>
      <c r="M625" s="41"/>
      <c r="N625" s="41"/>
      <c r="O625" s="41"/>
      <c r="P625" s="41"/>
      <c r="Q625" s="41"/>
      <c r="R625" s="41"/>
      <c r="S625" s="41"/>
      <c r="T625" s="41"/>
      <c r="U625" s="41"/>
      <c r="V625" s="41"/>
      <c r="W625" s="41"/>
      <c r="X625" s="41"/>
      <c r="Y625" s="41"/>
      <c r="Z625" s="41"/>
      <c r="AA625" s="41"/>
      <c r="AB625" s="41"/>
      <c r="AC625" s="41"/>
      <c r="AD625" s="41"/>
      <c r="AE625" s="41"/>
      <c r="AF625" s="41"/>
      <c r="AG625" s="41"/>
      <c r="AH625" s="41"/>
      <c r="AI625" s="41"/>
    </row>
    <row r="626" spans="1:35" ht="15.75" customHeight="1" x14ac:dyDescent="0.2">
      <c r="A626" s="41"/>
      <c r="B626" s="41"/>
      <c r="C626" s="41"/>
      <c r="D626" s="41"/>
      <c r="E626" s="41"/>
      <c r="F626" s="41"/>
      <c r="G626" s="41"/>
      <c r="H626" s="41"/>
      <c r="I626" s="41"/>
      <c r="J626" s="41"/>
      <c r="K626" s="41"/>
      <c r="L626" s="41"/>
      <c r="M626" s="41"/>
      <c r="N626" s="41"/>
      <c r="O626" s="41"/>
      <c r="P626" s="41"/>
      <c r="Q626" s="41"/>
      <c r="R626" s="41"/>
      <c r="S626" s="41"/>
      <c r="T626" s="41"/>
      <c r="U626" s="41"/>
      <c r="V626" s="41"/>
      <c r="W626" s="41"/>
      <c r="X626" s="41"/>
      <c r="Y626" s="41"/>
      <c r="Z626" s="41"/>
      <c r="AA626" s="41"/>
      <c r="AB626" s="41"/>
      <c r="AC626" s="41"/>
      <c r="AD626" s="41"/>
      <c r="AE626" s="41"/>
      <c r="AF626" s="41"/>
      <c r="AG626" s="41"/>
      <c r="AH626" s="41"/>
      <c r="AI626" s="41"/>
    </row>
    <row r="627" spans="1:35" ht="15.75" customHeight="1" x14ac:dyDescent="0.2">
      <c r="A627" s="41"/>
      <c r="B627" s="41"/>
      <c r="C627" s="41"/>
      <c r="D627" s="41"/>
      <c r="E627" s="41"/>
      <c r="F627" s="41"/>
      <c r="G627" s="41"/>
      <c r="H627" s="41"/>
      <c r="I627" s="41"/>
      <c r="J627" s="41"/>
      <c r="K627" s="41"/>
      <c r="L627" s="41"/>
      <c r="M627" s="41"/>
      <c r="N627" s="41"/>
      <c r="O627" s="41"/>
      <c r="P627" s="41"/>
      <c r="Q627" s="41"/>
      <c r="R627" s="41"/>
      <c r="S627" s="41"/>
      <c r="T627" s="41"/>
      <c r="U627" s="41"/>
      <c r="V627" s="41"/>
      <c r="W627" s="41"/>
      <c r="X627" s="41"/>
      <c r="Y627" s="41"/>
      <c r="Z627" s="41"/>
      <c r="AA627" s="41"/>
      <c r="AB627" s="41"/>
      <c r="AC627" s="41"/>
      <c r="AD627" s="41"/>
      <c r="AE627" s="41"/>
      <c r="AF627" s="41"/>
      <c r="AG627" s="41"/>
      <c r="AH627" s="41"/>
      <c r="AI627" s="41"/>
    </row>
    <row r="628" spans="1:35" ht="15.75" customHeight="1" x14ac:dyDescent="0.2">
      <c r="A628" s="41"/>
      <c r="B628" s="41"/>
      <c r="C628" s="41"/>
      <c r="D628" s="41"/>
      <c r="E628" s="41"/>
      <c r="F628" s="41"/>
      <c r="G628" s="41"/>
      <c r="H628" s="41"/>
      <c r="I628" s="41"/>
      <c r="J628" s="41"/>
      <c r="K628" s="41"/>
      <c r="L628" s="41"/>
      <c r="M628" s="41"/>
      <c r="N628" s="41"/>
      <c r="O628" s="41"/>
      <c r="P628" s="41"/>
      <c r="Q628" s="41"/>
      <c r="R628" s="41"/>
      <c r="S628" s="41"/>
      <c r="T628" s="41"/>
      <c r="U628" s="41"/>
      <c r="V628" s="41"/>
      <c r="W628" s="41"/>
      <c r="X628" s="41"/>
      <c r="Y628" s="41"/>
      <c r="Z628" s="41"/>
      <c r="AA628" s="41"/>
      <c r="AB628" s="41"/>
      <c r="AC628" s="41"/>
      <c r="AD628" s="41"/>
      <c r="AE628" s="41"/>
      <c r="AF628" s="41"/>
      <c r="AG628" s="41"/>
      <c r="AH628" s="41"/>
      <c r="AI628" s="41"/>
    </row>
    <row r="629" spans="1:35" ht="15.75" customHeight="1" x14ac:dyDescent="0.2">
      <c r="A629" s="41"/>
      <c r="B629" s="41"/>
      <c r="C629" s="41"/>
      <c r="D629" s="41"/>
      <c r="E629" s="41"/>
      <c r="F629" s="41"/>
      <c r="G629" s="41"/>
      <c r="H629" s="41"/>
      <c r="I629" s="41"/>
      <c r="J629" s="41"/>
      <c r="K629" s="41"/>
      <c r="L629" s="41"/>
      <c r="M629" s="41"/>
      <c r="N629" s="41"/>
      <c r="O629" s="41"/>
      <c r="P629" s="41"/>
      <c r="Q629" s="41"/>
      <c r="R629" s="41"/>
      <c r="S629" s="41"/>
      <c r="T629" s="41"/>
      <c r="U629" s="41"/>
      <c r="V629" s="41"/>
      <c r="W629" s="41"/>
      <c r="X629" s="41"/>
      <c r="Y629" s="41"/>
      <c r="Z629" s="41"/>
      <c r="AA629" s="41"/>
      <c r="AB629" s="41"/>
      <c r="AC629" s="41"/>
      <c r="AD629" s="41"/>
      <c r="AE629" s="41"/>
      <c r="AF629" s="41"/>
      <c r="AG629" s="41"/>
      <c r="AH629" s="41"/>
      <c r="AI629" s="41"/>
    </row>
    <row r="630" spans="1:35" ht="15.75" customHeight="1" x14ac:dyDescent="0.2">
      <c r="A630" s="41"/>
      <c r="B630" s="41"/>
      <c r="C630" s="41"/>
      <c r="D630" s="41"/>
      <c r="E630" s="41"/>
      <c r="F630" s="41"/>
      <c r="G630" s="41"/>
      <c r="H630" s="41"/>
      <c r="I630" s="41"/>
      <c r="J630" s="41"/>
      <c r="K630" s="41"/>
      <c r="L630" s="41"/>
      <c r="M630" s="41"/>
      <c r="N630" s="41"/>
      <c r="O630" s="41"/>
      <c r="P630" s="41"/>
      <c r="Q630" s="41"/>
      <c r="R630" s="41"/>
      <c r="S630" s="41"/>
      <c r="T630" s="41"/>
      <c r="U630" s="41"/>
      <c r="V630" s="41"/>
      <c r="W630" s="41"/>
      <c r="X630" s="41"/>
      <c r="Y630" s="41"/>
      <c r="Z630" s="41"/>
      <c r="AA630" s="41"/>
      <c r="AB630" s="41"/>
      <c r="AC630" s="41"/>
      <c r="AD630" s="41"/>
      <c r="AE630" s="41"/>
      <c r="AF630" s="41"/>
      <c r="AG630" s="41"/>
      <c r="AH630" s="41"/>
      <c r="AI630" s="41"/>
    </row>
    <row r="631" spans="1:35" ht="15.75" customHeight="1" x14ac:dyDescent="0.2">
      <c r="A631" s="41"/>
      <c r="B631" s="41"/>
      <c r="C631" s="41"/>
      <c r="D631" s="41"/>
      <c r="E631" s="41"/>
      <c r="F631" s="41"/>
      <c r="G631" s="41"/>
      <c r="H631" s="41"/>
      <c r="I631" s="41"/>
      <c r="J631" s="41"/>
      <c r="K631" s="41"/>
      <c r="L631" s="41"/>
      <c r="M631" s="41"/>
      <c r="N631" s="41"/>
      <c r="O631" s="41"/>
      <c r="P631" s="41"/>
      <c r="Q631" s="41"/>
      <c r="R631" s="41"/>
      <c r="S631" s="41"/>
      <c r="T631" s="41"/>
      <c r="U631" s="41"/>
      <c r="V631" s="41"/>
      <c r="W631" s="41"/>
      <c r="X631" s="41"/>
      <c r="Y631" s="41"/>
      <c r="Z631" s="41"/>
      <c r="AA631" s="41"/>
      <c r="AB631" s="41"/>
      <c r="AC631" s="41"/>
      <c r="AD631" s="41"/>
      <c r="AE631" s="41"/>
      <c r="AF631" s="41"/>
      <c r="AG631" s="41"/>
      <c r="AH631" s="41"/>
      <c r="AI631" s="41"/>
    </row>
    <row r="632" spans="1:35" ht="15.75" customHeight="1" x14ac:dyDescent="0.2">
      <c r="A632" s="41"/>
      <c r="B632" s="41"/>
      <c r="C632" s="41"/>
      <c r="D632" s="41"/>
      <c r="E632" s="41"/>
      <c r="F632" s="41"/>
      <c r="G632" s="41"/>
      <c r="H632" s="41"/>
      <c r="I632" s="41"/>
      <c r="J632" s="41"/>
      <c r="K632" s="41"/>
      <c r="L632" s="41"/>
      <c r="M632" s="41"/>
      <c r="N632" s="41"/>
      <c r="O632" s="41"/>
      <c r="P632" s="41"/>
      <c r="Q632" s="41"/>
      <c r="R632" s="41"/>
      <c r="S632" s="41"/>
      <c r="T632" s="41"/>
      <c r="U632" s="41"/>
      <c r="V632" s="41"/>
      <c r="W632" s="41"/>
      <c r="X632" s="41"/>
      <c r="Y632" s="41"/>
      <c r="Z632" s="41"/>
      <c r="AA632" s="41"/>
      <c r="AB632" s="41"/>
      <c r="AC632" s="41"/>
      <c r="AD632" s="41"/>
      <c r="AE632" s="41"/>
      <c r="AF632" s="41"/>
      <c r="AG632" s="41"/>
      <c r="AH632" s="41"/>
      <c r="AI632" s="41"/>
    </row>
    <row r="633" spans="1:35" ht="15.75" customHeight="1" x14ac:dyDescent="0.2">
      <c r="A633" s="41"/>
      <c r="B633" s="41"/>
      <c r="C633" s="41"/>
      <c r="D633" s="41"/>
      <c r="E633" s="41"/>
      <c r="F633" s="41"/>
      <c r="G633" s="41"/>
      <c r="H633" s="41"/>
      <c r="I633" s="41"/>
      <c r="J633" s="41"/>
      <c r="K633" s="41"/>
      <c r="L633" s="41"/>
      <c r="M633" s="41"/>
      <c r="N633" s="41"/>
      <c r="O633" s="41"/>
      <c r="P633" s="41"/>
      <c r="Q633" s="41"/>
      <c r="R633" s="41"/>
      <c r="S633" s="41"/>
      <c r="T633" s="41"/>
      <c r="U633" s="41"/>
      <c r="V633" s="41"/>
      <c r="W633" s="41"/>
      <c r="X633" s="41"/>
      <c r="Y633" s="41"/>
      <c r="Z633" s="41"/>
      <c r="AA633" s="41"/>
      <c r="AB633" s="41"/>
      <c r="AC633" s="41"/>
      <c r="AD633" s="41"/>
      <c r="AE633" s="41"/>
      <c r="AF633" s="41"/>
      <c r="AG633" s="41"/>
      <c r="AH633" s="41"/>
      <c r="AI633" s="41"/>
    </row>
    <row r="634" spans="1:35" ht="15.75" customHeight="1" x14ac:dyDescent="0.2">
      <c r="A634" s="41"/>
      <c r="B634" s="41"/>
      <c r="C634" s="41"/>
      <c r="D634" s="41"/>
      <c r="E634" s="41"/>
      <c r="F634" s="41"/>
      <c r="G634" s="41"/>
      <c r="H634" s="41"/>
      <c r="I634" s="41"/>
      <c r="J634" s="41"/>
      <c r="K634" s="41"/>
      <c r="L634" s="41"/>
      <c r="M634" s="41"/>
      <c r="N634" s="41"/>
      <c r="O634" s="41"/>
      <c r="P634" s="41"/>
      <c r="Q634" s="41"/>
      <c r="R634" s="41"/>
      <c r="S634" s="41"/>
      <c r="T634" s="41"/>
      <c r="U634" s="41"/>
      <c r="V634" s="41"/>
      <c r="W634" s="41"/>
      <c r="X634" s="41"/>
      <c r="Y634" s="41"/>
      <c r="Z634" s="41"/>
      <c r="AA634" s="41"/>
      <c r="AB634" s="41"/>
      <c r="AC634" s="41"/>
      <c r="AD634" s="41"/>
      <c r="AE634" s="41"/>
      <c r="AF634" s="41"/>
      <c r="AG634" s="41"/>
      <c r="AH634" s="41"/>
      <c r="AI634" s="41"/>
    </row>
    <row r="635" spans="1:35" ht="15.75" customHeight="1" x14ac:dyDescent="0.2">
      <c r="A635" s="41"/>
      <c r="B635" s="41"/>
      <c r="C635" s="41"/>
      <c r="D635" s="41"/>
      <c r="E635" s="41"/>
      <c r="F635" s="41"/>
      <c r="G635" s="41"/>
      <c r="H635" s="41"/>
      <c r="I635" s="41"/>
      <c r="J635" s="41"/>
      <c r="K635" s="41"/>
      <c r="L635" s="41"/>
      <c r="M635" s="41"/>
      <c r="N635" s="41"/>
      <c r="O635" s="41"/>
      <c r="P635" s="41"/>
      <c r="Q635" s="41"/>
      <c r="R635" s="41"/>
      <c r="S635" s="41"/>
      <c r="T635" s="41"/>
      <c r="U635" s="41"/>
      <c r="V635" s="41"/>
      <c r="W635" s="41"/>
      <c r="X635" s="41"/>
      <c r="Y635" s="41"/>
      <c r="Z635" s="41"/>
      <c r="AA635" s="41"/>
      <c r="AB635" s="41"/>
      <c r="AC635" s="41"/>
      <c r="AD635" s="41"/>
      <c r="AE635" s="41"/>
      <c r="AF635" s="41"/>
      <c r="AG635" s="41"/>
      <c r="AH635" s="41"/>
      <c r="AI635" s="41"/>
    </row>
    <row r="636" spans="1:35" ht="15.75" customHeight="1" x14ac:dyDescent="0.2">
      <c r="A636" s="41"/>
      <c r="B636" s="41"/>
      <c r="C636" s="41"/>
      <c r="D636" s="41"/>
      <c r="E636" s="41"/>
      <c r="F636" s="41"/>
      <c r="G636" s="41"/>
      <c r="H636" s="41"/>
      <c r="I636" s="41"/>
      <c r="J636" s="41"/>
      <c r="K636" s="41"/>
      <c r="L636" s="41"/>
      <c r="M636" s="41"/>
      <c r="N636" s="41"/>
      <c r="O636" s="41"/>
      <c r="P636" s="41"/>
      <c r="Q636" s="41"/>
      <c r="R636" s="41"/>
      <c r="S636" s="41"/>
      <c r="T636" s="41"/>
      <c r="U636" s="41"/>
      <c r="V636" s="41"/>
      <c r="W636" s="41"/>
      <c r="X636" s="41"/>
      <c r="Y636" s="41"/>
      <c r="Z636" s="41"/>
      <c r="AA636" s="41"/>
      <c r="AB636" s="41"/>
      <c r="AC636" s="41"/>
      <c r="AD636" s="41"/>
      <c r="AE636" s="41"/>
      <c r="AF636" s="41"/>
      <c r="AG636" s="41"/>
      <c r="AH636" s="41"/>
      <c r="AI636" s="41"/>
    </row>
    <row r="637" spans="1:35" ht="15.75" customHeight="1" x14ac:dyDescent="0.2">
      <c r="A637" s="41"/>
      <c r="B637" s="41"/>
      <c r="C637" s="41"/>
      <c r="D637" s="41"/>
      <c r="E637" s="41"/>
      <c r="F637" s="41"/>
      <c r="G637" s="41"/>
      <c r="H637" s="41"/>
      <c r="I637" s="41"/>
      <c r="J637" s="41"/>
      <c r="K637" s="41"/>
      <c r="L637" s="41"/>
      <c r="M637" s="41"/>
      <c r="N637" s="41"/>
      <c r="O637" s="41"/>
      <c r="P637" s="41"/>
      <c r="Q637" s="41"/>
      <c r="R637" s="41"/>
      <c r="S637" s="41"/>
      <c r="T637" s="41"/>
      <c r="U637" s="41"/>
      <c r="V637" s="41"/>
      <c r="W637" s="41"/>
      <c r="X637" s="41"/>
      <c r="Y637" s="41"/>
      <c r="Z637" s="41"/>
      <c r="AA637" s="41"/>
      <c r="AB637" s="41"/>
      <c r="AC637" s="41"/>
      <c r="AD637" s="41"/>
      <c r="AE637" s="41"/>
      <c r="AF637" s="41"/>
      <c r="AG637" s="41"/>
      <c r="AH637" s="41"/>
      <c r="AI637" s="41"/>
    </row>
    <row r="638" spans="1:35" ht="15.75" customHeight="1" x14ac:dyDescent="0.2">
      <c r="A638" s="41"/>
      <c r="B638" s="41"/>
      <c r="C638" s="41"/>
      <c r="D638" s="41"/>
      <c r="E638" s="41"/>
      <c r="F638" s="41"/>
      <c r="G638" s="41"/>
      <c r="H638" s="41"/>
      <c r="I638" s="41"/>
      <c r="J638" s="41"/>
      <c r="K638" s="41"/>
      <c r="L638" s="41"/>
      <c r="M638" s="41"/>
      <c r="N638" s="41"/>
      <c r="O638" s="41"/>
      <c r="P638" s="41"/>
      <c r="Q638" s="41"/>
      <c r="R638" s="41"/>
      <c r="S638" s="41"/>
      <c r="T638" s="41"/>
      <c r="U638" s="41"/>
      <c r="V638" s="41"/>
      <c r="W638" s="41"/>
      <c r="X638" s="41"/>
      <c r="Y638" s="41"/>
      <c r="Z638" s="41"/>
      <c r="AA638" s="41"/>
      <c r="AB638" s="41"/>
      <c r="AC638" s="41"/>
      <c r="AD638" s="41"/>
      <c r="AE638" s="41"/>
      <c r="AF638" s="41"/>
      <c r="AG638" s="41"/>
      <c r="AH638" s="41"/>
      <c r="AI638" s="41"/>
    </row>
    <row r="639" spans="1:35" ht="15.75" customHeight="1" x14ac:dyDescent="0.2">
      <c r="A639" s="41"/>
      <c r="B639" s="41"/>
      <c r="C639" s="41"/>
      <c r="D639" s="41"/>
      <c r="E639" s="41"/>
      <c r="F639" s="41"/>
      <c r="G639" s="41"/>
      <c r="H639" s="41"/>
      <c r="I639" s="41"/>
      <c r="J639" s="41"/>
      <c r="K639" s="41"/>
      <c r="L639" s="41"/>
      <c r="M639" s="41"/>
      <c r="N639" s="41"/>
      <c r="O639" s="41"/>
      <c r="P639" s="41"/>
      <c r="Q639" s="41"/>
      <c r="R639" s="41"/>
      <c r="S639" s="41"/>
      <c r="T639" s="41"/>
      <c r="U639" s="41"/>
      <c r="V639" s="41"/>
      <c r="W639" s="41"/>
      <c r="X639" s="41"/>
      <c r="Y639" s="41"/>
      <c r="Z639" s="41"/>
      <c r="AA639" s="41"/>
      <c r="AB639" s="41"/>
      <c r="AC639" s="41"/>
      <c r="AD639" s="41"/>
      <c r="AE639" s="41"/>
      <c r="AF639" s="41"/>
      <c r="AG639" s="41"/>
      <c r="AH639" s="41"/>
      <c r="AI639" s="41"/>
    </row>
    <row r="640" spans="1:35" ht="15.75" customHeight="1" x14ac:dyDescent="0.2">
      <c r="A640" s="41"/>
      <c r="B640" s="41"/>
      <c r="C640" s="41"/>
      <c r="D640" s="41"/>
      <c r="E640" s="41"/>
      <c r="F640" s="41"/>
      <c r="G640" s="41"/>
      <c r="H640" s="41"/>
      <c r="I640" s="41"/>
      <c r="J640" s="41"/>
      <c r="K640" s="41"/>
      <c r="L640" s="41"/>
      <c r="M640" s="41"/>
      <c r="N640" s="41"/>
      <c r="O640" s="41"/>
      <c r="P640" s="41"/>
      <c r="Q640" s="41"/>
      <c r="R640" s="41"/>
      <c r="S640" s="41"/>
      <c r="T640" s="41"/>
      <c r="U640" s="41"/>
      <c r="V640" s="41"/>
      <c r="W640" s="41"/>
      <c r="X640" s="41"/>
      <c r="Y640" s="41"/>
      <c r="Z640" s="41"/>
      <c r="AA640" s="41"/>
      <c r="AB640" s="41"/>
      <c r="AC640" s="41"/>
      <c r="AD640" s="41"/>
      <c r="AE640" s="41"/>
      <c r="AF640" s="41"/>
      <c r="AG640" s="41"/>
      <c r="AH640" s="41"/>
      <c r="AI640" s="41"/>
    </row>
    <row r="641" spans="1:35" ht="15.75" customHeight="1" x14ac:dyDescent="0.2">
      <c r="A641" s="41"/>
      <c r="B641" s="41"/>
      <c r="C641" s="41"/>
      <c r="D641" s="41"/>
      <c r="E641" s="41"/>
      <c r="F641" s="41"/>
      <c r="G641" s="41"/>
      <c r="H641" s="41"/>
      <c r="I641" s="41"/>
      <c r="J641" s="41"/>
      <c r="K641" s="41"/>
      <c r="L641" s="41"/>
      <c r="M641" s="41"/>
      <c r="N641" s="41"/>
      <c r="O641" s="41"/>
      <c r="P641" s="41"/>
      <c r="Q641" s="41"/>
      <c r="R641" s="41"/>
      <c r="S641" s="41"/>
      <c r="T641" s="41"/>
      <c r="U641" s="41"/>
      <c r="V641" s="41"/>
      <c r="W641" s="41"/>
      <c r="X641" s="41"/>
      <c r="Y641" s="41"/>
      <c r="Z641" s="41"/>
      <c r="AA641" s="41"/>
      <c r="AB641" s="41"/>
      <c r="AC641" s="41"/>
      <c r="AD641" s="41"/>
      <c r="AE641" s="41"/>
      <c r="AF641" s="41"/>
      <c r="AG641" s="41"/>
      <c r="AH641" s="41"/>
      <c r="AI641" s="41"/>
    </row>
    <row r="642" spans="1:35" ht="15.75" customHeight="1" x14ac:dyDescent="0.2">
      <c r="A642" s="41"/>
      <c r="B642" s="41"/>
      <c r="C642" s="41"/>
      <c r="D642" s="41"/>
      <c r="E642" s="41"/>
      <c r="F642" s="41"/>
      <c r="G642" s="41"/>
      <c r="H642" s="41"/>
      <c r="I642" s="41"/>
      <c r="J642" s="41"/>
      <c r="K642" s="41"/>
      <c r="L642" s="41"/>
      <c r="M642" s="41"/>
      <c r="N642" s="41"/>
      <c r="O642" s="41"/>
      <c r="P642" s="41"/>
      <c r="Q642" s="41"/>
      <c r="R642" s="41"/>
      <c r="S642" s="41"/>
      <c r="T642" s="41"/>
      <c r="U642" s="41"/>
      <c r="V642" s="41"/>
      <c r="W642" s="41"/>
      <c r="X642" s="41"/>
      <c r="Y642" s="41"/>
      <c r="Z642" s="41"/>
      <c r="AA642" s="41"/>
      <c r="AB642" s="41"/>
      <c r="AC642" s="41"/>
      <c r="AD642" s="41"/>
      <c r="AE642" s="41"/>
      <c r="AF642" s="41"/>
      <c r="AG642" s="41"/>
      <c r="AH642" s="41"/>
      <c r="AI642" s="41"/>
    </row>
    <row r="643" spans="1:35" ht="15.75" customHeight="1" x14ac:dyDescent="0.2">
      <c r="A643" s="41"/>
      <c r="B643" s="41"/>
      <c r="C643" s="41"/>
      <c r="D643" s="41"/>
      <c r="E643" s="41"/>
      <c r="F643" s="41"/>
      <c r="G643" s="41"/>
      <c r="H643" s="41"/>
      <c r="I643" s="41"/>
      <c r="J643" s="41"/>
      <c r="K643" s="41"/>
      <c r="L643" s="41"/>
      <c r="M643" s="41"/>
      <c r="N643" s="41"/>
      <c r="O643" s="41"/>
      <c r="P643" s="41"/>
      <c r="Q643" s="41"/>
      <c r="R643" s="41"/>
      <c r="S643" s="41"/>
      <c r="T643" s="41"/>
      <c r="U643" s="41"/>
      <c r="V643" s="41"/>
      <c r="W643" s="41"/>
      <c r="X643" s="41"/>
      <c r="Y643" s="41"/>
      <c r="Z643" s="41"/>
      <c r="AA643" s="41"/>
      <c r="AB643" s="41"/>
      <c r="AC643" s="41"/>
      <c r="AD643" s="41"/>
      <c r="AE643" s="41"/>
      <c r="AF643" s="41"/>
      <c r="AG643" s="41"/>
      <c r="AH643" s="41"/>
      <c r="AI643" s="41"/>
    </row>
    <row r="644" spans="1:35" ht="15.75" customHeight="1" x14ac:dyDescent="0.2">
      <c r="A644" s="41"/>
      <c r="B644" s="41"/>
      <c r="C644" s="41"/>
      <c r="D644" s="41"/>
      <c r="E644" s="41"/>
      <c r="F644" s="41"/>
      <c r="G644" s="41"/>
      <c r="H644" s="41"/>
      <c r="I644" s="41"/>
      <c r="J644" s="41"/>
      <c r="K644" s="41"/>
      <c r="L644" s="41"/>
      <c r="M644" s="41"/>
      <c r="N644" s="41"/>
      <c r="O644" s="41"/>
      <c r="P644" s="41"/>
      <c r="Q644" s="41"/>
      <c r="R644" s="41"/>
      <c r="S644" s="41"/>
      <c r="T644" s="41"/>
      <c r="U644" s="41"/>
      <c r="V644" s="41"/>
      <c r="W644" s="41"/>
      <c r="X644" s="41"/>
      <c r="Y644" s="41"/>
      <c r="Z644" s="41"/>
      <c r="AA644" s="41"/>
      <c r="AB644" s="41"/>
      <c r="AC644" s="41"/>
      <c r="AD644" s="41"/>
      <c r="AE644" s="41"/>
      <c r="AF644" s="41"/>
      <c r="AG644" s="41"/>
      <c r="AH644" s="41"/>
      <c r="AI644" s="41"/>
    </row>
    <row r="645" spans="1:35" ht="15.75" customHeight="1" x14ac:dyDescent="0.2">
      <c r="A645" s="41"/>
      <c r="B645" s="41"/>
      <c r="C645" s="41"/>
      <c r="D645" s="41"/>
      <c r="E645" s="41"/>
      <c r="F645" s="41"/>
      <c r="G645" s="41"/>
      <c r="H645" s="41"/>
      <c r="I645" s="41"/>
      <c r="J645" s="41"/>
      <c r="K645" s="41"/>
      <c r="L645" s="41"/>
      <c r="M645" s="41"/>
      <c r="N645" s="41"/>
      <c r="O645" s="41"/>
      <c r="P645" s="41"/>
      <c r="Q645" s="41"/>
      <c r="R645" s="41"/>
      <c r="S645" s="41"/>
      <c r="T645" s="41"/>
      <c r="U645" s="41"/>
      <c r="V645" s="41"/>
      <c r="W645" s="41"/>
      <c r="X645" s="41"/>
      <c r="Y645" s="41"/>
      <c r="Z645" s="41"/>
      <c r="AA645" s="41"/>
      <c r="AB645" s="41"/>
      <c r="AC645" s="41"/>
      <c r="AD645" s="41"/>
      <c r="AE645" s="41"/>
      <c r="AF645" s="41"/>
      <c r="AG645" s="41"/>
      <c r="AH645" s="41"/>
      <c r="AI645" s="41"/>
    </row>
    <row r="646" spans="1:35" ht="15.75" customHeight="1" x14ac:dyDescent="0.2">
      <c r="A646" s="41"/>
      <c r="B646" s="41"/>
      <c r="C646" s="41"/>
      <c r="D646" s="41"/>
      <c r="E646" s="41"/>
      <c r="F646" s="41"/>
      <c r="G646" s="41"/>
      <c r="H646" s="41"/>
      <c r="I646" s="41"/>
      <c r="J646" s="41"/>
      <c r="K646" s="41"/>
      <c r="L646" s="41"/>
      <c r="M646" s="41"/>
      <c r="N646" s="41"/>
      <c r="O646" s="41"/>
      <c r="P646" s="41"/>
      <c r="Q646" s="41"/>
      <c r="R646" s="41"/>
      <c r="S646" s="41"/>
      <c r="T646" s="41"/>
      <c r="U646" s="41"/>
      <c r="V646" s="41"/>
      <c r="W646" s="41"/>
      <c r="X646" s="41"/>
      <c r="Y646" s="41"/>
      <c r="Z646" s="41"/>
      <c r="AA646" s="41"/>
      <c r="AB646" s="41"/>
      <c r="AC646" s="41"/>
      <c r="AD646" s="41"/>
      <c r="AE646" s="41"/>
      <c r="AF646" s="41"/>
      <c r="AG646" s="41"/>
      <c r="AH646" s="41"/>
      <c r="AI646" s="41"/>
    </row>
    <row r="647" spans="1:35" ht="15.75" customHeight="1" x14ac:dyDescent="0.2">
      <c r="A647" s="41"/>
      <c r="B647" s="41"/>
      <c r="C647" s="41"/>
      <c r="D647" s="41"/>
      <c r="E647" s="41"/>
      <c r="F647" s="41"/>
      <c r="G647" s="41"/>
      <c r="H647" s="41"/>
      <c r="I647" s="41"/>
      <c r="J647" s="41"/>
      <c r="K647" s="41"/>
      <c r="L647" s="41"/>
      <c r="M647" s="41"/>
      <c r="N647" s="41"/>
      <c r="O647" s="41"/>
      <c r="P647" s="41"/>
      <c r="Q647" s="41"/>
      <c r="R647" s="41"/>
      <c r="S647" s="41"/>
      <c r="T647" s="41"/>
      <c r="U647" s="41"/>
      <c r="V647" s="41"/>
      <c r="W647" s="41"/>
      <c r="X647" s="41"/>
      <c r="Y647" s="41"/>
      <c r="Z647" s="41"/>
      <c r="AA647" s="41"/>
      <c r="AB647" s="41"/>
      <c r="AC647" s="41"/>
      <c r="AD647" s="41"/>
      <c r="AE647" s="41"/>
      <c r="AF647" s="41"/>
      <c r="AG647" s="41"/>
      <c r="AH647" s="41"/>
      <c r="AI647" s="41"/>
    </row>
    <row r="648" spans="1:35" ht="15.75" customHeight="1" x14ac:dyDescent="0.2">
      <c r="A648" s="41"/>
      <c r="B648" s="41"/>
      <c r="C648" s="41"/>
      <c r="D648" s="41"/>
      <c r="E648" s="41"/>
      <c r="F648" s="41"/>
      <c r="G648" s="41"/>
      <c r="H648" s="41"/>
      <c r="I648" s="41"/>
      <c r="J648" s="41"/>
      <c r="K648" s="41"/>
      <c r="L648" s="41"/>
      <c r="M648" s="41"/>
      <c r="N648" s="41"/>
      <c r="O648" s="41"/>
      <c r="P648" s="41"/>
      <c r="Q648" s="41"/>
      <c r="R648" s="41"/>
      <c r="S648" s="41"/>
      <c r="T648" s="41"/>
      <c r="U648" s="41"/>
      <c r="V648" s="41"/>
      <c r="W648" s="41"/>
      <c r="X648" s="41"/>
      <c r="Y648" s="41"/>
      <c r="Z648" s="41"/>
      <c r="AA648" s="41"/>
      <c r="AB648" s="41"/>
      <c r="AC648" s="41"/>
      <c r="AD648" s="41"/>
      <c r="AE648" s="41"/>
      <c r="AF648" s="41"/>
      <c r="AG648" s="41"/>
      <c r="AH648" s="41"/>
      <c r="AI648" s="41"/>
    </row>
    <row r="649" spans="1:35" ht="15.75" customHeight="1" x14ac:dyDescent="0.2">
      <c r="A649" s="41"/>
      <c r="B649" s="41"/>
      <c r="C649" s="41"/>
      <c r="D649" s="41"/>
      <c r="E649" s="41"/>
      <c r="F649" s="41"/>
      <c r="G649" s="41"/>
      <c r="H649" s="41"/>
      <c r="I649" s="41"/>
      <c r="J649" s="41"/>
      <c r="K649" s="41"/>
      <c r="L649" s="41"/>
      <c r="M649" s="41"/>
      <c r="N649" s="41"/>
      <c r="O649" s="41"/>
      <c r="P649" s="41"/>
      <c r="Q649" s="41"/>
      <c r="R649" s="41"/>
      <c r="S649" s="41"/>
      <c r="T649" s="41"/>
      <c r="U649" s="41"/>
      <c r="V649" s="41"/>
      <c r="W649" s="41"/>
      <c r="X649" s="41"/>
      <c r="Y649" s="41"/>
      <c r="Z649" s="41"/>
      <c r="AA649" s="41"/>
      <c r="AB649" s="41"/>
      <c r="AC649" s="41"/>
      <c r="AD649" s="41"/>
      <c r="AE649" s="41"/>
      <c r="AF649" s="41"/>
      <c r="AG649" s="41"/>
      <c r="AH649" s="41"/>
      <c r="AI649" s="41"/>
    </row>
    <row r="650" spans="1:35" ht="15.75" customHeight="1" x14ac:dyDescent="0.2">
      <c r="A650" s="41"/>
      <c r="B650" s="41"/>
      <c r="C650" s="41"/>
      <c r="D650" s="41"/>
      <c r="E650" s="41"/>
      <c r="F650" s="41"/>
      <c r="G650" s="41"/>
      <c r="H650" s="41"/>
      <c r="I650" s="41"/>
      <c r="J650" s="41"/>
      <c r="K650" s="41"/>
      <c r="L650" s="41"/>
      <c r="M650" s="41"/>
      <c r="N650" s="41"/>
      <c r="O650" s="41"/>
      <c r="P650" s="41"/>
      <c r="Q650" s="41"/>
      <c r="R650" s="41"/>
      <c r="S650" s="41"/>
      <c r="T650" s="41"/>
      <c r="U650" s="41"/>
      <c r="V650" s="41"/>
      <c r="W650" s="41"/>
      <c r="X650" s="41"/>
      <c r="Y650" s="41"/>
      <c r="Z650" s="41"/>
      <c r="AA650" s="41"/>
      <c r="AB650" s="41"/>
      <c r="AC650" s="41"/>
      <c r="AD650" s="41"/>
      <c r="AE650" s="41"/>
      <c r="AF650" s="41"/>
      <c r="AG650" s="41"/>
      <c r="AH650" s="41"/>
      <c r="AI650" s="41"/>
    </row>
    <row r="651" spans="1:35" ht="15.75" customHeight="1" x14ac:dyDescent="0.2">
      <c r="A651" s="41"/>
      <c r="B651" s="41"/>
      <c r="C651" s="41"/>
      <c r="D651" s="41"/>
      <c r="E651" s="41"/>
      <c r="F651" s="41"/>
      <c r="G651" s="41"/>
      <c r="H651" s="41"/>
      <c r="I651" s="41"/>
      <c r="J651" s="41"/>
      <c r="K651" s="41"/>
      <c r="L651" s="41"/>
      <c r="M651" s="41"/>
      <c r="N651" s="41"/>
      <c r="O651" s="41"/>
      <c r="P651" s="41"/>
      <c r="Q651" s="41"/>
      <c r="R651" s="41"/>
      <c r="S651" s="41"/>
      <c r="T651" s="41"/>
      <c r="U651" s="41"/>
      <c r="V651" s="41"/>
      <c r="W651" s="41"/>
      <c r="X651" s="41"/>
      <c r="Y651" s="41"/>
      <c r="Z651" s="41"/>
      <c r="AA651" s="41"/>
      <c r="AB651" s="41"/>
      <c r="AC651" s="41"/>
      <c r="AD651" s="41"/>
      <c r="AE651" s="41"/>
      <c r="AF651" s="41"/>
      <c r="AG651" s="41"/>
      <c r="AH651" s="41"/>
      <c r="AI651" s="41"/>
    </row>
    <row r="652" spans="1:35" ht="15.75" customHeight="1" x14ac:dyDescent="0.2">
      <c r="A652" s="41"/>
      <c r="B652" s="41"/>
      <c r="C652" s="41"/>
      <c r="D652" s="41"/>
      <c r="E652" s="41"/>
      <c r="F652" s="41"/>
      <c r="G652" s="41"/>
      <c r="H652" s="41"/>
      <c r="I652" s="41"/>
      <c r="J652" s="41"/>
      <c r="K652" s="41"/>
      <c r="L652" s="41"/>
      <c r="M652" s="41"/>
      <c r="N652" s="41"/>
      <c r="O652" s="41"/>
      <c r="P652" s="41"/>
      <c r="Q652" s="41"/>
      <c r="R652" s="41"/>
      <c r="S652" s="41"/>
      <c r="T652" s="41"/>
      <c r="U652" s="41"/>
      <c r="V652" s="41"/>
      <c r="W652" s="41"/>
      <c r="X652" s="41"/>
      <c r="Y652" s="41"/>
      <c r="Z652" s="41"/>
      <c r="AA652" s="41"/>
      <c r="AB652" s="41"/>
      <c r="AC652" s="41"/>
      <c r="AD652" s="41"/>
      <c r="AE652" s="41"/>
      <c r="AF652" s="41"/>
      <c r="AG652" s="41"/>
      <c r="AH652" s="41"/>
      <c r="AI652" s="41"/>
    </row>
    <row r="653" spans="1:35" ht="15.75" customHeight="1" x14ac:dyDescent="0.2">
      <c r="A653" s="41"/>
      <c r="B653" s="41"/>
      <c r="C653" s="41"/>
      <c r="D653" s="41"/>
      <c r="E653" s="41"/>
      <c r="F653" s="41"/>
      <c r="G653" s="41"/>
      <c r="H653" s="41"/>
      <c r="I653" s="41"/>
      <c r="J653" s="41"/>
      <c r="K653" s="41"/>
      <c r="L653" s="41"/>
      <c r="M653" s="41"/>
      <c r="N653" s="41"/>
      <c r="O653" s="41"/>
      <c r="P653" s="41"/>
      <c r="Q653" s="41"/>
      <c r="R653" s="41"/>
      <c r="S653" s="41"/>
      <c r="T653" s="41"/>
      <c r="U653" s="41"/>
      <c r="V653" s="41"/>
      <c r="W653" s="41"/>
      <c r="X653" s="41"/>
      <c r="Y653" s="41"/>
      <c r="Z653" s="41"/>
      <c r="AA653" s="41"/>
      <c r="AB653" s="41"/>
      <c r="AC653" s="41"/>
      <c r="AD653" s="41"/>
      <c r="AE653" s="41"/>
      <c r="AF653" s="41"/>
      <c r="AG653" s="41"/>
      <c r="AH653" s="41"/>
      <c r="AI653" s="41"/>
    </row>
    <row r="654" spans="1:35" ht="15.75" customHeight="1" x14ac:dyDescent="0.2">
      <c r="A654" s="41"/>
      <c r="B654" s="41"/>
      <c r="C654" s="41"/>
      <c r="D654" s="41"/>
      <c r="E654" s="41"/>
      <c r="F654" s="41"/>
      <c r="G654" s="41"/>
      <c r="H654" s="41"/>
      <c r="I654" s="41"/>
      <c r="J654" s="41"/>
      <c r="K654" s="41"/>
      <c r="L654" s="41"/>
      <c r="M654" s="41"/>
      <c r="N654" s="41"/>
      <c r="O654" s="41"/>
      <c r="P654" s="41"/>
      <c r="Q654" s="41"/>
      <c r="R654" s="41"/>
      <c r="S654" s="41"/>
      <c r="T654" s="41"/>
      <c r="U654" s="41"/>
      <c r="V654" s="41"/>
      <c r="W654" s="41"/>
      <c r="X654" s="41"/>
      <c r="Y654" s="41"/>
      <c r="Z654" s="41"/>
      <c r="AA654" s="41"/>
      <c r="AB654" s="41"/>
      <c r="AC654" s="41"/>
      <c r="AD654" s="41"/>
      <c r="AE654" s="41"/>
      <c r="AF654" s="41"/>
      <c r="AG654" s="41"/>
      <c r="AH654" s="41"/>
      <c r="AI654" s="41"/>
    </row>
    <row r="655" spans="1:35" ht="15.75" customHeight="1" x14ac:dyDescent="0.2">
      <c r="A655" s="41"/>
      <c r="B655" s="41"/>
      <c r="C655" s="41"/>
      <c r="D655" s="41"/>
      <c r="E655" s="41"/>
      <c r="F655" s="41"/>
      <c r="G655" s="41"/>
      <c r="H655" s="41"/>
      <c r="I655" s="41"/>
      <c r="J655" s="41"/>
      <c r="K655" s="41"/>
      <c r="L655" s="41"/>
      <c r="M655" s="41"/>
      <c r="N655" s="41"/>
      <c r="O655" s="41"/>
      <c r="P655" s="41"/>
      <c r="Q655" s="41"/>
      <c r="R655" s="41"/>
      <c r="S655" s="41"/>
      <c r="T655" s="41"/>
      <c r="U655" s="41"/>
      <c r="V655" s="41"/>
      <c r="W655" s="41"/>
      <c r="X655" s="41"/>
      <c r="Y655" s="41"/>
      <c r="Z655" s="41"/>
      <c r="AA655" s="41"/>
      <c r="AB655" s="41"/>
      <c r="AC655" s="41"/>
      <c r="AD655" s="41"/>
      <c r="AE655" s="41"/>
      <c r="AF655" s="41"/>
      <c r="AG655" s="41"/>
      <c r="AH655" s="41"/>
      <c r="AI655" s="41"/>
    </row>
    <row r="656" spans="1:35" ht="15.75" customHeight="1" x14ac:dyDescent="0.2">
      <c r="A656" s="41"/>
      <c r="B656" s="41"/>
      <c r="C656" s="41"/>
      <c r="D656" s="41"/>
      <c r="E656" s="41"/>
      <c r="F656" s="41"/>
      <c r="G656" s="41"/>
      <c r="H656" s="41"/>
      <c r="I656" s="41"/>
      <c r="J656" s="41"/>
      <c r="K656" s="41"/>
      <c r="L656" s="41"/>
      <c r="M656" s="41"/>
      <c r="N656" s="41"/>
      <c r="O656" s="41"/>
      <c r="P656" s="41"/>
      <c r="Q656" s="41"/>
      <c r="R656" s="41"/>
      <c r="S656" s="41"/>
      <c r="T656" s="41"/>
      <c r="U656" s="41"/>
      <c r="V656" s="41"/>
      <c r="W656" s="41"/>
      <c r="X656" s="41"/>
      <c r="Y656" s="41"/>
      <c r="Z656" s="41"/>
      <c r="AA656" s="41"/>
      <c r="AB656" s="41"/>
      <c r="AC656" s="41"/>
      <c r="AD656" s="41"/>
      <c r="AE656" s="41"/>
      <c r="AF656" s="41"/>
      <c r="AG656" s="41"/>
      <c r="AH656" s="41"/>
      <c r="AI656" s="41"/>
    </row>
    <row r="657" spans="1:35" ht="15.75" customHeight="1" x14ac:dyDescent="0.2">
      <c r="A657" s="41"/>
      <c r="B657" s="41"/>
      <c r="C657" s="41"/>
      <c r="D657" s="41"/>
      <c r="E657" s="41"/>
      <c r="F657" s="41"/>
      <c r="G657" s="41"/>
      <c r="H657" s="41"/>
      <c r="I657" s="41"/>
      <c r="J657" s="41"/>
      <c r="K657" s="41"/>
      <c r="L657" s="41"/>
      <c r="M657" s="41"/>
      <c r="N657" s="41"/>
      <c r="O657" s="41"/>
      <c r="P657" s="41"/>
      <c r="Q657" s="41"/>
      <c r="R657" s="41"/>
      <c r="S657" s="41"/>
      <c r="T657" s="41"/>
      <c r="U657" s="41"/>
      <c r="V657" s="41"/>
      <c r="W657" s="41"/>
      <c r="X657" s="41"/>
      <c r="Y657" s="41"/>
      <c r="Z657" s="41"/>
      <c r="AA657" s="41"/>
      <c r="AB657" s="41"/>
      <c r="AC657" s="41"/>
      <c r="AD657" s="41"/>
      <c r="AE657" s="41"/>
      <c r="AF657" s="41"/>
      <c r="AG657" s="41"/>
      <c r="AH657" s="41"/>
      <c r="AI657" s="41"/>
    </row>
    <row r="658" spans="1:35" ht="15.75" customHeight="1" x14ac:dyDescent="0.2">
      <c r="A658" s="41"/>
      <c r="B658" s="41"/>
      <c r="C658" s="41"/>
      <c r="D658" s="41"/>
      <c r="E658" s="41"/>
      <c r="F658" s="41"/>
      <c r="G658" s="41"/>
      <c r="H658" s="41"/>
      <c r="I658" s="41"/>
      <c r="J658" s="41"/>
      <c r="K658" s="41"/>
      <c r="L658" s="41"/>
      <c r="M658" s="41"/>
      <c r="N658" s="41"/>
      <c r="O658" s="41"/>
      <c r="P658" s="41"/>
      <c r="Q658" s="41"/>
      <c r="R658" s="41"/>
      <c r="S658" s="41"/>
      <c r="T658" s="41"/>
      <c r="U658" s="41"/>
      <c r="V658" s="41"/>
      <c r="W658" s="41"/>
      <c r="X658" s="41"/>
      <c r="Y658" s="41"/>
      <c r="Z658" s="41"/>
      <c r="AA658" s="41"/>
      <c r="AB658" s="41"/>
      <c r="AC658" s="41"/>
      <c r="AD658" s="41"/>
      <c r="AE658" s="41"/>
      <c r="AF658" s="41"/>
      <c r="AG658" s="41"/>
      <c r="AH658" s="41"/>
      <c r="AI658" s="41"/>
    </row>
    <row r="659" spans="1:35" ht="15.75" customHeight="1" x14ac:dyDescent="0.2">
      <c r="A659" s="41"/>
      <c r="B659" s="41"/>
      <c r="C659" s="41"/>
      <c r="D659" s="41"/>
      <c r="E659" s="41"/>
      <c r="F659" s="41"/>
      <c r="G659" s="41"/>
      <c r="H659" s="41"/>
      <c r="I659" s="41"/>
      <c r="J659" s="41"/>
      <c r="K659" s="41"/>
      <c r="L659" s="41"/>
      <c r="M659" s="41"/>
      <c r="N659" s="41"/>
      <c r="O659" s="41"/>
      <c r="P659" s="41"/>
      <c r="Q659" s="41"/>
      <c r="R659" s="41"/>
      <c r="S659" s="41"/>
      <c r="T659" s="41"/>
      <c r="U659" s="41"/>
      <c r="V659" s="41"/>
      <c r="W659" s="41"/>
      <c r="X659" s="41"/>
      <c r="Y659" s="41"/>
      <c r="Z659" s="41"/>
      <c r="AA659" s="41"/>
      <c r="AB659" s="41"/>
      <c r="AC659" s="41"/>
      <c r="AD659" s="41"/>
      <c r="AE659" s="41"/>
      <c r="AF659" s="41"/>
      <c r="AG659" s="41"/>
      <c r="AH659" s="41"/>
      <c r="AI659" s="41"/>
    </row>
    <row r="660" spans="1:35" ht="15.75" customHeight="1" x14ac:dyDescent="0.2">
      <c r="A660" s="41"/>
      <c r="B660" s="41"/>
      <c r="C660" s="41"/>
      <c r="D660" s="41"/>
      <c r="E660" s="41"/>
      <c r="F660" s="41"/>
      <c r="G660" s="41"/>
      <c r="H660" s="41"/>
      <c r="I660" s="41"/>
      <c r="J660" s="41"/>
      <c r="K660" s="41"/>
      <c r="L660" s="41"/>
      <c r="M660" s="41"/>
      <c r="N660" s="41"/>
      <c r="O660" s="41"/>
      <c r="P660" s="41"/>
      <c r="Q660" s="41"/>
      <c r="R660" s="41"/>
      <c r="S660" s="41"/>
      <c r="T660" s="41"/>
      <c r="U660" s="41"/>
      <c r="V660" s="41"/>
      <c r="W660" s="41"/>
      <c r="X660" s="41"/>
      <c r="Y660" s="41"/>
      <c r="Z660" s="41"/>
      <c r="AA660" s="41"/>
      <c r="AB660" s="41"/>
      <c r="AC660" s="41"/>
      <c r="AD660" s="41"/>
      <c r="AE660" s="41"/>
      <c r="AF660" s="41"/>
      <c r="AG660" s="41"/>
      <c r="AH660" s="41"/>
      <c r="AI660" s="41"/>
    </row>
    <row r="661" spans="1:35" ht="15.75" customHeight="1" x14ac:dyDescent="0.2">
      <c r="A661" s="41"/>
      <c r="B661" s="41"/>
      <c r="C661" s="41"/>
      <c r="D661" s="41"/>
      <c r="E661" s="41"/>
      <c r="F661" s="41"/>
      <c r="G661" s="41"/>
      <c r="H661" s="41"/>
      <c r="I661" s="41"/>
      <c r="J661" s="41"/>
      <c r="K661" s="41"/>
      <c r="L661" s="41"/>
      <c r="M661" s="41"/>
      <c r="N661" s="41"/>
      <c r="O661" s="41"/>
      <c r="P661" s="41"/>
      <c r="Q661" s="41"/>
      <c r="R661" s="41"/>
      <c r="S661" s="41"/>
      <c r="T661" s="41"/>
      <c r="U661" s="41"/>
      <c r="V661" s="41"/>
      <c r="W661" s="41"/>
      <c r="X661" s="41"/>
      <c r="Y661" s="41"/>
      <c r="Z661" s="41"/>
      <c r="AA661" s="41"/>
      <c r="AB661" s="41"/>
      <c r="AC661" s="41"/>
      <c r="AD661" s="41"/>
      <c r="AE661" s="41"/>
      <c r="AF661" s="41"/>
      <c r="AG661" s="41"/>
      <c r="AH661" s="41"/>
      <c r="AI661" s="41"/>
    </row>
    <row r="662" spans="1:35" ht="15.75" customHeight="1" x14ac:dyDescent="0.2">
      <c r="A662" s="41"/>
      <c r="B662" s="41"/>
      <c r="C662" s="41"/>
      <c r="D662" s="41"/>
      <c r="E662" s="41"/>
      <c r="F662" s="41"/>
      <c r="G662" s="41"/>
      <c r="H662" s="41"/>
      <c r="I662" s="41"/>
      <c r="J662" s="41"/>
      <c r="K662" s="41"/>
      <c r="L662" s="41"/>
      <c r="M662" s="41"/>
      <c r="N662" s="41"/>
      <c r="O662" s="41"/>
      <c r="P662" s="41"/>
      <c r="Q662" s="41"/>
      <c r="R662" s="41"/>
      <c r="S662" s="41"/>
      <c r="T662" s="41"/>
      <c r="U662" s="41"/>
      <c r="V662" s="41"/>
      <c r="W662" s="41"/>
      <c r="X662" s="41"/>
      <c r="Y662" s="41"/>
      <c r="Z662" s="41"/>
      <c r="AA662" s="41"/>
      <c r="AB662" s="41"/>
      <c r="AC662" s="41"/>
      <c r="AD662" s="41"/>
      <c r="AE662" s="41"/>
      <c r="AF662" s="41"/>
      <c r="AG662" s="41"/>
      <c r="AH662" s="41"/>
      <c r="AI662" s="41"/>
    </row>
    <row r="663" spans="1:35" ht="15.75" customHeight="1" x14ac:dyDescent="0.2">
      <c r="A663" s="41"/>
      <c r="B663" s="41"/>
      <c r="C663" s="41"/>
      <c r="D663" s="41"/>
      <c r="E663" s="41"/>
      <c r="F663" s="41"/>
      <c r="G663" s="41"/>
      <c r="H663" s="41"/>
      <c r="I663" s="41"/>
      <c r="J663" s="41"/>
      <c r="K663" s="41"/>
      <c r="L663" s="41"/>
      <c r="M663" s="41"/>
      <c r="N663" s="41"/>
      <c r="O663" s="41"/>
      <c r="P663" s="41"/>
      <c r="Q663" s="41"/>
      <c r="R663" s="41"/>
      <c r="S663" s="41"/>
      <c r="T663" s="41"/>
      <c r="U663" s="41"/>
      <c r="V663" s="41"/>
      <c r="W663" s="41"/>
      <c r="X663" s="41"/>
      <c r="Y663" s="41"/>
      <c r="Z663" s="41"/>
      <c r="AA663" s="41"/>
      <c r="AB663" s="41"/>
      <c r="AC663" s="41"/>
      <c r="AD663" s="41"/>
      <c r="AE663" s="41"/>
      <c r="AF663" s="41"/>
      <c r="AG663" s="41"/>
      <c r="AH663" s="41"/>
      <c r="AI663" s="41"/>
    </row>
    <row r="664" spans="1:35" ht="15.75" customHeight="1" x14ac:dyDescent="0.2">
      <c r="A664" s="41"/>
      <c r="B664" s="41"/>
      <c r="C664" s="41"/>
      <c r="D664" s="41"/>
      <c r="E664" s="41"/>
      <c r="F664" s="41"/>
      <c r="G664" s="41"/>
      <c r="H664" s="41"/>
      <c r="I664" s="41"/>
      <c r="J664" s="41"/>
      <c r="K664" s="41"/>
      <c r="L664" s="41"/>
      <c r="M664" s="41"/>
      <c r="N664" s="41"/>
      <c r="O664" s="41"/>
      <c r="P664" s="41"/>
      <c r="Q664" s="41"/>
      <c r="R664" s="41"/>
      <c r="S664" s="41"/>
      <c r="T664" s="41"/>
      <c r="U664" s="41"/>
      <c r="V664" s="41"/>
      <c r="W664" s="41"/>
      <c r="X664" s="41"/>
      <c r="Y664" s="41"/>
      <c r="Z664" s="41"/>
      <c r="AA664" s="41"/>
      <c r="AB664" s="41"/>
      <c r="AC664" s="41"/>
      <c r="AD664" s="41"/>
      <c r="AE664" s="41"/>
      <c r="AF664" s="41"/>
      <c r="AG664" s="41"/>
      <c r="AH664" s="41"/>
      <c r="AI664" s="41"/>
    </row>
    <row r="665" spans="1:35" ht="15.75" customHeight="1" x14ac:dyDescent="0.2">
      <c r="A665" s="41"/>
      <c r="B665" s="41"/>
      <c r="C665" s="41"/>
      <c r="D665" s="41"/>
      <c r="E665" s="41"/>
      <c r="F665" s="41"/>
      <c r="G665" s="41"/>
      <c r="H665" s="41"/>
      <c r="I665" s="41"/>
      <c r="J665" s="41"/>
      <c r="K665" s="41"/>
      <c r="L665" s="41"/>
      <c r="M665" s="41"/>
      <c r="N665" s="41"/>
      <c r="O665" s="41"/>
      <c r="P665" s="41"/>
      <c r="Q665" s="41"/>
      <c r="R665" s="41"/>
      <c r="S665" s="41"/>
      <c r="T665" s="41"/>
      <c r="U665" s="41"/>
      <c r="V665" s="41"/>
      <c r="W665" s="41"/>
      <c r="X665" s="41"/>
      <c r="Y665" s="41"/>
      <c r="Z665" s="41"/>
      <c r="AA665" s="41"/>
      <c r="AB665" s="41"/>
      <c r="AC665" s="41"/>
      <c r="AD665" s="41"/>
      <c r="AE665" s="41"/>
      <c r="AF665" s="41"/>
      <c r="AG665" s="41"/>
      <c r="AH665" s="41"/>
      <c r="AI665" s="41"/>
    </row>
    <row r="666" spans="1:35" ht="15.75" customHeight="1" x14ac:dyDescent="0.2">
      <c r="A666" s="41"/>
      <c r="B666" s="41"/>
      <c r="C666" s="41"/>
      <c r="D666" s="41"/>
      <c r="E666" s="41"/>
      <c r="F666" s="41"/>
      <c r="G666" s="41"/>
      <c r="H666" s="41"/>
      <c r="I666" s="41"/>
      <c r="J666" s="41"/>
      <c r="K666" s="41"/>
      <c r="L666" s="41"/>
      <c r="M666" s="41"/>
      <c r="N666" s="41"/>
      <c r="O666" s="41"/>
      <c r="P666" s="41"/>
      <c r="Q666" s="41"/>
      <c r="R666" s="41"/>
      <c r="S666" s="41"/>
      <c r="T666" s="41"/>
      <c r="U666" s="41"/>
      <c r="V666" s="41"/>
      <c r="W666" s="41"/>
      <c r="X666" s="41"/>
      <c r="Y666" s="41"/>
      <c r="Z666" s="41"/>
      <c r="AA666" s="41"/>
      <c r="AB666" s="41"/>
      <c r="AC666" s="41"/>
      <c r="AD666" s="41"/>
      <c r="AE666" s="41"/>
      <c r="AF666" s="41"/>
      <c r="AG666" s="41"/>
      <c r="AH666" s="41"/>
      <c r="AI666" s="41"/>
    </row>
    <row r="667" spans="1:35" ht="15.75" customHeight="1" x14ac:dyDescent="0.2">
      <c r="A667" s="41"/>
      <c r="B667" s="41"/>
      <c r="C667" s="41"/>
      <c r="D667" s="41"/>
      <c r="E667" s="41"/>
      <c r="F667" s="41"/>
      <c r="G667" s="41"/>
      <c r="H667" s="41"/>
      <c r="I667" s="41"/>
      <c r="J667" s="41"/>
      <c r="K667" s="41"/>
      <c r="L667" s="41"/>
      <c r="M667" s="41"/>
      <c r="N667" s="41"/>
      <c r="O667" s="41"/>
      <c r="P667" s="41"/>
      <c r="Q667" s="41"/>
      <c r="R667" s="41"/>
      <c r="S667" s="41"/>
      <c r="T667" s="41"/>
      <c r="U667" s="41"/>
      <c r="V667" s="41"/>
      <c r="W667" s="41"/>
      <c r="X667" s="41"/>
      <c r="Y667" s="41"/>
      <c r="Z667" s="41"/>
      <c r="AA667" s="41"/>
      <c r="AB667" s="41"/>
      <c r="AC667" s="41"/>
      <c r="AD667" s="41"/>
      <c r="AE667" s="41"/>
      <c r="AF667" s="41"/>
      <c r="AG667" s="41"/>
      <c r="AH667" s="41"/>
      <c r="AI667" s="41"/>
    </row>
    <row r="668" spans="1:35" ht="15.75" customHeight="1" x14ac:dyDescent="0.2">
      <c r="A668" s="41"/>
      <c r="B668" s="41"/>
      <c r="C668" s="41"/>
      <c r="D668" s="41"/>
      <c r="E668" s="41"/>
      <c r="F668" s="41"/>
      <c r="G668" s="41"/>
      <c r="H668" s="41"/>
      <c r="I668" s="41"/>
      <c r="J668" s="41"/>
      <c r="K668" s="41"/>
      <c r="L668" s="41"/>
      <c r="M668" s="41"/>
      <c r="N668" s="41"/>
      <c r="O668" s="41"/>
      <c r="P668" s="41"/>
      <c r="Q668" s="41"/>
      <c r="R668" s="41"/>
      <c r="S668" s="41"/>
      <c r="T668" s="41"/>
      <c r="U668" s="41"/>
      <c r="V668" s="41"/>
      <c r="W668" s="41"/>
      <c r="X668" s="41"/>
      <c r="Y668" s="41"/>
      <c r="Z668" s="41"/>
      <c r="AA668" s="41"/>
      <c r="AB668" s="41"/>
      <c r="AC668" s="41"/>
      <c r="AD668" s="41"/>
      <c r="AE668" s="41"/>
      <c r="AF668" s="41"/>
      <c r="AG668" s="41"/>
      <c r="AH668" s="41"/>
      <c r="AI668" s="41"/>
    </row>
    <row r="669" spans="1:35" ht="15.75" customHeight="1" x14ac:dyDescent="0.2">
      <c r="A669" s="41"/>
      <c r="B669" s="41"/>
      <c r="C669" s="41"/>
      <c r="D669" s="41"/>
      <c r="E669" s="41"/>
      <c r="F669" s="41"/>
      <c r="G669" s="41"/>
      <c r="H669" s="41"/>
      <c r="I669" s="41"/>
      <c r="J669" s="41"/>
      <c r="K669" s="41"/>
      <c r="L669" s="41"/>
      <c r="M669" s="41"/>
      <c r="N669" s="41"/>
      <c r="O669" s="41"/>
      <c r="P669" s="41"/>
      <c r="Q669" s="41"/>
      <c r="R669" s="41"/>
      <c r="S669" s="41"/>
      <c r="T669" s="41"/>
      <c r="U669" s="41"/>
      <c r="V669" s="41"/>
      <c r="W669" s="41"/>
      <c r="X669" s="41"/>
      <c r="Y669" s="41"/>
      <c r="Z669" s="41"/>
      <c r="AA669" s="41"/>
      <c r="AB669" s="41"/>
      <c r="AC669" s="41"/>
      <c r="AD669" s="41"/>
      <c r="AE669" s="41"/>
      <c r="AF669" s="41"/>
      <c r="AG669" s="41"/>
      <c r="AH669" s="41"/>
      <c r="AI669" s="41"/>
    </row>
    <row r="670" spans="1:35" ht="15.75" customHeight="1" x14ac:dyDescent="0.2">
      <c r="A670" s="41"/>
      <c r="B670" s="41"/>
      <c r="C670" s="41"/>
      <c r="D670" s="41"/>
      <c r="E670" s="41"/>
      <c r="F670" s="41"/>
      <c r="G670" s="41"/>
      <c r="H670" s="41"/>
      <c r="I670" s="41"/>
      <c r="J670" s="41"/>
      <c r="K670" s="41"/>
      <c r="L670" s="41"/>
      <c r="M670" s="41"/>
      <c r="N670" s="41"/>
      <c r="O670" s="41"/>
      <c r="P670" s="41"/>
      <c r="Q670" s="41"/>
      <c r="R670" s="41"/>
      <c r="S670" s="41"/>
      <c r="T670" s="41"/>
      <c r="U670" s="41"/>
      <c r="V670" s="41"/>
      <c r="W670" s="41"/>
      <c r="X670" s="41"/>
      <c r="Y670" s="41"/>
      <c r="Z670" s="41"/>
      <c r="AA670" s="41"/>
      <c r="AB670" s="41"/>
      <c r="AC670" s="41"/>
      <c r="AD670" s="41"/>
      <c r="AE670" s="41"/>
      <c r="AF670" s="41"/>
      <c r="AG670" s="41"/>
      <c r="AH670" s="41"/>
      <c r="AI670" s="41"/>
    </row>
    <row r="671" spans="1:35" ht="15.75" customHeight="1" x14ac:dyDescent="0.2">
      <c r="A671" s="41"/>
      <c r="B671" s="41"/>
      <c r="C671" s="41"/>
      <c r="D671" s="41"/>
      <c r="E671" s="41"/>
      <c r="F671" s="41"/>
      <c r="G671" s="41"/>
      <c r="H671" s="41"/>
      <c r="I671" s="41"/>
      <c r="J671" s="41"/>
      <c r="K671" s="41"/>
      <c r="L671" s="41"/>
      <c r="M671" s="41"/>
      <c r="N671" s="41"/>
      <c r="O671" s="41"/>
      <c r="P671" s="41"/>
      <c r="Q671" s="41"/>
      <c r="R671" s="41"/>
      <c r="S671" s="41"/>
      <c r="T671" s="41"/>
      <c r="U671" s="41"/>
      <c r="V671" s="41"/>
      <c r="W671" s="41"/>
      <c r="X671" s="41"/>
      <c r="Y671" s="41"/>
      <c r="Z671" s="41"/>
      <c r="AA671" s="41"/>
      <c r="AB671" s="41"/>
      <c r="AC671" s="41"/>
      <c r="AD671" s="41"/>
      <c r="AE671" s="41"/>
      <c r="AF671" s="41"/>
      <c r="AG671" s="41"/>
      <c r="AH671" s="41"/>
      <c r="AI671" s="41"/>
    </row>
    <row r="672" spans="1:35" ht="15.75" customHeight="1" x14ac:dyDescent="0.2">
      <c r="A672" s="41"/>
      <c r="B672" s="41"/>
      <c r="C672" s="41"/>
      <c r="D672" s="41"/>
      <c r="E672" s="41"/>
      <c r="F672" s="41"/>
      <c r="G672" s="41"/>
      <c r="H672" s="41"/>
      <c r="I672" s="41"/>
      <c r="J672" s="41"/>
      <c r="K672" s="41"/>
      <c r="L672" s="41"/>
      <c r="M672" s="41"/>
      <c r="N672" s="41"/>
      <c r="O672" s="41"/>
      <c r="P672" s="41"/>
      <c r="Q672" s="41"/>
      <c r="R672" s="41"/>
      <c r="S672" s="41"/>
      <c r="T672" s="41"/>
      <c r="U672" s="41"/>
      <c r="V672" s="41"/>
      <c r="W672" s="41"/>
      <c r="X672" s="41"/>
      <c r="Y672" s="41"/>
      <c r="Z672" s="41"/>
      <c r="AA672" s="41"/>
      <c r="AB672" s="41"/>
      <c r="AC672" s="41"/>
      <c r="AD672" s="41"/>
      <c r="AE672" s="41"/>
      <c r="AF672" s="41"/>
      <c r="AG672" s="41"/>
      <c r="AH672" s="41"/>
      <c r="AI672" s="41"/>
    </row>
    <row r="673" spans="1:35" ht="15.75" customHeight="1" x14ac:dyDescent="0.2">
      <c r="A673" s="41"/>
      <c r="B673" s="41"/>
      <c r="C673" s="41"/>
      <c r="D673" s="41"/>
      <c r="E673" s="41"/>
      <c r="F673" s="41"/>
      <c r="G673" s="41"/>
      <c r="H673" s="41"/>
      <c r="I673" s="41"/>
      <c r="J673" s="41"/>
      <c r="K673" s="41"/>
      <c r="L673" s="41"/>
      <c r="M673" s="41"/>
      <c r="N673" s="41"/>
      <c r="O673" s="41"/>
      <c r="P673" s="41"/>
      <c r="Q673" s="41"/>
      <c r="R673" s="41"/>
      <c r="S673" s="41"/>
      <c r="T673" s="41"/>
      <c r="U673" s="41"/>
      <c r="V673" s="41"/>
      <c r="W673" s="41"/>
      <c r="X673" s="41"/>
      <c r="Y673" s="41"/>
      <c r="Z673" s="41"/>
      <c r="AA673" s="41"/>
      <c r="AB673" s="41"/>
      <c r="AC673" s="41"/>
      <c r="AD673" s="41"/>
      <c r="AE673" s="41"/>
      <c r="AF673" s="41"/>
      <c r="AG673" s="41"/>
      <c r="AH673" s="41"/>
      <c r="AI673" s="41"/>
    </row>
    <row r="674" spans="1:35" ht="15.75" customHeight="1" x14ac:dyDescent="0.2">
      <c r="A674" s="41"/>
      <c r="B674" s="41"/>
      <c r="C674" s="41"/>
      <c r="D674" s="41"/>
      <c r="E674" s="41"/>
      <c r="F674" s="41"/>
      <c r="G674" s="41"/>
      <c r="H674" s="41"/>
      <c r="I674" s="41"/>
      <c r="J674" s="41"/>
      <c r="K674" s="41"/>
      <c r="L674" s="41"/>
      <c r="M674" s="41"/>
      <c r="N674" s="41"/>
      <c r="O674" s="41"/>
      <c r="P674" s="41"/>
      <c r="Q674" s="41"/>
      <c r="R674" s="41"/>
      <c r="S674" s="41"/>
      <c r="T674" s="41"/>
      <c r="U674" s="41"/>
      <c r="V674" s="41"/>
      <c r="W674" s="41"/>
      <c r="X674" s="41"/>
      <c r="Y674" s="41"/>
      <c r="Z674" s="41"/>
      <c r="AA674" s="41"/>
      <c r="AB674" s="41"/>
      <c r="AC674" s="41"/>
      <c r="AD674" s="41"/>
      <c r="AE674" s="41"/>
      <c r="AF674" s="41"/>
      <c r="AG674" s="41"/>
      <c r="AH674" s="41"/>
      <c r="AI674" s="41"/>
    </row>
    <row r="675" spans="1:35" ht="15.75" customHeight="1" x14ac:dyDescent="0.2">
      <c r="A675" s="41"/>
      <c r="B675" s="41"/>
      <c r="C675" s="41"/>
      <c r="D675" s="41"/>
      <c r="E675" s="41"/>
      <c r="F675" s="41"/>
      <c r="G675" s="41"/>
      <c r="H675" s="41"/>
      <c r="I675" s="41"/>
      <c r="J675" s="41"/>
      <c r="K675" s="41"/>
      <c r="L675" s="41"/>
      <c r="M675" s="41"/>
      <c r="N675" s="41"/>
      <c r="O675" s="41"/>
      <c r="P675" s="41"/>
      <c r="Q675" s="41"/>
      <c r="R675" s="41"/>
      <c r="S675" s="41"/>
      <c r="T675" s="41"/>
      <c r="U675" s="41"/>
      <c r="V675" s="41"/>
      <c r="W675" s="41"/>
      <c r="X675" s="41"/>
      <c r="Y675" s="41"/>
      <c r="Z675" s="41"/>
      <c r="AA675" s="41"/>
      <c r="AB675" s="41"/>
      <c r="AC675" s="41"/>
      <c r="AD675" s="41"/>
      <c r="AE675" s="41"/>
      <c r="AF675" s="41"/>
      <c r="AG675" s="41"/>
      <c r="AH675" s="41"/>
      <c r="AI675" s="41"/>
    </row>
    <row r="676" spans="1:35" ht="15.75" customHeight="1" x14ac:dyDescent="0.2">
      <c r="A676" s="41"/>
      <c r="B676" s="41"/>
      <c r="C676" s="41"/>
      <c r="D676" s="41"/>
      <c r="E676" s="41"/>
      <c r="F676" s="41"/>
      <c r="G676" s="41"/>
      <c r="H676" s="41"/>
      <c r="I676" s="41"/>
      <c r="J676" s="41"/>
      <c r="K676" s="41"/>
      <c r="L676" s="41"/>
      <c r="M676" s="41"/>
      <c r="N676" s="41"/>
      <c r="O676" s="41"/>
      <c r="P676" s="41"/>
      <c r="Q676" s="41"/>
      <c r="R676" s="41"/>
      <c r="S676" s="41"/>
      <c r="T676" s="41"/>
      <c r="U676" s="41"/>
      <c r="V676" s="41"/>
      <c r="W676" s="41"/>
      <c r="X676" s="41"/>
      <c r="Y676" s="41"/>
      <c r="Z676" s="41"/>
      <c r="AA676" s="41"/>
      <c r="AB676" s="41"/>
      <c r="AC676" s="41"/>
      <c r="AD676" s="41"/>
      <c r="AE676" s="41"/>
      <c r="AF676" s="41"/>
      <c r="AG676" s="41"/>
      <c r="AH676" s="41"/>
      <c r="AI676" s="41"/>
    </row>
    <row r="677" spans="1:35" ht="15.75" customHeight="1" x14ac:dyDescent="0.2">
      <c r="A677" s="41"/>
      <c r="B677" s="41"/>
      <c r="C677" s="41"/>
      <c r="D677" s="41"/>
      <c r="E677" s="41"/>
      <c r="F677" s="41"/>
      <c r="G677" s="41"/>
      <c r="H677" s="41"/>
      <c r="I677" s="41"/>
      <c r="J677" s="41"/>
      <c r="K677" s="41"/>
      <c r="L677" s="41"/>
      <c r="M677" s="41"/>
      <c r="N677" s="41"/>
      <c r="O677" s="41"/>
      <c r="P677" s="41"/>
      <c r="Q677" s="41"/>
      <c r="R677" s="41"/>
      <c r="S677" s="41"/>
      <c r="T677" s="41"/>
      <c r="U677" s="41"/>
      <c r="V677" s="41"/>
      <c r="W677" s="41"/>
      <c r="X677" s="41"/>
      <c r="Y677" s="41"/>
      <c r="Z677" s="41"/>
      <c r="AA677" s="41"/>
      <c r="AB677" s="41"/>
      <c r="AC677" s="41"/>
      <c r="AD677" s="41"/>
      <c r="AE677" s="41"/>
      <c r="AF677" s="41"/>
      <c r="AG677" s="41"/>
      <c r="AH677" s="41"/>
      <c r="AI677" s="41"/>
    </row>
    <row r="678" spans="1:35" ht="15.75" customHeight="1" x14ac:dyDescent="0.2">
      <c r="A678" s="41"/>
      <c r="B678" s="41"/>
      <c r="C678" s="41"/>
      <c r="D678" s="41"/>
      <c r="E678" s="41"/>
      <c r="F678" s="41"/>
      <c r="G678" s="41"/>
      <c r="H678" s="41"/>
      <c r="I678" s="41"/>
      <c r="J678" s="41"/>
      <c r="K678" s="41"/>
      <c r="L678" s="41"/>
      <c r="M678" s="41"/>
      <c r="N678" s="41"/>
      <c r="O678" s="41"/>
      <c r="P678" s="41"/>
      <c r="Q678" s="41"/>
      <c r="R678" s="41"/>
      <c r="S678" s="41"/>
      <c r="T678" s="41"/>
      <c r="U678" s="41"/>
      <c r="V678" s="41"/>
      <c r="W678" s="41"/>
      <c r="X678" s="41"/>
      <c r="Y678" s="41"/>
      <c r="Z678" s="41"/>
      <c r="AA678" s="41"/>
      <c r="AB678" s="41"/>
      <c r="AC678" s="41"/>
      <c r="AD678" s="41"/>
      <c r="AE678" s="41"/>
      <c r="AF678" s="41"/>
      <c r="AG678" s="41"/>
      <c r="AH678" s="41"/>
      <c r="AI678" s="41"/>
    </row>
    <row r="679" spans="1:35" ht="15.75" customHeight="1" x14ac:dyDescent="0.2">
      <c r="A679" s="41"/>
      <c r="B679" s="41"/>
      <c r="C679" s="41"/>
      <c r="D679" s="41"/>
      <c r="E679" s="41"/>
      <c r="F679" s="41"/>
      <c r="G679" s="41"/>
      <c r="H679" s="41"/>
      <c r="I679" s="41"/>
      <c r="J679" s="41"/>
      <c r="K679" s="41"/>
      <c r="L679" s="41"/>
      <c r="M679" s="41"/>
      <c r="N679" s="41"/>
      <c r="O679" s="41"/>
      <c r="P679" s="41"/>
      <c r="Q679" s="41"/>
      <c r="R679" s="41"/>
      <c r="S679" s="41"/>
      <c r="T679" s="41"/>
      <c r="U679" s="41"/>
      <c r="V679" s="41"/>
      <c r="W679" s="41"/>
      <c r="X679" s="41"/>
      <c r="Y679" s="41"/>
      <c r="Z679" s="41"/>
      <c r="AA679" s="41"/>
      <c r="AB679" s="41"/>
      <c r="AC679" s="41"/>
      <c r="AD679" s="41"/>
      <c r="AE679" s="41"/>
      <c r="AF679" s="41"/>
      <c r="AG679" s="41"/>
      <c r="AH679" s="41"/>
      <c r="AI679" s="41"/>
    </row>
    <row r="680" spans="1:35" ht="15.75" customHeight="1" x14ac:dyDescent="0.2">
      <c r="A680" s="41"/>
      <c r="B680" s="41"/>
      <c r="C680" s="41"/>
      <c r="D680" s="41"/>
      <c r="E680" s="41"/>
      <c r="F680" s="41"/>
      <c r="G680" s="41"/>
      <c r="H680" s="41"/>
      <c r="I680" s="41"/>
      <c r="J680" s="41"/>
      <c r="K680" s="41"/>
      <c r="L680" s="41"/>
      <c r="M680" s="41"/>
      <c r="N680" s="41"/>
      <c r="O680" s="41"/>
      <c r="P680" s="41"/>
      <c r="Q680" s="41"/>
      <c r="R680" s="41"/>
      <c r="S680" s="41"/>
      <c r="T680" s="41"/>
      <c r="U680" s="41"/>
      <c r="V680" s="41"/>
      <c r="W680" s="41"/>
      <c r="X680" s="41"/>
      <c r="Y680" s="41"/>
      <c r="Z680" s="41"/>
      <c r="AA680" s="41"/>
      <c r="AB680" s="41"/>
      <c r="AC680" s="41"/>
      <c r="AD680" s="41"/>
      <c r="AE680" s="41"/>
      <c r="AF680" s="41"/>
      <c r="AG680" s="41"/>
      <c r="AH680" s="41"/>
      <c r="AI680" s="41"/>
    </row>
    <row r="681" spans="1:35" ht="15.75" customHeight="1" x14ac:dyDescent="0.2">
      <c r="A681" s="41"/>
      <c r="B681" s="41"/>
      <c r="C681" s="41"/>
      <c r="D681" s="41"/>
      <c r="E681" s="41"/>
      <c r="F681" s="41"/>
      <c r="G681" s="41"/>
      <c r="H681" s="41"/>
      <c r="I681" s="41"/>
      <c r="J681" s="41"/>
      <c r="K681" s="41"/>
      <c r="L681" s="41"/>
      <c r="M681" s="41"/>
      <c r="N681" s="41"/>
      <c r="O681" s="41"/>
      <c r="P681" s="41"/>
      <c r="Q681" s="41"/>
      <c r="R681" s="41"/>
      <c r="S681" s="41"/>
      <c r="T681" s="41"/>
      <c r="U681" s="41"/>
      <c r="V681" s="41"/>
      <c r="W681" s="41"/>
      <c r="X681" s="41"/>
      <c r="Y681" s="41"/>
      <c r="Z681" s="41"/>
      <c r="AA681" s="41"/>
      <c r="AB681" s="41"/>
      <c r="AC681" s="41"/>
      <c r="AD681" s="41"/>
      <c r="AE681" s="41"/>
      <c r="AF681" s="41"/>
      <c r="AG681" s="41"/>
      <c r="AH681" s="41"/>
      <c r="AI681" s="41"/>
    </row>
    <row r="682" spans="1:35" ht="15.75" customHeight="1" x14ac:dyDescent="0.2">
      <c r="A682" s="41"/>
      <c r="B682" s="41"/>
      <c r="C682" s="41"/>
      <c r="D682" s="41"/>
      <c r="E682" s="41"/>
      <c r="F682" s="41"/>
      <c r="G682" s="41"/>
      <c r="H682" s="41"/>
      <c r="I682" s="41"/>
      <c r="J682" s="41"/>
      <c r="K682" s="41"/>
      <c r="L682" s="41"/>
      <c r="M682" s="41"/>
      <c r="N682" s="41"/>
      <c r="O682" s="41"/>
      <c r="P682" s="41"/>
      <c r="Q682" s="41"/>
      <c r="R682" s="41"/>
      <c r="S682" s="41"/>
      <c r="T682" s="41"/>
      <c r="U682" s="41"/>
      <c r="V682" s="41"/>
      <c r="W682" s="41"/>
      <c r="X682" s="41"/>
      <c r="Y682" s="41"/>
      <c r="Z682" s="41"/>
      <c r="AA682" s="41"/>
      <c r="AB682" s="41"/>
      <c r="AC682" s="41"/>
      <c r="AD682" s="41"/>
      <c r="AE682" s="41"/>
      <c r="AF682" s="41"/>
      <c r="AG682" s="41"/>
      <c r="AH682" s="41"/>
      <c r="AI682" s="41"/>
    </row>
    <row r="683" spans="1:35" ht="15.75" customHeight="1" x14ac:dyDescent="0.2">
      <c r="A683" s="41"/>
      <c r="B683" s="41"/>
      <c r="C683" s="41"/>
      <c r="D683" s="41"/>
      <c r="E683" s="41"/>
      <c r="F683" s="41"/>
      <c r="G683" s="41"/>
      <c r="H683" s="41"/>
      <c r="I683" s="41"/>
      <c r="J683" s="41"/>
      <c r="K683" s="41"/>
      <c r="L683" s="41"/>
      <c r="M683" s="41"/>
      <c r="N683" s="41"/>
      <c r="O683" s="41"/>
      <c r="P683" s="41"/>
      <c r="Q683" s="41"/>
      <c r="R683" s="41"/>
      <c r="S683" s="41"/>
      <c r="T683" s="41"/>
      <c r="U683" s="41"/>
      <c r="V683" s="41"/>
      <c r="W683" s="41"/>
      <c r="X683" s="41"/>
      <c r="Y683" s="41"/>
      <c r="Z683" s="41"/>
      <c r="AA683" s="41"/>
      <c r="AB683" s="41"/>
      <c r="AC683" s="41"/>
      <c r="AD683" s="41"/>
      <c r="AE683" s="41"/>
      <c r="AF683" s="41"/>
      <c r="AG683" s="41"/>
      <c r="AH683" s="41"/>
      <c r="AI683" s="41"/>
    </row>
    <row r="684" spans="1:35" ht="15.75" customHeight="1" x14ac:dyDescent="0.2">
      <c r="A684" s="41"/>
      <c r="B684" s="41"/>
      <c r="C684" s="41"/>
      <c r="D684" s="41"/>
      <c r="E684" s="41"/>
      <c r="F684" s="41"/>
      <c r="G684" s="41"/>
      <c r="H684" s="41"/>
      <c r="I684" s="41"/>
      <c r="J684" s="41"/>
      <c r="K684" s="41"/>
      <c r="L684" s="41"/>
      <c r="M684" s="41"/>
      <c r="N684" s="41"/>
      <c r="O684" s="41"/>
      <c r="P684" s="41"/>
      <c r="Q684" s="41"/>
      <c r="R684" s="41"/>
      <c r="S684" s="41"/>
      <c r="T684" s="41"/>
      <c r="U684" s="41"/>
      <c r="V684" s="41"/>
      <c r="W684" s="41"/>
      <c r="X684" s="41"/>
      <c r="Y684" s="41"/>
      <c r="Z684" s="41"/>
      <c r="AA684" s="41"/>
      <c r="AB684" s="41"/>
      <c r="AC684" s="41"/>
      <c r="AD684" s="41"/>
      <c r="AE684" s="41"/>
      <c r="AF684" s="41"/>
      <c r="AG684" s="41"/>
      <c r="AH684" s="41"/>
      <c r="AI684" s="41"/>
    </row>
    <row r="685" spans="1:35" ht="15.75" customHeight="1" x14ac:dyDescent="0.2">
      <c r="A685" s="41"/>
      <c r="B685" s="41"/>
      <c r="C685" s="41"/>
      <c r="D685" s="41"/>
      <c r="E685" s="41"/>
      <c r="F685" s="41"/>
      <c r="G685" s="41"/>
      <c r="H685" s="41"/>
      <c r="I685" s="41"/>
      <c r="J685" s="41"/>
      <c r="K685" s="41"/>
      <c r="L685" s="41"/>
      <c r="M685" s="41"/>
      <c r="N685" s="41"/>
      <c r="O685" s="41"/>
      <c r="P685" s="41"/>
      <c r="Q685" s="41"/>
      <c r="R685" s="41"/>
      <c r="S685" s="41"/>
      <c r="T685" s="41"/>
      <c r="U685" s="41"/>
      <c r="V685" s="41"/>
      <c r="W685" s="41"/>
      <c r="X685" s="41"/>
      <c r="Y685" s="41"/>
      <c r="Z685" s="41"/>
      <c r="AA685" s="41"/>
      <c r="AB685" s="41"/>
      <c r="AC685" s="41"/>
      <c r="AD685" s="41"/>
      <c r="AE685" s="41"/>
      <c r="AF685" s="41"/>
      <c r="AG685" s="41"/>
      <c r="AH685" s="41"/>
      <c r="AI685" s="41"/>
    </row>
    <row r="686" spans="1:35" ht="15.75" customHeight="1" x14ac:dyDescent="0.2">
      <c r="A686" s="41"/>
      <c r="B686" s="41"/>
      <c r="C686" s="41"/>
      <c r="D686" s="41"/>
      <c r="E686" s="41"/>
      <c r="F686" s="41"/>
      <c r="G686" s="41"/>
      <c r="H686" s="41"/>
      <c r="I686" s="41"/>
      <c r="J686" s="41"/>
      <c r="K686" s="41"/>
      <c r="L686" s="41"/>
      <c r="M686" s="41"/>
      <c r="N686" s="41"/>
      <c r="O686" s="41"/>
      <c r="P686" s="41"/>
      <c r="Q686" s="41"/>
      <c r="R686" s="41"/>
      <c r="S686" s="41"/>
      <c r="T686" s="41"/>
      <c r="U686" s="41"/>
      <c r="V686" s="41"/>
      <c r="W686" s="41"/>
      <c r="X686" s="41"/>
      <c r="Y686" s="41"/>
      <c r="Z686" s="41"/>
      <c r="AA686" s="41"/>
      <c r="AB686" s="41"/>
      <c r="AC686" s="41"/>
      <c r="AD686" s="41"/>
      <c r="AE686" s="41"/>
      <c r="AF686" s="41"/>
      <c r="AG686" s="41"/>
      <c r="AH686" s="41"/>
      <c r="AI686" s="41"/>
    </row>
    <row r="687" spans="1:35" ht="15.75" customHeight="1" x14ac:dyDescent="0.2">
      <c r="A687" s="41"/>
      <c r="B687" s="41"/>
      <c r="C687" s="41"/>
      <c r="D687" s="41"/>
      <c r="E687" s="41"/>
      <c r="F687" s="41"/>
      <c r="G687" s="41"/>
      <c r="H687" s="41"/>
      <c r="I687" s="41"/>
      <c r="J687" s="41"/>
      <c r="K687" s="41"/>
      <c r="L687" s="41"/>
      <c r="M687" s="41"/>
      <c r="N687" s="41"/>
      <c r="O687" s="41"/>
      <c r="P687" s="41"/>
      <c r="Q687" s="41"/>
      <c r="R687" s="41"/>
      <c r="S687" s="41"/>
      <c r="T687" s="41"/>
      <c r="U687" s="41"/>
      <c r="V687" s="41"/>
      <c r="W687" s="41"/>
      <c r="X687" s="41"/>
      <c r="Y687" s="41"/>
      <c r="Z687" s="41"/>
      <c r="AA687" s="41"/>
      <c r="AB687" s="41"/>
      <c r="AC687" s="41"/>
      <c r="AD687" s="41"/>
      <c r="AE687" s="41"/>
      <c r="AF687" s="41"/>
      <c r="AG687" s="41"/>
      <c r="AH687" s="41"/>
      <c r="AI687" s="41"/>
    </row>
    <row r="688" spans="1:35" ht="15.75" customHeight="1" x14ac:dyDescent="0.2">
      <c r="A688" s="41"/>
      <c r="B688" s="41"/>
      <c r="C688" s="41"/>
      <c r="D688" s="41"/>
      <c r="E688" s="41"/>
      <c r="F688" s="41"/>
      <c r="G688" s="41"/>
      <c r="H688" s="41"/>
      <c r="I688" s="41"/>
      <c r="J688" s="41"/>
      <c r="K688" s="41"/>
      <c r="L688" s="41"/>
      <c r="M688" s="41"/>
      <c r="N688" s="41"/>
      <c r="O688" s="41"/>
      <c r="P688" s="41"/>
      <c r="Q688" s="41"/>
      <c r="R688" s="41"/>
      <c r="S688" s="41"/>
      <c r="T688" s="41"/>
      <c r="U688" s="41"/>
      <c r="V688" s="41"/>
      <c r="W688" s="41"/>
      <c r="X688" s="41"/>
      <c r="Y688" s="41"/>
      <c r="Z688" s="41"/>
      <c r="AA688" s="41"/>
      <c r="AB688" s="41"/>
      <c r="AC688" s="41"/>
      <c r="AD688" s="41"/>
      <c r="AE688" s="41"/>
      <c r="AF688" s="41"/>
      <c r="AG688" s="41"/>
      <c r="AH688" s="41"/>
      <c r="AI688" s="41"/>
    </row>
    <row r="689" spans="1:35" ht="15.75" customHeight="1" x14ac:dyDescent="0.2">
      <c r="A689" s="41"/>
      <c r="B689" s="41"/>
      <c r="C689" s="41"/>
      <c r="D689" s="41"/>
      <c r="E689" s="41"/>
      <c r="F689" s="41"/>
      <c r="G689" s="41"/>
      <c r="H689" s="41"/>
      <c r="I689" s="41"/>
      <c r="J689" s="41"/>
      <c r="K689" s="41"/>
      <c r="L689" s="41"/>
      <c r="M689" s="41"/>
      <c r="N689" s="41"/>
      <c r="O689" s="41"/>
      <c r="P689" s="41"/>
      <c r="Q689" s="41"/>
      <c r="R689" s="41"/>
      <c r="S689" s="41"/>
      <c r="T689" s="41"/>
      <c r="U689" s="41"/>
      <c r="V689" s="41"/>
      <c r="W689" s="41"/>
      <c r="X689" s="41"/>
      <c r="Y689" s="41"/>
      <c r="Z689" s="41"/>
      <c r="AA689" s="41"/>
      <c r="AB689" s="41"/>
      <c r="AC689" s="41"/>
      <c r="AD689" s="41"/>
      <c r="AE689" s="41"/>
      <c r="AF689" s="41"/>
      <c r="AG689" s="41"/>
      <c r="AH689" s="41"/>
      <c r="AI689" s="41"/>
    </row>
    <row r="690" spans="1:35" ht="15.75" customHeight="1" x14ac:dyDescent="0.2">
      <c r="A690" s="41"/>
      <c r="B690" s="41"/>
      <c r="C690" s="41"/>
      <c r="D690" s="41"/>
      <c r="E690" s="41"/>
      <c r="F690" s="41"/>
      <c r="G690" s="41"/>
      <c r="H690" s="41"/>
      <c r="I690" s="41"/>
      <c r="J690" s="41"/>
      <c r="K690" s="41"/>
      <c r="L690" s="41"/>
      <c r="M690" s="41"/>
      <c r="N690" s="41"/>
      <c r="O690" s="41"/>
      <c r="P690" s="41"/>
      <c r="Q690" s="41"/>
      <c r="R690" s="41"/>
      <c r="S690" s="41"/>
      <c r="T690" s="41"/>
      <c r="U690" s="41"/>
      <c r="V690" s="41"/>
      <c r="W690" s="41"/>
      <c r="X690" s="41"/>
      <c r="Y690" s="41"/>
      <c r="Z690" s="41"/>
      <c r="AA690" s="41"/>
      <c r="AB690" s="41"/>
      <c r="AC690" s="41"/>
      <c r="AD690" s="41"/>
      <c r="AE690" s="41"/>
      <c r="AF690" s="41"/>
      <c r="AG690" s="41"/>
      <c r="AH690" s="41"/>
      <c r="AI690" s="41"/>
    </row>
    <row r="691" spans="1:35" ht="15.75" customHeight="1" x14ac:dyDescent="0.2">
      <c r="A691" s="41"/>
      <c r="B691" s="41"/>
      <c r="C691" s="41"/>
      <c r="D691" s="41"/>
      <c r="E691" s="41"/>
      <c r="F691" s="41"/>
      <c r="G691" s="41"/>
      <c r="H691" s="41"/>
      <c r="I691" s="41"/>
      <c r="J691" s="41"/>
      <c r="K691" s="41"/>
      <c r="L691" s="41"/>
      <c r="M691" s="41"/>
      <c r="N691" s="41"/>
      <c r="O691" s="41"/>
      <c r="P691" s="41"/>
      <c r="Q691" s="41"/>
      <c r="R691" s="41"/>
      <c r="S691" s="41"/>
      <c r="T691" s="41"/>
      <c r="U691" s="41"/>
      <c r="V691" s="41"/>
      <c r="W691" s="41"/>
      <c r="X691" s="41"/>
      <c r="Y691" s="41"/>
      <c r="Z691" s="41"/>
      <c r="AA691" s="41"/>
      <c r="AB691" s="41"/>
      <c r="AC691" s="41"/>
      <c r="AD691" s="41"/>
      <c r="AE691" s="41"/>
      <c r="AF691" s="41"/>
      <c r="AG691" s="41"/>
      <c r="AH691" s="41"/>
      <c r="AI691" s="41"/>
    </row>
    <row r="692" spans="1:35" ht="15.75" customHeight="1" x14ac:dyDescent="0.2">
      <c r="A692" s="41"/>
      <c r="B692" s="41"/>
      <c r="C692" s="41"/>
      <c r="D692" s="41"/>
      <c r="E692" s="41"/>
      <c r="F692" s="41"/>
      <c r="G692" s="41"/>
      <c r="H692" s="41"/>
      <c r="I692" s="41"/>
      <c r="J692" s="41"/>
      <c r="K692" s="41"/>
      <c r="L692" s="41"/>
      <c r="M692" s="41"/>
      <c r="N692" s="41"/>
      <c r="O692" s="41"/>
      <c r="P692" s="41"/>
      <c r="Q692" s="41"/>
      <c r="R692" s="41"/>
      <c r="S692" s="41"/>
      <c r="T692" s="41"/>
      <c r="U692" s="41"/>
      <c r="V692" s="41"/>
      <c r="W692" s="41"/>
      <c r="X692" s="41"/>
      <c r="Y692" s="41"/>
      <c r="Z692" s="41"/>
      <c r="AA692" s="41"/>
      <c r="AB692" s="41"/>
      <c r="AC692" s="41"/>
      <c r="AD692" s="41"/>
      <c r="AE692" s="41"/>
      <c r="AF692" s="41"/>
      <c r="AG692" s="41"/>
      <c r="AH692" s="41"/>
      <c r="AI692" s="41"/>
    </row>
    <row r="693" spans="1:35" ht="15.75" customHeight="1" x14ac:dyDescent="0.2">
      <c r="A693" s="41"/>
      <c r="B693" s="41"/>
      <c r="C693" s="41"/>
      <c r="D693" s="41"/>
      <c r="E693" s="41"/>
      <c r="F693" s="41"/>
      <c r="G693" s="41"/>
      <c r="H693" s="41"/>
      <c r="I693" s="41"/>
      <c r="J693" s="41"/>
      <c r="K693" s="41"/>
      <c r="L693" s="41"/>
      <c r="M693" s="41"/>
      <c r="N693" s="41"/>
      <c r="O693" s="41"/>
      <c r="P693" s="41"/>
      <c r="Q693" s="41"/>
      <c r="R693" s="41"/>
      <c r="S693" s="41"/>
      <c r="T693" s="41"/>
      <c r="U693" s="41"/>
      <c r="V693" s="41"/>
      <c r="W693" s="41"/>
      <c r="X693" s="41"/>
      <c r="Y693" s="41"/>
      <c r="Z693" s="41"/>
      <c r="AA693" s="41"/>
      <c r="AB693" s="41"/>
      <c r="AC693" s="41"/>
      <c r="AD693" s="41"/>
      <c r="AE693" s="41"/>
      <c r="AF693" s="41"/>
      <c r="AG693" s="41"/>
      <c r="AH693" s="41"/>
      <c r="AI693" s="41"/>
    </row>
    <row r="694" spans="1:35" ht="15.75" customHeight="1" x14ac:dyDescent="0.2">
      <c r="A694" s="41"/>
      <c r="B694" s="41"/>
      <c r="C694" s="41"/>
      <c r="D694" s="41"/>
      <c r="E694" s="41"/>
      <c r="F694" s="41"/>
      <c r="G694" s="41"/>
      <c r="H694" s="41"/>
      <c r="I694" s="41"/>
      <c r="J694" s="41"/>
      <c r="K694" s="41"/>
      <c r="L694" s="41"/>
      <c r="M694" s="41"/>
      <c r="N694" s="41"/>
      <c r="O694" s="41"/>
      <c r="P694" s="41"/>
      <c r="Q694" s="41"/>
      <c r="R694" s="41"/>
      <c r="S694" s="41"/>
      <c r="T694" s="41"/>
      <c r="U694" s="41"/>
      <c r="V694" s="41"/>
      <c r="W694" s="41"/>
      <c r="X694" s="41"/>
      <c r="Y694" s="41"/>
      <c r="Z694" s="41"/>
      <c r="AA694" s="41"/>
      <c r="AB694" s="41"/>
      <c r="AC694" s="41"/>
      <c r="AD694" s="41"/>
      <c r="AE694" s="41"/>
      <c r="AF694" s="41"/>
      <c r="AG694" s="41"/>
      <c r="AH694" s="41"/>
      <c r="AI694" s="41"/>
    </row>
    <row r="695" spans="1:35" ht="15.75" customHeight="1" x14ac:dyDescent="0.2">
      <c r="A695" s="41"/>
      <c r="B695" s="41"/>
      <c r="C695" s="41"/>
      <c r="D695" s="41"/>
      <c r="E695" s="41"/>
      <c r="F695" s="41"/>
      <c r="G695" s="41"/>
      <c r="H695" s="41"/>
      <c r="I695" s="41"/>
      <c r="J695" s="41"/>
      <c r="K695" s="41"/>
      <c r="L695" s="41"/>
      <c r="M695" s="41"/>
      <c r="N695" s="41"/>
      <c r="O695" s="41"/>
      <c r="P695" s="41"/>
      <c r="Q695" s="41"/>
      <c r="R695" s="41"/>
      <c r="S695" s="41"/>
      <c r="T695" s="41"/>
      <c r="U695" s="41"/>
      <c r="V695" s="41"/>
      <c r="W695" s="41"/>
      <c r="X695" s="41"/>
      <c r="Y695" s="41"/>
      <c r="Z695" s="41"/>
      <c r="AA695" s="41"/>
      <c r="AB695" s="41"/>
      <c r="AC695" s="41"/>
      <c r="AD695" s="41"/>
      <c r="AE695" s="41"/>
      <c r="AF695" s="41"/>
      <c r="AG695" s="41"/>
      <c r="AH695" s="41"/>
      <c r="AI695" s="41"/>
    </row>
    <row r="696" spans="1:35" ht="15.75" customHeight="1" x14ac:dyDescent="0.2">
      <c r="A696" s="41"/>
      <c r="B696" s="41"/>
      <c r="C696" s="41"/>
      <c r="D696" s="41"/>
      <c r="E696" s="41"/>
      <c r="F696" s="41"/>
      <c r="G696" s="41"/>
      <c r="H696" s="41"/>
      <c r="I696" s="41"/>
      <c r="J696" s="41"/>
      <c r="K696" s="41"/>
      <c r="L696" s="41"/>
      <c r="M696" s="41"/>
      <c r="N696" s="41"/>
      <c r="O696" s="41"/>
      <c r="P696" s="41"/>
      <c r="Q696" s="41"/>
      <c r="R696" s="41"/>
      <c r="S696" s="41"/>
      <c r="T696" s="41"/>
      <c r="U696" s="41"/>
      <c r="V696" s="41"/>
      <c r="W696" s="41"/>
      <c r="X696" s="41"/>
      <c r="Y696" s="41"/>
      <c r="Z696" s="41"/>
      <c r="AA696" s="41"/>
      <c r="AB696" s="41"/>
      <c r="AC696" s="41"/>
      <c r="AD696" s="41"/>
      <c r="AE696" s="41"/>
      <c r="AF696" s="41"/>
      <c r="AG696" s="41"/>
      <c r="AH696" s="41"/>
      <c r="AI696" s="41"/>
    </row>
    <row r="697" spans="1:35" ht="15.75" customHeight="1" x14ac:dyDescent="0.2">
      <c r="A697" s="41"/>
      <c r="B697" s="41"/>
      <c r="C697" s="41"/>
      <c r="D697" s="41"/>
      <c r="E697" s="41"/>
      <c r="F697" s="41"/>
      <c r="G697" s="41"/>
      <c r="H697" s="41"/>
      <c r="I697" s="41"/>
      <c r="J697" s="41"/>
      <c r="K697" s="41"/>
      <c r="L697" s="41"/>
      <c r="M697" s="41"/>
      <c r="N697" s="41"/>
      <c r="O697" s="41"/>
      <c r="P697" s="41"/>
      <c r="Q697" s="41"/>
      <c r="R697" s="41"/>
      <c r="S697" s="41"/>
      <c r="T697" s="41"/>
      <c r="U697" s="41"/>
      <c r="V697" s="41"/>
      <c r="W697" s="41"/>
      <c r="X697" s="41"/>
      <c r="Y697" s="41"/>
      <c r="Z697" s="41"/>
      <c r="AA697" s="41"/>
      <c r="AB697" s="41"/>
      <c r="AC697" s="41"/>
      <c r="AD697" s="41"/>
      <c r="AE697" s="41"/>
      <c r="AF697" s="41"/>
      <c r="AG697" s="41"/>
      <c r="AH697" s="41"/>
      <c r="AI697" s="41"/>
    </row>
    <row r="698" spans="1:35" ht="15.75" customHeight="1" x14ac:dyDescent="0.2">
      <c r="A698" s="41"/>
      <c r="B698" s="41"/>
      <c r="C698" s="41"/>
      <c r="D698" s="41"/>
      <c r="E698" s="41"/>
      <c r="F698" s="41"/>
      <c r="G698" s="41"/>
      <c r="H698" s="41"/>
      <c r="I698" s="41"/>
      <c r="J698" s="41"/>
      <c r="K698" s="41"/>
      <c r="L698" s="41"/>
      <c r="M698" s="41"/>
      <c r="N698" s="41"/>
      <c r="O698" s="41"/>
      <c r="P698" s="41"/>
      <c r="Q698" s="41"/>
      <c r="R698" s="41"/>
      <c r="S698" s="41"/>
      <c r="T698" s="41"/>
      <c r="U698" s="41"/>
      <c r="V698" s="41"/>
      <c r="W698" s="41"/>
      <c r="X698" s="41"/>
      <c r="Y698" s="41"/>
      <c r="Z698" s="41"/>
      <c r="AA698" s="41"/>
      <c r="AB698" s="41"/>
      <c r="AC698" s="41"/>
      <c r="AD698" s="41"/>
      <c r="AE698" s="41"/>
      <c r="AF698" s="41"/>
      <c r="AG698" s="41"/>
      <c r="AH698" s="41"/>
      <c r="AI698" s="41"/>
    </row>
    <row r="699" spans="1:35" ht="15.75" customHeight="1" x14ac:dyDescent="0.2">
      <c r="A699" s="41"/>
      <c r="B699" s="41"/>
      <c r="C699" s="41"/>
      <c r="D699" s="41"/>
      <c r="E699" s="41"/>
      <c r="F699" s="41"/>
      <c r="G699" s="41"/>
      <c r="H699" s="41"/>
      <c r="I699" s="41"/>
      <c r="J699" s="41"/>
      <c r="K699" s="41"/>
      <c r="L699" s="41"/>
      <c r="M699" s="41"/>
      <c r="N699" s="41"/>
      <c r="O699" s="41"/>
      <c r="P699" s="41"/>
      <c r="Q699" s="41"/>
      <c r="R699" s="41"/>
      <c r="S699" s="41"/>
      <c r="T699" s="41"/>
      <c r="U699" s="41"/>
      <c r="V699" s="41"/>
      <c r="W699" s="41"/>
      <c r="X699" s="41"/>
      <c r="Y699" s="41"/>
      <c r="Z699" s="41"/>
      <c r="AA699" s="41"/>
      <c r="AB699" s="41"/>
      <c r="AC699" s="41"/>
      <c r="AD699" s="41"/>
      <c r="AE699" s="41"/>
      <c r="AF699" s="41"/>
      <c r="AG699" s="41"/>
      <c r="AH699" s="41"/>
      <c r="AI699" s="41"/>
    </row>
    <row r="700" spans="1:35" ht="15.75" customHeight="1" x14ac:dyDescent="0.2">
      <c r="A700" s="41"/>
      <c r="B700" s="41"/>
      <c r="C700" s="41"/>
      <c r="D700" s="41"/>
      <c r="E700" s="41"/>
      <c r="F700" s="41"/>
      <c r="G700" s="41"/>
      <c r="H700" s="41"/>
      <c r="I700" s="41"/>
      <c r="J700" s="41"/>
      <c r="K700" s="41"/>
      <c r="L700" s="41"/>
      <c r="M700" s="41"/>
      <c r="N700" s="41"/>
      <c r="O700" s="41"/>
      <c r="P700" s="41"/>
      <c r="Q700" s="41"/>
      <c r="R700" s="41"/>
      <c r="S700" s="41"/>
      <c r="T700" s="41"/>
      <c r="U700" s="41"/>
      <c r="V700" s="41"/>
      <c r="W700" s="41"/>
      <c r="X700" s="41"/>
      <c r="Y700" s="41"/>
      <c r="Z700" s="41"/>
      <c r="AA700" s="41"/>
      <c r="AB700" s="41"/>
      <c r="AC700" s="41"/>
      <c r="AD700" s="41"/>
      <c r="AE700" s="41"/>
      <c r="AF700" s="41"/>
      <c r="AG700" s="41"/>
      <c r="AH700" s="41"/>
      <c r="AI700" s="41"/>
    </row>
    <row r="701" spans="1:35" ht="15.75" customHeight="1" x14ac:dyDescent="0.2">
      <c r="A701" s="41"/>
      <c r="B701" s="41"/>
      <c r="C701" s="41"/>
      <c r="D701" s="41"/>
      <c r="E701" s="41"/>
      <c r="F701" s="41"/>
      <c r="G701" s="41"/>
      <c r="H701" s="41"/>
      <c r="I701" s="41"/>
      <c r="J701" s="41"/>
      <c r="K701" s="41"/>
      <c r="L701" s="41"/>
      <c r="M701" s="41"/>
      <c r="N701" s="41"/>
      <c r="O701" s="41"/>
      <c r="P701" s="41"/>
      <c r="Q701" s="41"/>
      <c r="R701" s="41"/>
      <c r="S701" s="41"/>
      <c r="T701" s="41"/>
      <c r="U701" s="41"/>
      <c r="V701" s="41"/>
      <c r="W701" s="41"/>
      <c r="X701" s="41"/>
      <c r="Y701" s="41"/>
      <c r="Z701" s="41"/>
      <c r="AA701" s="41"/>
      <c r="AB701" s="41"/>
      <c r="AC701" s="41"/>
      <c r="AD701" s="41"/>
      <c r="AE701" s="41"/>
      <c r="AF701" s="41"/>
      <c r="AG701" s="41"/>
      <c r="AH701" s="41"/>
      <c r="AI701" s="41"/>
    </row>
    <row r="702" spans="1:35" ht="15.75" customHeight="1" x14ac:dyDescent="0.2">
      <c r="A702" s="41"/>
      <c r="B702" s="41"/>
      <c r="C702" s="41"/>
      <c r="D702" s="41"/>
      <c r="E702" s="41"/>
      <c r="F702" s="41"/>
      <c r="G702" s="41"/>
      <c r="H702" s="41"/>
      <c r="I702" s="41"/>
      <c r="J702" s="41"/>
      <c r="K702" s="41"/>
      <c r="L702" s="41"/>
      <c r="M702" s="41"/>
      <c r="N702" s="41"/>
      <c r="O702" s="41"/>
      <c r="P702" s="41"/>
      <c r="Q702" s="41"/>
      <c r="R702" s="41"/>
      <c r="S702" s="41"/>
      <c r="T702" s="41"/>
      <c r="U702" s="41"/>
      <c r="V702" s="41"/>
      <c r="W702" s="41"/>
      <c r="X702" s="41"/>
      <c r="Y702" s="41"/>
      <c r="Z702" s="41"/>
      <c r="AA702" s="41"/>
      <c r="AB702" s="41"/>
      <c r="AC702" s="41"/>
      <c r="AD702" s="41"/>
      <c r="AE702" s="41"/>
      <c r="AF702" s="41"/>
      <c r="AG702" s="41"/>
      <c r="AH702" s="41"/>
      <c r="AI702" s="41"/>
    </row>
    <row r="703" spans="1:35" ht="15.75" customHeight="1" x14ac:dyDescent="0.2">
      <c r="A703" s="41"/>
      <c r="B703" s="41"/>
      <c r="C703" s="41"/>
      <c r="D703" s="41"/>
      <c r="E703" s="41"/>
      <c r="F703" s="41"/>
      <c r="G703" s="41"/>
      <c r="H703" s="41"/>
      <c r="I703" s="41"/>
      <c r="J703" s="41"/>
      <c r="K703" s="41"/>
      <c r="L703" s="41"/>
      <c r="M703" s="41"/>
      <c r="N703" s="41"/>
      <c r="O703" s="41"/>
      <c r="P703" s="41"/>
      <c r="Q703" s="41"/>
      <c r="R703" s="41"/>
      <c r="S703" s="41"/>
      <c r="T703" s="41"/>
      <c r="U703" s="41"/>
      <c r="V703" s="41"/>
      <c r="W703" s="41"/>
      <c r="X703" s="41"/>
      <c r="Y703" s="41"/>
      <c r="Z703" s="41"/>
      <c r="AA703" s="41"/>
      <c r="AB703" s="41"/>
      <c r="AC703" s="41"/>
      <c r="AD703" s="41"/>
      <c r="AE703" s="41"/>
      <c r="AF703" s="41"/>
      <c r="AG703" s="41"/>
      <c r="AH703" s="41"/>
      <c r="AI703" s="41"/>
    </row>
    <row r="704" spans="1:35" ht="15.75" customHeight="1" x14ac:dyDescent="0.2">
      <c r="A704" s="41"/>
      <c r="B704" s="41"/>
      <c r="C704" s="41"/>
      <c r="D704" s="41"/>
      <c r="E704" s="41"/>
      <c r="F704" s="41"/>
      <c r="G704" s="41"/>
      <c r="H704" s="41"/>
      <c r="I704" s="41"/>
      <c r="J704" s="41"/>
      <c r="K704" s="41"/>
      <c r="L704" s="41"/>
      <c r="M704" s="41"/>
      <c r="N704" s="41"/>
      <c r="O704" s="41"/>
      <c r="P704" s="41"/>
      <c r="Q704" s="41"/>
      <c r="R704" s="41"/>
      <c r="S704" s="41"/>
      <c r="T704" s="41"/>
      <c r="U704" s="41"/>
      <c r="V704" s="41"/>
      <c r="W704" s="41"/>
      <c r="X704" s="41"/>
      <c r="Y704" s="41"/>
      <c r="Z704" s="41"/>
      <c r="AA704" s="41"/>
      <c r="AB704" s="41"/>
      <c r="AC704" s="41"/>
      <c r="AD704" s="41"/>
      <c r="AE704" s="41"/>
      <c r="AF704" s="41"/>
      <c r="AG704" s="41"/>
      <c r="AH704" s="41"/>
      <c r="AI704" s="41"/>
    </row>
    <row r="705" spans="1:35" ht="15.75" customHeight="1" x14ac:dyDescent="0.2">
      <c r="A705" s="41"/>
      <c r="B705" s="41"/>
      <c r="C705" s="41"/>
      <c r="D705" s="41"/>
      <c r="E705" s="41"/>
      <c r="F705" s="41"/>
      <c r="G705" s="41"/>
      <c r="H705" s="41"/>
      <c r="I705" s="41"/>
      <c r="J705" s="41"/>
      <c r="K705" s="41"/>
      <c r="L705" s="41"/>
      <c r="M705" s="41"/>
      <c r="N705" s="41"/>
      <c r="O705" s="41"/>
      <c r="P705" s="41"/>
      <c r="Q705" s="41"/>
      <c r="R705" s="41"/>
      <c r="S705" s="41"/>
      <c r="T705" s="41"/>
      <c r="U705" s="41"/>
      <c r="V705" s="41"/>
      <c r="W705" s="41"/>
      <c r="X705" s="41"/>
      <c r="Y705" s="41"/>
      <c r="Z705" s="41"/>
      <c r="AA705" s="41"/>
      <c r="AB705" s="41"/>
      <c r="AC705" s="41"/>
      <c r="AD705" s="41"/>
      <c r="AE705" s="41"/>
      <c r="AF705" s="41"/>
      <c r="AG705" s="41"/>
      <c r="AH705" s="41"/>
      <c r="AI705" s="41"/>
    </row>
    <row r="706" spans="1:35" ht="15.75" customHeight="1" x14ac:dyDescent="0.2">
      <c r="A706" s="41"/>
      <c r="B706" s="41"/>
      <c r="C706" s="41"/>
      <c r="D706" s="41"/>
      <c r="E706" s="41"/>
      <c r="F706" s="41"/>
      <c r="G706" s="41"/>
      <c r="H706" s="41"/>
      <c r="I706" s="41"/>
      <c r="J706" s="41"/>
      <c r="K706" s="41"/>
      <c r="L706" s="41"/>
      <c r="M706" s="41"/>
      <c r="N706" s="41"/>
      <c r="O706" s="41"/>
      <c r="P706" s="41"/>
      <c r="Q706" s="41"/>
      <c r="R706" s="41"/>
      <c r="S706" s="41"/>
      <c r="T706" s="41"/>
      <c r="U706" s="41"/>
      <c r="V706" s="41"/>
      <c r="W706" s="41"/>
      <c r="X706" s="41"/>
      <c r="Y706" s="41"/>
      <c r="Z706" s="41"/>
      <c r="AA706" s="41"/>
      <c r="AB706" s="41"/>
      <c r="AC706" s="41"/>
      <c r="AD706" s="41"/>
      <c r="AE706" s="41"/>
      <c r="AF706" s="41"/>
      <c r="AG706" s="41"/>
      <c r="AH706" s="41"/>
      <c r="AI706" s="41"/>
    </row>
    <row r="707" spans="1:35" ht="15.75" customHeight="1" x14ac:dyDescent="0.2">
      <c r="A707" s="41"/>
      <c r="B707" s="41"/>
      <c r="C707" s="41"/>
      <c r="D707" s="41"/>
      <c r="E707" s="41"/>
      <c r="F707" s="41"/>
      <c r="G707" s="41"/>
      <c r="H707" s="41"/>
      <c r="I707" s="41"/>
      <c r="J707" s="41"/>
      <c r="K707" s="41"/>
      <c r="L707" s="41"/>
      <c r="M707" s="41"/>
      <c r="N707" s="41"/>
      <c r="O707" s="41"/>
      <c r="P707" s="41"/>
      <c r="Q707" s="41"/>
      <c r="R707" s="41"/>
      <c r="S707" s="41"/>
      <c r="T707" s="41"/>
      <c r="U707" s="41"/>
      <c r="V707" s="41"/>
      <c r="W707" s="41"/>
      <c r="X707" s="41"/>
      <c r="Y707" s="41"/>
      <c r="Z707" s="41"/>
      <c r="AA707" s="41"/>
      <c r="AB707" s="41"/>
      <c r="AC707" s="41"/>
      <c r="AD707" s="41"/>
      <c r="AE707" s="41"/>
      <c r="AF707" s="41"/>
      <c r="AG707" s="41"/>
      <c r="AH707" s="41"/>
      <c r="AI707" s="41"/>
    </row>
    <row r="708" spans="1:35" ht="15.75" customHeight="1" x14ac:dyDescent="0.2">
      <c r="A708" s="41"/>
      <c r="B708" s="41"/>
      <c r="C708" s="41"/>
      <c r="D708" s="41"/>
      <c r="E708" s="41"/>
      <c r="F708" s="41"/>
      <c r="G708" s="41"/>
      <c r="H708" s="41"/>
      <c r="I708" s="41"/>
      <c r="J708" s="41"/>
      <c r="K708" s="41"/>
      <c r="L708" s="41"/>
      <c r="M708" s="41"/>
      <c r="N708" s="41"/>
      <c r="O708" s="41"/>
      <c r="P708" s="41"/>
      <c r="Q708" s="41"/>
      <c r="R708" s="41"/>
      <c r="S708" s="41"/>
      <c r="T708" s="41"/>
      <c r="U708" s="41"/>
      <c r="V708" s="41"/>
      <c r="W708" s="41"/>
      <c r="X708" s="41"/>
      <c r="Y708" s="41"/>
      <c r="Z708" s="41"/>
      <c r="AA708" s="41"/>
      <c r="AB708" s="41"/>
      <c r="AC708" s="41"/>
      <c r="AD708" s="41"/>
      <c r="AE708" s="41"/>
      <c r="AF708" s="41"/>
      <c r="AG708" s="41"/>
      <c r="AH708" s="41"/>
      <c r="AI708" s="41"/>
    </row>
    <row r="709" spans="1:35" ht="15.75" customHeight="1" x14ac:dyDescent="0.2">
      <c r="A709" s="41"/>
      <c r="B709" s="41"/>
      <c r="C709" s="41"/>
      <c r="D709" s="41"/>
      <c r="E709" s="41"/>
      <c r="F709" s="41"/>
      <c r="G709" s="41"/>
      <c r="H709" s="41"/>
      <c r="I709" s="41"/>
      <c r="J709" s="41"/>
      <c r="K709" s="41"/>
      <c r="L709" s="41"/>
      <c r="M709" s="41"/>
      <c r="N709" s="41"/>
      <c r="O709" s="41"/>
      <c r="P709" s="41"/>
      <c r="Q709" s="41"/>
      <c r="R709" s="41"/>
      <c r="S709" s="41"/>
      <c r="T709" s="41"/>
      <c r="U709" s="41"/>
      <c r="V709" s="41"/>
      <c r="W709" s="41"/>
      <c r="X709" s="41"/>
      <c r="Y709" s="41"/>
      <c r="Z709" s="41"/>
      <c r="AA709" s="41"/>
      <c r="AB709" s="41"/>
      <c r="AC709" s="41"/>
      <c r="AD709" s="41"/>
      <c r="AE709" s="41"/>
      <c r="AF709" s="41"/>
      <c r="AG709" s="41"/>
      <c r="AH709" s="41"/>
      <c r="AI709" s="41"/>
    </row>
    <row r="710" spans="1:35" ht="15.75" customHeight="1" x14ac:dyDescent="0.2">
      <c r="A710" s="41"/>
      <c r="B710" s="41"/>
      <c r="C710" s="41"/>
      <c r="D710" s="41"/>
      <c r="E710" s="41"/>
      <c r="F710" s="41"/>
      <c r="G710" s="41"/>
      <c r="H710" s="41"/>
      <c r="I710" s="41"/>
      <c r="J710" s="41"/>
      <c r="K710" s="41"/>
      <c r="L710" s="41"/>
      <c r="M710" s="41"/>
      <c r="N710" s="41"/>
      <c r="O710" s="41"/>
      <c r="P710" s="41"/>
      <c r="Q710" s="41"/>
      <c r="R710" s="41"/>
      <c r="S710" s="41"/>
      <c r="T710" s="41"/>
      <c r="U710" s="41"/>
      <c r="V710" s="41"/>
      <c r="W710" s="41"/>
      <c r="X710" s="41"/>
      <c r="Y710" s="41"/>
      <c r="Z710" s="41"/>
      <c r="AA710" s="41"/>
      <c r="AB710" s="41"/>
      <c r="AC710" s="41"/>
      <c r="AD710" s="41"/>
      <c r="AE710" s="41"/>
      <c r="AF710" s="41"/>
      <c r="AG710" s="41"/>
      <c r="AH710" s="41"/>
      <c r="AI710" s="41"/>
    </row>
    <row r="711" spans="1:35" ht="15.75" customHeight="1" x14ac:dyDescent="0.2">
      <c r="A711" s="41"/>
      <c r="B711" s="41"/>
      <c r="C711" s="41"/>
      <c r="D711" s="41"/>
      <c r="E711" s="41"/>
      <c r="F711" s="41"/>
      <c r="G711" s="41"/>
      <c r="H711" s="41"/>
      <c r="I711" s="41"/>
      <c r="J711" s="41"/>
      <c r="K711" s="41"/>
      <c r="L711" s="41"/>
      <c r="M711" s="41"/>
      <c r="N711" s="41"/>
      <c r="O711" s="41"/>
      <c r="P711" s="41"/>
      <c r="Q711" s="41"/>
      <c r="R711" s="41"/>
      <c r="S711" s="41"/>
      <c r="T711" s="41"/>
      <c r="U711" s="41"/>
      <c r="V711" s="41"/>
      <c r="W711" s="41"/>
      <c r="X711" s="41"/>
      <c r="Y711" s="41"/>
      <c r="Z711" s="41"/>
      <c r="AA711" s="41"/>
      <c r="AB711" s="41"/>
      <c r="AC711" s="41"/>
      <c r="AD711" s="41"/>
      <c r="AE711" s="41"/>
      <c r="AF711" s="41"/>
      <c r="AG711" s="41"/>
      <c r="AH711" s="41"/>
      <c r="AI711" s="41"/>
    </row>
    <row r="712" spans="1:35" ht="15.75" customHeight="1" x14ac:dyDescent="0.2">
      <c r="A712" s="41"/>
      <c r="B712" s="41"/>
      <c r="C712" s="41"/>
      <c r="D712" s="41"/>
      <c r="E712" s="41"/>
      <c r="F712" s="41"/>
      <c r="G712" s="41"/>
      <c r="H712" s="41"/>
      <c r="I712" s="41"/>
      <c r="J712" s="41"/>
      <c r="K712" s="41"/>
      <c r="L712" s="41"/>
      <c r="M712" s="41"/>
      <c r="N712" s="41"/>
      <c r="O712" s="41"/>
      <c r="P712" s="41"/>
      <c r="Q712" s="41"/>
      <c r="R712" s="41"/>
      <c r="S712" s="41"/>
      <c r="T712" s="41"/>
      <c r="U712" s="41"/>
      <c r="V712" s="41"/>
      <c r="W712" s="41"/>
      <c r="X712" s="41"/>
      <c r="Y712" s="41"/>
      <c r="Z712" s="41"/>
      <c r="AA712" s="41"/>
      <c r="AB712" s="41"/>
      <c r="AC712" s="41"/>
      <c r="AD712" s="41"/>
      <c r="AE712" s="41"/>
      <c r="AF712" s="41"/>
      <c r="AG712" s="41"/>
      <c r="AH712" s="41"/>
      <c r="AI712" s="41"/>
    </row>
    <row r="713" spans="1:35" ht="15.75" customHeight="1" x14ac:dyDescent="0.2">
      <c r="A713" s="41"/>
      <c r="B713" s="41"/>
      <c r="C713" s="41"/>
      <c r="D713" s="41"/>
      <c r="E713" s="41"/>
      <c r="F713" s="41"/>
      <c r="G713" s="41"/>
      <c r="H713" s="41"/>
      <c r="I713" s="41"/>
      <c r="J713" s="41"/>
      <c r="K713" s="41"/>
      <c r="L713" s="41"/>
      <c r="M713" s="41"/>
      <c r="N713" s="41"/>
      <c r="O713" s="41"/>
      <c r="P713" s="41"/>
      <c r="Q713" s="41"/>
      <c r="R713" s="41"/>
      <c r="S713" s="41"/>
      <c r="T713" s="41"/>
      <c r="U713" s="41"/>
      <c r="V713" s="41"/>
      <c r="W713" s="41"/>
      <c r="X713" s="41"/>
      <c r="Y713" s="41"/>
      <c r="Z713" s="41"/>
      <c r="AA713" s="41"/>
      <c r="AB713" s="41"/>
      <c r="AC713" s="41"/>
      <c r="AD713" s="41"/>
      <c r="AE713" s="41"/>
      <c r="AF713" s="41"/>
      <c r="AG713" s="41"/>
      <c r="AH713" s="41"/>
      <c r="AI713" s="41"/>
    </row>
    <row r="714" spans="1:35" ht="15.75" customHeight="1" x14ac:dyDescent="0.2">
      <c r="A714" s="41"/>
      <c r="B714" s="41"/>
      <c r="C714" s="41"/>
      <c r="D714" s="41"/>
      <c r="E714" s="41"/>
      <c r="F714" s="41"/>
      <c r="G714" s="41"/>
      <c r="H714" s="41"/>
      <c r="I714" s="41"/>
      <c r="J714" s="41"/>
      <c r="K714" s="41"/>
      <c r="L714" s="41"/>
      <c r="M714" s="41"/>
      <c r="N714" s="41"/>
      <c r="O714" s="41"/>
      <c r="P714" s="41"/>
      <c r="Q714" s="41"/>
      <c r="R714" s="41"/>
      <c r="S714" s="41"/>
      <c r="T714" s="41"/>
      <c r="U714" s="41"/>
      <c r="V714" s="41"/>
      <c r="W714" s="41"/>
      <c r="X714" s="41"/>
      <c r="Y714" s="41"/>
      <c r="Z714" s="41"/>
      <c r="AA714" s="41"/>
      <c r="AB714" s="41"/>
      <c r="AC714" s="41"/>
      <c r="AD714" s="41"/>
      <c r="AE714" s="41"/>
      <c r="AF714" s="41"/>
      <c r="AG714" s="41"/>
      <c r="AH714" s="41"/>
      <c r="AI714" s="41"/>
    </row>
    <row r="715" spans="1:35" ht="15.75" customHeight="1" x14ac:dyDescent="0.2">
      <c r="A715" s="41"/>
      <c r="B715" s="41"/>
      <c r="C715" s="41"/>
      <c r="D715" s="41"/>
      <c r="E715" s="41"/>
      <c r="F715" s="41"/>
      <c r="G715" s="41"/>
      <c r="H715" s="41"/>
      <c r="I715" s="41"/>
      <c r="J715" s="41"/>
      <c r="K715" s="41"/>
      <c r="L715" s="41"/>
      <c r="M715" s="41"/>
      <c r="N715" s="41"/>
      <c r="O715" s="41"/>
      <c r="P715" s="41"/>
      <c r="Q715" s="41"/>
      <c r="R715" s="41"/>
      <c r="S715" s="41"/>
      <c r="T715" s="41"/>
      <c r="U715" s="41"/>
      <c r="V715" s="41"/>
      <c r="W715" s="41"/>
      <c r="X715" s="41"/>
      <c r="Y715" s="41"/>
      <c r="Z715" s="41"/>
      <c r="AA715" s="41"/>
      <c r="AB715" s="41"/>
      <c r="AC715" s="41"/>
      <c r="AD715" s="41"/>
      <c r="AE715" s="41"/>
      <c r="AF715" s="41"/>
      <c r="AG715" s="41"/>
      <c r="AH715" s="41"/>
      <c r="AI715" s="41"/>
    </row>
    <row r="716" spans="1:35" ht="15.75" customHeight="1" x14ac:dyDescent="0.2">
      <c r="A716" s="41"/>
      <c r="B716" s="41"/>
      <c r="C716" s="41"/>
      <c r="D716" s="41"/>
      <c r="E716" s="41"/>
      <c r="F716" s="41"/>
      <c r="G716" s="41"/>
      <c r="H716" s="41"/>
      <c r="I716" s="41"/>
      <c r="J716" s="41"/>
      <c r="K716" s="41"/>
      <c r="L716" s="41"/>
      <c r="M716" s="41"/>
      <c r="N716" s="41"/>
      <c r="O716" s="41"/>
      <c r="P716" s="41"/>
      <c r="Q716" s="41"/>
      <c r="R716" s="41"/>
      <c r="S716" s="41"/>
      <c r="T716" s="41"/>
      <c r="U716" s="41"/>
      <c r="V716" s="41"/>
      <c r="W716" s="41"/>
      <c r="X716" s="41"/>
      <c r="Y716" s="41"/>
      <c r="Z716" s="41"/>
      <c r="AA716" s="41"/>
      <c r="AB716" s="41"/>
      <c r="AC716" s="41"/>
      <c r="AD716" s="41"/>
      <c r="AE716" s="41"/>
      <c r="AF716" s="41"/>
      <c r="AG716" s="41"/>
      <c r="AH716" s="41"/>
      <c r="AI716" s="41"/>
    </row>
    <row r="717" spans="1:35" ht="15.75" customHeight="1" x14ac:dyDescent="0.2">
      <c r="A717" s="41"/>
      <c r="B717" s="41"/>
      <c r="C717" s="41"/>
      <c r="D717" s="41"/>
      <c r="E717" s="41"/>
      <c r="F717" s="41"/>
      <c r="G717" s="41"/>
      <c r="H717" s="41"/>
      <c r="I717" s="41"/>
      <c r="J717" s="41"/>
      <c r="K717" s="41"/>
      <c r="L717" s="41"/>
      <c r="M717" s="41"/>
      <c r="N717" s="41"/>
      <c r="O717" s="41"/>
      <c r="P717" s="41"/>
      <c r="Q717" s="41"/>
      <c r="R717" s="41"/>
      <c r="S717" s="41"/>
      <c r="T717" s="41"/>
      <c r="U717" s="41"/>
      <c r="V717" s="41"/>
      <c r="W717" s="41"/>
      <c r="X717" s="41"/>
      <c r="Y717" s="41"/>
      <c r="Z717" s="41"/>
      <c r="AA717" s="41"/>
      <c r="AB717" s="41"/>
      <c r="AC717" s="41"/>
      <c r="AD717" s="41"/>
      <c r="AE717" s="41"/>
      <c r="AF717" s="41"/>
      <c r="AG717" s="41"/>
      <c r="AH717" s="41"/>
      <c r="AI717" s="41"/>
    </row>
    <row r="718" spans="1:35" ht="15.75" customHeight="1" x14ac:dyDescent="0.2">
      <c r="A718" s="41"/>
      <c r="B718" s="41"/>
      <c r="C718" s="41"/>
      <c r="D718" s="41"/>
      <c r="E718" s="41"/>
      <c r="F718" s="41"/>
      <c r="G718" s="41"/>
      <c r="H718" s="41"/>
      <c r="I718" s="41"/>
      <c r="J718" s="41"/>
      <c r="K718" s="41"/>
      <c r="L718" s="41"/>
      <c r="M718" s="41"/>
      <c r="N718" s="41"/>
      <c r="O718" s="41"/>
      <c r="P718" s="41"/>
      <c r="Q718" s="41"/>
      <c r="R718" s="41"/>
      <c r="S718" s="41"/>
      <c r="T718" s="41"/>
      <c r="U718" s="41"/>
      <c r="V718" s="41"/>
      <c r="W718" s="41"/>
      <c r="X718" s="41"/>
      <c r="Y718" s="41"/>
      <c r="Z718" s="41"/>
      <c r="AA718" s="41"/>
      <c r="AB718" s="41"/>
      <c r="AC718" s="41"/>
      <c r="AD718" s="41"/>
      <c r="AE718" s="41"/>
      <c r="AF718" s="41"/>
      <c r="AG718" s="41"/>
      <c r="AH718" s="41"/>
      <c r="AI718" s="41"/>
    </row>
    <row r="719" spans="1:35" ht="15.75" customHeight="1" x14ac:dyDescent="0.2">
      <c r="A719" s="41"/>
      <c r="B719" s="41"/>
      <c r="C719" s="41"/>
      <c r="D719" s="41"/>
      <c r="E719" s="41"/>
      <c r="F719" s="41"/>
      <c r="G719" s="41"/>
      <c r="H719" s="41"/>
      <c r="I719" s="41"/>
      <c r="J719" s="41"/>
      <c r="K719" s="41"/>
      <c r="L719" s="41"/>
      <c r="M719" s="41"/>
      <c r="N719" s="41"/>
      <c r="O719" s="41"/>
      <c r="P719" s="41"/>
      <c r="Q719" s="41"/>
      <c r="R719" s="41"/>
      <c r="S719" s="41"/>
      <c r="T719" s="41"/>
      <c r="U719" s="41"/>
      <c r="V719" s="41"/>
      <c r="W719" s="41"/>
      <c r="X719" s="41"/>
      <c r="Y719" s="41"/>
      <c r="Z719" s="41"/>
      <c r="AA719" s="41"/>
      <c r="AB719" s="41"/>
      <c r="AC719" s="41"/>
      <c r="AD719" s="41"/>
      <c r="AE719" s="41"/>
      <c r="AF719" s="41"/>
      <c r="AG719" s="41"/>
      <c r="AH719" s="41"/>
      <c r="AI719" s="41"/>
    </row>
    <row r="720" spans="1:35" ht="15.75" customHeight="1" x14ac:dyDescent="0.2">
      <c r="A720" s="41"/>
      <c r="B720" s="41"/>
      <c r="C720" s="41"/>
      <c r="D720" s="41"/>
      <c r="E720" s="41"/>
      <c r="F720" s="41"/>
      <c r="G720" s="41"/>
      <c r="H720" s="41"/>
      <c r="I720" s="41"/>
      <c r="J720" s="41"/>
      <c r="K720" s="41"/>
      <c r="L720" s="41"/>
      <c r="M720" s="41"/>
      <c r="N720" s="41"/>
      <c r="O720" s="41"/>
      <c r="P720" s="41"/>
      <c r="Q720" s="41"/>
      <c r="R720" s="41"/>
      <c r="S720" s="41"/>
      <c r="T720" s="41"/>
      <c r="U720" s="41"/>
      <c r="V720" s="41"/>
      <c r="W720" s="41"/>
      <c r="X720" s="41"/>
      <c r="Y720" s="41"/>
      <c r="Z720" s="41"/>
      <c r="AA720" s="41"/>
      <c r="AB720" s="41"/>
      <c r="AC720" s="41"/>
      <c r="AD720" s="41"/>
      <c r="AE720" s="41"/>
      <c r="AF720" s="41"/>
      <c r="AG720" s="41"/>
      <c r="AH720" s="41"/>
      <c r="AI720" s="41"/>
    </row>
    <row r="721" spans="1:35" ht="15.75" customHeight="1" x14ac:dyDescent="0.2">
      <c r="A721" s="41"/>
      <c r="B721" s="41"/>
      <c r="C721" s="41"/>
      <c r="D721" s="41"/>
      <c r="E721" s="41"/>
      <c r="F721" s="41"/>
      <c r="G721" s="41"/>
      <c r="H721" s="41"/>
      <c r="I721" s="41"/>
      <c r="J721" s="41"/>
      <c r="K721" s="41"/>
      <c r="L721" s="41"/>
      <c r="M721" s="41"/>
      <c r="N721" s="41"/>
      <c r="O721" s="41"/>
      <c r="P721" s="41"/>
      <c r="Q721" s="41"/>
      <c r="R721" s="41"/>
      <c r="S721" s="41"/>
      <c r="T721" s="41"/>
      <c r="U721" s="41"/>
      <c r="V721" s="41"/>
      <c r="W721" s="41"/>
      <c r="X721" s="41"/>
      <c r="Y721" s="41"/>
      <c r="Z721" s="41"/>
      <c r="AA721" s="41"/>
      <c r="AB721" s="41"/>
      <c r="AC721" s="41"/>
      <c r="AD721" s="41"/>
      <c r="AE721" s="41"/>
      <c r="AF721" s="41"/>
      <c r="AG721" s="41"/>
      <c r="AH721" s="41"/>
      <c r="AI721" s="41"/>
    </row>
    <row r="722" spans="1:35" ht="15.75" customHeight="1" x14ac:dyDescent="0.2">
      <c r="A722" s="41"/>
      <c r="B722" s="41"/>
      <c r="C722" s="41"/>
      <c r="D722" s="41"/>
      <c r="E722" s="41"/>
      <c r="F722" s="41"/>
      <c r="G722" s="41"/>
      <c r="H722" s="41"/>
      <c r="I722" s="41"/>
      <c r="J722" s="41"/>
      <c r="K722" s="41"/>
      <c r="L722" s="41"/>
      <c r="M722" s="41"/>
      <c r="N722" s="41"/>
      <c r="O722" s="41"/>
      <c r="P722" s="41"/>
      <c r="Q722" s="41"/>
      <c r="R722" s="41"/>
      <c r="S722" s="41"/>
      <c r="T722" s="41"/>
      <c r="U722" s="41"/>
      <c r="V722" s="41"/>
      <c r="W722" s="41"/>
      <c r="X722" s="41"/>
      <c r="Y722" s="41"/>
      <c r="Z722" s="41"/>
      <c r="AA722" s="41"/>
      <c r="AB722" s="41"/>
      <c r="AC722" s="41"/>
      <c r="AD722" s="41"/>
      <c r="AE722" s="41"/>
      <c r="AF722" s="41"/>
      <c r="AG722" s="41"/>
      <c r="AH722" s="41"/>
      <c r="AI722" s="41"/>
    </row>
    <row r="723" spans="1:35" ht="15.75" customHeight="1" x14ac:dyDescent="0.2">
      <c r="A723" s="41"/>
      <c r="B723" s="41"/>
      <c r="C723" s="41"/>
      <c r="D723" s="41"/>
      <c r="E723" s="41"/>
      <c r="F723" s="41"/>
      <c r="G723" s="41"/>
      <c r="H723" s="41"/>
      <c r="I723" s="41"/>
      <c r="J723" s="41"/>
      <c r="K723" s="41"/>
      <c r="L723" s="41"/>
      <c r="M723" s="41"/>
      <c r="N723" s="41"/>
      <c r="O723" s="41"/>
      <c r="P723" s="41"/>
      <c r="Q723" s="41"/>
      <c r="R723" s="41"/>
      <c r="S723" s="41"/>
      <c r="T723" s="41"/>
      <c r="U723" s="41"/>
      <c r="V723" s="41"/>
      <c r="W723" s="41"/>
      <c r="X723" s="41"/>
      <c r="Y723" s="41"/>
      <c r="Z723" s="41"/>
      <c r="AA723" s="41"/>
      <c r="AB723" s="41"/>
      <c r="AC723" s="41"/>
      <c r="AD723" s="41"/>
      <c r="AE723" s="41"/>
      <c r="AF723" s="41"/>
      <c r="AG723" s="41"/>
      <c r="AH723" s="41"/>
      <c r="AI723" s="41"/>
    </row>
    <row r="724" spans="1:35" ht="15.75" customHeight="1" x14ac:dyDescent="0.2">
      <c r="A724" s="41"/>
      <c r="B724" s="41"/>
      <c r="C724" s="41"/>
      <c r="D724" s="41"/>
      <c r="E724" s="41"/>
      <c r="F724" s="41"/>
      <c r="G724" s="41"/>
      <c r="H724" s="41"/>
      <c r="I724" s="41"/>
      <c r="J724" s="41"/>
      <c r="K724" s="41"/>
      <c r="L724" s="41"/>
      <c r="M724" s="41"/>
      <c r="N724" s="41"/>
      <c r="O724" s="41"/>
      <c r="P724" s="41"/>
      <c r="Q724" s="41"/>
      <c r="R724" s="41"/>
      <c r="S724" s="41"/>
      <c r="T724" s="41"/>
      <c r="U724" s="41"/>
      <c r="V724" s="41"/>
      <c r="W724" s="41"/>
      <c r="X724" s="41"/>
      <c r="Y724" s="41"/>
      <c r="Z724" s="41"/>
      <c r="AA724" s="41"/>
      <c r="AB724" s="41"/>
      <c r="AC724" s="41"/>
      <c r="AD724" s="41"/>
      <c r="AE724" s="41"/>
      <c r="AF724" s="41"/>
      <c r="AG724" s="41"/>
      <c r="AH724" s="41"/>
      <c r="AI724" s="41"/>
    </row>
    <row r="725" spans="1:35" ht="15.75" customHeight="1" x14ac:dyDescent="0.2">
      <c r="A725" s="41"/>
      <c r="B725" s="41"/>
      <c r="C725" s="41"/>
      <c r="D725" s="41"/>
      <c r="E725" s="41"/>
      <c r="F725" s="41"/>
      <c r="G725" s="41"/>
      <c r="H725" s="41"/>
      <c r="I725" s="41"/>
      <c r="J725" s="41"/>
      <c r="K725" s="41"/>
      <c r="L725" s="41"/>
      <c r="M725" s="41"/>
      <c r="N725" s="41"/>
      <c r="O725" s="41"/>
      <c r="P725" s="41"/>
      <c r="Q725" s="41"/>
      <c r="R725" s="41"/>
      <c r="S725" s="41"/>
      <c r="T725" s="41"/>
      <c r="U725" s="41"/>
      <c r="V725" s="41"/>
      <c r="W725" s="41"/>
      <c r="X725" s="41"/>
      <c r="Y725" s="41"/>
      <c r="Z725" s="41"/>
      <c r="AA725" s="41"/>
      <c r="AB725" s="41"/>
      <c r="AC725" s="41"/>
      <c r="AD725" s="41"/>
      <c r="AE725" s="41"/>
      <c r="AF725" s="41"/>
      <c r="AG725" s="41"/>
      <c r="AH725" s="41"/>
      <c r="AI725" s="41"/>
    </row>
    <row r="726" spans="1:35" ht="15.75" customHeight="1" x14ac:dyDescent="0.2">
      <c r="A726" s="41"/>
      <c r="B726" s="41"/>
      <c r="C726" s="41"/>
      <c r="D726" s="41"/>
      <c r="E726" s="41"/>
      <c r="F726" s="41"/>
      <c r="G726" s="41"/>
      <c r="H726" s="41"/>
      <c r="I726" s="41"/>
      <c r="J726" s="41"/>
      <c r="K726" s="41"/>
      <c r="L726" s="41"/>
      <c r="M726" s="41"/>
      <c r="N726" s="41"/>
      <c r="O726" s="41"/>
      <c r="P726" s="41"/>
      <c r="Q726" s="41"/>
      <c r="R726" s="41"/>
      <c r="S726" s="41"/>
      <c r="T726" s="41"/>
      <c r="U726" s="41"/>
      <c r="V726" s="41"/>
      <c r="W726" s="41"/>
      <c r="X726" s="41"/>
      <c r="Y726" s="41"/>
      <c r="Z726" s="41"/>
      <c r="AA726" s="41"/>
      <c r="AB726" s="41"/>
      <c r="AC726" s="41"/>
      <c r="AD726" s="41"/>
      <c r="AE726" s="41"/>
      <c r="AF726" s="41"/>
      <c r="AG726" s="41"/>
      <c r="AH726" s="41"/>
      <c r="AI726" s="41"/>
    </row>
    <row r="727" spans="1:35" ht="15.75" customHeight="1" x14ac:dyDescent="0.2">
      <c r="A727" s="41"/>
      <c r="B727" s="41"/>
      <c r="C727" s="41"/>
      <c r="D727" s="41"/>
      <c r="E727" s="41"/>
      <c r="F727" s="41"/>
      <c r="G727" s="41"/>
      <c r="H727" s="41"/>
      <c r="I727" s="41"/>
      <c r="J727" s="41"/>
      <c r="K727" s="41"/>
      <c r="L727" s="41"/>
      <c r="M727" s="41"/>
      <c r="N727" s="41"/>
      <c r="O727" s="41"/>
      <c r="P727" s="41"/>
      <c r="Q727" s="41"/>
      <c r="R727" s="41"/>
      <c r="S727" s="41"/>
      <c r="T727" s="41"/>
      <c r="U727" s="41"/>
      <c r="V727" s="41"/>
      <c r="W727" s="41"/>
      <c r="X727" s="41"/>
      <c r="Y727" s="41"/>
      <c r="Z727" s="41"/>
      <c r="AA727" s="41"/>
      <c r="AB727" s="41"/>
      <c r="AC727" s="41"/>
      <c r="AD727" s="41"/>
      <c r="AE727" s="41"/>
      <c r="AF727" s="41"/>
      <c r="AG727" s="41"/>
      <c r="AH727" s="41"/>
      <c r="AI727" s="41"/>
    </row>
    <row r="728" spans="1:35" ht="15.75" customHeight="1" x14ac:dyDescent="0.2">
      <c r="A728" s="41"/>
      <c r="B728" s="41"/>
      <c r="C728" s="41"/>
      <c r="D728" s="41"/>
      <c r="E728" s="41"/>
      <c r="F728" s="41"/>
      <c r="G728" s="41"/>
      <c r="H728" s="41"/>
      <c r="I728" s="41"/>
      <c r="J728" s="41"/>
      <c r="K728" s="41"/>
      <c r="L728" s="41"/>
      <c r="M728" s="41"/>
      <c r="N728" s="41"/>
      <c r="O728" s="41"/>
      <c r="P728" s="41"/>
      <c r="Q728" s="41"/>
      <c r="R728" s="41"/>
      <c r="S728" s="41"/>
      <c r="T728" s="41"/>
      <c r="U728" s="41"/>
      <c r="V728" s="41"/>
      <c r="W728" s="41"/>
      <c r="X728" s="41"/>
      <c r="Y728" s="41"/>
      <c r="Z728" s="41"/>
      <c r="AA728" s="41"/>
      <c r="AB728" s="41"/>
      <c r="AC728" s="41"/>
      <c r="AD728" s="41"/>
      <c r="AE728" s="41"/>
      <c r="AF728" s="41"/>
      <c r="AG728" s="41"/>
      <c r="AH728" s="41"/>
      <c r="AI728" s="41"/>
    </row>
    <row r="729" spans="1:35" ht="15.75" customHeight="1" x14ac:dyDescent="0.2">
      <c r="A729" s="41"/>
      <c r="B729" s="41"/>
      <c r="C729" s="41"/>
      <c r="D729" s="41"/>
      <c r="E729" s="41"/>
      <c r="F729" s="41"/>
      <c r="G729" s="41"/>
      <c r="H729" s="41"/>
      <c r="I729" s="41"/>
      <c r="J729" s="41"/>
      <c r="K729" s="41"/>
      <c r="L729" s="41"/>
      <c r="M729" s="41"/>
      <c r="N729" s="41"/>
      <c r="O729" s="41"/>
      <c r="P729" s="41"/>
      <c r="Q729" s="41"/>
      <c r="R729" s="41"/>
      <c r="S729" s="41"/>
      <c r="T729" s="41"/>
      <c r="U729" s="41"/>
      <c r="V729" s="41"/>
      <c r="W729" s="41"/>
      <c r="X729" s="41"/>
      <c r="Y729" s="41"/>
      <c r="Z729" s="41"/>
      <c r="AA729" s="41"/>
      <c r="AB729" s="41"/>
      <c r="AC729" s="41"/>
      <c r="AD729" s="41"/>
      <c r="AE729" s="41"/>
      <c r="AF729" s="41"/>
      <c r="AG729" s="41"/>
      <c r="AH729" s="41"/>
      <c r="AI729" s="41"/>
    </row>
    <row r="730" spans="1:35" ht="15.75" customHeight="1" x14ac:dyDescent="0.2">
      <c r="A730" s="41"/>
      <c r="B730" s="41"/>
      <c r="C730" s="41"/>
      <c r="D730" s="41"/>
      <c r="E730" s="41"/>
      <c r="F730" s="41"/>
      <c r="G730" s="41"/>
      <c r="H730" s="41"/>
      <c r="I730" s="41"/>
      <c r="J730" s="41"/>
      <c r="K730" s="41"/>
      <c r="L730" s="41"/>
      <c r="M730" s="41"/>
      <c r="N730" s="41"/>
      <c r="O730" s="41"/>
      <c r="P730" s="41"/>
      <c r="Q730" s="41"/>
      <c r="R730" s="41"/>
      <c r="S730" s="41"/>
      <c r="T730" s="41"/>
      <c r="U730" s="41"/>
      <c r="V730" s="41"/>
      <c r="W730" s="41"/>
      <c r="X730" s="41"/>
      <c r="Y730" s="41"/>
      <c r="Z730" s="41"/>
      <c r="AA730" s="41"/>
      <c r="AB730" s="41"/>
      <c r="AC730" s="41"/>
      <c r="AD730" s="41"/>
      <c r="AE730" s="41"/>
      <c r="AF730" s="41"/>
      <c r="AG730" s="41"/>
      <c r="AH730" s="41"/>
      <c r="AI730" s="41"/>
    </row>
    <row r="731" spans="1:35" ht="15.75" customHeight="1" x14ac:dyDescent="0.2">
      <c r="A731" s="41"/>
      <c r="B731" s="41"/>
      <c r="C731" s="41"/>
      <c r="D731" s="41"/>
      <c r="E731" s="41"/>
      <c r="F731" s="41"/>
      <c r="G731" s="41"/>
      <c r="H731" s="41"/>
      <c r="I731" s="41"/>
      <c r="J731" s="41"/>
      <c r="K731" s="41"/>
      <c r="L731" s="41"/>
      <c r="M731" s="41"/>
      <c r="N731" s="41"/>
      <c r="O731" s="41"/>
      <c r="P731" s="41"/>
      <c r="Q731" s="41"/>
      <c r="R731" s="41"/>
      <c r="S731" s="41"/>
      <c r="T731" s="41"/>
      <c r="U731" s="41"/>
      <c r="V731" s="41"/>
      <c r="W731" s="41"/>
      <c r="X731" s="41"/>
      <c r="Y731" s="41"/>
      <c r="Z731" s="41"/>
      <c r="AA731" s="41"/>
      <c r="AB731" s="41"/>
      <c r="AC731" s="41"/>
      <c r="AD731" s="41"/>
      <c r="AE731" s="41"/>
      <c r="AF731" s="41"/>
      <c r="AG731" s="41"/>
      <c r="AH731" s="41"/>
      <c r="AI731" s="41"/>
    </row>
    <row r="732" spans="1:35" ht="15.75" customHeight="1" x14ac:dyDescent="0.2">
      <c r="A732" s="41"/>
      <c r="B732" s="41"/>
      <c r="C732" s="41"/>
      <c r="D732" s="41"/>
      <c r="E732" s="41"/>
      <c r="F732" s="41"/>
      <c r="G732" s="41"/>
      <c r="H732" s="41"/>
      <c r="I732" s="41"/>
      <c r="J732" s="41"/>
      <c r="K732" s="41"/>
      <c r="L732" s="41"/>
      <c r="M732" s="41"/>
      <c r="N732" s="41"/>
      <c r="O732" s="41"/>
      <c r="P732" s="41"/>
      <c r="Q732" s="41"/>
      <c r="R732" s="41"/>
      <c r="S732" s="41"/>
      <c r="T732" s="41"/>
      <c r="U732" s="41"/>
      <c r="V732" s="41"/>
      <c r="W732" s="41"/>
      <c r="X732" s="41"/>
      <c r="Y732" s="41"/>
      <c r="Z732" s="41"/>
      <c r="AA732" s="41"/>
      <c r="AB732" s="41"/>
      <c r="AC732" s="41"/>
      <c r="AD732" s="41"/>
      <c r="AE732" s="41"/>
      <c r="AF732" s="41"/>
      <c r="AG732" s="41"/>
      <c r="AH732" s="41"/>
      <c r="AI732" s="41"/>
    </row>
    <row r="733" spans="1:35" ht="15.75" customHeight="1" x14ac:dyDescent="0.2">
      <c r="A733" s="41"/>
      <c r="B733" s="41"/>
      <c r="C733" s="41"/>
      <c r="D733" s="41"/>
      <c r="E733" s="41"/>
      <c r="F733" s="41"/>
      <c r="G733" s="41"/>
      <c r="H733" s="41"/>
      <c r="I733" s="41"/>
      <c r="J733" s="41"/>
      <c r="K733" s="41"/>
      <c r="L733" s="41"/>
      <c r="M733" s="41"/>
      <c r="N733" s="41"/>
      <c r="O733" s="41"/>
      <c r="P733" s="41"/>
      <c r="Q733" s="41"/>
      <c r="R733" s="41"/>
      <c r="S733" s="41"/>
      <c r="T733" s="41"/>
      <c r="U733" s="41"/>
      <c r="V733" s="41"/>
      <c r="W733" s="41"/>
      <c r="X733" s="41"/>
      <c r="Y733" s="41"/>
      <c r="Z733" s="41"/>
      <c r="AA733" s="41"/>
      <c r="AB733" s="41"/>
      <c r="AC733" s="41"/>
      <c r="AD733" s="41"/>
      <c r="AE733" s="41"/>
      <c r="AF733" s="41"/>
      <c r="AG733" s="41"/>
      <c r="AH733" s="41"/>
      <c r="AI733" s="41"/>
    </row>
    <row r="734" spans="1:35" ht="15.75" customHeight="1" x14ac:dyDescent="0.2">
      <c r="A734" s="41"/>
      <c r="B734" s="41"/>
      <c r="C734" s="41"/>
      <c r="D734" s="41"/>
      <c r="E734" s="41"/>
      <c r="F734" s="41"/>
      <c r="G734" s="41"/>
      <c r="H734" s="41"/>
      <c r="I734" s="41"/>
      <c r="J734" s="41"/>
      <c r="K734" s="41"/>
      <c r="L734" s="41"/>
      <c r="M734" s="41"/>
      <c r="N734" s="41"/>
      <c r="O734" s="41"/>
      <c r="P734" s="41"/>
      <c r="Q734" s="41"/>
      <c r="R734" s="41"/>
      <c r="S734" s="41"/>
      <c r="T734" s="41"/>
      <c r="U734" s="41"/>
      <c r="V734" s="41"/>
      <c r="W734" s="41"/>
      <c r="X734" s="41"/>
      <c r="Y734" s="41"/>
      <c r="Z734" s="41"/>
      <c r="AA734" s="41"/>
      <c r="AB734" s="41"/>
      <c r="AC734" s="41"/>
      <c r="AD734" s="41"/>
      <c r="AE734" s="41"/>
      <c r="AF734" s="41"/>
      <c r="AG734" s="41"/>
      <c r="AH734" s="41"/>
      <c r="AI734" s="41"/>
    </row>
    <row r="735" spans="1:35" ht="15.75" customHeight="1" x14ac:dyDescent="0.2">
      <c r="A735" s="41"/>
      <c r="B735" s="41"/>
      <c r="C735" s="41"/>
      <c r="D735" s="41"/>
      <c r="E735" s="41"/>
      <c r="F735" s="41"/>
      <c r="G735" s="41"/>
      <c r="H735" s="41"/>
      <c r="I735" s="41"/>
      <c r="J735" s="41"/>
      <c r="K735" s="41"/>
      <c r="L735" s="41"/>
      <c r="M735" s="41"/>
      <c r="N735" s="41"/>
      <c r="O735" s="41"/>
      <c r="P735" s="41"/>
      <c r="Q735" s="41"/>
      <c r="R735" s="41"/>
      <c r="S735" s="41"/>
      <c r="T735" s="41"/>
      <c r="U735" s="41"/>
      <c r="V735" s="41"/>
      <c r="W735" s="41"/>
      <c r="X735" s="41"/>
      <c r="Y735" s="41"/>
      <c r="Z735" s="41"/>
      <c r="AA735" s="41"/>
      <c r="AB735" s="41"/>
      <c r="AC735" s="41"/>
      <c r="AD735" s="41"/>
      <c r="AE735" s="41"/>
      <c r="AF735" s="41"/>
      <c r="AG735" s="41"/>
      <c r="AH735" s="41"/>
      <c r="AI735" s="41"/>
    </row>
    <row r="736" spans="1:35" ht="15.75" customHeight="1" x14ac:dyDescent="0.2">
      <c r="A736" s="41"/>
      <c r="B736" s="41"/>
      <c r="C736" s="41"/>
      <c r="D736" s="41"/>
      <c r="E736" s="41"/>
      <c r="F736" s="41"/>
      <c r="G736" s="41"/>
      <c r="H736" s="41"/>
      <c r="I736" s="41"/>
      <c r="J736" s="41"/>
      <c r="K736" s="41"/>
      <c r="L736" s="41"/>
      <c r="M736" s="41"/>
      <c r="N736" s="41"/>
      <c r="O736" s="41"/>
      <c r="P736" s="41"/>
      <c r="Q736" s="41"/>
      <c r="R736" s="41"/>
      <c r="S736" s="41"/>
      <c r="T736" s="41"/>
      <c r="U736" s="41"/>
      <c r="V736" s="41"/>
      <c r="W736" s="41"/>
      <c r="X736" s="41"/>
      <c r="Y736" s="41"/>
      <c r="Z736" s="41"/>
      <c r="AA736" s="41"/>
      <c r="AB736" s="41"/>
      <c r="AC736" s="41"/>
      <c r="AD736" s="41"/>
      <c r="AE736" s="41"/>
      <c r="AF736" s="41"/>
      <c r="AG736" s="41"/>
      <c r="AH736" s="41"/>
      <c r="AI736" s="41"/>
    </row>
    <row r="737" spans="1:35" ht="15.75" customHeight="1" x14ac:dyDescent="0.2">
      <c r="A737" s="41"/>
      <c r="B737" s="41"/>
      <c r="C737" s="41"/>
      <c r="D737" s="41"/>
      <c r="E737" s="41"/>
      <c r="F737" s="41"/>
      <c r="G737" s="41"/>
      <c r="H737" s="41"/>
      <c r="I737" s="41"/>
      <c r="J737" s="41"/>
      <c r="K737" s="41"/>
      <c r="L737" s="41"/>
      <c r="M737" s="41"/>
      <c r="N737" s="41"/>
      <c r="O737" s="41"/>
      <c r="P737" s="41"/>
      <c r="Q737" s="41"/>
      <c r="R737" s="41"/>
      <c r="S737" s="41"/>
      <c r="T737" s="41"/>
      <c r="U737" s="41"/>
      <c r="V737" s="41"/>
      <c r="W737" s="41"/>
      <c r="X737" s="41"/>
      <c r="Y737" s="41"/>
      <c r="Z737" s="41"/>
      <c r="AA737" s="41"/>
      <c r="AB737" s="41"/>
      <c r="AC737" s="41"/>
      <c r="AD737" s="41"/>
      <c r="AE737" s="41"/>
      <c r="AF737" s="41"/>
      <c r="AG737" s="41"/>
      <c r="AH737" s="41"/>
      <c r="AI737" s="41"/>
    </row>
    <row r="738" spans="1:35" ht="15.75" customHeight="1" x14ac:dyDescent="0.2">
      <c r="A738" s="41"/>
      <c r="B738" s="41"/>
      <c r="C738" s="41"/>
      <c r="D738" s="41"/>
      <c r="E738" s="41"/>
      <c r="F738" s="41"/>
      <c r="G738" s="41"/>
      <c r="H738" s="41"/>
      <c r="I738" s="41"/>
      <c r="J738" s="41"/>
      <c r="K738" s="41"/>
      <c r="L738" s="41"/>
      <c r="M738" s="41"/>
      <c r="N738" s="41"/>
      <c r="O738" s="41"/>
      <c r="P738" s="41"/>
      <c r="Q738" s="41"/>
      <c r="R738" s="41"/>
      <c r="S738" s="41"/>
      <c r="T738" s="41"/>
      <c r="U738" s="41"/>
      <c r="V738" s="41"/>
      <c r="W738" s="41"/>
      <c r="X738" s="41"/>
      <c r="Y738" s="41"/>
      <c r="Z738" s="41"/>
      <c r="AA738" s="41"/>
      <c r="AB738" s="41"/>
      <c r="AC738" s="41"/>
      <c r="AD738" s="41"/>
      <c r="AE738" s="41"/>
      <c r="AF738" s="41"/>
      <c r="AG738" s="41"/>
      <c r="AH738" s="41"/>
      <c r="AI738" s="41"/>
    </row>
    <row r="739" spans="1:35" ht="15.75" customHeight="1" x14ac:dyDescent="0.2">
      <c r="A739" s="41"/>
      <c r="B739" s="41"/>
      <c r="C739" s="41"/>
      <c r="D739" s="41"/>
      <c r="E739" s="41"/>
      <c r="F739" s="41"/>
      <c r="G739" s="41"/>
      <c r="H739" s="41"/>
      <c r="I739" s="41"/>
      <c r="J739" s="41"/>
      <c r="K739" s="41"/>
      <c r="L739" s="41"/>
      <c r="M739" s="41"/>
      <c r="N739" s="41"/>
      <c r="O739" s="41"/>
      <c r="P739" s="41"/>
      <c r="Q739" s="41"/>
      <c r="R739" s="41"/>
      <c r="S739" s="41"/>
      <c r="T739" s="41"/>
      <c r="U739" s="41"/>
      <c r="V739" s="41"/>
      <c r="W739" s="41"/>
      <c r="X739" s="41"/>
      <c r="Y739" s="41"/>
      <c r="Z739" s="41"/>
      <c r="AA739" s="41"/>
      <c r="AB739" s="41"/>
      <c r="AC739" s="41"/>
      <c r="AD739" s="41"/>
      <c r="AE739" s="41"/>
      <c r="AF739" s="41"/>
      <c r="AG739" s="41"/>
      <c r="AH739" s="41"/>
      <c r="AI739" s="41"/>
    </row>
    <row r="740" spans="1:35" ht="15.75" customHeight="1" x14ac:dyDescent="0.2">
      <c r="A740" s="41"/>
      <c r="B740" s="41"/>
      <c r="C740" s="41"/>
      <c r="D740" s="41"/>
      <c r="E740" s="41"/>
      <c r="F740" s="41"/>
      <c r="G740" s="41"/>
      <c r="H740" s="41"/>
      <c r="I740" s="41"/>
      <c r="J740" s="41"/>
      <c r="K740" s="41"/>
      <c r="L740" s="41"/>
      <c r="M740" s="41"/>
      <c r="N740" s="41"/>
      <c r="O740" s="41"/>
      <c r="P740" s="41"/>
      <c r="Q740" s="41"/>
      <c r="R740" s="41"/>
      <c r="S740" s="41"/>
      <c r="T740" s="41"/>
      <c r="U740" s="41"/>
      <c r="V740" s="41"/>
      <c r="W740" s="41"/>
      <c r="X740" s="41"/>
      <c r="Y740" s="41"/>
      <c r="Z740" s="41"/>
      <c r="AA740" s="41"/>
      <c r="AB740" s="41"/>
      <c r="AC740" s="41"/>
      <c r="AD740" s="41"/>
      <c r="AE740" s="41"/>
      <c r="AF740" s="41"/>
      <c r="AG740" s="41"/>
      <c r="AH740" s="41"/>
      <c r="AI740" s="41"/>
    </row>
    <row r="741" spans="1:35" ht="15.75" customHeight="1" x14ac:dyDescent="0.2">
      <c r="A741" s="41"/>
      <c r="B741" s="41"/>
      <c r="C741" s="41"/>
      <c r="D741" s="41"/>
      <c r="E741" s="41"/>
      <c r="F741" s="41"/>
      <c r="G741" s="41"/>
      <c r="H741" s="41"/>
      <c r="I741" s="41"/>
      <c r="J741" s="41"/>
      <c r="K741" s="41"/>
      <c r="L741" s="41"/>
      <c r="M741" s="41"/>
      <c r="N741" s="41"/>
      <c r="O741" s="41"/>
      <c r="P741" s="41"/>
      <c r="Q741" s="41"/>
      <c r="R741" s="41"/>
      <c r="S741" s="41"/>
      <c r="T741" s="41"/>
      <c r="U741" s="41"/>
      <c r="V741" s="41"/>
      <c r="W741" s="41"/>
      <c r="X741" s="41"/>
      <c r="Y741" s="41"/>
      <c r="Z741" s="41"/>
      <c r="AA741" s="41"/>
      <c r="AB741" s="41"/>
      <c r="AC741" s="41"/>
      <c r="AD741" s="41"/>
      <c r="AE741" s="41"/>
      <c r="AF741" s="41"/>
      <c r="AG741" s="41"/>
      <c r="AH741" s="41"/>
      <c r="AI741" s="41"/>
    </row>
    <row r="742" spans="1:35" ht="15.75" customHeight="1" x14ac:dyDescent="0.2">
      <c r="A742" s="41"/>
      <c r="B742" s="41"/>
      <c r="C742" s="41"/>
      <c r="D742" s="41"/>
      <c r="E742" s="41"/>
      <c r="F742" s="41"/>
      <c r="G742" s="41"/>
      <c r="H742" s="41"/>
      <c r="I742" s="41"/>
      <c r="J742" s="41"/>
      <c r="K742" s="41"/>
      <c r="L742" s="41"/>
      <c r="M742" s="41"/>
      <c r="N742" s="41"/>
      <c r="O742" s="41"/>
      <c r="P742" s="41"/>
      <c r="Q742" s="41"/>
      <c r="R742" s="41"/>
      <c r="S742" s="41"/>
      <c r="T742" s="41"/>
      <c r="U742" s="41"/>
      <c r="V742" s="41"/>
      <c r="W742" s="41"/>
      <c r="X742" s="41"/>
      <c r="Y742" s="41"/>
      <c r="Z742" s="41"/>
      <c r="AA742" s="41"/>
      <c r="AB742" s="41"/>
      <c r="AC742" s="41"/>
      <c r="AD742" s="41"/>
      <c r="AE742" s="41"/>
      <c r="AF742" s="41"/>
      <c r="AG742" s="41"/>
      <c r="AH742" s="41"/>
      <c r="AI742" s="41"/>
    </row>
    <row r="743" spans="1:35" ht="15.75" customHeight="1" x14ac:dyDescent="0.2">
      <c r="A743" s="41"/>
      <c r="B743" s="41"/>
      <c r="C743" s="41"/>
      <c r="D743" s="41"/>
      <c r="E743" s="41"/>
      <c r="F743" s="41"/>
      <c r="G743" s="41"/>
      <c r="H743" s="41"/>
      <c r="I743" s="41"/>
      <c r="J743" s="41"/>
      <c r="K743" s="41"/>
      <c r="L743" s="41"/>
      <c r="M743" s="41"/>
      <c r="N743" s="41"/>
      <c r="O743" s="41"/>
      <c r="P743" s="41"/>
      <c r="Q743" s="41"/>
      <c r="R743" s="41"/>
      <c r="S743" s="41"/>
      <c r="T743" s="41"/>
      <c r="U743" s="41"/>
      <c r="V743" s="41"/>
      <c r="W743" s="41"/>
      <c r="X743" s="41"/>
      <c r="Y743" s="41"/>
      <c r="Z743" s="41"/>
      <c r="AA743" s="41"/>
      <c r="AB743" s="41"/>
      <c r="AC743" s="41"/>
      <c r="AD743" s="41"/>
      <c r="AE743" s="41"/>
      <c r="AF743" s="41"/>
      <c r="AG743" s="41"/>
      <c r="AH743" s="41"/>
      <c r="AI743" s="41"/>
    </row>
    <row r="744" spans="1:35" ht="15.75" customHeight="1" x14ac:dyDescent="0.2">
      <c r="A744" s="41"/>
      <c r="B744" s="41"/>
      <c r="C744" s="41"/>
      <c r="D744" s="41"/>
      <c r="E744" s="41"/>
      <c r="F744" s="41"/>
      <c r="G744" s="41"/>
      <c r="H744" s="41"/>
      <c r="I744" s="41"/>
      <c r="J744" s="41"/>
      <c r="K744" s="41"/>
      <c r="L744" s="41"/>
      <c r="M744" s="41"/>
      <c r="N744" s="41"/>
      <c r="O744" s="41"/>
      <c r="P744" s="41"/>
      <c r="Q744" s="41"/>
      <c r="R744" s="41"/>
      <c r="S744" s="41"/>
      <c r="T744" s="41"/>
      <c r="U744" s="41"/>
      <c r="V744" s="41"/>
      <c r="W744" s="41"/>
      <c r="X744" s="41"/>
      <c r="Y744" s="41"/>
      <c r="Z744" s="41"/>
      <c r="AA744" s="41"/>
      <c r="AB744" s="41"/>
      <c r="AC744" s="41"/>
      <c r="AD744" s="41"/>
      <c r="AE744" s="41"/>
      <c r="AF744" s="41"/>
      <c r="AG744" s="41"/>
      <c r="AH744" s="41"/>
      <c r="AI744" s="41"/>
    </row>
    <row r="745" spans="1:35" ht="15.75" customHeight="1" x14ac:dyDescent="0.2">
      <c r="A745" s="41"/>
      <c r="B745" s="41"/>
      <c r="C745" s="41"/>
      <c r="D745" s="41"/>
      <c r="E745" s="41"/>
      <c r="F745" s="41"/>
      <c r="G745" s="41"/>
      <c r="H745" s="41"/>
      <c r="I745" s="41"/>
      <c r="J745" s="41"/>
      <c r="K745" s="41"/>
      <c r="L745" s="41"/>
      <c r="M745" s="41"/>
      <c r="N745" s="41"/>
      <c r="O745" s="41"/>
      <c r="P745" s="41"/>
      <c r="Q745" s="41"/>
      <c r="R745" s="41"/>
      <c r="S745" s="41"/>
      <c r="T745" s="41"/>
      <c r="U745" s="41"/>
      <c r="V745" s="41"/>
      <c r="W745" s="41"/>
      <c r="X745" s="41"/>
      <c r="Y745" s="41"/>
      <c r="Z745" s="41"/>
      <c r="AA745" s="41"/>
      <c r="AB745" s="41"/>
      <c r="AC745" s="41"/>
      <c r="AD745" s="41"/>
      <c r="AE745" s="41"/>
      <c r="AF745" s="41"/>
      <c r="AG745" s="41"/>
      <c r="AH745" s="41"/>
      <c r="AI745" s="41"/>
    </row>
    <row r="746" spans="1:35" ht="15.75" customHeight="1" x14ac:dyDescent="0.2">
      <c r="A746" s="41"/>
      <c r="B746" s="41"/>
      <c r="C746" s="41"/>
      <c r="D746" s="41"/>
      <c r="E746" s="41"/>
      <c r="F746" s="41"/>
      <c r="G746" s="41"/>
      <c r="H746" s="41"/>
      <c r="I746" s="41"/>
      <c r="J746" s="41"/>
      <c r="K746" s="41"/>
      <c r="L746" s="41"/>
      <c r="M746" s="41"/>
      <c r="N746" s="41"/>
      <c r="O746" s="41"/>
      <c r="P746" s="41"/>
      <c r="Q746" s="41"/>
      <c r="R746" s="41"/>
      <c r="S746" s="41"/>
      <c r="T746" s="41"/>
      <c r="U746" s="41"/>
      <c r="V746" s="41"/>
      <c r="W746" s="41"/>
      <c r="X746" s="41"/>
      <c r="Y746" s="41"/>
      <c r="Z746" s="41"/>
      <c r="AA746" s="41"/>
      <c r="AB746" s="41"/>
      <c r="AC746" s="41"/>
      <c r="AD746" s="41"/>
      <c r="AE746" s="41"/>
      <c r="AF746" s="41"/>
      <c r="AG746" s="41"/>
      <c r="AH746" s="41"/>
      <c r="AI746" s="41"/>
    </row>
    <row r="747" spans="1:35" ht="15.75" customHeight="1" x14ac:dyDescent="0.2">
      <c r="A747" s="41"/>
      <c r="B747" s="41"/>
      <c r="C747" s="41"/>
      <c r="D747" s="41"/>
      <c r="E747" s="41"/>
      <c r="F747" s="41"/>
      <c r="G747" s="41"/>
      <c r="H747" s="41"/>
      <c r="I747" s="41"/>
      <c r="J747" s="41"/>
      <c r="K747" s="41"/>
      <c r="L747" s="41"/>
      <c r="M747" s="41"/>
      <c r="N747" s="41"/>
      <c r="O747" s="41"/>
      <c r="P747" s="41"/>
      <c r="Q747" s="41"/>
      <c r="R747" s="41"/>
      <c r="S747" s="41"/>
      <c r="T747" s="41"/>
      <c r="U747" s="41"/>
      <c r="V747" s="41"/>
      <c r="W747" s="41"/>
      <c r="X747" s="41"/>
      <c r="Y747" s="41"/>
      <c r="Z747" s="41"/>
      <c r="AA747" s="41"/>
      <c r="AB747" s="41"/>
      <c r="AC747" s="41"/>
      <c r="AD747" s="41"/>
      <c r="AE747" s="41"/>
      <c r="AF747" s="41"/>
      <c r="AG747" s="41"/>
      <c r="AH747" s="41"/>
      <c r="AI747" s="41"/>
    </row>
    <row r="748" spans="1:35" ht="15.75" customHeight="1" x14ac:dyDescent="0.2">
      <c r="A748" s="41"/>
      <c r="B748" s="41"/>
      <c r="C748" s="41"/>
      <c r="D748" s="41"/>
      <c r="E748" s="41"/>
      <c r="F748" s="41"/>
      <c r="G748" s="41"/>
      <c r="H748" s="41"/>
      <c r="I748" s="41"/>
      <c r="J748" s="41"/>
      <c r="K748" s="41"/>
      <c r="L748" s="41"/>
      <c r="M748" s="41"/>
      <c r="N748" s="41"/>
      <c r="O748" s="41"/>
      <c r="P748" s="41"/>
      <c r="Q748" s="41"/>
      <c r="R748" s="41"/>
      <c r="S748" s="41"/>
      <c r="T748" s="41"/>
      <c r="U748" s="41"/>
      <c r="V748" s="41"/>
      <c r="W748" s="41"/>
      <c r="X748" s="41"/>
      <c r="Y748" s="41"/>
      <c r="Z748" s="41"/>
      <c r="AA748" s="41"/>
      <c r="AB748" s="41"/>
      <c r="AC748" s="41"/>
      <c r="AD748" s="41"/>
      <c r="AE748" s="41"/>
      <c r="AF748" s="41"/>
      <c r="AG748" s="41"/>
      <c r="AH748" s="41"/>
      <c r="AI748" s="41"/>
    </row>
    <row r="749" spans="1:35" ht="15.75" customHeight="1" x14ac:dyDescent="0.2">
      <c r="A749" s="41"/>
      <c r="B749" s="41"/>
      <c r="C749" s="41"/>
      <c r="D749" s="41"/>
      <c r="E749" s="41"/>
      <c r="F749" s="41"/>
      <c r="G749" s="41"/>
      <c r="H749" s="41"/>
      <c r="I749" s="41"/>
      <c r="J749" s="41"/>
      <c r="K749" s="41"/>
      <c r="L749" s="41"/>
      <c r="M749" s="41"/>
      <c r="N749" s="41"/>
      <c r="O749" s="41"/>
      <c r="P749" s="41"/>
      <c r="Q749" s="41"/>
      <c r="R749" s="41"/>
      <c r="S749" s="41"/>
      <c r="T749" s="41"/>
      <c r="U749" s="41"/>
      <c r="V749" s="41"/>
      <c r="W749" s="41"/>
      <c r="X749" s="41"/>
      <c r="Y749" s="41"/>
      <c r="Z749" s="41"/>
      <c r="AA749" s="41"/>
      <c r="AB749" s="41"/>
      <c r="AC749" s="41"/>
      <c r="AD749" s="41"/>
      <c r="AE749" s="41"/>
      <c r="AF749" s="41"/>
      <c r="AG749" s="41"/>
      <c r="AH749" s="41"/>
      <c r="AI749" s="41"/>
    </row>
    <row r="750" spans="1:35" ht="15.75" customHeight="1" x14ac:dyDescent="0.2">
      <c r="A750" s="41"/>
      <c r="B750" s="41"/>
      <c r="C750" s="41"/>
      <c r="D750" s="41"/>
      <c r="E750" s="41"/>
      <c r="F750" s="41"/>
      <c r="G750" s="41"/>
      <c r="H750" s="41"/>
      <c r="I750" s="41"/>
      <c r="J750" s="41"/>
      <c r="K750" s="41"/>
      <c r="L750" s="41"/>
      <c r="M750" s="41"/>
      <c r="N750" s="41"/>
      <c r="O750" s="41"/>
      <c r="P750" s="41"/>
      <c r="Q750" s="41"/>
      <c r="R750" s="41"/>
      <c r="S750" s="41"/>
      <c r="T750" s="41"/>
      <c r="U750" s="41"/>
      <c r="V750" s="41"/>
      <c r="W750" s="41"/>
      <c r="X750" s="41"/>
      <c r="Y750" s="41"/>
      <c r="Z750" s="41"/>
      <c r="AA750" s="41"/>
      <c r="AB750" s="41"/>
      <c r="AC750" s="41"/>
      <c r="AD750" s="41"/>
      <c r="AE750" s="41"/>
      <c r="AF750" s="41"/>
      <c r="AG750" s="41"/>
      <c r="AH750" s="41"/>
      <c r="AI750" s="41"/>
    </row>
    <row r="751" spans="1:35" ht="15.75" customHeight="1" x14ac:dyDescent="0.2">
      <c r="A751" s="41"/>
      <c r="B751" s="41"/>
      <c r="C751" s="41"/>
      <c r="D751" s="41"/>
      <c r="E751" s="41"/>
      <c r="F751" s="41"/>
      <c r="G751" s="41"/>
      <c r="H751" s="41"/>
      <c r="I751" s="41"/>
      <c r="J751" s="41"/>
      <c r="K751" s="41"/>
      <c r="L751" s="41"/>
      <c r="M751" s="41"/>
      <c r="N751" s="41"/>
      <c r="O751" s="41"/>
      <c r="P751" s="41"/>
      <c r="Q751" s="41"/>
      <c r="R751" s="41"/>
      <c r="S751" s="41"/>
      <c r="T751" s="41"/>
      <c r="U751" s="41"/>
      <c r="V751" s="41"/>
      <c r="W751" s="41"/>
      <c r="X751" s="41"/>
      <c r="Y751" s="41"/>
      <c r="Z751" s="41"/>
      <c r="AA751" s="41"/>
      <c r="AB751" s="41"/>
      <c r="AC751" s="41"/>
      <c r="AD751" s="41"/>
      <c r="AE751" s="41"/>
      <c r="AF751" s="41"/>
      <c r="AG751" s="41"/>
      <c r="AH751" s="41"/>
      <c r="AI751" s="41"/>
    </row>
    <row r="752" spans="1:35" ht="15.75" customHeight="1" x14ac:dyDescent="0.2">
      <c r="A752" s="41"/>
      <c r="B752" s="41"/>
      <c r="C752" s="41"/>
      <c r="D752" s="41"/>
      <c r="E752" s="41"/>
      <c r="F752" s="41"/>
      <c r="G752" s="41"/>
      <c r="H752" s="41"/>
      <c r="I752" s="41"/>
      <c r="J752" s="41"/>
      <c r="K752" s="41"/>
      <c r="L752" s="41"/>
      <c r="M752" s="41"/>
      <c r="N752" s="41"/>
      <c r="O752" s="41"/>
      <c r="P752" s="41"/>
      <c r="Q752" s="41"/>
      <c r="R752" s="41"/>
      <c r="S752" s="41"/>
      <c r="T752" s="41"/>
      <c r="U752" s="41"/>
      <c r="V752" s="41"/>
      <c r="W752" s="41"/>
      <c r="X752" s="41"/>
      <c r="Y752" s="41"/>
      <c r="Z752" s="41"/>
      <c r="AA752" s="41"/>
      <c r="AB752" s="41"/>
      <c r="AC752" s="41"/>
      <c r="AD752" s="41"/>
      <c r="AE752" s="41"/>
      <c r="AF752" s="41"/>
      <c r="AG752" s="41"/>
      <c r="AH752" s="41"/>
      <c r="AI752" s="41"/>
    </row>
    <row r="753" spans="1:35" ht="15.75" customHeight="1" x14ac:dyDescent="0.2">
      <c r="A753" s="41"/>
      <c r="B753" s="41"/>
      <c r="C753" s="41"/>
      <c r="D753" s="41"/>
      <c r="E753" s="41"/>
      <c r="F753" s="41"/>
      <c r="G753" s="41"/>
      <c r="H753" s="41"/>
      <c r="I753" s="41"/>
      <c r="J753" s="41"/>
      <c r="K753" s="41"/>
      <c r="L753" s="41"/>
      <c r="M753" s="41"/>
      <c r="N753" s="41"/>
      <c r="O753" s="41"/>
      <c r="P753" s="41"/>
      <c r="Q753" s="41"/>
      <c r="R753" s="41"/>
      <c r="S753" s="41"/>
      <c r="T753" s="41"/>
      <c r="U753" s="41"/>
      <c r="V753" s="41"/>
      <c r="W753" s="41"/>
      <c r="X753" s="41"/>
      <c r="Y753" s="41"/>
      <c r="Z753" s="41"/>
      <c r="AA753" s="41"/>
      <c r="AB753" s="41"/>
      <c r="AC753" s="41"/>
      <c r="AD753" s="41"/>
      <c r="AE753" s="41"/>
      <c r="AF753" s="41"/>
      <c r="AG753" s="41"/>
      <c r="AH753" s="41"/>
      <c r="AI753" s="41"/>
    </row>
    <row r="754" spans="1:35" ht="15.75" customHeight="1" x14ac:dyDescent="0.2">
      <c r="A754" s="41"/>
      <c r="B754" s="41"/>
      <c r="C754" s="41"/>
      <c r="D754" s="41"/>
      <c r="E754" s="41"/>
      <c r="F754" s="41"/>
      <c r="G754" s="41"/>
      <c r="H754" s="41"/>
      <c r="I754" s="41"/>
      <c r="J754" s="41"/>
      <c r="K754" s="41"/>
      <c r="L754" s="41"/>
      <c r="M754" s="41"/>
      <c r="N754" s="41"/>
      <c r="O754" s="41"/>
      <c r="P754" s="41"/>
      <c r="Q754" s="41"/>
      <c r="R754" s="41"/>
      <c r="S754" s="41"/>
      <c r="T754" s="41"/>
      <c r="U754" s="41"/>
      <c r="V754" s="41"/>
      <c r="W754" s="41"/>
      <c r="X754" s="41"/>
      <c r="Y754" s="41"/>
      <c r="Z754" s="41"/>
      <c r="AA754" s="41"/>
      <c r="AB754" s="41"/>
      <c r="AC754" s="41"/>
      <c r="AD754" s="41"/>
      <c r="AE754" s="41"/>
      <c r="AF754" s="41"/>
      <c r="AG754" s="41"/>
      <c r="AH754" s="41"/>
      <c r="AI754" s="41"/>
    </row>
    <row r="755" spans="1:35" ht="15.75" customHeight="1" x14ac:dyDescent="0.2">
      <c r="A755" s="41"/>
      <c r="B755" s="41"/>
      <c r="C755" s="41"/>
      <c r="D755" s="41"/>
      <c r="E755" s="41"/>
      <c r="F755" s="41"/>
      <c r="G755" s="41"/>
      <c r="H755" s="41"/>
      <c r="I755" s="41"/>
      <c r="J755" s="41"/>
      <c r="K755" s="41"/>
      <c r="L755" s="41"/>
      <c r="M755" s="41"/>
      <c r="N755" s="41"/>
      <c r="O755" s="41"/>
      <c r="P755" s="41"/>
      <c r="Q755" s="41"/>
      <c r="R755" s="41"/>
      <c r="S755" s="41"/>
      <c r="T755" s="41"/>
      <c r="U755" s="41"/>
      <c r="V755" s="41"/>
      <c r="W755" s="41"/>
      <c r="X755" s="41"/>
      <c r="Y755" s="41"/>
      <c r="Z755" s="41"/>
      <c r="AA755" s="41"/>
      <c r="AB755" s="41"/>
      <c r="AC755" s="41"/>
      <c r="AD755" s="41"/>
      <c r="AE755" s="41"/>
      <c r="AF755" s="41"/>
      <c r="AG755" s="41"/>
      <c r="AH755" s="41"/>
      <c r="AI755" s="41"/>
    </row>
    <row r="756" spans="1:35" ht="15.75" customHeight="1" x14ac:dyDescent="0.2">
      <c r="A756" s="41"/>
      <c r="B756" s="41"/>
      <c r="C756" s="41"/>
      <c r="D756" s="41"/>
      <c r="E756" s="41"/>
      <c r="F756" s="41"/>
      <c r="G756" s="41"/>
      <c r="H756" s="41"/>
      <c r="I756" s="41"/>
      <c r="J756" s="41"/>
      <c r="K756" s="41"/>
      <c r="L756" s="41"/>
      <c r="M756" s="41"/>
      <c r="N756" s="41"/>
      <c r="O756" s="41"/>
      <c r="P756" s="41"/>
      <c r="Q756" s="41"/>
      <c r="R756" s="41"/>
      <c r="S756" s="41"/>
      <c r="T756" s="41"/>
      <c r="U756" s="41"/>
      <c r="V756" s="41"/>
      <c r="W756" s="41"/>
      <c r="X756" s="41"/>
      <c r="Y756" s="41"/>
      <c r="Z756" s="41"/>
      <c r="AA756" s="41"/>
      <c r="AB756" s="41"/>
      <c r="AC756" s="41"/>
      <c r="AD756" s="41"/>
      <c r="AE756" s="41"/>
      <c r="AF756" s="41"/>
      <c r="AG756" s="41"/>
      <c r="AH756" s="41"/>
      <c r="AI756" s="41"/>
    </row>
    <row r="757" spans="1:35" ht="15.75" customHeight="1" x14ac:dyDescent="0.2">
      <c r="A757" s="41"/>
      <c r="B757" s="41"/>
      <c r="C757" s="41"/>
      <c r="D757" s="41"/>
      <c r="E757" s="41"/>
      <c r="F757" s="41"/>
      <c r="G757" s="41"/>
      <c r="H757" s="41"/>
      <c r="I757" s="41"/>
      <c r="J757" s="41"/>
      <c r="K757" s="41"/>
      <c r="L757" s="41"/>
      <c r="M757" s="41"/>
      <c r="N757" s="41"/>
      <c r="O757" s="41"/>
      <c r="P757" s="41"/>
      <c r="Q757" s="41"/>
      <c r="R757" s="41"/>
      <c r="S757" s="41"/>
      <c r="T757" s="41"/>
      <c r="U757" s="41"/>
      <c r="V757" s="41"/>
      <c r="W757" s="41"/>
      <c r="X757" s="41"/>
      <c r="Y757" s="41"/>
      <c r="Z757" s="41"/>
      <c r="AA757" s="41"/>
      <c r="AB757" s="41"/>
      <c r="AC757" s="41"/>
      <c r="AD757" s="41"/>
      <c r="AE757" s="41"/>
      <c r="AF757" s="41"/>
      <c r="AG757" s="41"/>
      <c r="AH757" s="41"/>
      <c r="AI757" s="41"/>
    </row>
    <row r="758" spans="1:35" ht="15.75" customHeight="1" x14ac:dyDescent="0.2">
      <c r="A758" s="41"/>
      <c r="B758" s="41"/>
      <c r="C758" s="41"/>
      <c r="D758" s="41"/>
      <c r="E758" s="41"/>
      <c r="F758" s="41"/>
      <c r="G758" s="41"/>
      <c r="H758" s="41"/>
      <c r="I758" s="41"/>
      <c r="J758" s="41"/>
      <c r="K758" s="41"/>
      <c r="L758" s="41"/>
      <c r="M758" s="41"/>
      <c r="N758" s="41"/>
      <c r="O758" s="41"/>
      <c r="P758" s="41"/>
      <c r="Q758" s="41"/>
      <c r="R758" s="41"/>
      <c r="S758" s="41"/>
      <c r="T758" s="41"/>
      <c r="U758" s="41"/>
      <c r="V758" s="41"/>
      <c r="W758" s="41"/>
      <c r="X758" s="41"/>
      <c r="Y758" s="41"/>
      <c r="Z758" s="41"/>
      <c r="AA758" s="41"/>
      <c r="AB758" s="41"/>
      <c r="AC758" s="41"/>
      <c r="AD758" s="41"/>
      <c r="AE758" s="41"/>
      <c r="AF758" s="41"/>
      <c r="AG758" s="41"/>
      <c r="AH758" s="41"/>
      <c r="AI758" s="41"/>
    </row>
    <row r="759" spans="1:35" ht="15.75" customHeight="1" x14ac:dyDescent="0.2">
      <c r="A759" s="41"/>
      <c r="B759" s="41"/>
      <c r="C759" s="41"/>
      <c r="D759" s="41"/>
      <c r="E759" s="41"/>
      <c r="F759" s="41"/>
      <c r="G759" s="41"/>
      <c r="H759" s="41"/>
      <c r="I759" s="41"/>
      <c r="J759" s="41"/>
      <c r="K759" s="41"/>
      <c r="L759" s="41"/>
      <c r="M759" s="41"/>
      <c r="N759" s="41"/>
      <c r="O759" s="41"/>
      <c r="P759" s="41"/>
      <c r="Q759" s="41"/>
      <c r="R759" s="41"/>
      <c r="S759" s="41"/>
      <c r="T759" s="41"/>
      <c r="U759" s="41"/>
      <c r="V759" s="41"/>
      <c r="W759" s="41"/>
      <c r="X759" s="41"/>
      <c r="Y759" s="41"/>
      <c r="Z759" s="41"/>
      <c r="AA759" s="41"/>
      <c r="AB759" s="41"/>
      <c r="AC759" s="41"/>
      <c r="AD759" s="41"/>
      <c r="AE759" s="41"/>
      <c r="AF759" s="41"/>
      <c r="AG759" s="41"/>
      <c r="AH759" s="41"/>
      <c r="AI759" s="41"/>
    </row>
    <row r="760" spans="1:35" ht="15.75" customHeight="1" x14ac:dyDescent="0.2">
      <c r="A760" s="41"/>
      <c r="B760" s="41"/>
      <c r="C760" s="41"/>
      <c r="D760" s="41"/>
      <c r="E760" s="41"/>
      <c r="F760" s="41"/>
      <c r="G760" s="41"/>
      <c r="H760" s="41"/>
      <c r="I760" s="41"/>
      <c r="J760" s="41"/>
      <c r="K760" s="41"/>
      <c r="L760" s="41"/>
      <c r="M760" s="41"/>
      <c r="N760" s="41"/>
      <c r="O760" s="41"/>
      <c r="P760" s="41"/>
      <c r="Q760" s="41"/>
      <c r="R760" s="41"/>
      <c r="S760" s="41"/>
      <c r="T760" s="41"/>
      <c r="U760" s="41"/>
      <c r="V760" s="41"/>
      <c r="W760" s="41"/>
      <c r="X760" s="41"/>
      <c r="Y760" s="41"/>
      <c r="Z760" s="41"/>
      <c r="AA760" s="41"/>
      <c r="AB760" s="41"/>
      <c r="AC760" s="41"/>
      <c r="AD760" s="41"/>
      <c r="AE760" s="41"/>
      <c r="AF760" s="41"/>
      <c r="AG760" s="41"/>
      <c r="AH760" s="41"/>
      <c r="AI760" s="41"/>
    </row>
    <row r="761" spans="1:35" ht="15.75" customHeight="1" x14ac:dyDescent="0.2">
      <c r="A761" s="41"/>
      <c r="B761" s="41"/>
      <c r="C761" s="41"/>
      <c r="D761" s="41"/>
      <c r="E761" s="41"/>
      <c r="F761" s="41"/>
      <c r="G761" s="41"/>
      <c r="H761" s="41"/>
      <c r="I761" s="41"/>
      <c r="J761" s="41"/>
      <c r="K761" s="41"/>
      <c r="L761" s="41"/>
      <c r="M761" s="41"/>
      <c r="N761" s="41"/>
      <c r="O761" s="41"/>
      <c r="P761" s="41"/>
      <c r="Q761" s="41"/>
      <c r="R761" s="41"/>
      <c r="S761" s="41"/>
      <c r="T761" s="41"/>
      <c r="U761" s="41"/>
      <c r="V761" s="41"/>
      <c r="W761" s="41"/>
      <c r="X761" s="41"/>
      <c r="Y761" s="41"/>
      <c r="Z761" s="41"/>
      <c r="AA761" s="41"/>
      <c r="AB761" s="41"/>
      <c r="AC761" s="41"/>
      <c r="AD761" s="41"/>
      <c r="AE761" s="41"/>
      <c r="AF761" s="41"/>
      <c r="AG761" s="41"/>
      <c r="AH761" s="41"/>
      <c r="AI761" s="41"/>
    </row>
    <row r="762" spans="1:35" ht="15.75" customHeight="1" x14ac:dyDescent="0.2">
      <c r="A762" s="41"/>
      <c r="B762" s="41"/>
      <c r="C762" s="41"/>
      <c r="D762" s="41"/>
      <c r="E762" s="41"/>
      <c r="F762" s="41"/>
      <c r="G762" s="41"/>
      <c r="H762" s="41"/>
      <c r="I762" s="41"/>
      <c r="J762" s="41"/>
      <c r="K762" s="41"/>
      <c r="L762" s="41"/>
      <c r="M762" s="41"/>
      <c r="N762" s="41"/>
      <c r="O762" s="41"/>
      <c r="P762" s="41"/>
      <c r="Q762" s="41"/>
      <c r="R762" s="41"/>
      <c r="S762" s="41"/>
      <c r="T762" s="41"/>
      <c r="U762" s="41"/>
      <c r="V762" s="41"/>
      <c r="W762" s="41"/>
      <c r="X762" s="41"/>
      <c r="Y762" s="41"/>
      <c r="Z762" s="41"/>
      <c r="AA762" s="41"/>
      <c r="AB762" s="41"/>
      <c r="AC762" s="41"/>
      <c r="AD762" s="41"/>
      <c r="AE762" s="41"/>
      <c r="AF762" s="41"/>
      <c r="AG762" s="41"/>
      <c r="AH762" s="41"/>
      <c r="AI762" s="41"/>
    </row>
    <row r="763" spans="1:35" ht="15.75" customHeight="1" x14ac:dyDescent="0.2">
      <c r="A763" s="41"/>
      <c r="B763" s="41"/>
      <c r="C763" s="41"/>
      <c r="D763" s="41"/>
      <c r="E763" s="41"/>
      <c r="F763" s="41"/>
      <c r="G763" s="41"/>
      <c r="H763" s="41"/>
      <c r="I763" s="41"/>
      <c r="J763" s="41"/>
      <c r="K763" s="41"/>
      <c r="L763" s="41"/>
      <c r="M763" s="41"/>
      <c r="N763" s="41"/>
      <c r="O763" s="41"/>
      <c r="P763" s="41"/>
      <c r="Q763" s="41"/>
      <c r="R763" s="41"/>
      <c r="S763" s="41"/>
      <c r="T763" s="41"/>
      <c r="U763" s="41"/>
      <c r="V763" s="41"/>
      <c r="W763" s="41"/>
      <c r="X763" s="41"/>
      <c r="Y763" s="41"/>
      <c r="Z763" s="41"/>
      <c r="AA763" s="41"/>
      <c r="AB763" s="41"/>
      <c r="AC763" s="41"/>
      <c r="AD763" s="41"/>
      <c r="AE763" s="41"/>
      <c r="AF763" s="41"/>
      <c r="AG763" s="41"/>
      <c r="AH763" s="41"/>
      <c r="AI763" s="41"/>
    </row>
    <row r="764" spans="1:35" ht="15.75" customHeight="1" x14ac:dyDescent="0.2">
      <c r="A764" s="41"/>
      <c r="B764" s="41"/>
      <c r="C764" s="41"/>
      <c r="D764" s="41"/>
      <c r="E764" s="41"/>
      <c r="F764" s="41"/>
      <c r="G764" s="41"/>
      <c r="H764" s="41"/>
      <c r="I764" s="41"/>
      <c r="J764" s="41"/>
      <c r="K764" s="41"/>
      <c r="L764" s="41"/>
      <c r="M764" s="41"/>
      <c r="N764" s="41"/>
      <c r="O764" s="41"/>
      <c r="P764" s="41"/>
      <c r="Q764" s="41"/>
      <c r="R764" s="41"/>
      <c r="S764" s="41"/>
      <c r="T764" s="41"/>
      <c r="U764" s="41"/>
      <c r="V764" s="41"/>
      <c r="W764" s="41"/>
      <c r="X764" s="41"/>
      <c r="Y764" s="41"/>
      <c r="Z764" s="41"/>
      <c r="AA764" s="41"/>
      <c r="AB764" s="41"/>
      <c r="AC764" s="41"/>
      <c r="AD764" s="41"/>
      <c r="AE764" s="41"/>
      <c r="AF764" s="41"/>
      <c r="AG764" s="41"/>
      <c r="AH764" s="41"/>
      <c r="AI764" s="41"/>
    </row>
    <row r="765" spans="1:35" ht="15.75" customHeight="1" x14ac:dyDescent="0.2">
      <c r="A765" s="41"/>
      <c r="B765" s="41"/>
      <c r="C765" s="41"/>
      <c r="D765" s="41"/>
      <c r="E765" s="41"/>
      <c r="F765" s="41"/>
      <c r="G765" s="41"/>
      <c r="H765" s="41"/>
      <c r="I765" s="41"/>
      <c r="J765" s="41"/>
      <c r="K765" s="41"/>
      <c r="L765" s="41"/>
      <c r="M765" s="41"/>
      <c r="N765" s="41"/>
      <c r="O765" s="41"/>
      <c r="P765" s="41"/>
      <c r="Q765" s="41"/>
      <c r="R765" s="41"/>
      <c r="S765" s="41"/>
      <c r="T765" s="41"/>
      <c r="U765" s="41"/>
      <c r="V765" s="41"/>
      <c r="W765" s="41"/>
      <c r="X765" s="41"/>
      <c r="Y765" s="41"/>
      <c r="Z765" s="41"/>
      <c r="AA765" s="41"/>
      <c r="AB765" s="41"/>
      <c r="AC765" s="41"/>
      <c r="AD765" s="41"/>
      <c r="AE765" s="41"/>
      <c r="AF765" s="41"/>
      <c r="AG765" s="41"/>
      <c r="AH765" s="41"/>
      <c r="AI765" s="41"/>
    </row>
    <row r="766" spans="1:35" ht="15.75" customHeight="1" x14ac:dyDescent="0.2">
      <c r="A766" s="41"/>
      <c r="B766" s="41"/>
      <c r="C766" s="41"/>
      <c r="D766" s="41"/>
      <c r="E766" s="41"/>
      <c r="F766" s="41"/>
      <c r="G766" s="41"/>
      <c r="H766" s="41"/>
      <c r="I766" s="41"/>
      <c r="J766" s="41"/>
      <c r="K766" s="41"/>
      <c r="L766" s="41"/>
      <c r="M766" s="41"/>
      <c r="N766" s="41"/>
      <c r="O766" s="41"/>
      <c r="P766" s="41"/>
      <c r="Q766" s="41"/>
      <c r="R766" s="41"/>
      <c r="S766" s="41"/>
      <c r="T766" s="41"/>
      <c r="U766" s="41"/>
      <c r="V766" s="41"/>
      <c r="W766" s="41"/>
      <c r="X766" s="41"/>
      <c r="Y766" s="41"/>
      <c r="Z766" s="41"/>
      <c r="AA766" s="41"/>
      <c r="AB766" s="41"/>
      <c r="AC766" s="41"/>
      <c r="AD766" s="41"/>
      <c r="AE766" s="41"/>
      <c r="AF766" s="41"/>
      <c r="AG766" s="41"/>
      <c r="AH766" s="41"/>
      <c r="AI766" s="41"/>
    </row>
    <row r="767" spans="1:35" ht="15.75" customHeight="1" x14ac:dyDescent="0.2">
      <c r="A767" s="41"/>
      <c r="B767" s="41"/>
      <c r="C767" s="41"/>
      <c r="D767" s="41"/>
      <c r="E767" s="41"/>
      <c r="F767" s="41"/>
      <c r="G767" s="41"/>
      <c r="H767" s="41"/>
      <c r="I767" s="41"/>
      <c r="J767" s="41"/>
      <c r="K767" s="41"/>
      <c r="L767" s="41"/>
      <c r="M767" s="41"/>
      <c r="N767" s="41"/>
      <c r="O767" s="41"/>
      <c r="P767" s="41"/>
      <c r="Q767" s="41"/>
      <c r="R767" s="41"/>
      <c r="S767" s="41"/>
      <c r="T767" s="41"/>
      <c r="U767" s="41"/>
      <c r="V767" s="41"/>
      <c r="W767" s="41"/>
      <c r="X767" s="41"/>
      <c r="Y767" s="41"/>
      <c r="Z767" s="41"/>
      <c r="AA767" s="41"/>
      <c r="AB767" s="41"/>
      <c r="AC767" s="41"/>
      <c r="AD767" s="41"/>
      <c r="AE767" s="41"/>
      <c r="AF767" s="41"/>
      <c r="AG767" s="41"/>
      <c r="AH767" s="41"/>
      <c r="AI767" s="41"/>
    </row>
    <row r="768" spans="1:35" ht="15.75" customHeight="1" x14ac:dyDescent="0.2">
      <c r="A768" s="41"/>
      <c r="B768" s="41"/>
      <c r="C768" s="41"/>
      <c r="D768" s="41"/>
      <c r="E768" s="41"/>
      <c r="F768" s="41"/>
      <c r="G768" s="41"/>
      <c r="H768" s="41"/>
      <c r="I768" s="41"/>
      <c r="J768" s="41"/>
      <c r="K768" s="41"/>
      <c r="L768" s="41"/>
      <c r="M768" s="41"/>
      <c r="N768" s="41"/>
      <c r="O768" s="41"/>
      <c r="P768" s="41"/>
      <c r="Q768" s="41"/>
      <c r="R768" s="41"/>
      <c r="S768" s="41"/>
      <c r="T768" s="41"/>
      <c r="U768" s="41"/>
      <c r="V768" s="41"/>
      <c r="W768" s="41"/>
      <c r="X768" s="41"/>
      <c r="Y768" s="41"/>
      <c r="Z768" s="41"/>
      <c r="AA768" s="41"/>
      <c r="AB768" s="41"/>
      <c r="AC768" s="41"/>
      <c r="AD768" s="41"/>
      <c r="AE768" s="41"/>
      <c r="AF768" s="41"/>
      <c r="AG768" s="41"/>
      <c r="AH768" s="41"/>
      <c r="AI768" s="41"/>
    </row>
    <row r="769" spans="1:35" ht="15.75" customHeight="1" x14ac:dyDescent="0.2">
      <c r="A769" s="41"/>
      <c r="B769" s="41"/>
      <c r="C769" s="41"/>
      <c r="D769" s="41"/>
      <c r="E769" s="41"/>
      <c r="F769" s="41"/>
      <c r="G769" s="41"/>
      <c r="H769" s="41"/>
      <c r="I769" s="41"/>
      <c r="J769" s="41"/>
      <c r="K769" s="41"/>
      <c r="L769" s="41"/>
      <c r="M769" s="41"/>
      <c r="N769" s="41"/>
      <c r="O769" s="41"/>
      <c r="P769" s="41"/>
      <c r="Q769" s="41"/>
      <c r="R769" s="41"/>
      <c r="S769" s="41"/>
      <c r="T769" s="41"/>
      <c r="U769" s="41"/>
      <c r="V769" s="41"/>
      <c r="W769" s="41"/>
      <c r="X769" s="41"/>
      <c r="Y769" s="41"/>
      <c r="Z769" s="41"/>
      <c r="AA769" s="41"/>
      <c r="AB769" s="41"/>
      <c r="AC769" s="41"/>
      <c r="AD769" s="41"/>
      <c r="AE769" s="41"/>
      <c r="AF769" s="41"/>
      <c r="AG769" s="41"/>
      <c r="AH769" s="41"/>
      <c r="AI769" s="41"/>
    </row>
    <row r="770" spans="1:35" ht="15.75" customHeight="1" x14ac:dyDescent="0.2">
      <c r="A770" s="41"/>
      <c r="B770" s="41"/>
      <c r="C770" s="41"/>
      <c r="D770" s="41"/>
      <c r="E770" s="41"/>
      <c r="F770" s="41"/>
      <c r="G770" s="41"/>
      <c r="H770" s="41"/>
      <c r="I770" s="41"/>
      <c r="J770" s="41"/>
      <c r="K770" s="41"/>
      <c r="L770" s="41"/>
      <c r="M770" s="41"/>
      <c r="N770" s="41"/>
      <c r="O770" s="41"/>
      <c r="P770" s="41"/>
      <c r="Q770" s="41"/>
      <c r="R770" s="41"/>
      <c r="S770" s="41"/>
      <c r="T770" s="41"/>
      <c r="U770" s="41"/>
      <c r="V770" s="41"/>
      <c r="W770" s="41"/>
      <c r="X770" s="41"/>
      <c r="Y770" s="41"/>
      <c r="Z770" s="41"/>
      <c r="AA770" s="41"/>
      <c r="AB770" s="41"/>
      <c r="AC770" s="41"/>
      <c r="AD770" s="41"/>
      <c r="AE770" s="41"/>
      <c r="AF770" s="41"/>
      <c r="AG770" s="41"/>
      <c r="AH770" s="41"/>
      <c r="AI770" s="41"/>
    </row>
    <row r="771" spans="1:35" ht="15.75" customHeight="1" x14ac:dyDescent="0.2">
      <c r="A771" s="41"/>
      <c r="B771" s="41"/>
      <c r="C771" s="41"/>
      <c r="D771" s="41"/>
      <c r="E771" s="41"/>
      <c r="F771" s="41"/>
      <c r="G771" s="41"/>
      <c r="H771" s="41"/>
      <c r="I771" s="41"/>
      <c r="J771" s="41"/>
      <c r="K771" s="41"/>
      <c r="L771" s="41"/>
      <c r="M771" s="41"/>
      <c r="N771" s="41"/>
      <c r="O771" s="41"/>
      <c r="P771" s="41"/>
      <c r="Q771" s="41"/>
      <c r="R771" s="41"/>
      <c r="S771" s="41"/>
      <c r="T771" s="41"/>
      <c r="U771" s="41"/>
      <c r="V771" s="41"/>
      <c r="W771" s="41"/>
      <c r="X771" s="41"/>
      <c r="Y771" s="41"/>
      <c r="Z771" s="41"/>
      <c r="AA771" s="41"/>
      <c r="AB771" s="41"/>
      <c r="AC771" s="41"/>
      <c r="AD771" s="41"/>
      <c r="AE771" s="41"/>
      <c r="AF771" s="41"/>
      <c r="AG771" s="41"/>
      <c r="AH771" s="41"/>
      <c r="AI771" s="41"/>
    </row>
    <row r="772" spans="1:35" ht="15.75" customHeight="1" x14ac:dyDescent="0.2">
      <c r="A772" s="41"/>
      <c r="B772" s="41"/>
      <c r="C772" s="41"/>
      <c r="D772" s="41"/>
      <c r="E772" s="41"/>
      <c r="F772" s="41"/>
      <c r="G772" s="41"/>
      <c r="H772" s="41"/>
      <c r="I772" s="41"/>
      <c r="J772" s="41"/>
      <c r="K772" s="41"/>
      <c r="L772" s="41"/>
      <c r="M772" s="41"/>
      <c r="N772" s="41"/>
      <c r="O772" s="41"/>
      <c r="P772" s="41"/>
      <c r="Q772" s="41"/>
      <c r="R772" s="41"/>
      <c r="S772" s="41"/>
      <c r="T772" s="41"/>
      <c r="U772" s="41"/>
      <c r="V772" s="41"/>
      <c r="W772" s="41"/>
      <c r="X772" s="41"/>
      <c r="Y772" s="41"/>
      <c r="Z772" s="41"/>
      <c r="AA772" s="41"/>
      <c r="AB772" s="41"/>
      <c r="AC772" s="41"/>
      <c r="AD772" s="41"/>
      <c r="AE772" s="41"/>
      <c r="AF772" s="41"/>
      <c r="AG772" s="41"/>
      <c r="AH772" s="41"/>
      <c r="AI772" s="41"/>
    </row>
    <row r="773" spans="1:35" ht="15.75" customHeight="1" x14ac:dyDescent="0.2">
      <c r="A773" s="41"/>
      <c r="B773" s="41"/>
      <c r="C773" s="41"/>
      <c r="D773" s="41"/>
      <c r="E773" s="41"/>
      <c r="F773" s="41"/>
      <c r="G773" s="41"/>
      <c r="H773" s="41"/>
      <c r="I773" s="41"/>
      <c r="J773" s="41"/>
      <c r="K773" s="41"/>
      <c r="L773" s="41"/>
      <c r="M773" s="41"/>
      <c r="N773" s="41"/>
      <c r="O773" s="41"/>
      <c r="P773" s="41"/>
      <c r="Q773" s="41"/>
      <c r="R773" s="41"/>
      <c r="S773" s="41"/>
      <c r="T773" s="41"/>
      <c r="U773" s="41"/>
      <c r="V773" s="41"/>
      <c r="W773" s="41"/>
      <c r="X773" s="41"/>
      <c r="Y773" s="41"/>
      <c r="Z773" s="41"/>
      <c r="AA773" s="41"/>
      <c r="AB773" s="41"/>
      <c r="AC773" s="41"/>
      <c r="AD773" s="41"/>
      <c r="AE773" s="41"/>
      <c r="AF773" s="41"/>
      <c r="AG773" s="41"/>
      <c r="AH773" s="41"/>
      <c r="AI773" s="41"/>
    </row>
    <row r="774" spans="1:35" ht="15.75" customHeight="1" x14ac:dyDescent="0.2">
      <c r="A774" s="41"/>
      <c r="B774" s="41"/>
      <c r="C774" s="41"/>
      <c r="D774" s="41"/>
      <c r="E774" s="41"/>
      <c r="F774" s="41"/>
      <c r="G774" s="41"/>
      <c r="H774" s="41"/>
      <c r="I774" s="41"/>
      <c r="J774" s="41"/>
      <c r="K774" s="41"/>
      <c r="L774" s="41"/>
      <c r="M774" s="41"/>
      <c r="N774" s="41"/>
      <c r="O774" s="41"/>
      <c r="P774" s="41"/>
      <c r="Q774" s="41"/>
      <c r="R774" s="41"/>
      <c r="S774" s="41"/>
      <c r="T774" s="41"/>
      <c r="U774" s="41"/>
      <c r="V774" s="41"/>
      <c r="W774" s="41"/>
      <c r="X774" s="41"/>
      <c r="Y774" s="41"/>
      <c r="Z774" s="41"/>
      <c r="AA774" s="41"/>
      <c r="AB774" s="41"/>
      <c r="AC774" s="41"/>
      <c r="AD774" s="41"/>
      <c r="AE774" s="41"/>
      <c r="AF774" s="41"/>
      <c r="AG774" s="41"/>
      <c r="AH774" s="41"/>
      <c r="AI774" s="41"/>
    </row>
    <row r="775" spans="1:35" ht="15.75" customHeight="1" x14ac:dyDescent="0.2">
      <c r="A775" s="41"/>
      <c r="B775" s="41"/>
      <c r="C775" s="41"/>
      <c r="D775" s="41"/>
      <c r="E775" s="41"/>
      <c r="F775" s="41"/>
      <c r="G775" s="41"/>
      <c r="H775" s="41"/>
      <c r="I775" s="41"/>
      <c r="J775" s="41"/>
      <c r="K775" s="41"/>
      <c r="L775" s="41"/>
      <c r="M775" s="41"/>
      <c r="N775" s="41"/>
      <c r="O775" s="41"/>
      <c r="P775" s="41"/>
      <c r="Q775" s="41"/>
      <c r="R775" s="41"/>
      <c r="S775" s="41"/>
      <c r="T775" s="41"/>
      <c r="U775" s="41"/>
      <c r="V775" s="41"/>
      <c r="W775" s="41"/>
      <c r="X775" s="41"/>
      <c r="Y775" s="41"/>
      <c r="Z775" s="41"/>
      <c r="AA775" s="41"/>
      <c r="AB775" s="41"/>
      <c r="AC775" s="41"/>
      <c r="AD775" s="41"/>
      <c r="AE775" s="41"/>
      <c r="AF775" s="41"/>
      <c r="AG775" s="41"/>
      <c r="AH775" s="41"/>
      <c r="AI775" s="41"/>
    </row>
    <row r="776" spans="1:35" ht="15.75" customHeight="1" x14ac:dyDescent="0.2">
      <c r="A776" s="41"/>
      <c r="B776" s="41"/>
      <c r="C776" s="41"/>
      <c r="D776" s="41"/>
      <c r="E776" s="41"/>
      <c r="F776" s="41"/>
      <c r="G776" s="41"/>
      <c r="H776" s="41"/>
      <c r="I776" s="41"/>
      <c r="J776" s="41"/>
      <c r="K776" s="41"/>
      <c r="L776" s="41"/>
      <c r="M776" s="41"/>
      <c r="N776" s="41"/>
      <c r="O776" s="41"/>
      <c r="P776" s="41"/>
      <c r="Q776" s="41"/>
      <c r="R776" s="41"/>
      <c r="S776" s="41"/>
      <c r="T776" s="41"/>
      <c r="U776" s="41"/>
      <c r="V776" s="41"/>
      <c r="W776" s="41"/>
      <c r="X776" s="41"/>
      <c r="Y776" s="41"/>
      <c r="Z776" s="41"/>
      <c r="AA776" s="41"/>
      <c r="AB776" s="41"/>
      <c r="AC776" s="41"/>
      <c r="AD776" s="41"/>
      <c r="AE776" s="41"/>
      <c r="AF776" s="41"/>
      <c r="AG776" s="41"/>
      <c r="AH776" s="41"/>
      <c r="AI776" s="41"/>
    </row>
    <row r="777" spans="1:35" ht="15.75" customHeight="1" x14ac:dyDescent="0.2">
      <c r="A777" s="41"/>
      <c r="B777" s="41"/>
      <c r="C777" s="41"/>
      <c r="D777" s="41"/>
      <c r="E777" s="41"/>
      <c r="F777" s="41"/>
      <c r="G777" s="41"/>
      <c r="H777" s="41"/>
      <c r="I777" s="41"/>
      <c r="J777" s="41"/>
      <c r="K777" s="41"/>
      <c r="L777" s="41"/>
      <c r="M777" s="41"/>
      <c r="N777" s="41"/>
      <c r="O777" s="41"/>
      <c r="P777" s="41"/>
      <c r="Q777" s="41"/>
      <c r="R777" s="41"/>
      <c r="S777" s="41"/>
      <c r="T777" s="41"/>
      <c r="U777" s="41"/>
      <c r="V777" s="41"/>
      <c r="W777" s="41"/>
      <c r="X777" s="41"/>
      <c r="Y777" s="41"/>
      <c r="Z777" s="41"/>
      <c r="AA777" s="41"/>
      <c r="AB777" s="41"/>
      <c r="AC777" s="41"/>
      <c r="AD777" s="41"/>
      <c r="AE777" s="41"/>
      <c r="AF777" s="41"/>
      <c r="AG777" s="41"/>
      <c r="AH777" s="41"/>
      <c r="AI777" s="41"/>
    </row>
    <row r="778" spans="1:35" ht="15.75" customHeight="1" x14ac:dyDescent="0.2">
      <c r="A778" s="41"/>
      <c r="B778" s="41"/>
      <c r="C778" s="41"/>
      <c r="D778" s="41"/>
      <c r="E778" s="41"/>
      <c r="F778" s="41"/>
      <c r="G778" s="41"/>
      <c r="H778" s="41"/>
      <c r="I778" s="41"/>
      <c r="J778" s="41"/>
      <c r="K778" s="41"/>
      <c r="L778" s="41"/>
      <c r="M778" s="41"/>
      <c r="N778" s="41"/>
      <c r="O778" s="41"/>
      <c r="P778" s="41"/>
      <c r="Q778" s="41"/>
      <c r="R778" s="41"/>
      <c r="S778" s="41"/>
      <c r="T778" s="41"/>
      <c r="U778" s="41"/>
      <c r="V778" s="41"/>
      <c r="W778" s="41"/>
      <c r="X778" s="41"/>
      <c r="Y778" s="41"/>
      <c r="Z778" s="41"/>
      <c r="AA778" s="41"/>
      <c r="AB778" s="41"/>
      <c r="AC778" s="41"/>
      <c r="AD778" s="41"/>
      <c r="AE778" s="41"/>
      <c r="AF778" s="41"/>
      <c r="AG778" s="41"/>
      <c r="AH778" s="41"/>
      <c r="AI778" s="41"/>
    </row>
    <row r="779" spans="1:35" ht="15.75" customHeight="1" x14ac:dyDescent="0.2">
      <c r="A779" s="41"/>
      <c r="B779" s="41"/>
      <c r="C779" s="41"/>
      <c r="D779" s="41"/>
      <c r="E779" s="41"/>
      <c r="F779" s="41"/>
      <c r="G779" s="41"/>
      <c r="H779" s="41"/>
      <c r="I779" s="41"/>
      <c r="J779" s="41"/>
      <c r="K779" s="41"/>
      <c r="L779" s="41"/>
      <c r="M779" s="41"/>
      <c r="N779" s="41"/>
      <c r="O779" s="41"/>
      <c r="P779" s="41"/>
      <c r="Q779" s="41"/>
      <c r="R779" s="41"/>
      <c r="S779" s="41"/>
      <c r="T779" s="41"/>
      <c r="U779" s="41"/>
      <c r="V779" s="41"/>
      <c r="W779" s="41"/>
      <c r="X779" s="41"/>
      <c r="Y779" s="41"/>
      <c r="Z779" s="41"/>
      <c r="AA779" s="41"/>
      <c r="AB779" s="41"/>
      <c r="AC779" s="41"/>
      <c r="AD779" s="41"/>
      <c r="AE779" s="41"/>
      <c r="AF779" s="41"/>
      <c r="AG779" s="41"/>
      <c r="AH779" s="41"/>
      <c r="AI779" s="41"/>
    </row>
    <row r="780" spans="1:35" ht="15.75" customHeight="1" x14ac:dyDescent="0.2">
      <c r="A780" s="41"/>
      <c r="B780" s="41"/>
      <c r="C780" s="41"/>
      <c r="D780" s="41"/>
      <c r="E780" s="41"/>
      <c r="F780" s="41"/>
      <c r="G780" s="41"/>
      <c r="H780" s="41"/>
      <c r="I780" s="41"/>
      <c r="J780" s="41"/>
      <c r="K780" s="41"/>
      <c r="L780" s="41"/>
      <c r="M780" s="41"/>
      <c r="N780" s="41"/>
      <c r="O780" s="41"/>
      <c r="P780" s="41"/>
      <c r="Q780" s="41"/>
      <c r="R780" s="41"/>
      <c r="S780" s="41"/>
      <c r="T780" s="41"/>
      <c r="U780" s="41"/>
      <c r="V780" s="41"/>
      <c r="W780" s="41"/>
      <c r="X780" s="41"/>
      <c r="Y780" s="41"/>
      <c r="Z780" s="41"/>
      <c r="AA780" s="41"/>
      <c r="AB780" s="41"/>
      <c r="AC780" s="41"/>
      <c r="AD780" s="41"/>
      <c r="AE780" s="41"/>
      <c r="AF780" s="41"/>
      <c r="AG780" s="41"/>
      <c r="AH780" s="41"/>
      <c r="AI780" s="41"/>
    </row>
    <row r="781" spans="1:35" ht="15.75" customHeight="1" x14ac:dyDescent="0.2">
      <c r="A781" s="41"/>
      <c r="B781" s="41"/>
      <c r="C781" s="41"/>
      <c r="D781" s="41"/>
      <c r="E781" s="41"/>
      <c r="F781" s="41"/>
      <c r="G781" s="41"/>
      <c r="H781" s="41"/>
      <c r="I781" s="41"/>
      <c r="J781" s="41"/>
      <c r="K781" s="41"/>
      <c r="L781" s="41"/>
      <c r="M781" s="41"/>
      <c r="N781" s="41"/>
      <c r="O781" s="41"/>
      <c r="P781" s="41"/>
      <c r="Q781" s="41"/>
      <c r="R781" s="41"/>
      <c r="S781" s="41"/>
      <c r="T781" s="41"/>
      <c r="U781" s="41"/>
      <c r="V781" s="41"/>
      <c r="W781" s="41"/>
      <c r="X781" s="41"/>
      <c r="Y781" s="41"/>
      <c r="Z781" s="41"/>
      <c r="AA781" s="41"/>
      <c r="AB781" s="41"/>
      <c r="AC781" s="41"/>
      <c r="AD781" s="41"/>
      <c r="AE781" s="41"/>
      <c r="AF781" s="41"/>
      <c r="AG781" s="41"/>
      <c r="AH781" s="41"/>
      <c r="AI781" s="41"/>
    </row>
    <row r="782" spans="1:35" ht="15.75" customHeight="1" x14ac:dyDescent="0.2">
      <c r="A782" s="41"/>
      <c r="B782" s="41"/>
      <c r="C782" s="41"/>
      <c r="D782" s="41"/>
      <c r="E782" s="41"/>
      <c r="F782" s="41"/>
      <c r="G782" s="41"/>
      <c r="H782" s="41"/>
      <c r="I782" s="41"/>
      <c r="J782" s="41"/>
      <c r="K782" s="41"/>
      <c r="L782" s="41"/>
      <c r="M782" s="41"/>
      <c r="N782" s="41"/>
      <c r="O782" s="41"/>
      <c r="P782" s="41"/>
      <c r="Q782" s="41"/>
      <c r="R782" s="41"/>
      <c r="S782" s="41"/>
      <c r="T782" s="41"/>
      <c r="U782" s="41"/>
      <c r="V782" s="41"/>
      <c r="W782" s="41"/>
      <c r="X782" s="41"/>
      <c r="Y782" s="41"/>
      <c r="Z782" s="41"/>
      <c r="AA782" s="41"/>
      <c r="AB782" s="41"/>
      <c r="AC782" s="41"/>
      <c r="AD782" s="41"/>
      <c r="AE782" s="41"/>
      <c r="AF782" s="41"/>
      <c r="AG782" s="41"/>
      <c r="AH782" s="41"/>
      <c r="AI782" s="41"/>
    </row>
    <row r="783" spans="1:35" ht="15.75" customHeight="1" x14ac:dyDescent="0.2">
      <c r="A783" s="41"/>
      <c r="B783" s="41"/>
      <c r="C783" s="41"/>
      <c r="D783" s="41"/>
      <c r="E783" s="41"/>
      <c r="F783" s="41"/>
      <c r="G783" s="41"/>
      <c r="H783" s="41"/>
      <c r="I783" s="41"/>
      <c r="J783" s="41"/>
      <c r="K783" s="41"/>
      <c r="L783" s="41"/>
      <c r="M783" s="41"/>
      <c r="N783" s="41"/>
      <c r="O783" s="41"/>
      <c r="P783" s="41"/>
      <c r="Q783" s="41"/>
      <c r="R783" s="41"/>
      <c r="S783" s="41"/>
      <c r="T783" s="41"/>
      <c r="U783" s="41"/>
      <c r="V783" s="41"/>
      <c r="W783" s="41"/>
      <c r="X783" s="41"/>
      <c r="Y783" s="41"/>
      <c r="Z783" s="41"/>
      <c r="AA783" s="41"/>
      <c r="AB783" s="41"/>
      <c r="AC783" s="41"/>
      <c r="AD783" s="41"/>
      <c r="AE783" s="41"/>
      <c r="AF783" s="41"/>
      <c r="AG783" s="41"/>
      <c r="AH783" s="41"/>
      <c r="AI783" s="41"/>
    </row>
    <row r="784" spans="1:35" ht="15.75" customHeight="1" x14ac:dyDescent="0.2">
      <c r="A784" s="41"/>
      <c r="B784" s="41"/>
      <c r="C784" s="41"/>
      <c r="D784" s="41"/>
      <c r="E784" s="41"/>
      <c r="F784" s="41"/>
      <c r="G784" s="41"/>
      <c r="H784" s="41"/>
      <c r="I784" s="41"/>
      <c r="J784" s="41"/>
      <c r="K784" s="41"/>
      <c r="L784" s="41"/>
      <c r="M784" s="41"/>
      <c r="N784" s="41"/>
      <c r="O784" s="41"/>
      <c r="P784" s="41"/>
      <c r="Q784" s="41"/>
      <c r="R784" s="41"/>
      <c r="S784" s="41"/>
      <c r="T784" s="41"/>
      <c r="U784" s="41"/>
      <c r="V784" s="41"/>
      <c r="W784" s="41"/>
      <c r="X784" s="41"/>
      <c r="Y784" s="41"/>
      <c r="Z784" s="41"/>
      <c r="AA784" s="41"/>
      <c r="AB784" s="41"/>
      <c r="AC784" s="41"/>
      <c r="AD784" s="41"/>
      <c r="AE784" s="41"/>
      <c r="AF784" s="41"/>
      <c r="AG784" s="41"/>
      <c r="AH784" s="41"/>
      <c r="AI784" s="41"/>
    </row>
    <row r="785" spans="1:35" ht="15.75" customHeight="1" x14ac:dyDescent="0.2">
      <c r="A785" s="41"/>
      <c r="B785" s="41"/>
      <c r="C785" s="41"/>
      <c r="D785" s="41"/>
      <c r="E785" s="41"/>
      <c r="F785" s="41"/>
      <c r="G785" s="41"/>
      <c r="H785" s="41"/>
      <c r="I785" s="41"/>
      <c r="J785" s="41"/>
      <c r="K785" s="41"/>
      <c r="L785" s="41"/>
      <c r="M785" s="41"/>
      <c r="N785" s="41"/>
      <c r="O785" s="41"/>
      <c r="P785" s="41"/>
      <c r="Q785" s="41"/>
      <c r="R785" s="41"/>
      <c r="S785" s="41"/>
      <c r="T785" s="41"/>
      <c r="U785" s="41"/>
      <c r="V785" s="41"/>
      <c r="W785" s="41"/>
      <c r="X785" s="41"/>
      <c r="Y785" s="41"/>
      <c r="Z785" s="41"/>
      <c r="AA785" s="41"/>
      <c r="AB785" s="41"/>
      <c r="AC785" s="41"/>
      <c r="AD785" s="41"/>
      <c r="AE785" s="41"/>
      <c r="AF785" s="41"/>
      <c r="AG785" s="41"/>
      <c r="AH785" s="41"/>
      <c r="AI785" s="41"/>
    </row>
    <row r="786" spans="1:35" ht="15.75" customHeight="1" x14ac:dyDescent="0.2">
      <c r="A786" s="41"/>
      <c r="B786" s="41"/>
      <c r="C786" s="41"/>
      <c r="D786" s="41"/>
      <c r="E786" s="41"/>
      <c r="F786" s="41"/>
      <c r="G786" s="41"/>
      <c r="H786" s="41"/>
      <c r="I786" s="41"/>
      <c r="J786" s="41"/>
      <c r="K786" s="41"/>
      <c r="L786" s="41"/>
      <c r="M786" s="41"/>
      <c r="N786" s="41"/>
      <c r="O786" s="41"/>
      <c r="P786" s="41"/>
      <c r="Q786" s="41"/>
      <c r="R786" s="41"/>
      <c r="S786" s="41"/>
      <c r="T786" s="41"/>
      <c r="U786" s="41"/>
      <c r="V786" s="41"/>
      <c r="W786" s="41"/>
      <c r="X786" s="41"/>
      <c r="Y786" s="41"/>
      <c r="Z786" s="41"/>
      <c r="AA786" s="41"/>
      <c r="AB786" s="41"/>
      <c r="AC786" s="41"/>
      <c r="AD786" s="41"/>
      <c r="AE786" s="41"/>
      <c r="AF786" s="41"/>
      <c r="AG786" s="41"/>
      <c r="AH786" s="41"/>
      <c r="AI786" s="41"/>
    </row>
    <row r="787" spans="1:35" ht="15.75" customHeight="1" x14ac:dyDescent="0.2">
      <c r="A787" s="41"/>
      <c r="B787" s="41"/>
      <c r="C787" s="41"/>
      <c r="D787" s="41"/>
      <c r="E787" s="41"/>
      <c r="F787" s="41"/>
      <c r="G787" s="41"/>
      <c r="H787" s="41"/>
      <c r="I787" s="41"/>
      <c r="J787" s="41"/>
      <c r="K787" s="41"/>
      <c r="L787" s="41"/>
      <c r="M787" s="41"/>
      <c r="N787" s="41"/>
      <c r="O787" s="41"/>
      <c r="P787" s="41"/>
      <c r="Q787" s="41"/>
      <c r="R787" s="41"/>
      <c r="S787" s="41"/>
      <c r="T787" s="41"/>
      <c r="U787" s="41"/>
      <c r="V787" s="41"/>
      <c r="W787" s="41"/>
      <c r="X787" s="41"/>
      <c r="Y787" s="41"/>
      <c r="Z787" s="41"/>
      <c r="AA787" s="41"/>
      <c r="AB787" s="41"/>
      <c r="AC787" s="41"/>
      <c r="AD787" s="41"/>
      <c r="AE787" s="41"/>
      <c r="AF787" s="41"/>
      <c r="AG787" s="41"/>
      <c r="AH787" s="41"/>
      <c r="AI787" s="41"/>
    </row>
    <row r="788" spans="1:35" ht="15.75" customHeight="1" x14ac:dyDescent="0.2">
      <c r="A788" s="41"/>
      <c r="B788" s="41"/>
      <c r="C788" s="41"/>
      <c r="D788" s="41"/>
      <c r="E788" s="41"/>
      <c r="F788" s="41"/>
      <c r="G788" s="41"/>
      <c r="H788" s="41"/>
      <c r="I788" s="41"/>
      <c r="J788" s="41"/>
      <c r="K788" s="41"/>
      <c r="L788" s="41"/>
      <c r="M788" s="41"/>
      <c r="N788" s="41"/>
      <c r="O788" s="41"/>
      <c r="P788" s="41"/>
      <c r="Q788" s="41"/>
      <c r="R788" s="41"/>
      <c r="S788" s="41"/>
      <c r="T788" s="41"/>
      <c r="U788" s="41"/>
      <c r="V788" s="41"/>
      <c r="W788" s="41"/>
      <c r="X788" s="41"/>
      <c r="Y788" s="41"/>
      <c r="Z788" s="41"/>
      <c r="AA788" s="41"/>
      <c r="AB788" s="41"/>
      <c r="AC788" s="41"/>
      <c r="AD788" s="41"/>
      <c r="AE788" s="41"/>
      <c r="AF788" s="41"/>
      <c r="AG788" s="41"/>
      <c r="AH788" s="41"/>
      <c r="AI788" s="41"/>
    </row>
    <row r="789" spans="1:35" ht="15.75" customHeight="1" x14ac:dyDescent="0.2">
      <c r="A789" s="41"/>
      <c r="B789" s="41"/>
      <c r="C789" s="41"/>
      <c r="D789" s="41"/>
      <c r="E789" s="41"/>
      <c r="F789" s="41"/>
      <c r="G789" s="41"/>
      <c r="H789" s="41"/>
      <c r="I789" s="41"/>
      <c r="J789" s="41"/>
      <c r="K789" s="41"/>
      <c r="L789" s="41"/>
      <c r="M789" s="41"/>
      <c r="N789" s="41"/>
      <c r="O789" s="41"/>
      <c r="P789" s="41"/>
      <c r="Q789" s="41"/>
      <c r="R789" s="41"/>
      <c r="S789" s="41"/>
      <c r="T789" s="41"/>
      <c r="U789" s="41"/>
      <c r="V789" s="41"/>
      <c r="W789" s="41"/>
      <c r="X789" s="41"/>
      <c r="Y789" s="41"/>
      <c r="Z789" s="41"/>
      <c r="AA789" s="41"/>
      <c r="AB789" s="41"/>
      <c r="AC789" s="41"/>
      <c r="AD789" s="41"/>
      <c r="AE789" s="41"/>
      <c r="AF789" s="41"/>
      <c r="AG789" s="41"/>
      <c r="AH789" s="41"/>
      <c r="AI789" s="41"/>
    </row>
    <row r="790" spans="1:35" ht="15.75" customHeight="1" x14ac:dyDescent="0.2">
      <c r="A790" s="41"/>
      <c r="B790" s="41"/>
      <c r="C790" s="41"/>
      <c r="D790" s="41"/>
      <c r="E790" s="41"/>
      <c r="F790" s="41"/>
      <c r="G790" s="41"/>
      <c r="H790" s="41"/>
      <c r="I790" s="41"/>
      <c r="J790" s="41"/>
      <c r="K790" s="41"/>
      <c r="L790" s="41"/>
      <c r="M790" s="41"/>
      <c r="N790" s="41"/>
      <c r="O790" s="41"/>
      <c r="P790" s="41"/>
      <c r="Q790" s="41"/>
      <c r="R790" s="41"/>
      <c r="S790" s="41"/>
      <c r="T790" s="41"/>
      <c r="U790" s="41"/>
      <c r="V790" s="41"/>
      <c r="W790" s="41"/>
      <c r="X790" s="41"/>
      <c r="Y790" s="41"/>
      <c r="Z790" s="41"/>
      <c r="AA790" s="41"/>
      <c r="AB790" s="41"/>
      <c r="AC790" s="41"/>
      <c r="AD790" s="41"/>
      <c r="AE790" s="41"/>
      <c r="AF790" s="41"/>
      <c r="AG790" s="41"/>
      <c r="AH790" s="41"/>
      <c r="AI790" s="41"/>
    </row>
    <row r="791" spans="1:35" ht="15.75" customHeight="1" x14ac:dyDescent="0.2">
      <c r="A791" s="41"/>
      <c r="B791" s="41"/>
      <c r="C791" s="41"/>
      <c r="D791" s="41"/>
      <c r="E791" s="41"/>
      <c r="F791" s="41"/>
      <c r="G791" s="41"/>
      <c r="H791" s="41"/>
      <c r="I791" s="41"/>
      <c r="J791" s="41"/>
      <c r="K791" s="41"/>
      <c r="L791" s="41"/>
      <c r="M791" s="41"/>
      <c r="N791" s="41"/>
      <c r="O791" s="41"/>
      <c r="P791" s="41"/>
      <c r="Q791" s="41"/>
      <c r="R791" s="41"/>
      <c r="S791" s="41"/>
      <c r="T791" s="41"/>
      <c r="U791" s="41"/>
      <c r="V791" s="41"/>
      <c r="W791" s="41"/>
      <c r="X791" s="41"/>
      <c r="Y791" s="41"/>
      <c r="Z791" s="41"/>
      <c r="AA791" s="41"/>
      <c r="AB791" s="41"/>
      <c r="AC791" s="41"/>
      <c r="AD791" s="41"/>
      <c r="AE791" s="41"/>
      <c r="AF791" s="41"/>
      <c r="AG791" s="41"/>
      <c r="AH791" s="41"/>
      <c r="AI791" s="41"/>
    </row>
    <row r="792" spans="1:35" ht="15.75" customHeight="1" x14ac:dyDescent="0.2">
      <c r="A792" s="41"/>
      <c r="B792" s="41"/>
      <c r="C792" s="41"/>
      <c r="D792" s="41"/>
      <c r="E792" s="41"/>
      <c r="F792" s="41"/>
      <c r="G792" s="41"/>
      <c r="H792" s="41"/>
      <c r="I792" s="41"/>
      <c r="J792" s="41"/>
      <c r="K792" s="41"/>
      <c r="L792" s="41"/>
      <c r="M792" s="41"/>
      <c r="N792" s="41"/>
      <c r="O792" s="41"/>
      <c r="P792" s="41"/>
      <c r="Q792" s="41"/>
      <c r="R792" s="41"/>
      <c r="S792" s="41"/>
      <c r="T792" s="41"/>
      <c r="U792" s="41"/>
      <c r="V792" s="41"/>
      <c r="W792" s="41"/>
      <c r="X792" s="41"/>
      <c r="Y792" s="41"/>
      <c r="Z792" s="41"/>
      <c r="AA792" s="41"/>
      <c r="AB792" s="41"/>
      <c r="AC792" s="41"/>
      <c r="AD792" s="41"/>
      <c r="AE792" s="41"/>
      <c r="AF792" s="41"/>
      <c r="AG792" s="41"/>
      <c r="AH792" s="41"/>
      <c r="AI792" s="41"/>
    </row>
    <row r="793" spans="1:35" ht="15.75" customHeight="1" x14ac:dyDescent="0.2">
      <c r="A793" s="41"/>
      <c r="B793" s="41"/>
      <c r="C793" s="41"/>
      <c r="D793" s="41"/>
      <c r="E793" s="41"/>
      <c r="F793" s="41"/>
      <c r="G793" s="41"/>
      <c r="H793" s="41"/>
      <c r="I793" s="41"/>
      <c r="J793" s="41"/>
      <c r="K793" s="41"/>
      <c r="L793" s="41"/>
      <c r="M793" s="41"/>
      <c r="N793" s="41"/>
      <c r="O793" s="41"/>
      <c r="P793" s="41"/>
      <c r="Q793" s="41"/>
      <c r="R793" s="41"/>
      <c r="S793" s="41"/>
      <c r="T793" s="41"/>
      <c r="U793" s="41"/>
      <c r="V793" s="41"/>
      <c r="W793" s="41"/>
      <c r="X793" s="41"/>
      <c r="Y793" s="41"/>
      <c r="Z793" s="41"/>
      <c r="AA793" s="41"/>
      <c r="AB793" s="41"/>
      <c r="AC793" s="41"/>
      <c r="AD793" s="41"/>
      <c r="AE793" s="41"/>
      <c r="AF793" s="41"/>
      <c r="AG793" s="41"/>
      <c r="AH793" s="41"/>
      <c r="AI793" s="41"/>
    </row>
    <row r="794" spans="1:35" ht="15.75" customHeight="1" x14ac:dyDescent="0.2">
      <c r="A794" s="41"/>
      <c r="B794" s="41"/>
      <c r="C794" s="41"/>
      <c r="D794" s="41"/>
      <c r="E794" s="41"/>
      <c r="F794" s="41"/>
      <c r="G794" s="41"/>
      <c r="H794" s="41"/>
      <c r="I794" s="41"/>
      <c r="J794" s="41"/>
      <c r="K794" s="41"/>
      <c r="L794" s="41"/>
      <c r="M794" s="41"/>
      <c r="N794" s="41"/>
      <c r="O794" s="41"/>
      <c r="P794" s="41"/>
      <c r="Q794" s="41"/>
      <c r="R794" s="41"/>
      <c r="S794" s="41"/>
      <c r="T794" s="41"/>
      <c r="U794" s="41"/>
      <c r="V794" s="41"/>
      <c r="W794" s="41"/>
      <c r="X794" s="41"/>
      <c r="Y794" s="41"/>
      <c r="Z794" s="41"/>
      <c r="AA794" s="41"/>
      <c r="AB794" s="41"/>
      <c r="AC794" s="41"/>
      <c r="AD794" s="41"/>
      <c r="AE794" s="41"/>
      <c r="AF794" s="41"/>
      <c r="AG794" s="41"/>
      <c r="AH794" s="41"/>
      <c r="AI794" s="41"/>
    </row>
    <row r="795" spans="1:35" ht="15.75" customHeight="1" x14ac:dyDescent="0.2">
      <c r="A795" s="41"/>
      <c r="B795" s="41"/>
      <c r="C795" s="41"/>
      <c r="D795" s="41"/>
      <c r="E795" s="41"/>
      <c r="F795" s="41"/>
      <c r="G795" s="41"/>
      <c r="H795" s="41"/>
      <c r="I795" s="41"/>
      <c r="J795" s="41"/>
      <c r="K795" s="41"/>
      <c r="L795" s="41"/>
      <c r="M795" s="41"/>
      <c r="N795" s="41"/>
      <c r="O795" s="41"/>
      <c r="P795" s="41"/>
      <c r="Q795" s="41"/>
      <c r="R795" s="41"/>
      <c r="S795" s="41"/>
      <c r="T795" s="41"/>
      <c r="U795" s="41"/>
      <c r="V795" s="41"/>
      <c r="W795" s="41"/>
      <c r="X795" s="41"/>
      <c r="Y795" s="41"/>
      <c r="Z795" s="41"/>
      <c r="AA795" s="41"/>
      <c r="AB795" s="41"/>
      <c r="AC795" s="41"/>
      <c r="AD795" s="41"/>
      <c r="AE795" s="41"/>
      <c r="AF795" s="41"/>
      <c r="AG795" s="41"/>
      <c r="AH795" s="41"/>
      <c r="AI795" s="41"/>
    </row>
    <row r="796" spans="1:35" ht="15.75" customHeight="1" x14ac:dyDescent="0.2">
      <c r="A796" s="41"/>
      <c r="B796" s="41"/>
      <c r="C796" s="41"/>
      <c r="D796" s="41"/>
      <c r="E796" s="41"/>
      <c r="F796" s="41"/>
      <c r="G796" s="41"/>
      <c r="H796" s="41"/>
      <c r="I796" s="41"/>
      <c r="J796" s="41"/>
      <c r="K796" s="41"/>
      <c r="L796" s="41"/>
      <c r="M796" s="41"/>
      <c r="N796" s="41"/>
      <c r="O796" s="41"/>
      <c r="P796" s="41"/>
      <c r="Q796" s="41"/>
      <c r="R796" s="41"/>
      <c r="S796" s="41"/>
      <c r="T796" s="41"/>
      <c r="U796" s="41"/>
      <c r="V796" s="41"/>
      <c r="W796" s="41"/>
      <c r="X796" s="41"/>
      <c r="Y796" s="41"/>
      <c r="Z796" s="41"/>
      <c r="AA796" s="41"/>
      <c r="AB796" s="41"/>
      <c r="AC796" s="41"/>
      <c r="AD796" s="41"/>
      <c r="AE796" s="41"/>
      <c r="AF796" s="41"/>
      <c r="AG796" s="41"/>
      <c r="AH796" s="41"/>
      <c r="AI796" s="41"/>
    </row>
    <row r="797" spans="1:35" ht="15.75" customHeight="1" x14ac:dyDescent="0.2">
      <c r="A797" s="41"/>
      <c r="B797" s="41"/>
      <c r="C797" s="41"/>
      <c r="D797" s="41"/>
      <c r="E797" s="41"/>
      <c r="F797" s="41"/>
      <c r="G797" s="41"/>
      <c r="H797" s="41"/>
      <c r="I797" s="41"/>
      <c r="J797" s="41"/>
      <c r="K797" s="41"/>
      <c r="L797" s="41"/>
      <c r="M797" s="41"/>
      <c r="N797" s="41"/>
      <c r="O797" s="41"/>
      <c r="P797" s="41"/>
      <c r="Q797" s="41"/>
      <c r="R797" s="41"/>
      <c r="S797" s="41"/>
      <c r="T797" s="41"/>
      <c r="U797" s="41"/>
      <c r="V797" s="41"/>
      <c r="W797" s="41"/>
      <c r="X797" s="41"/>
      <c r="Y797" s="41"/>
      <c r="Z797" s="41"/>
      <c r="AA797" s="41"/>
      <c r="AB797" s="41"/>
      <c r="AC797" s="41"/>
      <c r="AD797" s="41"/>
      <c r="AE797" s="41"/>
      <c r="AF797" s="41"/>
      <c r="AG797" s="41"/>
      <c r="AH797" s="41"/>
      <c r="AI797" s="41"/>
    </row>
    <row r="798" spans="1:35" ht="15.75" customHeight="1" x14ac:dyDescent="0.2">
      <c r="A798" s="41"/>
      <c r="B798" s="41"/>
      <c r="C798" s="41"/>
      <c r="D798" s="41"/>
      <c r="E798" s="41"/>
      <c r="F798" s="41"/>
      <c r="G798" s="41"/>
      <c r="H798" s="41"/>
      <c r="I798" s="41"/>
      <c r="J798" s="41"/>
      <c r="K798" s="41"/>
      <c r="L798" s="41"/>
      <c r="M798" s="41"/>
      <c r="N798" s="41"/>
      <c r="O798" s="41"/>
      <c r="P798" s="41"/>
      <c r="Q798" s="41"/>
      <c r="R798" s="41"/>
      <c r="S798" s="41"/>
      <c r="T798" s="41"/>
      <c r="U798" s="41"/>
      <c r="V798" s="41"/>
      <c r="W798" s="41"/>
      <c r="X798" s="41"/>
      <c r="Y798" s="41"/>
      <c r="Z798" s="41"/>
      <c r="AA798" s="41"/>
      <c r="AB798" s="41"/>
      <c r="AC798" s="41"/>
      <c r="AD798" s="41"/>
      <c r="AE798" s="41"/>
      <c r="AF798" s="41"/>
      <c r="AG798" s="41"/>
      <c r="AH798" s="41"/>
      <c r="AI798" s="41"/>
    </row>
    <row r="799" spans="1:35" ht="15.75" customHeight="1" x14ac:dyDescent="0.2">
      <c r="A799" s="41"/>
      <c r="B799" s="41"/>
      <c r="C799" s="41"/>
      <c r="D799" s="41"/>
      <c r="E799" s="41"/>
      <c r="F799" s="41"/>
      <c r="G799" s="41"/>
      <c r="H799" s="41"/>
      <c r="I799" s="41"/>
      <c r="J799" s="41"/>
      <c r="K799" s="41"/>
      <c r="L799" s="41"/>
      <c r="M799" s="41"/>
      <c r="N799" s="41"/>
      <c r="O799" s="41"/>
      <c r="P799" s="41"/>
      <c r="Q799" s="41"/>
      <c r="R799" s="41"/>
      <c r="S799" s="41"/>
      <c r="T799" s="41"/>
      <c r="U799" s="41"/>
      <c r="V799" s="41"/>
      <c r="W799" s="41"/>
      <c r="X799" s="41"/>
      <c r="Y799" s="41"/>
      <c r="Z799" s="41"/>
      <c r="AA799" s="41"/>
      <c r="AB799" s="41"/>
      <c r="AC799" s="41"/>
      <c r="AD799" s="41"/>
      <c r="AE799" s="41"/>
      <c r="AF799" s="41"/>
      <c r="AG799" s="41"/>
      <c r="AH799" s="41"/>
      <c r="AI799" s="41"/>
    </row>
    <row r="800" spans="1:35" ht="15.75" customHeight="1" x14ac:dyDescent="0.2">
      <c r="A800" s="41"/>
      <c r="B800" s="41"/>
      <c r="C800" s="41"/>
      <c r="D800" s="41"/>
      <c r="E800" s="41"/>
      <c r="F800" s="41"/>
      <c r="G800" s="41"/>
      <c r="H800" s="41"/>
      <c r="I800" s="41"/>
      <c r="J800" s="41"/>
      <c r="K800" s="41"/>
      <c r="L800" s="41"/>
      <c r="M800" s="41"/>
      <c r="N800" s="41"/>
      <c r="O800" s="41"/>
      <c r="P800" s="41"/>
      <c r="Q800" s="41"/>
      <c r="R800" s="41"/>
      <c r="S800" s="41"/>
      <c r="T800" s="41"/>
      <c r="U800" s="41"/>
      <c r="V800" s="41"/>
      <c r="W800" s="41"/>
      <c r="X800" s="41"/>
      <c r="Y800" s="41"/>
      <c r="Z800" s="41"/>
      <c r="AA800" s="41"/>
      <c r="AB800" s="41"/>
      <c r="AC800" s="41"/>
      <c r="AD800" s="41"/>
      <c r="AE800" s="41"/>
      <c r="AF800" s="41"/>
      <c r="AG800" s="41"/>
      <c r="AH800" s="41"/>
      <c r="AI800" s="41"/>
    </row>
    <row r="801" spans="1:35" ht="15.75" customHeight="1" x14ac:dyDescent="0.2">
      <c r="A801" s="41"/>
      <c r="B801" s="41"/>
      <c r="C801" s="41"/>
      <c r="D801" s="41"/>
      <c r="E801" s="41"/>
      <c r="F801" s="41"/>
      <c r="G801" s="41"/>
      <c r="H801" s="41"/>
      <c r="I801" s="41"/>
      <c r="J801" s="41"/>
      <c r="K801" s="41"/>
      <c r="L801" s="41"/>
      <c r="M801" s="41"/>
      <c r="N801" s="41"/>
      <c r="O801" s="41"/>
      <c r="P801" s="41"/>
      <c r="Q801" s="41"/>
      <c r="R801" s="41"/>
      <c r="S801" s="41"/>
      <c r="T801" s="41"/>
      <c r="U801" s="41"/>
      <c r="V801" s="41"/>
      <c r="W801" s="41"/>
      <c r="X801" s="41"/>
      <c r="Y801" s="41"/>
      <c r="Z801" s="41"/>
      <c r="AA801" s="41"/>
      <c r="AB801" s="41"/>
      <c r="AC801" s="41"/>
      <c r="AD801" s="41"/>
      <c r="AE801" s="41"/>
      <c r="AF801" s="41"/>
      <c r="AG801" s="41"/>
      <c r="AH801" s="41"/>
      <c r="AI801" s="41"/>
    </row>
    <row r="802" spans="1:35" ht="15.75" customHeight="1" x14ac:dyDescent="0.2">
      <c r="A802" s="41"/>
      <c r="B802" s="41"/>
      <c r="C802" s="41"/>
      <c r="D802" s="41"/>
      <c r="E802" s="41"/>
      <c r="F802" s="41"/>
      <c r="G802" s="41"/>
      <c r="H802" s="41"/>
      <c r="I802" s="41"/>
      <c r="J802" s="41"/>
      <c r="K802" s="41"/>
      <c r="L802" s="41"/>
      <c r="M802" s="41"/>
      <c r="N802" s="41"/>
      <c r="O802" s="41"/>
      <c r="P802" s="41"/>
      <c r="Q802" s="41"/>
      <c r="R802" s="41"/>
      <c r="S802" s="41"/>
      <c r="T802" s="41"/>
      <c r="U802" s="41"/>
      <c r="V802" s="41"/>
      <c r="W802" s="41"/>
      <c r="X802" s="41"/>
      <c r="Y802" s="41"/>
      <c r="Z802" s="41"/>
      <c r="AA802" s="41"/>
      <c r="AB802" s="41"/>
      <c r="AC802" s="41"/>
      <c r="AD802" s="41"/>
      <c r="AE802" s="41"/>
      <c r="AF802" s="41"/>
      <c r="AG802" s="41"/>
      <c r="AH802" s="41"/>
      <c r="AI802" s="41"/>
    </row>
    <row r="803" spans="1:35" ht="15.75" customHeight="1" x14ac:dyDescent="0.2">
      <c r="A803" s="41"/>
      <c r="B803" s="41"/>
      <c r="C803" s="41"/>
      <c r="D803" s="41"/>
      <c r="E803" s="41"/>
      <c r="F803" s="41"/>
      <c r="G803" s="41"/>
      <c r="H803" s="41"/>
      <c r="I803" s="41"/>
      <c r="J803" s="41"/>
      <c r="K803" s="41"/>
      <c r="L803" s="41"/>
      <c r="M803" s="41"/>
      <c r="N803" s="41"/>
      <c r="O803" s="41"/>
      <c r="P803" s="41"/>
      <c r="Q803" s="41"/>
      <c r="R803" s="41"/>
      <c r="S803" s="41"/>
      <c r="T803" s="41"/>
      <c r="U803" s="41"/>
      <c r="V803" s="41"/>
      <c r="W803" s="41"/>
      <c r="X803" s="41"/>
      <c r="Y803" s="41"/>
      <c r="Z803" s="41"/>
      <c r="AA803" s="41"/>
      <c r="AB803" s="41"/>
      <c r="AC803" s="41"/>
      <c r="AD803" s="41"/>
      <c r="AE803" s="41"/>
      <c r="AF803" s="41"/>
      <c r="AG803" s="41"/>
      <c r="AH803" s="41"/>
      <c r="AI803" s="41"/>
    </row>
    <row r="804" spans="1:35" ht="15.75" customHeight="1" x14ac:dyDescent="0.2">
      <c r="A804" s="41"/>
      <c r="B804" s="41"/>
      <c r="C804" s="41"/>
      <c r="D804" s="41"/>
      <c r="E804" s="41"/>
      <c r="F804" s="41"/>
      <c r="G804" s="41"/>
      <c r="H804" s="41"/>
      <c r="I804" s="41"/>
      <c r="J804" s="41"/>
      <c r="K804" s="41"/>
      <c r="L804" s="41"/>
      <c r="M804" s="41"/>
      <c r="N804" s="41"/>
      <c r="O804" s="41"/>
      <c r="P804" s="41"/>
      <c r="Q804" s="41"/>
      <c r="R804" s="41"/>
      <c r="S804" s="41"/>
      <c r="T804" s="41"/>
      <c r="U804" s="41"/>
      <c r="V804" s="41"/>
      <c r="W804" s="41"/>
      <c r="X804" s="41"/>
      <c r="Y804" s="41"/>
      <c r="Z804" s="41"/>
      <c r="AA804" s="41"/>
      <c r="AB804" s="41"/>
      <c r="AC804" s="41"/>
      <c r="AD804" s="41"/>
      <c r="AE804" s="41"/>
      <c r="AF804" s="41"/>
      <c r="AG804" s="41"/>
      <c r="AH804" s="41"/>
      <c r="AI804" s="41"/>
    </row>
    <row r="805" spans="1:35" ht="15.75" customHeight="1" x14ac:dyDescent="0.2">
      <c r="A805" s="41"/>
      <c r="B805" s="41"/>
      <c r="C805" s="41"/>
      <c r="D805" s="41"/>
      <c r="E805" s="41"/>
      <c r="F805" s="41"/>
      <c r="G805" s="41"/>
      <c r="H805" s="41"/>
      <c r="I805" s="41"/>
      <c r="J805" s="41"/>
      <c r="K805" s="41"/>
      <c r="L805" s="41"/>
      <c r="M805" s="41"/>
      <c r="N805" s="41"/>
      <c r="O805" s="41"/>
      <c r="P805" s="41"/>
      <c r="Q805" s="41"/>
      <c r="R805" s="41"/>
      <c r="S805" s="41"/>
      <c r="T805" s="41"/>
      <c r="U805" s="41"/>
      <c r="V805" s="41"/>
      <c r="W805" s="41"/>
      <c r="X805" s="41"/>
      <c r="Y805" s="41"/>
      <c r="Z805" s="41"/>
      <c r="AA805" s="41"/>
      <c r="AB805" s="41"/>
      <c r="AC805" s="41"/>
      <c r="AD805" s="41"/>
      <c r="AE805" s="41"/>
      <c r="AF805" s="41"/>
      <c r="AG805" s="41"/>
      <c r="AH805" s="41"/>
      <c r="AI805" s="41"/>
    </row>
    <row r="806" spans="1:35" ht="15.75" customHeight="1" x14ac:dyDescent="0.2">
      <c r="A806" s="41"/>
      <c r="B806" s="41"/>
      <c r="C806" s="41"/>
      <c r="D806" s="41"/>
      <c r="E806" s="41"/>
      <c r="F806" s="41"/>
      <c r="G806" s="41"/>
      <c r="H806" s="41"/>
      <c r="I806" s="41"/>
      <c r="J806" s="41"/>
      <c r="K806" s="41"/>
      <c r="L806" s="41"/>
      <c r="M806" s="41"/>
      <c r="N806" s="41"/>
      <c r="O806" s="41"/>
      <c r="P806" s="41"/>
      <c r="Q806" s="41"/>
      <c r="R806" s="41"/>
      <c r="S806" s="41"/>
      <c r="T806" s="41"/>
      <c r="U806" s="41"/>
      <c r="V806" s="41"/>
      <c r="W806" s="41"/>
      <c r="X806" s="41"/>
      <c r="Y806" s="41"/>
      <c r="Z806" s="41"/>
      <c r="AA806" s="41"/>
      <c r="AB806" s="41"/>
      <c r="AC806" s="41"/>
      <c r="AD806" s="41"/>
      <c r="AE806" s="41"/>
      <c r="AF806" s="41"/>
      <c r="AG806" s="41"/>
      <c r="AH806" s="41"/>
      <c r="AI806" s="41"/>
    </row>
    <row r="807" spans="1:35" ht="15.75" customHeight="1" x14ac:dyDescent="0.2">
      <c r="A807" s="41"/>
      <c r="B807" s="41"/>
      <c r="C807" s="41"/>
      <c r="D807" s="41"/>
      <c r="E807" s="41"/>
      <c r="F807" s="41"/>
      <c r="G807" s="41"/>
      <c r="H807" s="41"/>
      <c r="I807" s="41"/>
      <c r="J807" s="41"/>
      <c r="K807" s="41"/>
      <c r="L807" s="41"/>
      <c r="M807" s="41"/>
      <c r="N807" s="41"/>
      <c r="O807" s="41"/>
      <c r="P807" s="41"/>
      <c r="Q807" s="41"/>
      <c r="R807" s="41"/>
      <c r="S807" s="41"/>
      <c r="T807" s="41"/>
      <c r="U807" s="41"/>
      <c r="V807" s="41"/>
      <c r="W807" s="41"/>
      <c r="X807" s="41"/>
      <c r="Y807" s="41"/>
      <c r="Z807" s="41"/>
      <c r="AA807" s="41"/>
      <c r="AB807" s="41"/>
      <c r="AC807" s="41"/>
      <c r="AD807" s="41"/>
      <c r="AE807" s="41"/>
      <c r="AF807" s="41"/>
      <c r="AG807" s="41"/>
      <c r="AH807" s="41"/>
      <c r="AI807" s="41"/>
    </row>
    <row r="808" spans="1:35" ht="15.75" customHeight="1" x14ac:dyDescent="0.2">
      <c r="A808" s="41"/>
      <c r="B808" s="41"/>
      <c r="C808" s="41"/>
      <c r="D808" s="41"/>
      <c r="E808" s="41"/>
      <c r="F808" s="41"/>
      <c r="G808" s="41"/>
      <c r="H808" s="41"/>
      <c r="I808" s="41"/>
      <c r="J808" s="41"/>
      <c r="K808" s="41"/>
      <c r="L808" s="41"/>
      <c r="M808" s="41"/>
      <c r="N808" s="41"/>
      <c r="O808" s="41"/>
      <c r="P808" s="41"/>
      <c r="Q808" s="41"/>
      <c r="R808" s="41"/>
      <c r="S808" s="41"/>
      <c r="T808" s="41"/>
      <c r="U808" s="41"/>
      <c r="V808" s="41"/>
      <c r="W808" s="41"/>
      <c r="X808" s="41"/>
      <c r="Y808" s="41"/>
      <c r="Z808" s="41"/>
      <c r="AA808" s="41"/>
      <c r="AB808" s="41"/>
      <c r="AC808" s="41"/>
      <c r="AD808" s="41"/>
      <c r="AE808" s="41"/>
      <c r="AF808" s="41"/>
      <c r="AG808" s="41"/>
      <c r="AH808" s="41"/>
      <c r="AI808" s="41"/>
    </row>
    <row r="809" spans="1:35" ht="15.75" customHeight="1" x14ac:dyDescent="0.2">
      <c r="A809" s="41"/>
      <c r="B809" s="41"/>
      <c r="C809" s="41"/>
      <c r="D809" s="41"/>
      <c r="E809" s="41"/>
      <c r="F809" s="41"/>
      <c r="G809" s="41"/>
      <c r="H809" s="41"/>
      <c r="I809" s="41"/>
      <c r="J809" s="41"/>
      <c r="K809" s="41"/>
      <c r="L809" s="41"/>
      <c r="M809" s="41"/>
      <c r="N809" s="41"/>
      <c r="O809" s="41"/>
      <c r="P809" s="41"/>
      <c r="Q809" s="41"/>
      <c r="R809" s="41"/>
      <c r="S809" s="41"/>
      <c r="T809" s="41"/>
      <c r="U809" s="41"/>
      <c r="V809" s="41"/>
      <c r="W809" s="41"/>
      <c r="X809" s="41"/>
      <c r="Y809" s="41"/>
      <c r="Z809" s="41"/>
      <c r="AA809" s="41"/>
      <c r="AB809" s="41"/>
      <c r="AC809" s="41"/>
      <c r="AD809" s="41"/>
      <c r="AE809" s="41"/>
      <c r="AF809" s="41"/>
      <c r="AG809" s="41"/>
      <c r="AH809" s="41"/>
      <c r="AI809" s="41"/>
    </row>
    <row r="810" spans="1:35" ht="15.75" customHeight="1" x14ac:dyDescent="0.2">
      <c r="A810" s="41"/>
      <c r="B810" s="41"/>
      <c r="C810" s="41"/>
      <c r="D810" s="41"/>
      <c r="E810" s="41"/>
      <c r="F810" s="41"/>
      <c r="G810" s="41"/>
      <c r="H810" s="41"/>
      <c r="I810" s="41"/>
      <c r="J810" s="41"/>
      <c r="K810" s="41"/>
      <c r="L810" s="41"/>
      <c r="M810" s="41"/>
      <c r="N810" s="41"/>
      <c r="O810" s="41"/>
      <c r="P810" s="41"/>
      <c r="Q810" s="41"/>
      <c r="R810" s="41"/>
      <c r="S810" s="41"/>
      <c r="T810" s="41"/>
      <c r="U810" s="41"/>
      <c r="V810" s="41"/>
      <c r="W810" s="41"/>
      <c r="X810" s="41"/>
      <c r="Y810" s="41"/>
      <c r="Z810" s="41"/>
      <c r="AA810" s="41"/>
      <c r="AB810" s="41"/>
      <c r="AC810" s="41"/>
      <c r="AD810" s="41"/>
      <c r="AE810" s="41"/>
      <c r="AF810" s="41"/>
      <c r="AG810" s="41"/>
      <c r="AH810" s="41"/>
      <c r="AI810" s="41"/>
    </row>
    <row r="811" spans="1:35" ht="15.75" customHeight="1" x14ac:dyDescent="0.2">
      <c r="A811" s="41"/>
      <c r="B811" s="41"/>
      <c r="C811" s="41"/>
      <c r="D811" s="41"/>
      <c r="E811" s="41"/>
      <c r="F811" s="41"/>
      <c r="G811" s="41"/>
      <c r="H811" s="41"/>
      <c r="I811" s="41"/>
      <c r="J811" s="41"/>
      <c r="K811" s="41"/>
      <c r="L811" s="41"/>
      <c r="M811" s="41"/>
      <c r="N811" s="41"/>
      <c r="O811" s="41"/>
      <c r="P811" s="41"/>
      <c r="Q811" s="41"/>
      <c r="R811" s="41"/>
      <c r="S811" s="41"/>
      <c r="T811" s="41"/>
      <c r="U811" s="41"/>
      <c r="V811" s="41"/>
      <c r="W811" s="41"/>
      <c r="X811" s="41"/>
      <c r="Y811" s="41"/>
      <c r="Z811" s="41"/>
      <c r="AA811" s="41"/>
      <c r="AB811" s="41"/>
      <c r="AC811" s="41"/>
      <c r="AD811" s="41"/>
      <c r="AE811" s="41"/>
      <c r="AF811" s="41"/>
      <c r="AG811" s="41"/>
      <c r="AH811" s="41"/>
      <c r="AI811" s="41"/>
    </row>
    <row r="812" spans="1:35" ht="15.75" customHeight="1" x14ac:dyDescent="0.2">
      <c r="A812" s="41"/>
      <c r="B812" s="41"/>
      <c r="C812" s="41"/>
      <c r="D812" s="41"/>
      <c r="E812" s="41"/>
      <c r="F812" s="41"/>
      <c r="G812" s="41"/>
      <c r="H812" s="41"/>
      <c r="I812" s="41"/>
      <c r="J812" s="41"/>
      <c r="K812" s="41"/>
      <c r="L812" s="41"/>
      <c r="M812" s="41"/>
      <c r="N812" s="41"/>
      <c r="O812" s="41"/>
      <c r="P812" s="41"/>
      <c r="Q812" s="41"/>
      <c r="R812" s="41"/>
      <c r="S812" s="41"/>
      <c r="T812" s="41"/>
      <c r="U812" s="41"/>
      <c r="V812" s="41"/>
      <c r="W812" s="41"/>
      <c r="X812" s="41"/>
      <c r="Y812" s="41"/>
      <c r="Z812" s="41"/>
      <c r="AA812" s="41"/>
      <c r="AB812" s="41"/>
      <c r="AC812" s="41"/>
      <c r="AD812" s="41"/>
      <c r="AE812" s="41"/>
      <c r="AF812" s="41"/>
      <c r="AG812" s="41"/>
      <c r="AH812" s="41"/>
      <c r="AI812" s="41"/>
    </row>
    <row r="813" spans="1:35" ht="15.75" customHeight="1" x14ac:dyDescent="0.2">
      <c r="A813" s="41"/>
      <c r="B813" s="41"/>
      <c r="C813" s="41"/>
      <c r="D813" s="41"/>
      <c r="E813" s="41"/>
      <c r="F813" s="41"/>
      <c r="G813" s="41"/>
      <c r="H813" s="41"/>
      <c r="I813" s="41"/>
      <c r="J813" s="41"/>
      <c r="K813" s="41"/>
      <c r="L813" s="41"/>
      <c r="M813" s="41"/>
      <c r="N813" s="41"/>
      <c r="O813" s="41"/>
      <c r="P813" s="41"/>
      <c r="Q813" s="41"/>
      <c r="R813" s="41"/>
      <c r="S813" s="41"/>
      <c r="T813" s="41"/>
      <c r="U813" s="41"/>
      <c r="V813" s="41"/>
      <c r="W813" s="41"/>
      <c r="X813" s="41"/>
      <c r="Y813" s="41"/>
      <c r="Z813" s="41"/>
      <c r="AA813" s="41"/>
      <c r="AB813" s="41"/>
      <c r="AC813" s="41"/>
      <c r="AD813" s="41"/>
      <c r="AE813" s="41"/>
      <c r="AF813" s="41"/>
      <c r="AG813" s="41"/>
      <c r="AH813" s="41"/>
      <c r="AI813" s="41"/>
    </row>
    <row r="814" spans="1:35" ht="15.75" customHeight="1" x14ac:dyDescent="0.2">
      <c r="A814" s="41"/>
      <c r="B814" s="41"/>
      <c r="C814" s="41"/>
      <c r="D814" s="41"/>
      <c r="E814" s="41"/>
      <c r="F814" s="41"/>
      <c r="G814" s="41"/>
      <c r="H814" s="41"/>
      <c r="I814" s="41"/>
      <c r="J814" s="41"/>
      <c r="K814" s="41"/>
      <c r="L814" s="41"/>
      <c r="M814" s="41"/>
      <c r="N814" s="41"/>
      <c r="O814" s="41"/>
      <c r="P814" s="41"/>
      <c r="Q814" s="41"/>
      <c r="R814" s="41"/>
      <c r="S814" s="41"/>
      <c r="T814" s="41"/>
      <c r="U814" s="41"/>
      <c r="V814" s="41"/>
      <c r="W814" s="41"/>
      <c r="X814" s="41"/>
      <c r="Y814" s="41"/>
      <c r="Z814" s="41"/>
      <c r="AA814" s="41"/>
      <c r="AB814" s="41"/>
      <c r="AC814" s="41"/>
      <c r="AD814" s="41"/>
      <c r="AE814" s="41"/>
      <c r="AF814" s="41"/>
      <c r="AG814" s="41"/>
      <c r="AH814" s="41"/>
      <c r="AI814" s="41"/>
    </row>
    <row r="815" spans="1:35" ht="15.75" customHeight="1" x14ac:dyDescent="0.2">
      <c r="A815" s="41"/>
      <c r="B815" s="41"/>
      <c r="C815" s="41"/>
      <c r="D815" s="41"/>
      <c r="E815" s="41"/>
      <c r="F815" s="41"/>
      <c r="G815" s="41"/>
      <c r="H815" s="41"/>
      <c r="I815" s="41"/>
      <c r="J815" s="41"/>
      <c r="K815" s="41"/>
      <c r="L815" s="41"/>
      <c r="M815" s="41"/>
      <c r="N815" s="41"/>
      <c r="O815" s="41"/>
      <c r="P815" s="41"/>
      <c r="Q815" s="41"/>
      <c r="R815" s="41"/>
      <c r="S815" s="41"/>
      <c r="T815" s="41"/>
      <c r="U815" s="41"/>
      <c r="V815" s="41"/>
      <c r="W815" s="41"/>
      <c r="X815" s="41"/>
      <c r="Y815" s="41"/>
      <c r="Z815" s="41"/>
      <c r="AA815" s="41"/>
      <c r="AB815" s="41"/>
      <c r="AC815" s="41"/>
      <c r="AD815" s="41"/>
      <c r="AE815" s="41"/>
      <c r="AF815" s="41"/>
      <c r="AG815" s="41"/>
      <c r="AH815" s="41"/>
      <c r="AI815" s="41"/>
    </row>
    <row r="816" spans="1:35" ht="15.75" customHeight="1" x14ac:dyDescent="0.2">
      <c r="A816" s="41"/>
      <c r="B816" s="41"/>
      <c r="C816" s="41"/>
      <c r="D816" s="41"/>
      <c r="E816" s="41"/>
      <c r="F816" s="41"/>
      <c r="G816" s="41"/>
      <c r="H816" s="41"/>
      <c r="I816" s="41"/>
      <c r="J816" s="41"/>
      <c r="K816" s="41"/>
      <c r="L816" s="41"/>
      <c r="M816" s="41"/>
      <c r="N816" s="41"/>
      <c r="O816" s="41"/>
      <c r="P816" s="41"/>
      <c r="Q816" s="41"/>
      <c r="R816" s="41"/>
      <c r="S816" s="41"/>
      <c r="T816" s="41"/>
      <c r="U816" s="41"/>
      <c r="V816" s="41"/>
      <c r="W816" s="41"/>
      <c r="X816" s="41"/>
      <c r="Y816" s="41"/>
      <c r="Z816" s="41"/>
      <c r="AA816" s="41"/>
      <c r="AB816" s="41"/>
      <c r="AC816" s="41"/>
      <c r="AD816" s="41"/>
      <c r="AE816" s="41"/>
      <c r="AF816" s="41"/>
      <c r="AG816" s="41"/>
      <c r="AH816" s="41"/>
      <c r="AI816" s="41"/>
    </row>
    <row r="817" spans="1:35" ht="15.75" customHeight="1" x14ac:dyDescent="0.2">
      <c r="A817" s="41"/>
      <c r="B817" s="41"/>
      <c r="C817" s="41"/>
      <c r="D817" s="41"/>
      <c r="E817" s="41"/>
      <c r="F817" s="41"/>
      <c r="G817" s="41"/>
      <c r="H817" s="41"/>
      <c r="I817" s="41"/>
      <c r="J817" s="41"/>
      <c r="K817" s="41"/>
      <c r="L817" s="41"/>
      <c r="M817" s="41"/>
      <c r="N817" s="41"/>
      <c r="O817" s="41"/>
      <c r="P817" s="41"/>
      <c r="Q817" s="41"/>
      <c r="R817" s="41"/>
      <c r="S817" s="41"/>
      <c r="T817" s="41"/>
      <c r="U817" s="41"/>
      <c r="V817" s="41"/>
      <c r="W817" s="41"/>
      <c r="X817" s="41"/>
      <c r="Y817" s="41"/>
      <c r="Z817" s="41"/>
      <c r="AA817" s="41"/>
      <c r="AB817" s="41"/>
      <c r="AC817" s="41"/>
      <c r="AD817" s="41"/>
      <c r="AE817" s="41"/>
      <c r="AF817" s="41"/>
      <c r="AG817" s="41"/>
      <c r="AH817" s="41"/>
      <c r="AI817" s="41"/>
    </row>
    <row r="818" spans="1:35" ht="15.75" customHeight="1" x14ac:dyDescent="0.2">
      <c r="A818" s="41"/>
      <c r="B818" s="41"/>
      <c r="C818" s="41"/>
      <c r="D818" s="41"/>
      <c r="E818" s="41"/>
      <c r="F818" s="41"/>
      <c r="G818" s="41"/>
      <c r="H818" s="41"/>
      <c r="I818" s="41"/>
      <c r="J818" s="41"/>
      <c r="K818" s="41"/>
      <c r="L818" s="41"/>
      <c r="M818" s="41"/>
      <c r="N818" s="41"/>
      <c r="O818" s="41"/>
      <c r="P818" s="41"/>
      <c r="Q818" s="41"/>
      <c r="R818" s="41"/>
      <c r="S818" s="41"/>
      <c r="T818" s="41"/>
      <c r="U818" s="41"/>
      <c r="V818" s="41"/>
      <c r="W818" s="41"/>
      <c r="X818" s="41"/>
      <c r="Y818" s="41"/>
      <c r="Z818" s="41"/>
      <c r="AA818" s="41"/>
      <c r="AB818" s="41"/>
      <c r="AC818" s="41"/>
      <c r="AD818" s="41"/>
      <c r="AE818" s="41"/>
      <c r="AF818" s="41"/>
      <c r="AG818" s="41"/>
      <c r="AH818" s="41"/>
      <c r="AI818" s="41"/>
    </row>
    <row r="819" spans="1:35" ht="15.75" customHeight="1" x14ac:dyDescent="0.2">
      <c r="A819" s="41"/>
      <c r="B819" s="41"/>
      <c r="C819" s="41"/>
      <c r="D819" s="41"/>
      <c r="E819" s="41"/>
      <c r="F819" s="41"/>
      <c r="G819" s="41"/>
      <c r="H819" s="41"/>
      <c r="I819" s="41"/>
      <c r="J819" s="41"/>
      <c r="K819" s="41"/>
      <c r="L819" s="41"/>
      <c r="M819" s="41"/>
      <c r="N819" s="41"/>
      <c r="O819" s="41"/>
      <c r="P819" s="41"/>
      <c r="Q819" s="41"/>
      <c r="R819" s="41"/>
      <c r="S819" s="41"/>
      <c r="T819" s="41"/>
      <c r="U819" s="41"/>
      <c r="V819" s="41"/>
      <c r="W819" s="41"/>
      <c r="X819" s="41"/>
      <c r="Y819" s="41"/>
      <c r="Z819" s="41"/>
      <c r="AA819" s="41"/>
      <c r="AB819" s="41"/>
      <c r="AC819" s="41"/>
      <c r="AD819" s="41"/>
      <c r="AE819" s="41"/>
      <c r="AF819" s="41"/>
      <c r="AG819" s="41"/>
      <c r="AH819" s="41"/>
      <c r="AI819" s="41"/>
    </row>
    <row r="820" spans="1:35" ht="15.75" customHeight="1" x14ac:dyDescent="0.2">
      <c r="A820" s="41"/>
      <c r="B820" s="41"/>
      <c r="C820" s="41"/>
      <c r="D820" s="41"/>
      <c r="E820" s="41"/>
      <c r="F820" s="41"/>
      <c r="G820" s="41"/>
      <c r="H820" s="41"/>
      <c r="I820" s="41"/>
      <c r="J820" s="41"/>
      <c r="K820" s="41"/>
      <c r="L820" s="41"/>
      <c r="M820" s="41"/>
      <c r="N820" s="41"/>
      <c r="O820" s="41"/>
      <c r="P820" s="41"/>
      <c r="Q820" s="41"/>
      <c r="R820" s="41"/>
      <c r="S820" s="41"/>
      <c r="T820" s="41"/>
      <c r="U820" s="41"/>
      <c r="V820" s="41"/>
      <c r="W820" s="41"/>
      <c r="X820" s="41"/>
      <c r="Y820" s="41"/>
      <c r="Z820" s="41"/>
      <c r="AA820" s="41"/>
      <c r="AB820" s="41"/>
      <c r="AC820" s="41"/>
      <c r="AD820" s="41"/>
      <c r="AE820" s="41"/>
      <c r="AF820" s="41"/>
      <c r="AG820" s="41"/>
      <c r="AH820" s="41"/>
      <c r="AI820" s="41"/>
    </row>
    <row r="821" spans="1:35" ht="15.75" customHeight="1" x14ac:dyDescent="0.2">
      <c r="A821" s="41"/>
      <c r="B821" s="41"/>
      <c r="C821" s="41"/>
      <c r="D821" s="41"/>
      <c r="E821" s="41"/>
      <c r="F821" s="41"/>
      <c r="G821" s="41"/>
      <c r="H821" s="41"/>
      <c r="I821" s="41"/>
      <c r="J821" s="41"/>
      <c r="K821" s="41"/>
      <c r="L821" s="41"/>
      <c r="M821" s="41"/>
      <c r="N821" s="41"/>
      <c r="O821" s="41"/>
      <c r="P821" s="41"/>
      <c r="Q821" s="41"/>
      <c r="R821" s="41"/>
      <c r="S821" s="41"/>
      <c r="T821" s="41"/>
      <c r="U821" s="41"/>
      <c r="V821" s="41"/>
      <c r="W821" s="41"/>
      <c r="X821" s="41"/>
      <c r="Y821" s="41"/>
      <c r="Z821" s="41"/>
      <c r="AA821" s="41"/>
      <c r="AB821" s="41"/>
      <c r="AC821" s="41"/>
      <c r="AD821" s="41"/>
      <c r="AE821" s="41"/>
      <c r="AF821" s="41"/>
      <c r="AG821" s="41"/>
      <c r="AH821" s="41"/>
      <c r="AI821" s="41"/>
    </row>
    <row r="822" spans="1:35" ht="15.75" customHeight="1" x14ac:dyDescent="0.2">
      <c r="A822" s="41"/>
      <c r="B822" s="41"/>
      <c r="C822" s="41"/>
      <c r="D822" s="41"/>
      <c r="E822" s="41"/>
      <c r="F822" s="41"/>
      <c r="G822" s="41"/>
      <c r="H822" s="41"/>
      <c r="I822" s="41"/>
      <c r="J822" s="41"/>
      <c r="K822" s="41"/>
      <c r="L822" s="41"/>
      <c r="M822" s="41"/>
      <c r="N822" s="41"/>
      <c r="O822" s="41"/>
      <c r="P822" s="41"/>
      <c r="Q822" s="41"/>
      <c r="R822" s="41"/>
      <c r="S822" s="41"/>
      <c r="T822" s="41"/>
      <c r="U822" s="41"/>
      <c r="V822" s="41"/>
      <c r="W822" s="41"/>
      <c r="X822" s="41"/>
      <c r="Y822" s="41"/>
      <c r="Z822" s="41"/>
      <c r="AA822" s="41"/>
      <c r="AB822" s="41"/>
      <c r="AC822" s="41"/>
      <c r="AD822" s="41"/>
      <c r="AE822" s="41"/>
      <c r="AF822" s="41"/>
      <c r="AG822" s="41"/>
      <c r="AH822" s="41"/>
      <c r="AI822" s="41"/>
    </row>
    <row r="823" spans="1:35" ht="15.75" customHeight="1" x14ac:dyDescent="0.2">
      <c r="A823" s="41"/>
      <c r="B823" s="41"/>
      <c r="C823" s="41"/>
      <c r="D823" s="41"/>
      <c r="E823" s="41"/>
      <c r="F823" s="41"/>
      <c r="G823" s="41"/>
      <c r="H823" s="41"/>
      <c r="I823" s="41"/>
      <c r="J823" s="41"/>
      <c r="K823" s="41"/>
      <c r="L823" s="41"/>
      <c r="M823" s="41"/>
      <c r="N823" s="41"/>
      <c r="O823" s="41"/>
      <c r="P823" s="41"/>
      <c r="Q823" s="41"/>
      <c r="R823" s="41"/>
      <c r="S823" s="41"/>
      <c r="T823" s="41"/>
      <c r="U823" s="41"/>
      <c r="V823" s="41"/>
      <c r="W823" s="41"/>
      <c r="X823" s="41"/>
      <c r="Y823" s="41"/>
      <c r="Z823" s="41"/>
      <c r="AA823" s="41"/>
      <c r="AB823" s="41"/>
      <c r="AC823" s="41"/>
      <c r="AD823" s="41"/>
      <c r="AE823" s="41"/>
      <c r="AF823" s="41"/>
      <c r="AG823" s="41"/>
      <c r="AH823" s="41"/>
      <c r="AI823" s="41"/>
    </row>
    <row r="824" spans="1:35" ht="15.75" customHeight="1" x14ac:dyDescent="0.2">
      <c r="A824" s="41"/>
      <c r="B824" s="41"/>
      <c r="C824" s="41"/>
      <c r="D824" s="41"/>
      <c r="E824" s="41"/>
      <c r="F824" s="41"/>
      <c r="G824" s="41"/>
      <c r="H824" s="41"/>
      <c r="I824" s="41"/>
      <c r="J824" s="41"/>
      <c r="K824" s="41"/>
      <c r="L824" s="41"/>
      <c r="M824" s="41"/>
      <c r="N824" s="41"/>
      <c r="O824" s="41"/>
      <c r="P824" s="41"/>
      <c r="Q824" s="41"/>
      <c r="R824" s="41"/>
      <c r="S824" s="41"/>
      <c r="T824" s="41"/>
      <c r="U824" s="41"/>
      <c r="V824" s="41"/>
      <c r="W824" s="41"/>
      <c r="X824" s="41"/>
      <c r="Y824" s="41"/>
      <c r="Z824" s="41"/>
      <c r="AA824" s="41"/>
      <c r="AB824" s="41"/>
      <c r="AC824" s="41"/>
      <c r="AD824" s="41"/>
      <c r="AE824" s="41"/>
      <c r="AF824" s="41"/>
      <c r="AG824" s="41"/>
      <c r="AH824" s="41"/>
      <c r="AI824" s="41"/>
    </row>
    <row r="825" spans="1:35" ht="15.75" customHeight="1" x14ac:dyDescent="0.2">
      <c r="A825" s="41"/>
      <c r="B825" s="41"/>
      <c r="C825" s="41"/>
      <c r="D825" s="41"/>
      <c r="E825" s="41"/>
      <c r="F825" s="41"/>
      <c r="G825" s="41"/>
      <c r="H825" s="41"/>
      <c r="I825" s="41"/>
      <c r="J825" s="41"/>
      <c r="K825" s="41"/>
      <c r="L825" s="41"/>
      <c r="M825" s="41"/>
      <c r="N825" s="41"/>
      <c r="O825" s="41"/>
      <c r="P825" s="41"/>
      <c r="Q825" s="41"/>
      <c r="R825" s="41"/>
      <c r="S825" s="41"/>
      <c r="T825" s="41"/>
      <c r="U825" s="41"/>
      <c r="V825" s="41"/>
      <c r="W825" s="41"/>
      <c r="X825" s="41"/>
      <c r="Y825" s="41"/>
      <c r="Z825" s="41"/>
      <c r="AA825" s="41"/>
      <c r="AB825" s="41"/>
      <c r="AC825" s="41"/>
      <c r="AD825" s="41"/>
      <c r="AE825" s="41"/>
      <c r="AF825" s="41"/>
      <c r="AG825" s="41"/>
      <c r="AH825" s="41"/>
      <c r="AI825" s="41"/>
    </row>
    <row r="826" spans="1:35" ht="15.75" customHeight="1" x14ac:dyDescent="0.2">
      <c r="A826" s="41"/>
      <c r="B826" s="41"/>
      <c r="C826" s="41"/>
      <c r="D826" s="41"/>
      <c r="E826" s="41"/>
      <c r="F826" s="41"/>
      <c r="G826" s="41"/>
      <c r="H826" s="41"/>
      <c r="I826" s="41"/>
      <c r="J826" s="41"/>
      <c r="K826" s="41"/>
      <c r="L826" s="41"/>
      <c r="M826" s="41"/>
      <c r="N826" s="41"/>
      <c r="O826" s="41"/>
      <c r="P826" s="41"/>
      <c r="Q826" s="41"/>
      <c r="R826" s="41"/>
      <c r="S826" s="41"/>
      <c r="T826" s="41"/>
      <c r="U826" s="41"/>
      <c r="V826" s="41"/>
      <c r="W826" s="41"/>
      <c r="X826" s="41"/>
      <c r="Y826" s="41"/>
      <c r="Z826" s="41"/>
      <c r="AA826" s="41"/>
      <c r="AB826" s="41"/>
      <c r="AC826" s="41"/>
      <c r="AD826" s="41"/>
      <c r="AE826" s="41"/>
      <c r="AF826" s="41"/>
      <c r="AG826" s="41"/>
      <c r="AH826" s="41"/>
      <c r="AI826" s="41"/>
    </row>
    <row r="827" spans="1:35" ht="15.75" customHeight="1" x14ac:dyDescent="0.2">
      <c r="A827" s="41"/>
      <c r="B827" s="41"/>
      <c r="C827" s="41"/>
      <c r="D827" s="41"/>
      <c r="E827" s="41"/>
      <c r="F827" s="41"/>
      <c r="G827" s="41"/>
      <c r="H827" s="41"/>
      <c r="I827" s="41"/>
      <c r="J827" s="41"/>
      <c r="K827" s="41"/>
      <c r="L827" s="41"/>
      <c r="M827" s="41"/>
      <c r="N827" s="41"/>
      <c r="O827" s="41"/>
      <c r="P827" s="41"/>
      <c r="Q827" s="41"/>
      <c r="R827" s="41"/>
      <c r="S827" s="41"/>
      <c r="T827" s="41"/>
      <c r="U827" s="41"/>
      <c r="V827" s="41"/>
      <c r="W827" s="41"/>
      <c r="X827" s="41"/>
      <c r="Y827" s="41"/>
      <c r="Z827" s="41"/>
      <c r="AA827" s="41"/>
      <c r="AB827" s="41"/>
      <c r="AC827" s="41"/>
      <c r="AD827" s="41"/>
      <c r="AE827" s="41"/>
      <c r="AF827" s="41"/>
      <c r="AG827" s="41"/>
      <c r="AH827" s="41"/>
      <c r="AI827" s="41"/>
    </row>
    <row r="828" spans="1:35" ht="15.75" customHeight="1" x14ac:dyDescent="0.2">
      <c r="A828" s="41"/>
      <c r="B828" s="41"/>
      <c r="C828" s="41"/>
      <c r="D828" s="41"/>
      <c r="E828" s="41"/>
      <c r="F828" s="41"/>
      <c r="G828" s="41"/>
      <c r="H828" s="41"/>
      <c r="I828" s="41"/>
      <c r="J828" s="41"/>
      <c r="K828" s="41"/>
      <c r="L828" s="41"/>
      <c r="M828" s="41"/>
      <c r="N828" s="41"/>
      <c r="O828" s="41"/>
      <c r="P828" s="41"/>
      <c r="Q828" s="41"/>
      <c r="R828" s="41"/>
      <c r="S828" s="41"/>
      <c r="T828" s="41"/>
      <c r="U828" s="41"/>
      <c r="V828" s="41"/>
      <c r="W828" s="41"/>
      <c r="X828" s="41"/>
      <c r="Y828" s="41"/>
      <c r="Z828" s="41"/>
      <c r="AA828" s="41"/>
      <c r="AB828" s="41"/>
      <c r="AC828" s="41"/>
      <c r="AD828" s="41"/>
      <c r="AE828" s="41"/>
      <c r="AF828" s="41"/>
      <c r="AG828" s="41"/>
      <c r="AH828" s="41"/>
      <c r="AI828" s="41"/>
    </row>
    <row r="829" spans="1:35" ht="15.75" customHeight="1" x14ac:dyDescent="0.2">
      <c r="A829" s="41"/>
      <c r="B829" s="41"/>
      <c r="C829" s="41"/>
      <c r="D829" s="41"/>
      <c r="E829" s="41"/>
      <c r="F829" s="41"/>
      <c r="G829" s="41"/>
      <c r="H829" s="41"/>
      <c r="I829" s="41"/>
      <c r="J829" s="41"/>
      <c r="K829" s="41"/>
      <c r="L829" s="41"/>
      <c r="M829" s="41"/>
      <c r="N829" s="41"/>
      <c r="O829" s="41"/>
      <c r="P829" s="41"/>
      <c r="Q829" s="41"/>
      <c r="R829" s="41"/>
      <c r="S829" s="41"/>
      <c r="T829" s="41"/>
      <c r="U829" s="41"/>
      <c r="V829" s="41"/>
      <c r="W829" s="41"/>
      <c r="X829" s="41"/>
      <c r="Y829" s="41"/>
      <c r="Z829" s="41"/>
      <c r="AA829" s="41"/>
      <c r="AB829" s="41"/>
      <c r="AC829" s="41"/>
      <c r="AD829" s="41"/>
      <c r="AE829" s="41"/>
      <c r="AF829" s="41"/>
      <c r="AG829" s="41"/>
      <c r="AH829" s="41"/>
      <c r="AI829" s="41"/>
    </row>
    <row r="830" spans="1:35" ht="15.75" customHeight="1" x14ac:dyDescent="0.2">
      <c r="A830" s="41"/>
      <c r="B830" s="41"/>
      <c r="C830" s="41"/>
      <c r="D830" s="41"/>
      <c r="E830" s="41"/>
      <c r="F830" s="41"/>
      <c r="G830" s="41"/>
      <c r="H830" s="41"/>
      <c r="I830" s="41"/>
      <c r="J830" s="41"/>
      <c r="K830" s="41"/>
      <c r="L830" s="41"/>
      <c r="M830" s="41"/>
      <c r="N830" s="41"/>
      <c r="O830" s="41"/>
      <c r="P830" s="41"/>
      <c r="Q830" s="41"/>
      <c r="R830" s="41"/>
      <c r="S830" s="41"/>
      <c r="T830" s="41"/>
      <c r="U830" s="41"/>
      <c r="V830" s="41"/>
      <c r="W830" s="41"/>
      <c r="X830" s="41"/>
      <c r="Y830" s="41"/>
      <c r="Z830" s="41"/>
      <c r="AA830" s="41"/>
      <c r="AB830" s="41"/>
      <c r="AC830" s="41"/>
      <c r="AD830" s="41"/>
      <c r="AE830" s="41"/>
      <c r="AF830" s="41"/>
      <c r="AG830" s="41"/>
      <c r="AH830" s="41"/>
      <c r="AI830" s="41"/>
    </row>
    <row r="831" spans="1:35" ht="15.75" customHeight="1" x14ac:dyDescent="0.2">
      <c r="A831" s="41"/>
      <c r="B831" s="41"/>
      <c r="C831" s="41"/>
      <c r="D831" s="41"/>
      <c r="E831" s="41"/>
      <c r="F831" s="41"/>
      <c r="G831" s="41"/>
      <c r="H831" s="41"/>
      <c r="I831" s="41"/>
      <c r="J831" s="41"/>
      <c r="K831" s="41"/>
      <c r="L831" s="41"/>
      <c r="M831" s="41"/>
      <c r="N831" s="41"/>
      <c r="O831" s="41"/>
      <c r="P831" s="41"/>
      <c r="Q831" s="41"/>
      <c r="R831" s="41"/>
      <c r="S831" s="41"/>
      <c r="T831" s="41"/>
      <c r="U831" s="41"/>
      <c r="V831" s="41"/>
      <c r="W831" s="41"/>
      <c r="X831" s="41"/>
      <c r="Y831" s="41"/>
      <c r="Z831" s="41"/>
      <c r="AA831" s="41"/>
      <c r="AB831" s="41"/>
      <c r="AC831" s="41"/>
      <c r="AD831" s="41"/>
      <c r="AE831" s="41"/>
      <c r="AF831" s="41"/>
      <c r="AG831" s="41"/>
      <c r="AH831" s="41"/>
      <c r="AI831" s="41"/>
    </row>
    <row r="832" spans="1:35" ht="15.75" customHeight="1" x14ac:dyDescent="0.2">
      <c r="A832" s="41"/>
      <c r="B832" s="41"/>
      <c r="C832" s="41"/>
      <c r="D832" s="41"/>
      <c r="E832" s="41"/>
      <c r="F832" s="41"/>
      <c r="G832" s="41"/>
      <c r="H832" s="41"/>
      <c r="I832" s="41"/>
      <c r="J832" s="41"/>
      <c r="K832" s="41"/>
      <c r="L832" s="41"/>
      <c r="M832" s="41"/>
      <c r="N832" s="41"/>
      <c r="O832" s="41"/>
      <c r="P832" s="41"/>
      <c r="Q832" s="41"/>
      <c r="R832" s="41"/>
      <c r="S832" s="41"/>
      <c r="T832" s="41"/>
      <c r="U832" s="41"/>
      <c r="V832" s="41"/>
      <c r="W832" s="41"/>
      <c r="X832" s="41"/>
      <c r="Y832" s="41"/>
      <c r="Z832" s="41"/>
      <c r="AA832" s="41"/>
      <c r="AB832" s="41"/>
      <c r="AC832" s="41"/>
      <c r="AD832" s="41"/>
      <c r="AE832" s="41"/>
      <c r="AF832" s="41"/>
      <c r="AG832" s="41"/>
      <c r="AH832" s="41"/>
      <c r="AI832" s="41"/>
    </row>
    <row r="833" spans="1:35" ht="15.75" customHeight="1" x14ac:dyDescent="0.2">
      <c r="A833" s="41"/>
      <c r="B833" s="41"/>
      <c r="C833" s="41"/>
      <c r="D833" s="41"/>
      <c r="E833" s="41"/>
      <c r="F833" s="41"/>
      <c r="G833" s="41"/>
      <c r="H833" s="41"/>
      <c r="I833" s="41"/>
      <c r="J833" s="41"/>
      <c r="K833" s="41"/>
      <c r="L833" s="41"/>
      <c r="M833" s="41"/>
      <c r="N833" s="41"/>
      <c r="O833" s="41"/>
      <c r="P833" s="41"/>
      <c r="Q833" s="41"/>
      <c r="R833" s="41"/>
      <c r="S833" s="41"/>
      <c r="T833" s="41"/>
      <c r="U833" s="41"/>
      <c r="V833" s="41"/>
      <c r="W833" s="41"/>
      <c r="X833" s="41"/>
      <c r="Y833" s="41"/>
      <c r="Z833" s="41"/>
      <c r="AA833" s="41"/>
      <c r="AB833" s="41"/>
      <c r="AC833" s="41"/>
      <c r="AD833" s="41"/>
      <c r="AE833" s="41"/>
      <c r="AF833" s="41"/>
      <c r="AG833" s="41"/>
      <c r="AH833" s="41"/>
      <c r="AI833" s="41"/>
    </row>
    <row r="834" spans="1:35" ht="15.75" customHeight="1" x14ac:dyDescent="0.2">
      <c r="A834" s="41"/>
      <c r="B834" s="41"/>
      <c r="C834" s="41"/>
      <c r="D834" s="41"/>
      <c r="E834" s="41"/>
      <c r="F834" s="41"/>
      <c r="G834" s="41"/>
      <c r="H834" s="41"/>
      <c r="I834" s="41"/>
      <c r="J834" s="41"/>
      <c r="K834" s="41"/>
      <c r="L834" s="41"/>
      <c r="M834" s="41"/>
      <c r="N834" s="41"/>
      <c r="O834" s="41"/>
      <c r="P834" s="41"/>
      <c r="Q834" s="41"/>
      <c r="R834" s="41"/>
      <c r="S834" s="41"/>
      <c r="T834" s="41"/>
      <c r="U834" s="41"/>
      <c r="V834" s="41"/>
      <c r="W834" s="41"/>
      <c r="X834" s="41"/>
      <c r="Y834" s="41"/>
      <c r="Z834" s="41"/>
      <c r="AA834" s="41"/>
      <c r="AB834" s="41"/>
      <c r="AC834" s="41"/>
      <c r="AD834" s="41"/>
      <c r="AE834" s="41"/>
      <c r="AF834" s="41"/>
      <c r="AG834" s="41"/>
      <c r="AH834" s="41"/>
      <c r="AI834" s="41"/>
    </row>
    <row r="835" spans="1:35" ht="15.75" customHeight="1" x14ac:dyDescent="0.2">
      <c r="A835" s="41"/>
      <c r="B835" s="41"/>
      <c r="C835" s="41"/>
      <c r="D835" s="41"/>
      <c r="E835" s="41"/>
      <c r="F835" s="41"/>
      <c r="G835" s="41"/>
      <c r="H835" s="41"/>
      <c r="I835" s="41"/>
      <c r="J835" s="41"/>
      <c r="K835" s="41"/>
      <c r="L835" s="41"/>
      <c r="M835" s="41"/>
      <c r="N835" s="41"/>
      <c r="O835" s="41"/>
      <c r="P835" s="41"/>
      <c r="Q835" s="41"/>
      <c r="R835" s="41"/>
      <c r="S835" s="41"/>
      <c r="T835" s="41"/>
      <c r="U835" s="41"/>
      <c r="V835" s="41"/>
      <c r="W835" s="41"/>
      <c r="X835" s="41"/>
      <c r="Y835" s="41"/>
      <c r="Z835" s="41"/>
      <c r="AA835" s="41"/>
      <c r="AB835" s="41"/>
      <c r="AC835" s="41"/>
      <c r="AD835" s="41"/>
      <c r="AE835" s="41"/>
      <c r="AF835" s="41"/>
      <c r="AG835" s="41"/>
      <c r="AH835" s="41"/>
      <c r="AI835" s="41"/>
    </row>
    <row r="836" spans="1:35" ht="15.75" customHeight="1" x14ac:dyDescent="0.2">
      <c r="A836" s="41"/>
      <c r="B836" s="41"/>
      <c r="C836" s="41"/>
      <c r="D836" s="41"/>
      <c r="E836" s="41"/>
      <c r="F836" s="41"/>
      <c r="G836" s="41"/>
      <c r="H836" s="41"/>
      <c r="I836" s="41"/>
      <c r="J836" s="41"/>
      <c r="K836" s="41"/>
      <c r="L836" s="41"/>
      <c r="M836" s="41"/>
      <c r="N836" s="41"/>
      <c r="O836" s="41"/>
      <c r="P836" s="41"/>
      <c r="Q836" s="41"/>
      <c r="R836" s="41"/>
      <c r="S836" s="41"/>
      <c r="T836" s="41"/>
      <c r="U836" s="41"/>
      <c r="V836" s="41"/>
      <c r="W836" s="41"/>
      <c r="X836" s="41"/>
      <c r="Y836" s="41"/>
      <c r="Z836" s="41"/>
      <c r="AA836" s="41"/>
      <c r="AB836" s="41"/>
      <c r="AC836" s="41"/>
      <c r="AD836" s="41"/>
      <c r="AE836" s="41"/>
      <c r="AF836" s="41"/>
      <c r="AG836" s="41"/>
      <c r="AH836" s="41"/>
      <c r="AI836" s="41"/>
    </row>
    <row r="837" spans="1:35" ht="15.75" customHeight="1" x14ac:dyDescent="0.2">
      <c r="A837" s="41"/>
      <c r="B837" s="41"/>
      <c r="C837" s="41"/>
      <c r="D837" s="41"/>
      <c r="E837" s="41"/>
      <c r="F837" s="41"/>
      <c r="G837" s="41"/>
      <c r="H837" s="41"/>
      <c r="I837" s="41"/>
      <c r="J837" s="41"/>
      <c r="K837" s="41"/>
      <c r="L837" s="41"/>
      <c r="M837" s="41"/>
      <c r="N837" s="41"/>
      <c r="O837" s="41"/>
      <c r="P837" s="41"/>
      <c r="Q837" s="41"/>
      <c r="R837" s="41"/>
      <c r="S837" s="41"/>
      <c r="T837" s="41"/>
      <c r="U837" s="41"/>
      <c r="V837" s="41"/>
      <c r="W837" s="41"/>
      <c r="X837" s="41"/>
      <c r="Y837" s="41"/>
      <c r="Z837" s="41"/>
      <c r="AA837" s="41"/>
      <c r="AB837" s="41"/>
      <c r="AC837" s="41"/>
      <c r="AD837" s="41"/>
      <c r="AE837" s="41"/>
      <c r="AF837" s="41"/>
      <c r="AG837" s="41"/>
      <c r="AH837" s="41"/>
      <c r="AI837" s="41"/>
    </row>
    <row r="838" spans="1:35" ht="15.75" customHeight="1" x14ac:dyDescent="0.2">
      <c r="A838" s="41"/>
      <c r="B838" s="41"/>
      <c r="C838" s="41"/>
      <c r="D838" s="41"/>
      <c r="E838" s="41"/>
      <c r="F838" s="41"/>
      <c r="G838" s="41"/>
      <c r="H838" s="41"/>
      <c r="I838" s="41"/>
      <c r="J838" s="41"/>
      <c r="K838" s="41"/>
      <c r="L838" s="41"/>
      <c r="M838" s="41"/>
      <c r="N838" s="41"/>
      <c r="O838" s="41"/>
      <c r="P838" s="41"/>
      <c r="Q838" s="41"/>
      <c r="R838" s="41"/>
      <c r="S838" s="41"/>
      <c r="T838" s="41"/>
      <c r="U838" s="41"/>
      <c r="V838" s="41"/>
      <c r="W838" s="41"/>
      <c r="X838" s="41"/>
      <c r="Y838" s="41"/>
      <c r="Z838" s="41"/>
      <c r="AA838" s="41"/>
      <c r="AB838" s="41"/>
      <c r="AC838" s="41"/>
      <c r="AD838" s="41"/>
      <c r="AE838" s="41"/>
      <c r="AF838" s="41"/>
      <c r="AG838" s="41"/>
      <c r="AH838" s="41"/>
      <c r="AI838" s="41"/>
    </row>
    <row r="839" spans="1:35" ht="15.75" customHeight="1" x14ac:dyDescent="0.2">
      <c r="A839" s="41"/>
      <c r="B839" s="41"/>
      <c r="C839" s="41"/>
      <c r="D839" s="41"/>
      <c r="E839" s="41"/>
      <c r="F839" s="41"/>
      <c r="G839" s="41"/>
      <c r="H839" s="41"/>
      <c r="I839" s="41"/>
      <c r="J839" s="41"/>
      <c r="K839" s="41"/>
      <c r="L839" s="41"/>
      <c r="M839" s="41"/>
      <c r="N839" s="41"/>
      <c r="O839" s="41"/>
      <c r="P839" s="41"/>
      <c r="Q839" s="41"/>
      <c r="R839" s="41"/>
      <c r="S839" s="41"/>
      <c r="T839" s="41"/>
      <c r="U839" s="41"/>
      <c r="V839" s="41"/>
      <c r="W839" s="41"/>
      <c r="X839" s="41"/>
      <c r="Y839" s="41"/>
      <c r="Z839" s="41"/>
      <c r="AA839" s="41"/>
      <c r="AB839" s="41"/>
      <c r="AC839" s="41"/>
      <c r="AD839" s="41"/>
      <c r="AE839" s="41"/>
      <c r="AF839" s="41"/>
      <c r="AG839" s="41"/>
      <c r="AH839" s="41"/>
      <c r="AI839" s="41"/>
    </row>
    <row r="840" spans="1:35" ht="15.75" customHeight="1" x14ac:dyDescent="0.2">
      <c r="A840" s="41"/>
      <c r="B840" s="41"/>
      <c r="C840" s="41"/>
      <c r="D840" s="41"/>
      <c r="E840" s="41"/>
      <c r="F840" s="41"/>
      <c r="G840" s="41"/>
      <c r="H840" s="41"/>
      <c r="I840" s="41"/>
      <c r="J840" s="41"/>
      <c r="K840" s="41"/>
      <c r="L840" s="41"/>
      <c r="M840" s="41"/>
      <c r="N840" s="41"/>
      <c r="O840" s="41"/>
      <c r="P840" s="41"/>
      <c r="Q840" s="41"/>
      <c r="R840" s="41"/>
      <c r="S840" s="41"/>
      <c r="T840" s="41"/>
      <c r="U840" s="41"/>
      <c r="V840" s="41"/>
      <c r="W840" s="41"/>
      <c r="X840" s="41"/>
      <c r="Y840" s="41"/>
      <c r="Z840" s="41"/>
      <c r="AA840" s="41"/>
      <c r="AB840" s="41"/>
      <c r="AC840" s="41"/>
      <c r="AD840" s="41"/>
      <c r="AE840" s="41"/>
      <c r="AF840" s="41"/>
      <c r="AG840" s="41"/>
      <c r="AH840" s="41"/>
      <c r="AI840" s="41"/>
    </row>
    <row r="841" spans="1:35" ht="15.75" customHeight="1" x14ac:dyDescent="0.2">
      <c r="A841" s="41"/>
      <c r="B841" s="41"/>
      <c r="C841" s="41"/>
      <c r="D841" s="41"/>
      <c r="E841" s="41"/>
      <c r="F841" s="41"/>
      <c r="G841" s="41"/>
      <c r="H841" s="41"/>
      <c r="I841" s="41"/>
      <c r="J841" s="41"/>
      <c r="K841" s="41"/>
      <c r="L841" s="41"/>
      <c r="M841" s="41"/>
      <c r="N841" s="41"/>
      <c r="O841" s="41"/>
      <c r="P841" s="41"/>
      <c r="Q841" s="41"/>
      <c r="R841" s="41"/>
      <c r="S841" s="41"/>
      <c r="T841" s="41"/>
      <c r="U841" s="41"/>
      <c r="V841" s="41"/>
      <c r="W841" s="41"/>
      <c r="X841" s="41"/>
      <c r="Y841" s="41"/>
      <c r="Z841" s="41"/>
      <c r="AA841" s="41"/>
      <c r="AB841" s="41"/>
      <c r="AC841" s="41"/>
      <c r="AD841" s="41"/>
      <c r="AE841" s="41"/>
      <c r="AF841" s="41"/>
      <c r="AG841" s="41"/>
      <c r="AH841" s="41"/>
      <c r="AI841" s="41"/>
    </row>
    <row r="842" spans="1:35" ht="15.75" customHeight="1" x14ac:dyDescent="0.2">
      <c r="A842" s="41"/>
      <c r="B842" s="41"/>
      <c r="C842" s="41"/>
      <c r="D842" s="41"/>
      <c r="E842" s="41"/>
      <c r="F842" s="41"/>
      <c r="G842" s="41"/>
      <c r="H842" s="41"/>
      <c r="I842" s="41"/>
      <c r="J842" s="41"/>
      <c r="K842" s="41"/>
      <c r="L842" s="41"/>
      <c r="M842" s="41"/>
      <c r="N842" s="41"/>
      <c r="O842" s="41"/>
      <c r="P842" s="41"/>
      <c r="Q842" s="41"/>
      <c r="R842" s="41"/>
      <c r="S842" s="41"/>
      <c r="T842" s="41"/>
      <c r="U842" s="41"/>
      <c r="V842" s="41"/>
      <c r="W842" s="41"/>
      <c r="X842" s="41"/>
      <c r="Y842" s="41"/>
      <c r="Z842" s="41"/>
      <c r="AA842" s="41"/>
      <c r="AB842" s="41"/>
      <c r="AC842" s="41"/>
      <c r="AD842" s="41"/>
      <c r="AE842" s="41"/>
      <c r="AF842" s="41"/>
      <c r="AG842" s="41"/>
      <c r="AH842" s="41"/>
      <c r="AI842" s="41"/>
    </row>
    <row r="843" spans="1:35" ht="15.75" customHeight="1" x14ac:dyDescent="0.2">
      <c r="A843" s="41"/>
      <c r="B843" s="41"/>
      <c r="C843" s="41"/>
      <c r="D843" s="41"/>
      <c r="E843" s="41"/>
      <c r="F843" s="41"/>
      <c r="G843" s="41"/>
      <c r="H843" s="41"/>
      <c r="I843" s="41"/>
      <c r="J843" s="41"/>
      <c r="K843" s="41"/>
      <c r="L843" s="41"/>
      <c r="M843" s="41"/>
      <c r="N843" s="41"/>
      <c r="O843" s="41"/>
      <c r="P843" s="41"/>
      <c r="Q843" s="41"/>
      <c r="R843" s="41"/>
      <c r="S843" s="41"/>
      <c r="T843" s="41"/>
      <c r="U843" s="41"/>
      <c r="V843" s="41"/>
      <c r="W843" s="41"/>
      <c r="X843" s="41"/>
      <c r="Y843" s="41"/>
      <c r="Z843" s="41"/>
      <c r="AA843" s="41"/>
      <c r="AB843" s="41"/>
      <c r="AC843" s="41"/>
      <c r="AD843" s="41"/>
      <c r="AE843" s="41"/>
      <c r="AF843" s="41"/>
      <c r="AG843" s="41"/>
      <c r="AH843" s="41"/>
      <c r="AI843" s="41"/>
    </row>
    <row r="844" spans="1:35" ht="15.75" customHeight="1" x14ac:dyDescent="0.2">
      <c r="A844" s="41"/>
      <c r="B844" s="41"/>
      <c r="C844" s="41"/>
      <c r="D844" s="41"/>
      <c r="E844" s="41"/>
      <c r="F844" s="41"/>
      <c r="G844" s="41"/>
      <c r="H844" s="41"/>
      <c r="I844" s="41"/>
      <c r="J844" s="41"/>
      <c r="K844" s="41"/>
      <c r="L844" s="41"/>
      <c r="M844" s="41"/>
      <c r="N844" s="41"/>
      <c r="O844" s="41"/>
      <c r="P844" s="41"/>
      <c r="Q844" s="41"/>
      <c r="R844" s="41"/>
      <c r="S844" s="41"/>
      <c r="T844" s="41"/>
      <c r="U844" s="41"/>
      <c r="V844" s="41"/>
      <c r="W844" s="41"/>
      <c r="X844" s="41"/>
      <c r="Y844" s="41"/>
      <c r="Z844" s="41"/>
      <c r="AA844" s="41"/>
      <c r="AB844" s="41"/>
      <c r="AC844" s="41"/>
      <c r="AD844" s="41"/>
      <c r="AE844" s="41"/>
      <c r="AF844" s="41"/>
      <c r="AG844" s="41"/>
      <c r="AH844" s="41"/>
      <c r="AI844" s="41"/>
    </row>
    <row r="845" spans="1:35" ht="15.75" customHeight="1" x14ac:dyDescent="0.2">
      <c r="A845" s="41"/>
      <c r="B845" s="41"/>
      <c r="C845" s="41"/>
      <c r="D845" s="41"/>
      <c r="E845" s="41"/>
      <c r="F845" s="41"/>
      <c r="G845" s="41"/>
      <c r="H845" s="41"/>
      <c r="I845" s="41"/>
      <c r="J845" s="41"/>
      <c r="K845" s="41"/>
      <c r="L845" s="41"/>
      <c r="M845" s="41"/>
      <c r="N845" s="41"/>
      <c r="O845" s="41"/>
      <c r="P845" s="41"/>
      <c r="Q845" s="41"/>
      <c r="R845" s="41"/>
      <c r="S845" s="41"/>
      <c r="T845" s="41"/>
      <c r="U845" s="41"/>
      <c r="V845" s="41"/>
      <c r="W845" s="41"/>
      <c r="X845" s="41"/>
      <c r="Y845" s="41"/>
      <c r="Z845" s="41"/>
      <c r="AA845" s="41"/>
      <c r="AB845" s="41"/>
      <c r="AC845" s="41"/>
      <c r="AD845" s="41"/>
      <c r="AE845" s="41"/>
      <c r="AF845" s="41"/>
      <c r="AG845" s="41"/>
      <c r="AH845" s="41"/>
      <c r="AI845" s="41"/>
    </row>
    <row r="846" spans="1:35" ht="15.75" customHeight="1" x14ac:dyDescent="0.2">
      <c r="A846" s="41"/>
      <c r="B846" s="41"/>
      <c r="C846" s="41"/>
      <c r="D846" s="41"/>
      <c r="E846" s="41"/>
      <c r="F846" s="41"/>
      <c r="G846" s="41"/>
      <c r="H846" s="41"/>
      <c r="I846" s="41"/>
      <c r="J846" s="41"/>
      <c r="K846" s="41"/>
      <c r="L846" s="41"/>
      <c r="M846" s="41"/>
      <c r="N846" s="41"/>
      <c r="O846" s="41"/>
      <c r="P846" s="41"/>
      <c r="Q846" s="41"/>
      <c r="R846" s="41"/>
      <c r="S846" s="41"/>
      <c r="T846" s="41"/>
      <c r="U846" s="41"/>
      <c r="V846" s="41"/>
      <c r="W846" s="41"/>
      <c r="X846" s="41"/>
      <c r="Y846" s="41"/>
      <c r="Z846" s="41"/>
      <c r="AA846" s="41"/>
      <c r="AB846" s="41"/>
      <c r="AC846" s="41"/>
      <c r="AD846" s="41"/>
      <c r="AE846" s="41"/>
      <c r="AF846" s="41"/>
      <c r="AG846" s="41"/>
      <c r="AH846" s="41"/>
      <c r="AI846" s="41"/>
    </row>
    <row r="847" spans="1:35" ht="15.75" customHeight="1" x14ac:dyDescent="0.2">
      <c r="A847" s="41"/>
      <c r="B847" s="41"/>
      <c r="C847" s="41"/>
      <c r="D847" s="41"/>
      <c r="E847" s="41"/>
      <c r="F847" s="41"/>
      <c r="G847" s="41"/>
      <c r="H847" s="41"/>
      <c r="I847" s="41"/>
      <c r="J847" s="41"/>
      <c r="K847" s="41"/>
      <c r="L847" s="41"/>
      <c r="M847" s="41"/>
      <c r="N847" s="41"/>
      <c r="O847" s="41"/>
      <c r="P847" s="41"/>
      <c r="Q847" s="41"/>
      <c r="R847" s="41"/>
      <c r="S847" s="41"/>
      <c r="T847" s="41"/>
      <c r="U847" s="41"/>
      <c r="V847" s="41"/>
      <c r="W847" s="41"/>
      <c r="X847" s="41"/>
      <c r="Y847" s="41"/>
      <c r="Z847" s="41"/>
      <c r="AA847" s="41"/>
      <c r="AB847" s="41"/>
      <c r="AC847" s="41"/>
      <c r="AD847" s="41"/>
      <c r="AE847" s="41"/>
      <c r="AF847" s="41"/>
      <c r="AG847" s="41"/>
      <c r="AH847" s="41"/>
      <c r="AI847" s="41"/>
    </row>
    <row r="848" spans="1:35" ht="15.75" customHeight="1" x14ac:dyDescent="0.2">
      <c r="A848" s="41"/>
      <c r="B848" s="41"/>
      <c r="C848" s="41"/>
      <c r="D848" s="41"/>
      <c r="E848" s="41"/>
      <c r="F848" s="41"/>
      <c r="G848" s="41"/>
      <c r="H848" s="41"/>
      <c r="I848" s="41"/>
      <c r="J848" s="41"/>
      <c r="K848" s="41"/>
      <c r="L848" s="41"/>
      <c r="M848" s="41"/>
      <c r="N848" s="41"/>
      <c r="O848" s="41"/>
      <c r="P848" s="41"/>
      <c r="Q848" s="41"/>
      <c r="R848" s="41"/>
      <c r="S848" s="41"/>
      <c r="T848" s="41"/>
      <c r="U848" s="41"/>
      <c r="V848" s="41"/>
      <c r="W848" s="41"/>
      <c r="X848" s="41"/>
      <c r="Y848" s="41"/>
      <c r="Z848" s="41"/>
      <c r="AA848" s="41"/>
      <c r="AB848" s="41"/>
      <c r="AC848" s="41"/>
      <c r="AD848" s="41"/>
      <c r="AE848" s="41"/>
      <c r="AF848" s="41"/>
      <c r="AG848" s="41"/>
      <c r="AH848" s="41"/>
      <c r="AI848" s="41"/>
    </row>
    <row r="849" spans="1:35" ht="15.75" customHeight="1" x14ac:dyDescent="0.2">
      <c r="A849" s="41"/>
      <c r="B849" s="41"/>
      <c r="C849" s="41"/>
      <c r="D849" s="41"/>
      <c r="E849" s="41"/>
      <c r="F849" s="41"/>
      <c r="G849" s="41"/>
      <c r="H849" s="41"/>
      <c r="I849" s="41"/>
      <c r="J849" s="41"/>
      <c r="K849" s="41"/>
      <c r="L849" s="41"/>
      <c r="M849" s="41"/>
      <c r="N849" s="41"/>
      <c r="O849" s="41"/>
      <c r="P849" s="41"/>
      <c r="Q849" s="41"/>
      <c r="R849" s="41"/>
      <c r="S849" s="41"/>
      <c r="T849" s="41"/>
      <c r="U849" s="41"/>
      <c r="V849" s="41"/>
      <c r="W849" s="41"/>
      <c r="X849" s="41"/>
      <c r="Y849" s="41"/>
      <c r="Z849" s="41"/>
      <c r="AA849" s="41"/>
      <c r="AB849" s="41"/>
      <c r="AC849" s="41"/>
      <c r="AD849" s="41"/>
      <c r="AE849" s="41"/>
      <c r="AF849" s="41"/>
      <c r="AG849" s="41"/>
      <c r="AH849" s="41"/>
      <c r="AI849" s="41"/>
    </row>
    <row r="850" spans="1:35" ht="15.75" customHeight="1" x14ac:dyDescent="0.2">
      <c r="A850" s="41"/>
      <c r="B850" s="41"/>
      <c r="C850" s="41"/>
      <c r="D850" s="41"/>
      <c r="E850" s="41"/>
      <c r="F850" s="41"/>
      <c r="G850" s="41"/>
      <c r="H850" s="41"/>
      <c r="I850" s="41"/>
      <c r="J850" s="41"/>
      <c r="K850" s="41"/>
      <c r="L850" s="41"/>
      <c r="M850" s="41"/>
      <c r="N850" s="41"/>
      <c r="O850" s="41"/>
      <c r="P850" s="41"/>
      <c r="Q850" s="41"/>
      <c r="R850" s="41"/>
      <c r="S850" s="41"/>
      <c r="T850" s="41"/>
      <c r="U850" s="41"/>
      <c r="V850" s="41"/>
      <c r="W850" s="41"/>
      <c r="X850" s="41"/>
      <c r="Y850" s="41"/>
      <c r="Z850" s="41"/>
      <c r="AA850" s="41"/>
      <c r="AB850" s="41"/>
      <c r="AC850" s="41"/>
      <c r="AD850" s="41"/>
      <c r="AE850" s="41"/>
      <c r="AF850" s="41"/>
      <c r="AG850" s="41"/>
      <c r="AH850" s="41"/>
      <c r="AI850" s="41"/>
    </row>
    <row r="851" spans="1:35" ht="15.75" customHeight="1" x14ac:dyDescent="0.2">
      <c r="A851" s="41"/>
      <c r="B851" s="41"/>
      <c r="C851" s="41"/>
      <c r="D851" s="41"/>
      <c r="E851" s="41"/>
      <c r="F851" s="41"/>
      <c r="G851" s="41"/>
      <c r="H851" s="41"/>
      <c r="I851" s="41"/>
      <c r="J851" s="41"/>
      <c r="K851" s="41"/>
      <c r="L851" s="41"/>
      <c r="M851" s="41"/>
      <c r="N851" s="41"/>
      <c r="O851" s="41"/>
      <c r="P851" s="41"/>
      <c r="Q851" s="41"/>
      <c r="R851" s="41"/>
      <c r="S851" s="41"/>
      <c r="T851" s="41"/>
      <c r="U851" s="41"/>
      <c r="V851" s="41"/>
      <c r="W851" s="41"/>
      <c r="X851" s="41"/>
      <c r="Y851" s="41"/>
      <c r="Z851" s="41"/>
      <c r="AA851" s="41"/>
      <c r="AB851" s="41"/>
      <c r="AC851" s="41"/>
      <c r="AD851" s="41"/>
      <c r="AE851" s="41"/>
      <c r="AF851" s="41"/>
      <c r="AG851" s="41"/>
      <c r="AH851" s="41"/>
      <c r="AI851" s="41"/>
    </row>
    <row r="852" spans="1:35" ht="15.75" customHeight="1" x14ac:dyDescent="0.2">
      <c r="A852" s="41"/>
      <c r="B852" s="41"/>
      <c r="C852" s="41"/>
      <c r="D852" s="41"/>
      <c r="E852" s="41"/>
      <c r="F852" s="41"/>
      <c r="G852" s="41"/>
      <c r="H852" s="41"/>
      <c r="I852" s="41"/>
      <c r="J852" s="41"/>
      <c r="K852" s="41"/>
      <c r="L852" s="41"/>
      <c r="M852" s="41"/>
      <c r="N852" s="41"/>
      <c r="O852" s="41"/>
      <c r="P852" s="41"/>
      <c r="Q852" s="41"/>
      <c r="R852" s="41"/>
      <c r="S852" s="41"/>
      <c r="T852" s="41"/>
      <c r="U852" s="41"/>
      <c r="V852" s="41"/>
      <c r="W852" s="41"/>
      <c r="X852" s="41"/>
      <c r="Y852" s="41"/>
      <c r="Z852" s="41"/>
      <c r="AA852" s="41"/>
      <c r="AB852" s="41"/>
      <c r="AC852" s="41"/>
      <c r="AD852" s="41"/>
      <c r="AE852" s="41"/>
      <c r="AF852" s="41"/>
      <c r="AG852" s="41"/>
      <c r="AH852" s="41"/>
      <c r="AI852" s="41"/>
    </row>
    <row r="853" spans="1:35" ht="15.75" customHeight="1" x14ac:dyDescent="0.2">
      <c r="A853" s="41"/>
      <c r="B853" s="41"/>
      <c r="C853" s="41"/>
      <c r="D853" s="41"/>
      <c r="E853" s="41"/>
      <c r="F853" s="41"/>
      <c r="G853" s="41"/>
      <c r="H853" s="41"/>
      <c r="I853" s="41"/>
      <c r="J853" s="41"/>
      <c r="K853" s="41"/>
      <c r="L853" s="41"/>
      <c r="M853" s="41"/>
      <c r="N853" s="41"/>
      <c r="O853" s="41"/>
      <c r="P853" s="41"/>
      <c r="Q853" s="41"/>
      <c r="R853" s="41"/>
      <c r="S853" s="41"/>
      <c r="T853" s="41"/>
      <c r="U853" s="41"/>
      <c r="V853" s="41"/>
      <c r="W853" s="41"/>
      <c r="X853" s="41"/>
      <c r="Y853" s="41"/>
      <c r="Z853" s="41"/>
      <c r="AA853" s="41"/>
      <c r="AB853" s="41"/>
      <c r="AC853" s="41"/>
      <c r="AD853" s="41"/>
      <c r="AE853" s="41"/>
      <c r="AF853" s="41"/>
      <c r="AG853" s="41"/>
      <c r="AH853" s="41"/>
      <c r="AI853" s="41"/>
    </row>
    <row r="854" spans="1:35" ht="15.75" customHeight="1" x14ac:dyDescent="0.2">
      <c r="A854" s="41"/>
      <c r="B854" s="41"/>
      <c r="C854" s="41"/>
      <c r="D854" s="41"/>
      <c r="E854" s="41"/>
      <c r="F854" s="41"/>
      <c r="G854" s="41"/>
      <c r="H854" s="41"/>
      <c r="I854" s="41"/>
      <c r="J854" s="41"/>
      <c r="K854" s="41"/>
      <c r="L854" s="41"/>
      <c r="M854" s="41"/>
      <c r="N854" s="41"/>
      <c r="O854" s="41"/>
      <c r="P854" s="41"/>
      <c r="Q854" s="41"/>
      <c r="R854" s="41"/>
      <c r="S854" s="41"/>
      <c r="T854" s="41"/>
      <c r="U854" s="41"/>
      <c r="V854" s="41"/>
      <c r="W854" s="41"/>
      <c r="X854" s="41"/>
      <c r="Y854" s="41"/>
      <c r="Z854" s="41"/>
      <c r="AA854" s="41"/>
      <c r="AB854" s="41"/>
      <c r="AC854" s="41"/>
      <c r="AD854" s="41"/>
      <c r="AE854" s="41"/>
      <c r="AF854" s="41"/>
      <c r="AG854" s="41"/>
      <c r="AH854" s="41"/>
      <c r="AI854" s="41"/>
    </row>
    <row r="855" spans="1:35" ht="15.75" customHeight="1" x14ac:dyDescent="0.2">
      <c r="A855" s="41"/>
      <c r="B855" s="41"/>
      <c r="C855" s="41"/>
      <c r="D855" s="41"/>
      <c r="E855" s="41"/>
      <c r="F855" s="41"/>
      <c r="G855" s="41"/>
      <c r="H855" s="41"/>
      <c r="I855" s="41"/>
      <c r="J855" s="41"/>
      <c r="K855" s="41"/>
      <c r="L855" s="41"/>
      <c r="M855" s="41"/>
      <c r="N855" s="41"/>
      <c r="O855" s="41"/>
      <c r="P855" s="41"/>
      <c r="Q855" s="41"/>
      <c r="R855" s="41"/>
      <c r="S855" s="41"/>
      <c r="T855" s="41"/>
      <c r="U855" s="41"/>
      <c r="V855" s="41"/>
      <c r="W855" s="41"/>
      <c r="X855" s="41"/>
      <c r="Y855" s="41"/>
      <c r="Z855" s="41"/>
      <c r="AA855" s="41"/>
      <c r="AB855" s="41"/>
      <c r="AC855" s="41"/>
      <c r="AD855" s="41"/>
      <c r="AE855" s="41"/>
      <c r="AF855" s="41"/>
      <c r="AG855" s="41"/>
      <c r="AH855" s="41"/>
      <c r="AI855" s="41"/>
    </row>
    <row r="856" spans="1:35" ht="15.75" customHeight="1" x14ac:dyDescent="0.2">
      <c r="A856" s="41"/>
      <c r="B856" s="41"/>
      <c r="C856" s="41"/>
      <c r="D856" s="41"/>
      <c r="E856" s="41"/>
      <c r="F856" s="41"/>
      <c r="G856" s="41"/>
      <c r="H856" s="41"/>
      <c r="I856" s="41"/>
      <c r="J856" s="41"/>
      <c r="K856" s="41"/>
      <c r="L856" s="41"/>
      <c r="M856" s="41"/>
      <c r="N856" s="41"/>
      <c r="O856" s="41"/>
      <c r="P856" s="41"/>
      <c r="Q856" s="41"/>
      <c r="R856" s="41"/>
      <c r="S856" s="41"/>
      <c r="T856" s="41"/>
      <c r="U856" s="41"/>
      <c r="V856" s="41"/>
      <c r="W856" s="41"/>
      <c r="X856" s="41"/>
      <c r="Y856" s="41"/>
      <c r="Z856" s="41"/>
      <c r="AA856" s="41"/>
      <c r="AB856" s="41"/>
      <c r="AC856" s="41"/>
      <c r="AD856" s="41"/>
      <c r="AE856" s="41"/>
      <c r="AF856" s="41"/>
      <c r="AG856" s="41"/>
      <c r="AH856" s="41"/>
      <c r="AI856" s="41"/>
    </row>
    <row r="857" spans="1:35" ht="15.75" customHeight="1" x14ac:dyDescent="0.2">
      <c r="A857" s="41"/>
      <c r="B857" s="41"/>
      <c r="C857" s="41"/>
      <c r="D857" s="41"/>
      <c r="E857" s="41"/>
      <c r="F857" s="41"/>
      <c r="G857" s="41"/>
      <c r="H857" s="41"/>
      <c r="I857" s="41"/>
      <c r="J857" s="41"/>
      <c r="K857" s="41"/>
      <c r="L857" s="41"/>
      <c r="M857" s="41"/>
      <c r="N857" s="41"/>
      <c r="O857" s="41"/>
      <c r="P857" s="41"/>
      <c r="Q857" s="41"/>
      <c r="R857" s="41"/>
      <c r="S857" s="41"/>
      <c r="T857" s="41"/>
      <c r="U857" s="41"/>
      <c r="V857" s="41"/>
      <c r="W857" s="41"/>
      <c r="X857" s="41"/>
      <c r="Y857" s="41"/>
      <c r="Z857" s="41"/>
      <c r="AA857" s="41"/>
      <c r="AB857" s="41"/>
      <c r="AC857" s="41"/>
      <c r="AD857" s="41"/>
      <c r="AE857" s="41"/>
      <c r="AF857" s="41"/>
      <c r="AG857" s="41"/>
      <c r="AH857" s="41"/>
      <c r="AI857" s="41"/>
    </row>
    <row r="858" spans="1:35" ht="15.75" customHeight="1" x14ac:dyDescent="0.2">
      <c r="A858" s="41"/>
      <c r="B858" s="41"/>
      <c r="C858" s="41"/>
      <c r="D858" s="41"/>
      <c r="E858" s="41"/>
      <c r="F858" s="41"/>
      <c r="G858" s="41"/>
      <c r="H858" s="41"/>
      <c r="I858" s="41"/>
      <c r="J858" s="41"/>
      <c r="K858" s="41"/>
      <c r="L858" s="41"/>
      <c r="M858" s="41"/>
      <c r="N858" s="41"/>
      <c r="O858" s="41"/>
      <c r="P858" s="41"/>
      <c r="Q858" s="41"/>
      <c r="R858" s="41"/>
      <c r="S858" s="41"/>
      <c r="T858" s="41"/>
      <c r="U858" s="41"/>
      <c r="V858" s="41"/>
      <c r="W858" s="41"/>
      <c r="X858" s="41"/>
      <c r="Y858" s="41"/>
      <c r="Z858" s="41"/>
      <c r="AA858" s="41"/>
      <c r="AB858" s="41"/>
      <c r="AC858" s="41"/>
      <c r="AD858" s="41"/>
      <c r="AE858" s="41"/>
      <c r="AF858" s="41"/>
      <c r="AG858" s="41"/>
      <c r="AH858" s="41"/>
      <c r="AI858" s="41"/>
    </row>
    <row r="859" spans="1:35" ht="15.75" customHeight="1" x14ac:dyDescent="0.2">
      <c r="A859" s="41"/>
      <c r="B859" s="41"/>
      <c r="C859" s="41"/>
      <c r="D859" s="41"/>
      <c r="E859" s="41"/>
      <c r="F859" s="41"/>
      <c r="G859" s="41"/>
      <c r="H859" s="41"/>
      <c r="I859" s="41"/>
      <c r="J859" s="41"/>
      <c r="K859" s="41"/>
      <c r="L859" s="41"/>
      <c r="M859" s="41"/>
      <c r="N859" s="41"/>
      <c r="O859" s="41"/>
      <c r="P859" s="41"/>
      <c r="Q859" s="41"/>
      <c r="R859" s="41"/>
      <c r="S859" s="41"/>
      <c r="T859" s="41"/>
      <c r="U859" s="41"/>
      <c r="V859" s="41"/>
      <c r="W859" s="41"/>
      <c r="X859" s="41"/>
      <c r="Y859" s="41"/>
      <c r="Z859" s="41"/>
      <c r="AA859" s="41"/>
      <c r="AB859" s="41"/>
      <c r="AC859" s="41"/>
      <c r="AD859" s="41"/>
      <c r="AE859" s="41"/>
      <c r="AF859" s="41"/>
      <c r="AG859" s="41"/>
      <c r="AH859" s="41"/>
      <c r="AI859" s="41"/>
    </row>
    <row r="860" spans="1:35" ht="15.75" customHeight="1" x14ac:dyDescent="0.2">
      <c r="A860" s="41"/>
      <c r="B860" s="41"/>
      <c r="C860" s="41"/>
      <c r="D860" s="41"/>
      <c r="E860" s="41"/>
      <c r="F860" s="41"/>
      <c r="G860" s="41"/>
      <c r="H860" s="41"/>
      <c r="I860" s="41"/>
      <c r="J860" s="41"/>
      <c r="K860" s="41"/>
      <c r="L860" s="41"/>
      <c r="M860" s="41"/>
      <c r="N860" s="41"/>
      <c r="O860" s="41"/>
      <c r="P860" s="41"/>
      <c r="Q860" s="41"/>
      <c r="R860" s="41"/>
      <c r="S860" s="41"/>
      <c r="T860" s="41"/>
      <c r="U860" s="41"/>
      <c r="V860" s="41"/>
      <c r="W860" s="41"/>
      <c r="X860" s="41"/>
      <c r="Y860" s="41"/>
      <c r="Z860" s="41"/>
      <c r="AA860" s="41"/>
      <c r="AB860" s="41"/>
      <c r="AC860" s="41"/>
      <c r="AD860" s="41"/>
      <c r="AE860" s="41"/>
      <c r="AF860" s="41"/>
      <c r="AG860" s="41"/>
      <c r="AH860" s="41"/>
      <c r="AI860" s="41"/>
    </row>
    <row r="861" spans="1:35" ht="15.75" customHeight="1" x14ac:dyDescent="0.2">
      <c r="A861" s="41"/>
      <c r="B861" s="41"/>
      <c r="C861" s="41"/>
      <c r="D861" s="41"/>
      <c r="E861" s="41"/>
      <c r="F861" s="41"/>
      <c r="G861" s="41"/>
      <c r="H861" s="41"/>
      <c r="I861" s="41"/>
      <c r="J861" s="41"/>
      <c r="K861" s="41"/>
      <c r="L861" s="41"/>
      <c r="M861" s="41"/>
      <c r="N861" s="41"/>
      <c r="O861" s="41"/>
      <c r="P861" s="41"/>
      <c r="Q861" s="41"/>
      <c r="R861" s="41"/>
      <c r="S861" s="41"/>
      <c r="T861" s="41"/>
      <c r="U861" s="41"/>
      <c r="V861" s="41"/>
      <c r="W861" s="41"/>
      <c r="X861" s="41"/>
      <c r="Y861" s="41"/>
      <c r="Z861" s="41"/>
      <c r="AA861" s="41"/>
      <c r="AB861" s="41"/>
      <c r="AC861" s="41"/>
      <c r="AD861" s="41"/>
      <c r="AE861" s="41"/>
      <c r="AF861" s="41"/>
      <c r="AG861" s="41"/>
      <c r="AH861" s="41"/>
      <c r="AI861" s="41"/>
    </row>
    <row r="862" spans="1:35" ht="15.75" customHeight="1" x14ac:dyDescent="0.2">
      <c r="A862" s="41"/>
      <c r="B862" s="41"/>
      <c r="C862" s="41"/>
      <c r="D862" s="41"/>
      <c r="E862" s="41"/>
      <c r="F862" s="41"/>
      <c r="G862" s="41"/>
      <c r="H862" s="41"/>
      <c r="I862" s="41"/>
      <c r="J862" s="41"/>
      <c r="K862" s="41"/>
      <c r="L862" s="41"/>
      <c r="M862" s="41"/>
      <c r="N862" s="41"/>
      <c r="O862" s="41"/>
      <c r="P862" s="41"/>
      <c r="Q862" s="41"/>
      <c r="R862" s="41"/>
      <c r="S862" s="41"/>
      <c r="T862" s="41"/>
      <c r="U862" s="41"/>
      <c r="V862" s="41"/>
      <c r="W862" s="41"/>
      <c r="X862" s="41"/>
      <c r="Y862" s="41"/>
      <c r="Z862" s="41"/>
      <c r="AA862" s="41"/>
      <c r="AB862" s="41"/>
      <c r="AC862" s="41"/>
      <c r="AD862" s="41"/>
      <c r="AE862" s="41"/>
      <c r="AF862" s="41"/>
      <c r="AG862" s="41"/>
      <c r="AH862" s="41"/>
      <c r="AI862" s="41"/>
    </row>
    <row r="863" spans="1:35" ht="15.75" customHeight="1" x14ac:dyDescent="0.2">
      <c r="A863" s="41"/>
      <c r="B863" s="41"/>
      <c r="C863" s="41"/>
      <c r="D863" s="41"/>
      <c r="E863" s="41"/>
      <c r="F863" s="41"/>
      <c r="G863" s="41"/>
      <c r="H863" s="41"/>
      <c r="I863" s="41"/>
      <c r="J863" s="41"/>
      <c r="K863" s="41"/>
      <c r="L863" s="41"/>
      <c r="M863" s="41"/>
      <c r="N863" s="41"/>
      <c r="O863" s="41"/>
      <c r="P863" s="41"/>
      <c r="Q863" s="41"/>
      <c r="R863" s="41"/>
      <c r="S863" s="41"/>
      <c r="T863" s="41"/>
      <c r="U863" s="41"/>
      <c r="V863" s="41"/>
      <c r="W863" s="41"/>
      <c r="X863" s="41"/>
      <c r="Y863" s="41"/>
      <c r="Z863" s="41"/>
      <c r="AA863" s="41"/>
      <c r="AB863" s="41"/>
      <c r="AC863" s="41"/>
      <c r="AD863" s="41"/>
      <c r="AE863" s="41"/>
      <c r="AF863" s="41"/>
      <c r="AG863" s="41"/>
      <c r="AH863" s="41"/>
      <c r="AI863" s="41"/>
    </row>
    <row r="864" spans="1:35" ht="15.75" customHeight="1" x14ac:dyDescent="0.2">
      <c r="A864" s="41"/>
      <c r="B864" s="41"/>
      <c r="C864" s="41"/>
      <c r="D864" s="41"/>
      <c r="E864" s="41"/>
      <c r="F864" s="41"/>
      <c r="G864" s="41"/>
      <c r="H864" s="41"/>
      <c r="I864" s="41"/>
      <c r="J864" s="41"/>
      <c r="K864" s="41"/>
      <c r="L864" s="41"/>
      <c r="M864" s="41"/>
      <c r="N864" s="41"/>
      <c r="O864" s="41"/>
      <c r="P864" s="41"/>
      <c r="Q864" s="41"/>
      <c r="R864" s="41"/>
      <c r="S864" s="41"/>
      <c r="T864" s="41"/>
      <c r="U864" s="41"/>
      <c r="V864" s="41"/>
      <c r="W864" s="41"/>
      <c r="X864" s="41"/>
      <c r="Y864" s="41"/>
      <c r="Z864" s="41"/>
      <c r="AA864" s="41"/>
      <c r="AB864" s="41"/>
      <c r="AC864" s="41"/>
      <c r="AD864" s="41"/>
      <c r="AE864" s="41"/>
      <c r="AF864" s="41"/>
      <c r="AG864" s="41"/>
      <c r="AH864" s="41"/>
      <c r="AI864" s="41"/>
    </row>
    <row r="865" spans="1:35" ht="15.75" customHeight="1" x14ac:dyDescent="0.2">
      <c r="A865" s="41"/>
      <c r="B865" s="41"/>
      <c r="C865" s="41"/>
      <c r="D865" s="41"/>
      <c r="E865" s="41"/>
      <c r="F865" s="41"/>
      <c r="G865" s="41"/>
      <c r="H865" s="41"/>
      <c r="I865" s="41"/>
      <c r="J865" s="41"/>
      <c r="K865" s="41"/>
      <c r="L865" s="41"/>
      <c r="M865" s="41"/>
      <c r="N865" s="41"/>
      <c r="O865" s="41"/>
      <c r="P865" s="41"/>
      <c r="Q865" s="41"/>
      <c r="R865" s="41"/>
      <c r="S865" s="41"/>
      <c r="T865" s="41"/>
      <c r="U865" s="41"/>
      <c r="V865" s="41"/>
      <c r="W865" s="41"/>
      <c r="X865" s="41"/>
      <c r="Y865" s="41"/>
      <c r="Z865" s="41"/>
      <c r="AA865" s="41"/>
      <c r="AB865" s="41"/>
      <c r="AC865" s="41"/>
      <c r="AD865" s="41"/>
      <c r="AE865" s="41"/>
      <c r="AF865" s="41"/>
      <c r="AG865" s="41"/>
      <c r="AH865" s="41"/>
      <c r="AI865" s="41"/>
    </row>
    <row r="866" spans="1:35" ht="15.75" customHeight="1" x14ac:dyDescent="0.2">
      <c r="A866" s="41"/>
      <c r="B866" s="41"/>
      <c r="C866" s="41"/>
      <c r="D866" s="41"/>
      <c r="E866" s="41"/>
      <c r="F866" s="41"/>
      <c r="G866" s="41"/>
      <c r="H866" s="41"/>
      <c r="I866" s="41"/>
      <c r="J866" s="41"/>
      <c r="K866" s="41"/>
      <c r="L866" s="41"/>
      <c r="M866" s="41"/>
      <c r="N866" s="41"/>
      <c r="O866" s="41"/>
      <c r="P866" s="41"/>
      <c r="Q866" s="41"/>
      <c r="R866" s="41"/>
      <c r="S866" s="41"/>
      <c r="T866" s="41"/>
      <c r="U866" s="41"/>
      <c r="V866" s="41"/>
      <c r="W866" s="41"/>
      <c r="X866" s="41"/>
      <c r="Y866" s="41"/>
      <c r="Z866" s="41"/>
      <c r="AA866" s="41"/>
      <c r="AB866" s="41"/>
      <c r="AC866" s="41"/>
      <c r="AD866" s="41"/>
      <c r="AE866" s="41"/>
      <c r="AF866" s="41"/>
      <c r="AG866" s="41"/>
      <c r="AH866" s="41"/>
      <c r="AI866" s="41"/>
    </row>
    <row r="867" spans="1:35" ht="15.75" customHeight="1" x14ac:dyDescent="0.2">
      <c r="A867" s="41"/>
      <c r="B867" s="41"/>
      <c r="C867" s="41"/>
      <c r="D867" s="41"/>
      <c r="E867" s="41"/>
      <c r="F867" s="41"/>
      <c r="G867" s="41"/>
      <c r="H867" s="41"/>
      <c r="I867" s="41"/>
      <c r="J867" s="41"/>
      <c r="K867" s="41"/>
      <c r="L867" s="41"/>
      <c r="M867" s="41"/>
      <c r="N867" s="41"/>
      <c r="O867" s="41"/>
      <c r="P867" s="41"/>
      <c r="Q867" s="41"/>
      <c r="R867" s="41"/>
      <c r="S867" s="41"/>
      <c r="T867" s="41"/>
      <c r="U867" s="41"/>
      <c r="V867" s="41"/>
      <c r="W867" s="41"/>
      <c r="X867" s="41"/>
      <c r="Y867" s="41"/>
      <c r="Z867" s="41"/>
      <c r="AA867" s="41"/>
      <c r="AB867" s="41"/>
      <c r="AC867" s="41"/>
      <c r="AD867" s="41"/>
      <c r="AE867" s="41"/>
      <c r="AF867" s="41"/>
      <c r="AG867" s="41"/>
      <c r="AH867" s="41"/>
      <c r="AI867" s="41"/>
    </row>
    <row r="868" spans="1:35" ht="15.75" customHeight="1" x14ac:dyDescent="0.2">
      <c r="A868" s="41"/>
      <c r="B868" s="41"/>
      <c r="C868" s="41"/>
      <c r="D868" s="41"/>
      <c r="E868" s="41"/>
      <c r="F868" s="41"/>
      <c r="G868" s="41"/>
      <c r="H868" s="41"/>
      <c r="I868" s="41"/>
      <c r="J868" s="41"/>
      <c r="K868" s="41"/>
      <c r="L868" s="41"/>
      <c r="M868" s="41"/>
      <c r="N868" s="41"/>
      <c r="O868" s="41"/>
      <c r="P868" s="41"/>
      <c r="Q868" s="41"/>
      <c r="R868" s="41"/>
      <c r="S868" s="41"/>
      <c r="T868" s="41"/>
      <c r="U868" s="41"/>
      <c r="V868" s="41"/>
      <c r="W868" s="41"/>
      <c r="X868" s="41"/>
      <c r="Y868" s="41"/>
      <c r="Z868" s="41"/>
      <c r="AA868" s="41"/>
      <c r="AB868" s="41"/>
      <c r="AC868" s="41"/>
      <c r="AD868" s="41"/>
      <c r="AE868" s="41"/>
      <c r="AF868" s="41"/>
      <c r="AG868" s="41"/>
      <c r="AH868" s="41"/>
      <c r="AI868" s="41"/>
    </row>
    <row r="869" spans="1:35" ht="15.75" customHeight="1" x14ac:dyDescent="0.2">
      <c r="A869" s="41"/>
      <c r="B869" s="41"/>
      <c r="C869" s="41"/>
      <c r="D869" s="41"/>
      <c r="E869" s="41"/>
      <c r="F869" s="41"/>
      <c r="G869" s="41"/>
      <c r="H869" s="41"/>
      <c r="I869" s="41"/>
      <c r="J869" s="41"/>
      <c r="K869" s="41"/>
      <c r="L869" s="41"/>
      <c r="M869" s="41"/>
      <c r="N869" s="41"/>
      <c r="O869" s="41"/>
      <c r="P869" s="41"/>
      <c r="Q869" s="41"/>
      <c r="R869" s="41"/>
      <c r="S869" s="41"/>
      <c r="T869" s="41"/>
      <c r="U869" s="41"/>
      <c r="V869" s="41"/>
      <c r="W869" s="41"/>
      <c r="X869" s="41"/>
      <c r="Y869" s="41"/>
      <c r="Z869" s="41"/>
      <c r="AA869" s="41"/>
      <c r="AB869" s="41"/>
      <c r="AC869" s="41"/>
      <c r="AD869" s="41"/>
      <c r="AE869" s="41"/>
      <c r="AF869" s="41"/>
      <c r="AG869" s="41"/>
      <c r="AH869" s="41"/>
      <c r="AI869" s="41"/>
    </row>
    <row r="870" spans="1:35" ht="15.75" customHeight="1" x14ac:dyDescent="0.2">
      <c r="A870" s="41"/>
      <c r="B870" s="41"/>
      <c r="C870" s="41"/>
      <c r="D870" s="41"/>
      <c r="E870" s="41"/>
      <c r="F870" s="41"/>
      <c r="G870" s="41"/>
      <c r="H870" s="41"/>
      <c r="I870" s="41"/>
      <c r="J870" s="41"/>
      <c r="K870" s="41"/>
      <c r="L870" s="41"/>
      <c r="M870" s="41"/>
      <c r="N870" s="41"/>
      <c r="O870" s="41"/>
      <c r="P870" s="41"/>
      <c r="Q870" s="41"/>
      <c r="R870" s="41"/>
      <c r="S870" s="41"/>
      <c r="T870" s="41"/>
      <c r="U870" s="41"/>
      <c r="V870" s="41"/>
      <c r="W870" s="41"/>
      <c r="X870" s="41"/>
      <c r="Y870" s="41"/>
      <c r="Z870" s="41"/>
      <c r="AA870" s="41"/>
      <c r="AB870" s="41"/>
      <c r="AC870" s="41"/>
      <c r="AD870" s="41"/>
      <c r="AE870" s="41"/>
      <c r="AF870" s="41"/>
      <c r="AG870" s="41"/>
      <c r="AH870" s="41"/>
      <c r="AI870" s="41"/>
    </row>
    <row r="871" spans="1:35" ht="15.75" customHeight="1" x14ac:dyDescent="0.2">
      <c r="A871" s="41"/>
      <c r="B871" s="41"/>
      <c r="C871" s="41"/>
      <c r="D871" s="41"/>
      <c r="E871" s="41"/>
      <c r="F871" s="41"/>
      <c r="G871" s="41"/>
      <c r="H871" s="41"/>
      <c r="I871" s="41"/>
      <c r="J871" s="41"/>
      <c r="K871" s="41"/>
      <c r="L871" s="41"/>
      <c r="M871" s="41"/>
      <c r="N871" s="41"/>
      <c r="O871" s="41"/>
      <c r="P871" s="41"/>
      <c r="Q871" s="41"/>
      <c r="R871" s="41"/>
      <c r="S871" s="41"/>
      <c r="T871" s="41"/>
      <c r="U871" s="41"/>
      <c r="V871" s="41"/>
      <c r="W871" s="41"/>
      <c r="X871" s="41"/>
      <c r="Y871" s="41"/>
      <c r="Z871" s="41"/>
      <c r="AA871" s="41"/>
      <c r="AB871" s="41"/>
      <c r="AC871" s="41"/>
      <c r="AD871" s="41"/>
      <c r="AE871" s="41"/>
      <c r="AF871" s="41"/>
      <c r="AG871" s="41"/>
      <c r="AH871" s="41"/>
      <c r="AI871" s="41"/>
    </row>
    <row r="872" spans="1:35" ht="15.75" customHeight="1" x14ac:dyDescent="0.2">
      <c r="A872" s="41"/>
      <c r="B872" s="41"/>
      <c r="C872" s="41"/>
      <c r="D872" s="41"/>
      <c r="E872" s="41"/>
      <c r="F872" s="41"/>
      <c r="G872" s="41"/>
      <c r="H872" s="41"/>
      <c r="I872" s="41"/>
      <c r="J872" s="41"/>
      <c r="K872" s="41"/>
      <c r="L872" s="41"/>
      <c r="M872" s="41"/>
      <c r="N872" s="41"/>
      <c r="O872" s="41"/>
      <c r="P872" s="41"/>
      <c r="Q872" s="41"/>
      <c r="R872" s="41"/>
      <c r="S872" s="41"/>
      <c r="T872" s="41"/>
      <c r="U872" s="41"/>
      <c r="V872" s="41"/>
      <c r="W872" s="41"/>
      <c r="X872" s="41"/>
      <c r="Y872" s="41"/>
      <c r="Z872" s="41"/>
      <c r="AA872" s="41"/>
      <c r="AB872" s="41"/>
      <c r="AC872" s="41"/>
      <c r="AD872" s="41"/>
      <c r="AE872" s="41"/>
      <c r="AF872" s="41"/>
      <c r="AG872" s="41"/>
      <c r="AH872" s="41"/>
      <c r="AI872" s="41"/>
    </row>
    <row r="873" spans="1:35" ht="15.75" customHeight="1" x14ac:dyDescent="0.2">
      <c r="A873" s="41"/>
      <c r="B873" s="41"/>
      <c r="C873" s="41"/>
      <c r="D873" s="41"/>
      <c r="E873" s="41"/>
      <c r="F873" s="41"/>
      <c r="G873" s="41"/>
      <c r="H873" s="41"/>
      <c r="I873" s="41"/>
      <c r="J873" s="41"/>
      <c r="K873" s="41"/>
      <c r="L873" s="41"/>
      <c r="M873" s="41"/>
      <c r="N873" s="41"/>
      <c r="O873" s="41"/>
      <c r="P873" s="41"/>
      <c r="Q873" s="41"/>
      <c r="R873" s="41"/>
      <c r="S873" s="41"/>
      <c r="T873" s="41"/>
      <c r="U873" s="41"/>
      <c r="V873" s="41"/>
      <c r="W873" s="41"/>
      <c r="X873" s="41"/>
      <c r="Y873" s="41"/>
      <c r="Z873" s="41"/>
      <c r="AA873" s="41"/>
      <c r="AB873" s="41"/>
      <c r="AC873" s="41"/>
      <c r="AD873" s="41"/>
      <c r="AE873" s="41"/>
      <c r="AF873" s="41"/>
      <c r="AG873" s="41"/>
      <c r="AH873" s="41"/>
      <c r="AI873" s="41"/>
    </row>
    <row r="874" spans="1:35" ht="15.75" customHeight="1" x14ac:dyDescent="0.2">
      <c r="A874" s="41"/>
      <c r="B874" s="41"/>
      <c r="C874" s="41"/>
      <c r="D874" s="41"/>
      <c r="E874" s="41"/>
      <c r="F874" s="41"/>
      <c r="G874" s="41"/>
      <c r="H874" s="41"/>
      <c r="I874" s="41"/>
      <c r="J874" s="41"/>
      <c r="K874" s="41"/>
      <c r="L874" s="41"/>
      <c r="M874" s="41"/>
      <c r="N874" s="41"/>
      <c r="O874" s="41"/>
      <c r="P874" s="41"/>
      <c r="Q874" s="41"/>
      <c r="R874" s="41"/>
      <c r="S874" s="41"/>
      <c r="T874" s="41"/>
      <c r="U874" s="41"/>
      <c r="V874" s="41"/>
      <c r="W874" s="41"/>
      <c r="X874" s="41"/>
      <c r="Y874" s="41"/>
      <c r="Z874" s="41"/>
      <c r="AA874" s="41"/>
      <c r="AB874" s="41"/>
      <c r="AC874" s="41"/>
      <c r="AD874" s="41"/>
      <c r="AE874" s="41"/>
      <c r="AF874" s="41"/>
      <c r="AG874" s="41"/>
      <c r="AH874" s="41"/>
      <c r="AI874" s="41"/>
    </row>
    <row r="875" spans="1:35" ht="15.75" customHeight="1" x14ac:dyDescent="0.2">
      <c r="A875" s="41"/>
      <c r="B875" s="41"/>
      <c r="C875" s="41"/>
      <c r="D875" s="41"/>
      <c r="E875" s="41"/>
      <c r="F875" s="41"/>
      <c r="G875" s="41"/>
      <c r="H875" s="41"/>
      <c r="I875" s="41"/>
      <c r="J875" s="41"/>
      <c r="K875" s="41"/>
      <c r="L875" s="41"/>
      <c r="M875" s="41"/>
      <c r="N875" s="41"/>
      <c r="O875" s="41"/>
      <c r="P875" s="41"/>
      <c r="Q875" s="41"/>
      <c r="R875" s="41"/>
      <c r="S875" s="41"/>
      <c r="T875" s="41"/>
      <c r="U875" s="41"/>
      <c r="V875" s="41"/>
      <c r="W875" s="41"/>
      <c r="X875" s="41"/>
      <c r="Y875" s="41"/>
      <c r="Z875" s="41"/>
      <c r="AA875" s="41"/>
      <c r="AB875" s="41"/>
      <c r="AC875" s="41"/>
      <c r="AD875" s="41"/>
      <c r="AE875" s="41"/>
      <c r="AF875" s="41"/>
      <c r="AG875" s="41"/>
      <c r="AH875" s="41"/>
      <c r="AI875" s="41"/>
    </row>
    <row r="876" spans="1:35" ht="15.75" customHeight="1" x14ac:dyDescent="0.2">
      <c r="A876" s="41"/>
      <c r="B876" s="41"/>
      <c r="C876" s="41"/>
      <c r="D876" s="41"/>
      <c r="E876" s="41"/>
      <c r="F876" s="41"/>
      <c r="G876" s="41"/>
      <c r="H876" s="41"/>
      <c r="I876" s="41"/>
      <c r="J876" s="41"/>
      <c r="K876" s="41"/>
      <c r="L876" s="41"/>
      <c r="M876" s="41"/>
      <c r="N876" s="41"/>
      <c r="O876" s="41"/>
      <c r="P876" s="41"/>
      <c r="Q876" s="41"/>
      <c r="R876" s="41"/>
      <c r="S876" s="41"/>
      <c r="T876" s="41"/>
      <c r="U876" s="41"/>
      <c r="V876" s="41"/>
      <c r="W876" s="41"/>
      <c r="X876" s="41"/>
      <c r="Y876" s="41"/>
      <c r="Z876" s="41"/>
      <c r="AA876" s="41"/>
      <c r="AB876" s="41"/>
      <c r="AC876" s="41"/>
      <c r="AD876" s="41"/>
      <c r="AE876" s="41"/>
      <c r="AF876" s="41"/>
      <c r="AG876" s="41"/>
      <c r="AH876" s="41"/>
      <c r="AI876" s="41"/>
    </row>
    <row r="877" spans="1:35" ht="15.75" customHeight="1" x14ac:dyDescent="0.2">
      <c r="A877" s="41"/>
      <c r="B877" s="41"/>
      <c r="C877" s="41"/>
      <c r="D877" s="41"/>
      <c r="E877" s="41"/>
      <c r="F877" s="41"/>
      <c r="G877" s="41"/>
      <c r="H877" s="41"/>
      <c r="I877" s="41"/>
      <c r="J877" s="41"/>
      <c r="K877" s="41"/>
      <c r="L877" s="41"/>
      <c r="M877" s="41"/>
      <c r="N877" s="41"/>
      <c r="O877" s="41"/>
      <c r="P877" s="41"/>
      <c r="Q877" s="41"/>
      <c r="R877" s="41"/>
      <c r="S877" s="41"/>
      <c r="T877" s="41"/>
      <c r="U877" s="41"/>
      <c r="V877" s="41"/>
      <c r="W877" s="41"/>
      <c r="X877" s="41"/>
      <c r="Y877" s="41"/>
      <c r="Z877" s="41"/>
      <c r="AA877" s="41"/>
      <c r="AB877" s="41"/>
      <c r="AC877" s="41"/>
      <c r="AD877" s="41"/>
      <c r="AE877" s="41"/>
      <c r="AF877" s="41"/>
      <c r="AG877" s="41"/>
      <c r="AH877" s="41"/>
      <c r="AI877" s="41"/>
    </row>
    <row r="878" spans="1:35" ht="15.75" customHeight="1" x14ac:dyDescent="0.2">
      <c r="A878" s="41"/>
      <c r="B878" s="41"/>
      <c r="C878" s="41"/>
      <c r="D878" s="41"/>
      <c r="E878" s="41"/>
      <c r="F878" s="41"/>
      <c r="G878" s="41"/>
      <c r="H878" s="41"/>
      <c r="I878" s="41"/>
      <c r="J878" s="41"/>
      <c r="K878" s="41"/>
      <c r="L878" s="41"/>
      <c r="M878" s="41"/>
      <c r="N878" s="41"/>
      <c r="O878" s="41"/>
      <c r="P878" s="41"/>
      <c r="Q878" s="41"/>
      <c r="R878" s="41"/>
      <c r="S878" s="41"/>
      <c r="T878" s="41"/>
      <c r="U878" s="41"/>
      <c r="V878" s="41"/>
      <c r="W878" s="41"/>
      <c r="X878" s="41"/>
      <c r="Y878" s="41"/>
      <c r="Z878" s="41"/>
      <c r="AA878" s="41"/>
      <c r="AB878" s="41"/>
      <c r="AC878" s="41"/>
      <c r="AD878" s="41"/>
      <c r="AE878" s="41"/>
      <c r="AF878" s="41"/>
      <c r="AG878" s="41"/>
      <c r="AH878" s="41"/>
      <c r="AI878" s="41"/>
    </row>
    <row r="879" spans="1:35" ht="15.75" customHeight="1" x14ac:dyDescent="0.2">
      <c r="A879" s="41"/>
      <c r="B879" s="41"/>
      <c r="C879" s="41"/>
      <c r="D879" s="41"/>
      <c r="E879" s="41"/>
      <c r="F879" s="41"/>
      <c r="G879" s="41"/>
      <c r="H879" s="41"/>
      <c r="I879" s="41"/>
      <c r="J879" s="41"/>
      <c r="K879" s="41"/>
      <c r="L879" s="41"/>
      <c r="M879" s="41"/>
      <c r="N879" s="41"/>
      <c r="O879" s="41"/>
      <c r="P879" s="41"/>
      <c r="Q879" s="41"/>
      <c r="R879" s="41"/>
      <c r="S879" s="41"/>
      <c r="T879" s="41"/>
      <c r="U879" s="41"/>
      <c r="V879" s="41"/>
      <c r="W879" s="41"/>
      <c r="X879" s="41"/>
      <c r="Y879" s="41"/>
      <c r="Z879" s="41"/>
      <c r="AA879" s="41"/>
      <c r="AB879" s="41"/>
      <c r="AC879" s="41"/>
      <c r="AD879" s="41"/>
      <c r="AE879" s="41"/>
      <c r="AF879" s="41"/>
      <c r="AG879" s="41"/>
      <c r="AH879" s="41"/>
      <c r="AI879" s="41"/>
    </row>
    <row r="880" spans="1:35" ht="15.75" customHeight="1" x14ac:dyDescent="0.2">
      <c r="A880" s="41"/>
      <c r="B880" s="41"/>
      <c r="C880" s="41"/>
      <c r="D880" s="41"/>
      <c r="E880" s="41"/>
      <c r="F880" s="41"/>
      <c r="G880" s="41"/>
      <c r="H880" s="41"/>
      <c r="I880" s="41"/>
      <c r="J880" s="41"/>
      <c r="K880" s="41"/>
      <c r="L880" s="41"/>
      <c r="M880" s="41"/>
      <c r="N880" s="41"/>
      <c r="O880" s="41"/>
      <c r="P880" s="41"/>
      <c r="Q880" s="41"/>
      <c r="R880" s="41"/>
      <c r="S880" s="41"/>
      <c r="T880" s="41"/>
      <c r="U880" s="41"/>
      <c r="V880" s="41"/>
      <c r="W880" s="41"/>
      <c r="X880" s="41"/>
      <c r="Y880" s="41"/>
      <c r="Z880" s="41"/>
      <c r="AA880" s="41"/>
      <c r="AB880" s="41"/>
      <c r="AC880" s="41"/>
      <c r="AD880" s="41"/>
      <c r="AE880" s="41"/>
      <c r="AF880" s="41"/>
      <c r="AG880" s="41"/>
      <c r="AH880" s="41"/>
      <c r="AI880" s="41"/>
    </row>
    <row r="881" spans="1:35" ht="15.75" customHeight="1" x14ac:dyDescent="0.2">
      <c r="A881" s="41"/>
      <c r="B881" s="41"/>
      <c r="C881" s="41"/>
      <c r="D881" s="41"/>
      <c r="E881" s="41"/>
      <c r="F881" s="41"/>
      <c r="G881" s="41"/>
      <c r="H881" s="41"/>
      <c r="I881" s="41"/>
      <c r="J881" s="41"/>
      <c r="K881" s="41"/>
      <c r="L881" s="41"/>
      <c r="M881" s="41"/>
      <c r="N881" s="41"/>
      <c r="O881" s="41"/>
      <c r="P881" s="41"/>
      <c r="Q881" s="41"/>
      <c r="R881" s="41"/>
      <c r="S881" s="41"/>
      <c r="T881" s="41"/>
      <c r="U881" s="41"/>
      <c r="V881" s="41"/>
      <c r="W881" s="41"/>
      <c r="X881" s="41"/>
      <c r="Y881" s="41"/>
      <c r="Z881" s="41"/>
      <c r="AA881" s="41"/>
      <c r="AB881" s="41"/>
      <c r="AC881" s="41"/>
      <c r="AD881" s="41"/>
      <c r="AE881" s="41"/>
      <c r="AF881" s="41"/>
      <c r="AG881" s="41"/>
      <c r="AH881" s="41"/>
      <c r="AI881" s="41"/>
    </row>
    <row r="882" spans="1:35" ht="15.75" customHeight="1" x14ac:dyDescent="0.2">
      <c r="A882" s="41"/>
      <c r="B882" s="41"/>
      <c r="C882" s="41"/>
      <c r="D882" s="41"/>
      <c r="E882" s="41"/>
      <c r="F882" s="41"/>
      <c r="G882" s="41"/>
      <c r="H882" s="41"/>
      <c r="I882" s="41"/>
      <c r="J882" s="41"/>
      <c r="K882" s="41"/>
      <c r="L882" s="41"/>
      <c r="M882" s="41"/>
      <c r="N882" s="41"/>
      <c r="O882" s="41"/>
      <c r="P882" s="41"/>
      <c r="Q882" s="41"/>
      <c r="R882" s="41"/>
      <c r="S882" s="41"/>
      <c r="T882" s="41"/>
      <c r="U882" s="41"/>
      <c r="V882" s="41"/>
      <c r="W882" s="41"/>
      <c r="X882" s="41"/>
      <c r="Y882" s="41"/>
      <c r="Z882" s="41"/>
      <c r="AA882" s="41"/>
      <c r="AB882" s="41"/>
      <c r="AC882" s="41"/>
      <c r="AD882" s="41"/>
      <c r="AE882" s="41"/>
      <c r="AF882" s="41"/>
      <c r="AG882" s="41"/>
      <c r="AH882" s="41"/>
      <c r="AI882" s="41"/>
    </row>
    <row r="883" spans="1:35" ht="15.75" customHeight="1" x14ac:dyDescent="0.2">
      <c r="A883" s="41"/>
      <c r="B883" s="41"/>
      <c r="C883" s="41"/>
      <c r="D883" s="41"/>
      <c r="E883" s="41"/>
      <c r="F883" s="41"/>
      <c r="G883" s="41"/>
      <c r="H883" s="41"/>
      <c r="I883" s="41"/>
      <c r="J883" s="41"/>
      <c r="K883" s="41"/>
      <c r="L883" s="41"/>
      <c r="M883" s="41"/>
      <c r="N883" s="41"/>
      <c r="O883" s="41"/>
      <c r="P883" s="41"/>
      <c r="Q883" s="41"/>
      <c r="R883" s="41"/>
      <c r="S883" s="41"/>
      <c r="T883" s="41"/>
      <c r="U883" s="41"/>
      <c r="V883" s="41"/>
      <c r="W883" s="41"/>
      <c r="X883" s="41"/>
      <c r="Y883" s="41"/>
      <c r="Z883" s="41"/>
      <c r="AA883" s="41"/>
      <c r="AB883" s="41"/>
      <c r="AC883" s="41"/>
      <c r="AD883" s="41"/>
      <c r="AE883" s="41"/>
      <c r="AF883" s="41"/>
      <c r="AG883" s="41"/>
      <c r="AH883" s="41"/>
      <c r="AI883" s="41"/>
    </row>
    <row r="884" spans="1:35" ht="15.75" customHeight="1" x14ac:dyDescent="0.2">
      <c r="A884" s="41"/>
      <c r="B884" s="41"/>
      <c r="C884" s="41"/>
      <c r="D884" s="41"/>
      <c r="E884" s="41"/>
      <c r="F884" s="41"/>
      <c r="G884" s="41"/>
      <c r="H884" s="41"/>
      <c r="I884" s="41"/>
      <c r="J884" s="41"/>
      <c r="K884" s="41"/>
      <c r="L884" s="41"/>
      <c r="M884" s="41"/>
      <c r="N884" s="41"/>
      <c r="O884" s="41"/>
      <c r="P884" s="41"/>
      <c r="Q884" s="41"/>
      <c r="R884" s="41"/>
      <c r="S884" s="41"/>
      <c r="T884" s="41"/>
      <c r="U884" s="41"/>
      <c r="V884" s="41"/>
      <c r="W884" s="41"/>
      <c r="X884" s="41"/>
      <c r="Y884" s="41"/>
      <c r="Z884" s="41"/>
      <c r="AA884" s="41"/>
      <c r="AB884" s="41"/>
      <c r="AC884" s="41"/>
      <c r="AD884" s="41"/>
      <c r="AE884" s="41"/>
      <c r="AF884" s="41"/>
      <c r="AG884" s="41"/>
      <c r="AH884" s="41"/>
      <c r="AI884" s="41"/>
    </row>
    <row r="885" spans="1:35" ht="15.75" customHeight="1" x14ac:dyDescent="0.2">
      <c r="A885" s="41"/>
      <c r="B885" s="41"/>
      <c r="C885" s="41"/>
      <c r="D885" s="41"/>
      <c r="E885" s="41"/>
      <c r="F885" s="41"/>
      <c r="G885" s="41"/>
      <c r="H885" s="41"/>
      <c r="I885" s="41"/>
      <c r="J885" s="41"/>
      <c r="K885" s="41"/>
      <c r="L885" s="41"/>
      <c r="M885" s="41"/>
      <c r="N885" s="41"/>
      <c r="O885" s="41"/>
      <c r="P885" s="41"/>
      <c r="Q885" s="41"/>
      <c r="R885" s="41"/>
      <c r="S885" s="41"/>
      <c r="T885" s="41"/>
      <c r="U885" s="41"/>
      <c r="V885" s="41"/>
      <c r="W885" s="41"/>
      <c r="X885" s="41"/>
      <c r="Y885" s="41"/>
      <c r="Z885" s="41"/>
      <c r="AA885" s="41"/>
      <c r="AB885" s="41"/>
      <c r="AC885" s="41"/>
      <c r="AD885" s="41"/>
      <c r="AE885" s="41"/>
      <c r="AF885" s="41"/>
      <c r="AG885" s="41"/>
      <c r="AH885" s="41"/>
      <c r="AI885" s="41"/>
    </row>
    <row r="886" spans="1:35" ht="15.75" customHeight="1" x14ac:dyDescent="0.2">
      <c r="A886" s="41"/>
      <c r="B886" s="41"/>
      <c r="C886" s="41"/>
      <c r="D886" s="41"/>
      <c r="E886" s="41"/>
      <c r="F886" s="41"/>
      <c r="G886" s="41"/>
      <c r="H886" s="41"/>
      <c r="I886" s="41"/>
      <c r="J886" s="41"/>
      <c r="K886" s="41"/>
      <c r="L886" s="41"/>
      <c r="M886" s="41"/>
      <c r="N886" s="41"/>
      <c r="O886" s="41"/>
      <c r="P886" s="41"/>
      <c r="Q886" s="41"/>
      <c r="R886" s="41"/>
      <c r="S886" s="41"/>
      <c r="T886" s="41"/>
      <c r="U886" s="41"/>
      <c r="V886" s="41"/>
      <c r="W886" s="41"/>
      <c r="X886" s="41"/>
      <c r="Y886" s="41"/>
      <c r="Z886" s="41"/>
      <c r="AA886" s="41"/>
      <c r="AB886" s="41"/>
      <c r="AC886" s="41"/>
      <c r="AD886" s="41"/>
      <c r="AE886" s="41"/>
      <c r="AF886" s="41"/>
      <c r="AG886" s="41"/>
      <c r="AH886" s="41"/>
      <c r="AI886" s="41"/>
    </row>
    <row r="887" spans="1:35" ht="15.75" customHeight="1" x14ac:dyDescent="0.2">
      <c r="A887" s="41"/>
      <c r="B887" s="41"/>
      <c r="C887" s="41"/>
      <c r="D887" s="41"/>
      <c r="E887" s="41"/>
      <c r="F887" s="41"/>
      <c r="G887" s="41"/>
      <c r="H887" s="41"/>
      <c r="I887" s="41"/>
      <c r="J887" s="41"/>
      <c r="K887" s="41"/>
      <c r="L887" s="41"/>
      <c r="M887" s="41"/>
      <c r="N887" s="41"/>
      <c r="O887" s="41"/>
      <c r="P887" s="41"/>
      <c r="Q887" s="41"/>
      <c r="R887" s="41"/>
      <c r="S887" s="41"/>
      <c r="T887" s="41"/>
      <c r="U887" s="41"/>
      <c r="V887" s="41"/>
      <c r="W887" s="41"/>
      <c r="X887" s="41"/>
      <c r="Y887" s="41"/>
      <c r="Z887" s="41"/>
      <c r="AA887" s="41"/>
      <c r="AB887" s="41"/>
      <c r="AC887" s="41"/>
      <c r="AD887" s="41"/>
      <c r="AE887" s="41"/>
      <c r="AF887" s="41"/>
      <c r="AG887" s="41"/>
      <c r="AH887" s="41"/>
      <c r="AI887" s="41"/>
    </row>
    <row r="888" spans="1:35" ht="15.75" customHeight="1" x14ac:dyDescent="0.2">
      <c r="A888" s="41"/>
      <c r="B888" s="41"/>
      <c r="C888" s="41"/>
      <c r="D888" s="41"/>
      <c r="E888" s="41"/>
      <c r="F888" s="41"/>
      <c r="G888" s="41"/>
      <c r="H888" s="41"/>
      <c r="I888" s="41"/>
      <c r="J888" s="41"/>
      <c r="K888" s="41"/>
      <c r="L888" s="41"/>
      <c r="M888" s="41"/>
      <c r="N888" s="41"/>
      <c r="O888" s="41"/>
      <c r="P888" s="41"/>
      <c r="Q888" s="41"/>
      <c r="R888" s="41"/>
      <c r="S888" s="41"/>
      <c r="T888" s="41"/>
      <c r="U888" s="41"/>
      <c r="V888" s="41"/>
      <c r="W888" s="41"/>
      <c r="X888" s="41"/>
      <c r="Y888" s="41"/>
      <c r="Z888" s="41"/>
      <c r="AA888" s="41"/>
      <c r="AB888" s="41"/>
      <c r="AC888" s="41"/>
      <c r="AD888" s="41"/>
      <c r="AE888" s="41"/>
      <c r="AF888" s="41"/>
      <c r="AG888" s="41"/>
      <c r="AH888" s="41"/>
      <c r="AI888" s="41"/>
    </row>
    <row r="889" spans="1:35" ht="15.75" customHeight="1" x14ac:dyDescent="0.2">
      <c r="A889" s="41"/>
      <c r="B889" s="41"/>
      <c r="C889" s="41"/>
      <c r="D889" s="41"/>
      <c r="E889" s="41"/>
      <c r="F889" s="41"/>
      <c r="G889" s="41"/>
      <c r="H889" s="41"/>
      <c r="I889" s="41"/>
      <c r="J889" s="41"/>
      <c r="K889" s="41"/>
      <c r="L889" s="41"/>
      <c r="M889" s="41"/>
      <c r="N889" s="41"/>
      <c r="O889" s="41"/>
      <c r="P889" s="41"/>
      <c r="Q889" s="41"/>
      <c r="R889" s="41"/>
      <c r="S889" s="41"/>
      <c r="T889" s="41"/>
      <c r="U889" s="41"/>
      <c r="V889" s="41"/>
      <c r="W889" s="41"/>
      <c r="X889" s="41"/>
      <c r="Y889" s="41"/>
      <c r="Z889" s="41"/>
      <c r="AA889" s="41"/>
      <c r="AB889" s="41"/>
      <c r="AC889" s="41"/>
      <c r="AD889" s="41"/>
      <c r="AE889" s="41"/>
      <c r="AF889" s="41"/>
      <c r="AG889" s="41"/>
      <c r="AH889" s="41"/>
      <c r="AI889" s="41"/>
    </row>
    <row r="890" spans="1:35" ht="15.75" customHeight="1" x14ac:dyDescent="0.2">
      <c r="A890" s="41"/>
      <c r="B890" s="41"/>
      <c r="C890" s="41"/>
      <c r="D890" s="41"/>
      <c r="E890" s="41"/>
      <c r="F890" s="41"/>
      <c r="G890" s="41"/>
      <c r="H890" s="41"/>
      <c r="I890" s="41"/>
      <c r="J890" s="41"/>
      <c r="K890" s="41"/>
      <c r="L890" s="41"/>
      <c r="M890" s="41"/>
      <c r="N890" s="41"/>
      <c r="O890" s="41"/>
      <c r="P890" s="41"/>
      <c r="Q890" s="41"/>
      <c r="R890" s="41"/>
      <c r="S890" s="41"/>
      <c r="T890" s="41"/>
      <c r="U890" s="41"/>
      <c r="V890" s="41"/>
      <c r="W890" s="41"/>
      <c r="X890" s="41"/>
      <c r="Y890" s="41"/>
      <c r="Z890" s="41"/>
      <c r="AA890" s="41"/>
      <c r="AB890" s="41"/>
      <c r="AC890" s="41"/>
      <c r="AD890" s="41"/>
      <c r="AE890" s="41"/>
      <c r="AF890" s="41"/>
      <c r="AG890" s="41"/>
      <c r="AH890" s="41"/>
      <c r="AI890" s="41"/>
    </row>
    <row r="891" spans="1:35" ht="15.75" customHeight="1" x14ac:dyDescent="0.2">
      <c r="A891" s="41"/>
      <c r="B891" s="41"/>
      <c r="C891" s="41"/>
      <c r="D891" s="41"/>
      <c r="E891" s="41"/>
      <c r="F891" s="41"/>
      <c r="G891" s="41"/>
      <c r="H891" s="41"/>
      <c r="I891" s="41"/>
      <c r="J891" s="41"/>
      <c r="K891" s="41"/>
      <c r="L891" s="41"/>
      <c r="M891" s="41"/>
      <c r="N891" s="41"/>
      <c r="O891" s="41"/>
      <c r="P891" s="41"/>
      <c r="Q891" s="41"/>
      <c r="R891" s="41"/>
      <c r="S891" s="41"/>
      <c r="T891" s="41"/>
      <c r="U891" s="41"/>
      <c r="V891" s="41"/>
      <c r="W891" s="41"/>
      <c r="X891" s="41"/>
      <c r="Y891" s="41"/>
      <c r="Z891" s="41"/>
      <c r="AA891" s="41"/>
      <c r="AB891" s="41"/>
      <c r="AC891" s="41"/>
      <c r="AD891" s="41"/>
      <c r="AE891" s="41"/>
      <c r="AF891" s="41"/>
      <c r="AG891" s="41"/>
      <c r="AH891" s="41"/>
      <c r="AI891" s="41"/>
    </row>
    <row r="892" spans="1:35" ht="15.75" customHeight="1" x14ac:dyDescent="0.2">
      <c r="A892" s="41"/>
      <c r="B892" s="41"/>
      <c r="C892" s="41"/>
      <c r="D892" s="41"/>
      <c r="E892" s="41"/>
      <c r="F892" s="41"/>
      <c r="G892" s="41"/>
      <c r="H892" s="41"/>
      <c r="I892" s="41"/>
      <c r="J892" s="41"/>
      <c r="K892" s="41"/>
      <c r="L892" s="41"/>
      <c r="M892" s="41"/>
      <c r="N892" s="41"/>
      <c r="O892" s="41"/>
      <c r="P892" s="41"/>
      <c r="Q892" s="41"/>
      <c r="R892" s="41"/>
      <c r="S892" s="41"/>
      <c r="T892" s="41"/>
      <c r="U892" s="41"/>
      <c r="V892" s="41"/>
      <c r="W892" s="41"/>
      <c r="X892" s="41"/>
      <c r="Y892" s="41"/>
      <c r="Z892" s="41"/>
      <c r="AA892" s="41"/>
      <c r="AB892" s="41"/>
      <c r="AC892" s="41"/>
      <c r="AD892" s="41"/>
      <c r="AE892" s="41"/>
      <c r="AF892" s="41"/>
      <c r="AG892" s="41"/>
      <c r="AH892" s="41"/>
      <c r="AI892" s="41"/>
    </row>
    <row r="893" spans="1:35" ht="15.75" customHeight="1" x14ac:dyDescent="0.2">
      <c r="A893" s="41"/>
      <c r="B893" s="41"/>
      <c r="C893" s="41"/>
      <c r="D893" s="41"/>
      <c r="E893" s="41"/>
      <c r="F893" s="41"/>
      <c r="G893" s="41"/>
      <c r="H893" s="41"/>
      <c r="I893" s="41"/>
      <c r="J893" s="41"/>
      <c r="K893" s="41"/>
      <c r="L893" s="41"/>
      <c r="M893" s="41"/>
      <c r="N893" s="41"/>
      <c r="O893" s="41"/>
      <c r="P893" s="41"/>
      <c r="Q893" s="41"/>
      <c r="R893" s="41"/>
      <c r="S893" s="41"/>
      <c r="T893" s="41"/>
      <c r="U893" s="41"/>
      <c r="V893" s="41"/>
      <c r="W893" s="41"/>
      <c r="X893" s="41"/>
      <c r="Y893" s="41"/>
      <c r="Z893" s="41"/>
      <c r="AA893" s="41"/>
      <c r="AB893" s="41"/>
      <c r="AC893" s="41"/>
      <c r="AD893" s="41"/>
      <c r="AE893" s="41"/>
      <c r="AF893" s="41"/>
      <c r="AG893" s="41"/>
      <c r="AH893" s="41"/>
      <c r="AI893" s="41"/>
    </row>
    <row r="894" spans="1:35" ht="15.75" customHeight="1" x14ac:dyDescent="0.2">
      <c r="A894" s="41"/>
      <c r="B894" s="41"/>
      <c r="C894" s="41"/>
      <c r="D894" s="41"/>
      <c r="E894" s="41"/>
      <c r="F894" s="41"/>
      <c r="G894" s="41"/>
      <c r="H894" s="41"/>
      <c r="I894" s="41"/>
      <c r="J894" s="41"/>
      <c r="K894" s="41"/>
      <c r="L894" s="41"/>
      <c r="M894" s="41"/>
      <c r="N894" s="41"/>
      <c r="O894" s="41"/>
      <c r="P894" s="41"/>
      <c r="Q894" s="41"/>
      <c r="R894" s="41"/>
      <c r="S894" s="41"/>
      <c r="T894" s="41"/>
      <c r="U894" s="41"/>
      <c r="V894" s="41"/>
      <c r="W894" s="41"/>
      <c r="X894" s="41"/>
      <c r="Y894" s="41"/>
      <c r="Z894" s="41"/>
      <c r="AA894" s="41"/>
      <c r="AB894" s="41"/>
      <c r="AC894" s="41"/>
      <c r="AD894" s="41"/>
      <c r="AE894" s="41"/>
      <c r="AF894" s="41"/>
      <c r="AG894" s="41"/>
      <c r="AH894" s="41"/>
      <c r="AI894" s="41"/>
    </row>
    <row r="895" spans="1:35" ht="15.75" customHeight="1" x14ac:dyDescent="0.2">
      <c r="A895" s="41"/>
      <c r="B895" s="41"/>
      <c r="C895" s="41"/>
      <c r="D895" s="41"/>
      <c r="E895" s="41"/>
      <c r="F895" s="41"/>
      <c r="G895" s="41"/>
      <c r="H895" s="41"/>
      <c r="I895" s="41"/>
      <c r="J895" s="41"/>
      <c r="K895" s="41"/>
      <c r="L895" s="41"/>
      <c r="M895" s="41"/>
      <c r="N895" s="41"/>
      <c r="O895" s="41"/>
      <c r="P895" s="41"/>
      <c r="Q895" s="41"/>
      <c r="R895" s="41"/>
      <c r="S895" s="41"/>
      <c r="T895" s="41"/>
      <c r="U895" s="41"/>
      <c r="V895" s="41"/>
      <c r="W895" s="41"/>
      <c r="X895" s="41"/>
      <c r="Y895" s="41"/>
      <c r="Z895" s="41"/>
      <c r="AA895" s="41"/>
      <c r="AB895" s="41"/>
      <c r="AC895" s="41"/>
      <c r="AD895" s="41"/>
      <c r="AE895" s="41"/>
      <c r="AF895" s="41"/>
      <c r="AG895" s="41"/>
      <c r="AH895" s="41"/>
      <c r="AI895" s="41"/>
    </row>
    <row r="896" spans="1:35" ht="15.75" customHeight="1" x14ac:dyDescent="0.2">
      <c r="A896" s="41"/>
      <c r="B896" s="41"/>
      <c r="C896" s="41"/>
      <c r="D896" s="41"/>
      <c r="E896" s="41"/>
      <c r="F896" s="41"/>
      <c r="G896" s="41"/>
      <c r="H896" s="41"/>
      <c r="I896" s="41"/>
      <c r="J896" s="41"/>
      <c r="K896" s="41"/>
      <c r="L896" s="41"/>
      <c r="M896" s="41"/>
      <c r="N896" s="41"/>
      <c r="O896" s="41"/>
      <c r="P896" s="41"/>
      <c r="Q896" s="41"/>
      <c r="R896" s="41"/>
      <c r="S896" s="41"/>
      <c r="T896" s="41"/>
      <c r="U896" s="41"/>
      <c r="V896" s="41"/>
      <c r="W896" s="41"/>
      <c r="X896" s="41"/>
      <c r="Y896" s="41"/>
      <c r="Z896" s="41"/>
      <c r="AA896" s="41"/>
      <c r="AB896" s="41"/>
      <c r="AC896" s="41"/>
      <c r="AD896" s="41"/>
      <c r="AE896" s="41"/>
      <c r="AF896" s="41"/>
      <c r="AG896" s="41"/>
      <c r="AH896" s="41"/>
      <c r="AI896" s="41"/>
    </row>
    <row r="897" spans="1:35" ht="15.75" customHeight="1" x14ac:dyDescent="0.2">
      <c r="A897" s="41"/>
      <c r="B897" s="41"/>
      <c r="C897" s="41"/>
      <c r="D897" s="41"/>
      <c r="E897" s="41"/>
      <c r="F897" s="41"/>
      <c r="G897" s="41"/>
      <c r="H897" s="41"/>
      <c r="I897" s="41"/>
      <c r="J897" s="41"/>
      <c r="K897" s="41"/>
      <c r="L897" s="41"/>
      <c r="M897" s="41"/>
      <c r="N897" s="41"/>
      <c r="O897" s="41"/>
      <c r="P897" s="41"/>
      <c r="Q897" s="41"/>
      <c r="R897" s="41"/>
      <c r="S897" s="41"/>
      <c r="T897" s="41"/>
      <c r="U897" s="41"/>
      <c r="V897" s="41"/>
      <c r="W897" s="41"/>
      <c r="X897" s="41"/>
      <c r="Y897" s="41"/>
      <c r="Z897" s="41"/>
      <c r="AA897" s="41"/>
      <c r="AB897" s="41"/>
      <c r="AC897" s="41"/>
      <c r="AD897" s="41"/>
      <c r="AE897" s="41"/>
      <c r="AF897" s="41"/>
      <c r="AG897" s="41"/>
      <c r="AH897" s="41"/>
      <c r="AI897" s="41"/>
    </row>
    <row r="898" spans="1:35" ht="15.75" customHeight="1" x14ac:dyDescent="0.2">
      <c r="A898" s="41"/>
      <c r="B898" s="41"/>
      <c r="C898" s="41"/>
      <c r="D898" s="41"/>
      <c r="E898" s="41"/>
      <c r="F898" s="41"/>
      <c r="G898" s="41"/>
      <c r="H898" s="41"/>
      <c r="I898" s="41"/>
      <c r="J898" s="41"/>
      <c r="K898" s="41"/>
      <c r="L898" s="41"/>
      <c r="M898" s="41"/>
      <c r="N898" s="41"/>
      <c r="O898" s="41"/>
      <c r="P898" s="41"/>
      <c r="Q898" s="41"/>
      <c r="R898" s="41"/>
      <c r="S898" s="41"/>
      <c r="T898" s="41"/>
      <c r="U898" s="41"/>
      <c r="V898" s="41"/>
      <c r="W898" s="41"/>
      <c r="X898" s="41"/>
      <c r="Y898" s="41"/>
      <c r="Z898" s="41"/>
      <c r="AA898" s="41"/>
      <c r="AB898" s="41"/>
      <c r="AC898" s="41"/>
      <c r="AD898" s="41"/>
      <c r="AE898" s="41"/>
      <c r="AF898" s="41"/>
      <c r="AG898" s="41"/>
      <c r="AH898" s="41"/>
      <c r="AI898" s="41"/>
    </row>
    <row r="899" spans="1:35" ht="15.75" customHeight="1" x14ac:dyDescent="0.2">
      <c r="A899" s="41"/>
      <c r="B899" s="41"/>
      <c r="C899" s="41"/>
      <c r="D899" s="41"/>
      <c r="E899" s="41"/>
      <c r="F899" s="41"/>
      <c r="G899" s="41"/>
      <c r="H899" s="41"/>
      <c r="I899" s="41"/>
      <c r="J899" s="41"/>
      <c r="K899" s="41"/>
      <c r="L899" s="41"/>
      <c r="M899" s="41"/>
      <c r="N899" s="41"/>
      <c r="O899" s="41"/>
      <c r="P899" s="41"/>
      <c r="Q899" s="41"/>
      <c r="R899" s="41"/>
      <c r="S899" s="41"/>
      <c r="T899" s="41"/>
      <c r="U899" s="41"/>
      <c r="V899" s="41"/>
      <c r="W899" s="41"/>
      <c r="X899" s="41"/>
      <c r="Y899" s="41"/>
      <c r="Z899" s="41"/>
      <c r="AA899" s="41"/>
      <c r="AB899" s="41"/>
      <c r="AC899" s="41"/>
      <c r="AD899" s="41"/>
      <c r="AE899" s="41"/>
      <c r="AF899" s="41"/>
      <c r="AG899" s="41"/>
      <c r="AH899" s="41"/>
      <c r="AI899" s="41"/>
    </row>
    <row r="900" spans="1:35" ht="15.75" customHeight="1" x14ac:dyDescent="0.2">
      <c r="A900" s="41"/>
      <c r="B900" s="41"/>
      <c r="C900" s="41"/>
      <c r="D900" s="41"/>
      <c r="E900" s="41"/>
      <c r="F900" s="41"/>
      <c r="G900" s="41"/>
      <c r="H900" s="41"/>
      <c r="I900" s="41"/>
      <c r="J900" s="41"/>
      <c r="K900" s="41"/>
      <c r="L900" s="41"/>
      <c r="M900" s="41"/>
      <c r="N900" s="41"/>
      <c r="O900" s="41"/>
      <c r="P900" s="41"/>
      <c r="Q900" s="41"/>
      <c r="R900" s="41"/>
      <c r="S900" s="41"/>
      <c r="T900" s="41"/>
      <c r="U900" s="41"/>
      <c r="V900" s="41"/>
      <c r="W900" s="41"/>
      <c r="X900" s="41"/>
      <c r="Y900" s="41"/>
      <c r="Z900" s="41"/>
      <c r="AA900" s="41"/>
      <c r="AB900" s="41"/>
      <c r="AC900" s="41"/>
      <c r="AD900" s="41"/>
      <c r="AE900" s="41"/>
      <c r="AF900" s="41"/>
      <c r="AG900" s="41"/>
      <c r="AH900" s="41"/>
      <c r="AI900" s="41"/>
    </row>
    <row r="901" spans="1:35" ht="15.75" customHeight="1" x14ac:dyDescent="0.2">
      <c r="A901" s="41"/>
      <c r="B901" s="41"/>
      <c r="C901" s="41"/>
      <c r="D901" s="41"/>
      <c r="E901" s="41"/>
      <c r="F901" s="41"/>
      <c r="G901" s="41"/>
      <c r="H901" s="41"/>
      <c r="I901" s="41"/>
      <c r="J901" s="41"/>
      <c r="K901" s="41"/>
      <c r="L901" s="41"/>
      <c r="M901" s="41"/>
      <c r="N901" s="41"/>
      <c r="O901" s="41"/>
      <c r="P901" s="41"/>
      <c r="Q901" s="41"/>
      <c r="R901" s="41"/>
      <c r="S901" s="41"/>
      <c r="T901" s="41"/>
      <c r="U901" s="41"/>
      <c r="V901" s="41"/>
      <c r="W901" s="41"/>
      <c r="X901" s="41"/>
      <c r="Y901" s="41"/>
      <c r="Z901" s="41"/>
      <c r="AA901" s="41"/>
      <c r="AB901" s="41"/>
      <c r="AC901" s="41"/>
      <c r="AD901" s="41"/>
      <c r="AE901" s="41"/>
      <c r="AF901" s="41"/>
      <c r="AG901" s="41"/>
      <c r="AH901" s="41"/>
      <c r="AI901" s="41"/>
    </row>
    <row r="902" spans="1:35" ht="15.75" customHeight="1" x14ac:dyDescent="0.2">
      <c r="A902" s="41"/>
      <c r="B902" s="41"/>
      <c r="C902" s="41"/>
      <c r="D902" s="41"/>
      <c r="E902" s="41"/>
      <c r="F902" s="41"/>
      <c r="G902" s="41"/>
      <c r="H902" s="41"/>
      <c r="I902" s="41"/>
      <c r="J902" s="41"/>
      <c r="K902" s="41"/>
      <c r="L902" s="41"/>
      <c r="M902" s="41"/>
      <c r="N902" s="41"/>
      <c r="O902" s="41"/>
      <c r="P902" s="41"/>
      <c r="Q902" s="41"/>
      <c r="R902" s="41"/>
      <c r="S902" s="41"/>
      <c r="T902" s="41"/>
      <c r="U902" s="41"/>
      <c r="V902" s="41"/>
      <c r="W902" s="41"/>
      <c r="X902" s="41"/>
      <c r="Y902" s="41"/>
      <c r="Z902" s="41"/>
      <c r="AA902" s="41"/>
      <c r="AB902" s="41"/>
      <c r="AC902" s="41"/>
      <c r="AD902" s="41"/>
      <c r="AE902" s="41"/>
      <c r="AF902" s="41"/>
      <c r="AG902" s="41"/>
      <c r="AH902" s="41"/>
      <c r="AI902" s="41"/>
    </row>
    <row r="903" spans="1:35" ht="15.75" customHeight="1" x14ac:dyDescent="0.2">
      <c r="A903" s="41"/>
      <c r="B903" s="41"/>
      <c r="C903" s="41"/>
      <c r="D903" s="41"/>
      <c r="E903" s="41"/>
      <c r="F903" s="41"/>
      <c r="G903" s="41"/>
      <c r="H903" s="41"/>
      <c r="I903" s="41"/>
      <c r="J903" s="41"/>
      <c r="K903" s="41"/>
      <c r="L903" s="41"/>
      <c r="M903" s="41"/>
      <c r="N903" s="41"/>
      <c r="O903" s="41"/>
      <c r="P903" s="41"/>
      <c r="Q903" s="41"/>
      <c r="R903" s="41"/>
      <c r="S903" s="41"/>
      <c r="T903" s="41"/>
      <c r="U903" s="41"/>
      <c r="V903" s="41"/>
      <c r="W903" s="41"/>
      <c r="X903" s="41"/>
      <c r="Y903" s="41"/>
      <c r="Z903" s="41"/>
      <c r="AA903" s="41"/>
      <c r="AB903" s="41"/>
      <c r="AC903" s="41"/>
      <c r="AD903" s="41"/>
      <c r="AE903" s="41"/>
      <c r="AF903" s="41"/>
      <c r="AG903" s="41"/>
      <c r="AH903" s="41"/>
      <c r="AI903" s="41"/>
    </row>
    <row r="904" spans="1:35" ht="15.75" customHeight="1" x14ac:dyDescent="0.2">
      <c r="A904" s="41"/>
      <c r="B904" s="41"/>
      <c r="C904" s="41"/>
      <c r="D904" s="41"/>
      <c r="E904" s="41"/>
      <c r="F904" s="41"/>
      <c r="G904" s="41"/>
      <c r="H904" s="41"/>
      <c r="I904" s="41"/>
      <c r="J904" s="41"/>
      <c r="K904" s="41"/>
      <c r="L904" s="41"/>
      <c r="M904" s="41"/>
      <c r="N904" s="41"/>
      <c r="O904" s="41"/>
      <c r="P904" s="41"/>
      <c r="Q904" s="41"/>
      <c r="R904" s="41"/>
      <c r="S904" s="41"/>
      <c r="T904" s="41"/>
      <c r="U904" s="41"/>
      <c r="V904" s="41"/>
      <c r="W904" s="41"/>
      <c r="X904" s="41"/>
      <c r="Y904" s="41"/>
      <c r="Z904" s="41"/>
      <c r="AA904" s="41"/>
      <c r="AB904" s="41"/>
      <c r="AC904" s="41"/>
      <c r="AD904" s="41"/>
      <c r="AE904" s="41"/>
      <c r="AF904" s="41"/>
      <c r="AG904" s="41"/>
      <c r="AH904" s="41"/>
      <c r="AI904" s="41"/>
    </row>
    <row r="905" spans="1:35" ht="15.75" customHeight="1" x14ac:dyDescent="0.2">
      <c r="A905" s="41"/>
      <c r="B905" s="41"/>
      <c r="C905" s="41"/>
      <c r="D905" s="41"/>
      <c r="E905" s="41"/>
      <c r="F905" s="41"/>
      <c r="G905" s="41"/>
      <c r="H905" s="41"/>
      <c r="I905" s="41"/>
      <c r="J905" s="41"/>
      <c r="K905" s="41"/>
      <c r="L905" s="41"/>
      <c r="M905" s="41"/>
      <c r="N905" s="41"/>
      <c r="O905" s="41"/>
      <c r="P905" s="41"/>
      <c r="Q905" s="41"/>
      <c r="R905" s="41"/>
      <c r="S905" s="41"/>
      <c r="T905" s="41"/>
      <c r="U905" s="41"/>
      <c r="V905" s="41"/>
      <c r="W905" s="41"/>
      <c r="X905" s="41"/>
      <c r="Y905" s="41"/>
      <c r="Z905" s="41"/>
      <c r="AA905" s="41"/>
      <c r="AB905" s="41"/>
      <c r="AC905" s="41"/>
      <c r="AD905" s="41"/>
      <c r="AE905" s="41"/>
      <c r="AF905" s="41"/>
      <c r="AG905" s="41"/>
      <c r="AH905" s="41"/>
      <c r="AI905" s="41"/>
    </row>
    <row r="906" spans="1:35" ht="15.75" customHeight="1" x14ac:dyDescent="0.2">
      <c r="A906" s="41"/>
      <c r="B906" s="41"/>
      <c r="C906" s="41"/>
      <c r="D906" s="41"/>
      <c r="E906" s="41"/>
      <c r="F906" s="41"/>
      <c r="G906" s="41"/>
      <c r="H906" s="41"/>
      <c r="I906" s="41"/>
      <c r="J906" s="41"/>
      <c r="K906" s="41"/>
      <c r="L906" s="41"/>
      <c r="M906" s="41"/>
      <c r="N906" s="41"/>
      <c r="O906" s="41"/>
      <c r="P906" s="41"/>
      <c r="Q906" s="41"/>
      <c r="R906" s="41"/>
      <c r="S906" s="41"/>
      <c r="T906" s="41"/>
      <c r="U906" s="41"/>
      <c r="V906" s="41"/>
      <c r="W906" s="41"/>
      <c r="X906" s="41"/>
      <c r="Y906" s="41"/>
      <c r="Z906" s="41"/>
      <c r="AA906" s="41"/>
      <c r="AB906" s="41"/>
      <c r="AC906" s="41"/>
      <c r="AD906" s="41"/>
      <c r="AE906" s="41"/>
      <c r="AF906" s="41"/>
      <c r="AG906" s="41"/>
      <c r="AH906" s="41"/>
      <c r="AI906" s="41"/>
    </row>
    <row r="907" spans="1:35" ht="15.75" customHeight="1" x14ac:dyDescent="0.2">
      <c r="A907" s="41"/>
      <c r="B907" s="41"/>
      <c r="C907" s="41"/>
      <c r="D907" s="41"/>
      <c r="E907" s="41"/>
      <c r="F907" s="41"/>
      <c r="G907" s="41"/>
      <c r="H907" s="41"/>
      <c r="I907" s="41"/>
      <c r="J907" s="41"/>
      <c r="K907" s="41"/>
      <c r="L907" s="41"/>
      <c r="M907" s="41"/>
      <c r="N907" s="41"/>
      <c r="O907" s="41"/>
      <c r="P907" s="41"/>
      <c r="Q907" s="41"/>
      <c r="R907" s="41"/>
      <c r="S907" s="41"/>
      <c r="T907" s="41"/>
      <c r="U907" s="41"/>
      <c r="V907" s="41"/>
      <c r="W907" s="41"/>
      <c r="X907" s="41"/>
      <c r="Y907" s="41"/>
      <c r="Z907" s="41"/>
      <c r="AA907" s="41"/>
      <c r="AB907" s="41"/>
      <c r="AC907" s="41"/>
      <c r="AD907" s="41"/>
      <c r="AE907" s="41"/>
      <c r="AF907" s="41"/>
      <c r="AG907" s="41"/>
      <c r="AH907" s="41"/>
      <c r="AI907" s="41"/>
    </row>
    <row r="908" spans="1:35" ht="15.75" customHeight="1" x14ac:dyDescent="0.2">
      <c r="A908" s="41"/>
      <c r="B908" s="41"/>
      <c r="C908" s="41"/>
      <c r="D908" s="41"/>
      <c r="E908" s="41"/>
      <c r="F908" s="41"/>
      <c r="G908" s="41"/>
      <c r="H908" s="41"/>
      <c r="I908" s="41"/>
      <c r="J908" s="41"/>
      <c r="K908" s="41"/>
      <c r="L908" s="41"/>
      <c r="M908" s="41"/>
      <c r="N908" s="41"/>
      <c r="O908" s="41"/>
      <c r="P908" s="41"/>
      <c r="Q908" s="41"/>
      <c r="R908" s="41"/>
      <c r="S908" s="41"/>
      <c r="T908" s="41"/>
      <c r="U908" s="41"/>
      <c r="V908" s="41"/>
      <c r="W908" s="41"/>
      <c r="X908" s="41"/>
      <c r="Y908" s="41"/>
      <c r="Z908" s="41"/>
      <c r="AA908" s="41"/>
      <c r="AB908" s="41"/>
      <c r="AC908" s="41"/>
      <c r="AD908" s="41"/>
      <c r="AE908" s="41"/>
      <c r="AF908" s="41"/>
      <c r="AG908" s="41"/>
      <c r="AH908" s="41"/>
      <c r="AI908" s="41"/>
    </row>
    <row r="909" spans="1:35" ht="15.75" customHeight="1" x14ac:dyDescent="0.2">
      <c r="A909" s="41"/>
      <c r="B909" s="41"/>
      <c r="C909" s="41"/>
      <c r="D909" s="41"/>
      <c r="E909" s="41"/>
      <c r="F909" s="41"/>
      <c r="G909" s="41"/>
      <c r="H909" s="41"/>
      <c r="I909" s="41"/>
      <c r="J909" s="41"/>
      <c r="K909" s="41"/>
      <c r="L909" s="41"/>
      <c r="M909" s="41"/>
      <c r="N909" s="41"/>
      <c r="O909" s="41"/>
      <c r="P909" s="41"/>
      <c r="Q909" s="41"/>
      <c r="R909" s="41"/>
      <c r="S909" s="41"/>
      <c r="T909" s="41"/>
      <c r="U909" s="41"/>
      <c r="V909" s="41"/>
      <c r="W909" s="41"/>
      <c r="X909" s="41"/>
      <c r="Y909" s="41"/>
      <c r="Z909" s="41"/>
      <c r="AA909" s="41"/>
      <c r="AB909" s="41"/>
      <c r="AC909" s="41"/>
      <c r="AD909" s="41"/>
      <c r="AE909" s="41"/>
      <c r="AF909" s="41"/>
      <c r="AG909" s="41"/>
      <c r="AH909" s="41"/>
      <c r="AI909" s="41"/>
    </row>
    <row r="910" spans="1:35" ht="15.75" customHeight="1" x14ac:dyDescent="0.2">
      <c r="A910" s="41"/>
      <c r="B910" s="41"/>
      <c r="C910" s="41"/>
      <c r="D910" s="41"/>
      <c r="E910" s="41"/>
      <c r="F910" s="41"/>
      <c r="G910" s="41"/>
      <c r="H910" s="41"/>
      <c r="I910" s="41"/>
      <c r="J910" s="41"/>
      <c r="K910" s="41"/>
      <c r="L910" s="41"/>
      <c r="M910" s="41"/>
      <c r="N910" s="41"/>
      <c r="O910" s="41"/>
      <c r="P910" s="41"/>
      <c r="Q910" s="41"/>
      <c r="R910" s="41"/>
      <c r="S910" s="41"/>
      <c r="T910" s="41"/>
      <c r="U910" s="41"/>
      <c r="V910" s="41"/>
      <c r="W910" s="41"/>
      <c r="X910" s="41"/>
      <c r="Y910" s="41"/>
      <c r="Z910" s="41"/>
      <c r="AA910" s="41"/>
      <c r="AB910" s="41"/>
      <c r="AC910" s="41"/>
      <c r="AD910" s="41"/>
      <c r="AE910" s="41"/>
      <c r="AF910" s="41"/>
      <c r="AG910" s="41"/>
      <c r="AH910" s="41"/>
      <c r="AI910" s="41"/>
    </row>
    <row r="911" spans="1:35" ht="15.75" customHeight="1" x14ac:dyDescent="0.2">
      <c r="A911" s="41"/>
      <c r="B911" s="41"/>
      <c r="C911" s="41"/>
      <c r="D911" s="41"/>
      <c r="E911" s="41"/>
      <c r="F911" s="41"/>
      <c r="G911" s="41"/>
      <c r="H911" s="41"/>
      <c r="I911" s="41"/>
      <c r="J911" s="41"/>
      <c r="K911" s="41"/>
      <c r="L911" s="41"/>
      <c r="M911" s="41"/>
      <c r="N911" s="41"/>
      <c r="O911" s="41"/>
      <c r="P911" s="41"/>
      <c r="Q911" s="41"/>
      <c r="R911" s="41"/>
      <c r="S911" s="41"/>
      <c r="T911" s="41"/>
      <c r="U911" s="41"/>
      <c r="V911" s="41"/>
      <c r="W911" s="41"/>
      <c r="X911" s="41"/>
      <c r="Y911" s="41"/>
      <c r="Z911" s="41"/>
      <c r="AA911" s="41"/>
      <c r="AB911" s="41"/>
      <c r="AC911" s="41"/>
      <c r="AD911" s="41"/>
      <c r="AE911" s="41"/>
      <c r="AF911" s="41"/>
      <c r="AG911" s="41"/>
      <c r="AH911" s="41"/>
      <c r="AI911" s="41"/>
    </row>
    <row r="912" spans="1:35" ht="15.75" customHeight="1" x14ac:dyDescent="0.2">
      <c r="A912" s="41"/>
      <c r="B912" s="41"/>
      <c r="C912" s="41"/>
      <c r="D912" s="41"/>
      <c r="E912" s="41"/>
      <c r="F912" s="41"/>
      <c r="G912" s="41"/>
      <c r="H912" s="41"/>
      <c r="I912" s="41"/>
      <c r="J912" s="41"/>
      <c r="K912" s="41"/>
      <c r="L912" s="41"/>
      <c r="M912" s="41"/>
      <c r="N912" s="41"/>
      <c r="O912" s="41"/>
      <c r="P912" s="41"/>
      <c r="Q912" s="41"/>
      <c r="R912" s="41"/>
      <c r="S912" s="41"/>
      <c r="T912" s="41"/>
      <c r="U912" s="41"/>
      <c r="V912" s="41"/>
      <c r="W912" s="41"/>
      <c r="X912" s="41"/>
      <c r="Y912" s="41"/>
      <c r="Z912" s="41"/>
      <c r="AA912" s="41"/>
      <c r="AB912" s="41"/>
      <c r="AC912" s="41"/>
      <c r="AD912" s="41"/>
      <c r="AE912" s="41"/>
      <c r="AF912" s="41"/>
      <c r="AG912" s="41"/>
      <c r="AH912" s="41"/>
      <c r="AI912" s="41"/>
    </row>
    <row r="913" spans="1:35" ht="15.75" customHeight="1" x14ac:dyDescent="0.2">
      <c r="A913" s="41"/>
      <c r="B913" s="41"/>
      <c r="C913" s="41"/>
      <c r="D913" s="41"/>
      <c r="E913" s="41"/>
      <c r="F913" s="41"/>
      <c r="G913" s="41"/>
      <c r="H913" s="41"/>
      <c r="I913" s="41"/>
      <c r="J913" s="41"/>
      <c r="K913" s="41"/>
      <c r="L913" s="41"/>
      <c r="M913" s="41"/>
      <c r="N913" s="41"/>
      <c r="O913" s="41"/>
      <c r="P913" s="41"/>
      <c r="Q913" s="41"/>
      <c r="R913" s="41"/>
      <c r="S913" s="41"/>
      <c r="T913" s="41"/>
      <c r="U913" s="41"/>
      <c r="V913" s="41"/>
      <c r="W913" s="41"/>
      <c r="X913" s="41"/>
      <c r="Y913" s="41"/>
      <c r="Z913" s="41"/>
      <c r="AA913" s="41"/>
      <c r="AB913" s="41"/>
      <c r="AC913" s="41"/>
      <c r="AD913" s="41"/>
      <c r="AE913" s="41"/>
      <c r="AF913" s="41"/>
      <c r="AG913" s="41"/>
      <c r="AH913" s="41"/>
      <c r="AI913" s="41"/>
    </row>
    <row r="914" spans="1:35" ht="15.75" customHeight="1" x14ac:dyDescent="0.2">
      <c r="A914" s="41"/>
      <c r="B914" s="41"/>
      <c r="C914" s="41"/>
      <c r="D914" s="41"/>
      <c r="E914" s="41"/>
      <c r="F914" s="41"/>
      <c r="G914" s="41"/>
      <c r="H914" s="41"/>
      <c r="I914" s="41"/>
      <c r="J914" s="41"/>
      <c r="K914" s="41"/>
      <c r="L914" s="41"/>
      <c r="M914" s="41"/>
      <c r="N914" s="41"/>
      <c r="O914" s="41"/>
      <c r="P914" s="41"/>
      <c r="Q914" s="41"/>
      <c r="R914" s="41"/>
      <c r="S914" s="41"/>
      <c r="T914" s="41"/>
      <c r="U914" s="41"/>
      <c r="V914" s="41"/>
      <c r="W914" s="41"/>
      <c r="X914" s="41"/>
      <c r="Y914" s="41"/>
      <c r="Z914" s="41"/>
      <c r="AA914" s="41"/>
      <c r="AB914" s="41"/>
      <c r="AC914" s="41"/>
      <c r="AD914" s="41"/>
      <c r="AE914" s="41"/>
      <c r="AF914" s="41"/>
      <c r="AG914" s="41"/>
      <c r="AH914" s="41"/>
      <c r="AI914" s="41"/>
    </row>
    <row r="915" spans="1:35" ht="15.75" customHeight="1" x14ac:dyDescent="0.2">
      <c r="A915" s="41"/>
      <c r="B915" s="41"/>
      <c r="C915" s="41"/>
      <c r="D915" s="41"/>
      <c r="E915" s="41"/>
      <c r="F915" s="41"/>
      <c r="G915" s="41"/>
      <c r="H915" s="41"/>
      <c r="I915" s="41"/>
      <c r="J915" s="41"/>
      <c r="K915" s="41"/>
      <c r="L915" s="41"/>
      <c r="M915" s="41"/>
      <c r="N915" s="41"/>
      <c r="O915" s="41"/>
      <c r="P915" s="41"/>
      <c r="Q915" s="41"/>
      <c r="R915" s="41"/>
      <c r="S915" s="41"/>
      <c r="T915" s="41"/>
      <c r="U915" s="41"/>
      <c r="V915" s="41"/>
      <c r="W915" s="41"/>
      <c r="X915" s="41"/>
      <c r="Y915" s="41"/>
      <c r="Z915" s="41"/>
      <c r="AA915" s="41"/>
      <c r="AB915" s="41"/>
      <c r="AC915" s="41"/>
      <c r="AD915" s="41"/>
      <c r="AE915" s="41"/>
      <c r="AF915" s="41"/>
      <c r="AG915" s="41"/>
      <c r="AH915" s="41"/>
      <c r="AI915" s="41"/>
    </row>
    <row r="916" spans="1:35" ht="15.75" customHeight="1" x14ac:dyDescent="0.2">
      <c r="A916" s="41"/>
      <c r="B916" s="41"/>
      <c r="C916" s="41"/>
      <c r="D916" s="41"/>
      <c r="E916" s="41"/>
      <c r="F916" s="41"/>
      <c r="G916" s="41"/>
      <c r="H916" s="41"/>
      <c r="I916" s="41"/>
      <c r="J916" s="41"/>
      <c r="K916" s="41"/>
      <c r="L916" s="41"/>
      <c r="M916" s="41"/>
      <c r="N916" s="41"/>
      <c r="O916" s="41"/>
      <c r="P916" s="41"/>
      <c r="Q916" s="41"/>
      <c r="R916" s="41"/>
      <c r="S916" s="41"/>
      <c r="T916" s="41"/>
      <c r="U916" s="41"/>
      <c r="V916" s="41"/>
      <c r="W916" s="41"/>
      <c r="X916" s="41"/>
      <c r="Y916" s="41"/>
      <c r="Z916" s="41"/>
      <c r="AA916" s="41"/>
      <c r="AB916" s="41"/>
      <c r="AC916" s="41"/>
      <c r="AD916" s="41"/>
      <c r="AE916" s="41"/>
      <c r="AF916" s="41"/>
      <c r="AG916" s="41"/>
      <c r="AH916" s="41"/>
      <c r="AI916" s="41"/>
    </row>
    <row r="917" spans="1:35" ht="15.75" customHeight="1" x14ac:dyDescent="0.2">
      <c r="A917" s="41"/>
      <c r="B917" s="41"/>
      <c r="C917" s="41"/>
      <c r="D917" s="41"/>
      <c r="E917" s="41"/>
      <c r="F917" s="41"/>
      <c r="G917" s="41"/>
      <c r="H917" s="41"/>
      <c r="I917" s="41"/>
      <c r="J917" s="41"/>
      <c r="K917" s="41"/>
      <c r="L917" s="41"/>
      <c r="M917" s="41"/>
      <c r="N917" s="41"/>
      <c r="O917" s="41"/>
      <c r="P917" s="41"/>
      <c r="Q917" s="41"/>
      <c r="R917" s="41"/>
      <c r="S917" s="41"/>
      <c r="T917" s="41"/>
      <c r="U917" s="41"/>
      <c r="V917" s="41"/>
      <c r="W917" s="41"/>
      <c r="X917" s="41"/>
      <c r="Y917" s="41"/>
      <c r="Z917" s="41"/>
      <c r="AA917" s="41"/>
      <c r="AB917" s="41"/>
      <c r="AC917" s="41"/>
      <c r="AD917" s="41"/>
      <c r="AE917" s="41"/>
      <c r="AF917" s="41"/>
      <c r="AG917" s="41"/>
      <c r="AH917" s="41"/>
      <c r="AI917" s="41"/>
    </row>
    <row r="918" spans="1:35" ht="15.75" customHeight="1" x14ac:dyDescent="0.2">
      <c r="A918" s="41"/>
      <c r="B918" s="41"/>
      <c r="C918" s="41"/>
      <c r="D918" s="41"/>
      <c r="E918" s="41"/>
      <c r="F918" s="41"/>
      <c r="G918" s="41"/>
      <c r="H918" s="41"/>
      <c r="I918" s="41"/>
      <c r="J918" s="41"/>
      <c r="K918" s="41"/>
      <c r="L918" s="41"/>
      <c r="M918" s="41"/>
      <c r="N918" s="41"/>
      <c r="O918" s="41"/>
      <c r="P918" s="41"/>
      <c r="Q918" s="41"/>
      <c r="R918" s="41"/>
      <c r="S918" s="41"/>
      <c r="T918" s="41"/>
      <c r="U918" s="41"/>
      <c r="V918" s="41"/>
      <c r="W918" s="41"/>
      <c r="X918" s="41"/>
      <c r="Y918" s="41"/>
      <c r="Z918" s="41"/>
      <c r="AA918" s="41"/>
      <c r="AB918" s="41"/>
      <c r="AC918" s="41"/>
      <c r="AD918" s="41"/>
      <c r="AE918" s="41"/>
      <c r="AF918" s="41"/>
      <c r="AG918" s="41"/>
      <c r="AH918" s="41"/>
      <c r="AI918" s="41"/>
    </row>
    <row r="919" spans="1:35" ht="15.75" customHeight="1" x14ac:dyDescent="0.2">
      <c r="A919" s="41"/>
      <c r="B919" s="41"/>
      <c r="C919" s="41"/>
      <c r="D919" s="41"/>
      <c r="E919" s="41"/>
      <c r="F919" s="41"/>
      <c r="G919" s="41"/>
      <c r="H919" s="41"/>
      <c r="I919" s="41"/>
      <c r="J919" s="41"/>
      <c r="K919" s="41"/>
      <c r="L919" s="41"/>
      <c r="M919" s="41"/>
      <c r="N919" s="41"/>
      <c r="O919" s="41"/>
      <c r="P919" s="41"/>
      <c r="Q919" s="41"/>
      <c r="R919" s="41"/>
      <c r="S919" s="41"/>
      <c r="T919" s="41"/>
      <c r="U919" s="41"/>
      <c r="V919" s="41"/>
      <c r="W919" s="41"/>
      <c r="X919" s="41"/>
      <c r="Y919" s="41"/>
      <c r="Z919" s="41"/>
      <c r="AA919" s="41"/>
      <c r="AB919" s="41"/>
      <c r="AC919" s="41"/>
      <c r="AD919" s="41"/>
      <c r="AE919" s="41"/>
      <c r="AF919" s="41"/>
      <c r="AG919" s="41"/>
      <c r="AH919" s="41"/>
      <c r="AI919" s="41"/>
    </row>
    <row r="920" spans="1:35" ht="15.75" customHeight="1" x14ac:dyDescent="0.2">
      <c r="A920" s="41"/>
      <c r="B920" s="41"/>
      <c r="C920" s="41"/>
      <c r="D920" s="41"/>
      <c r="E920" s="41"/>
      <c r="F920" s="41"/>
      <c r="G920" s="41"/>
      <c r="H920" s="41"/>
      <c r="I920" s="41"/>
      <c r="J920" s="41"/>
      <c r="K920" s="41"/>
      <c r="L920" s="41"/>
      <c r="M920" s="41"/>
      <c r="N920" s="41"/>
      <c r="O920" s="41"/>
      <c r="P920" s="41"/>
      <c r="Q920" s="41"/>
      <c r="R920" s="41"/>
      <c r="S920" s="41"/>
      <c r="T920" s="41"/>
      <c r="U920" s="41"/>
      <c r="V920" s="41"/>
      <c r="W920" s="41"/>
      <c r="X920" s="41"/>
      <c r="Y920" s="41"/>
      <c r="Z920" s="41"/>
      <c r="AA920" s="41"/>
      <c r="AB920" s="41"/>
      <c r="AC920" s="41"/>
      <c r="AD920" s="41"/>
      <c r="AE920" s="41"/>
      <c r="AF920" s="41"/>
      <c r="AG920" s="41"/>
      <c r="AH920" s="41"/>
      <c r="AI920" s="41"/>
    </row>
    <row r="921" spans="1:35" ht="15.75" customHeight="1" x14ac:dyDescent="0.2">
      <c r="A921" s="41"/>
      <c r="B921" s="41"/>
      <c r="C921" s="41"/>
      <c r="D921" s="41"/>
      <c r="E921" s="41"/>
      <c r="F921" s="41"/>
      <c r="G921" s="41"/>
      <c r="H921" s="41"/>
      <c r="I921" s="41"/>
      <c r="J921" s="41"/>
      <c r="K921" s="41"/>
      <c r="L921" s="41"/>
      <c r="M921" s="41"/>
      <c r="N921" s="41"/>
      <c r="O921" s="41"/>
      <c r="P921" s="41"/>
      <c r="Q921" s="41"/>
      <c r="R921" s="41"/>
      <c r="S921" s="41"/>
      <c r="T921" s="41"/>
      <c r="U921" s="41"/>
      <c r="V921" s="41"/>
      <c r="W921" s="41"/>
      <c r="X921" s="41"/>
      <c r="Y921" s="41"/>
      <c r="Z921" s="41"/>
      <c r="AA921" s="41"/>
      <c r="AB921" s="41"/>
      <c r="AC921" s="41"/>
      <c r="AD921" s="41"/>
      <c r="AE921" s="41"/>
      <c r="AF921" s="41"/>
      <c r="AG921" s="41"/>
      <c r="AH921" s="41"/>
      <c r="AI921" s="41"/>
    </row>
    <row r="922" spans="1:35" ht="15.75" customHeight="1" x14ac:dyDescent="0.2">
      <c r="A922" s="41"/>
      <c r="B922" s="41"/>
      <c r="C922" s="41"/>
      <c r="D922" s="41"/>
      <c r="E922" s="41"/>
      <c r="F922" s="41"/>
      <c r="G922" s="41"/>
      <c r="H922" s="41"/>
      <c r="I922" s="41"/>
      <c r="J922" s="41"/>
      <c r="K922" s="41"/>
      <c r="L922" s="41"/>
      <c r="M922" s="41"/>
      <c r="N922" s="41"/>
      <c r="O922" s="41"/>
      <c r="P922" s="41"/>
      <c r="Q922" s="41"/>
      <c r="R922" s="41"/>
      <c r="S922" s="41"/>
      <c r="T922" s="41"/>
      <c r="U922" s="41"/>
      <c r="V922" s="41"/>
      <c r="W922" s="41"/>
      <c r="X922" s="41"/>
      <c r="Y922" s="41"/>
      <c r="Z922" s="41"/>
      <c r="AA922" s="41"/>
      <c r="AB922" s="41"/>
      <c r="AC922" s="41"/>
      <c r="AD922" s="41"/>
      <c r="AE922" s="41"/>
      <c r="AF922" s="41"/>
      <c r="AG922" s="41"/>
      <c r="AH922" s="41"/>
      <c r="AI922" s="41"/>
    </row>
    <row r="923" spans="1:35" ht="15.75" customHeight="1" x14ac:dyDescent="0.2">
      <c r="A923" s="41"/>
      <c r="B923" s="41"/>
      <c r="C923" s="41"/>
      <c r="D923" s="41"/>
      <c r="E923" s="41"/>
      <c r="F923" s="41"/>
      <c r="G923" s="41"/>
      <c r="H923" s="41"/>
      <c r="I923" s="41"/>
      <c r="J923" s="41"/>
      <c r="K923" s="41"/>
      <c r="L923" s="41"/>
      <c r="M923" s="41"/>
      <c r="N923" s="41"/>
      <c r="O923" s="41"/>
      <c r="P923" s="41"/>
      <c r="Q923" s="41"/>
      <c r="R923" s="41"/>
      <c r="S923" s="41"/>
      <c r="T923" s="41"/>
      <c r="U923" s="41"/>
      <c r="V923" s="41"/>
      <c r="W923" s="41"/>
      <c r="X923" s="41"/>
      <c r="Y923" s="41"/>
      <c r="Z923" s="41"/>
      <c r="AA923" s="41"/>
      <c r="AB923" s="41"/>
      <c r="AC923" s="41"/>
      <c r="AD923" s="41"/>
      <c r="AE923" s="41"/>
      <c r="AF923" s="41"/>
      <c r="AG923" s="41"/>
      <c r="AH923" s="41"/>
      <c r="AI923" s="41"/>
    </row>
    <row r="924" spans="1:35" ht="15.75" customHeight="1" x14ac:dyDescent="0.2">
      <c r="A924" s="41"/>
      <c r="B924" s="41"/>
      <c r="C924" s="41"/>
      <c r="D924" s="41"/>
      <c r="E924" s="41"/>
      <c r="F924" s="41"/>
      <c r="G924" s="41"/>
      <c r="H924" s="41"/>
      <c r="I924" s="41"/>
      <c r="J924" s="41"/>
      <c r="K924" s="41"/>
      <c r="L924" s="41"/>
      <c r="M924" s="41"/>
      <c r="N924" s="41"/>
      <c r="O924" s="41"/>
      <c r="P924" s="41"/>
      <c r="Q924" s="41"/>
      <c r="R924" s="41"/>
      <c r="S924" s="41"/>
      <c r="T924" s="41"/>
      <c r="U924" s="41"/>
      <c r="V924" s="41"/>
      <c r="W924" s="41"/>
      <c r="X924" s="41"/>
      <c r="Y924" s="41"/>
      <c r="Z924" s="41"/>
      <c r="AA924" s="41"/>
      <c r="AB924" s="41"/>
      <c r="AC924" s="41"/>
      <c r="AD924" s="41"/>
      <c r="AE924" s="41"/>
      <c r="AF924" s="41"/>
      <c r="AG924" s="41"/>
      <c r="AH924" s="41"/>
      <c r="AI924" s="41"/>
    </row>
    <row r="925" spans="1:35" ht="15.75" customHeight="1" x14ac:dyDescent="0.2">
      <c r="A925" s="41"/>
      <c r="B925" s="41"/>
      <c r="C925" s="41"/>
      <c r="D925" s="41"/>
      <c r="E925" s="41"/>
      <c r="F925" s="41"/>
      <c r="G925" s="41"/>
      <c r="H925" s="41"/>
      <c r="I925" s="41"/>
      <c r="J925" s="41"/>
      <c r="K925" s="41"/>
      <c r="L925" s="41"/>
      <c r="M925" s="41"/>
      <c r="N925" s="41"/>
      <c r="O925" s="41"/>
      <c r="P925" s="41"/>
      <c r="Q925" s="41"/>
      <c r="R925" s="41"/>
      <c r="S925" s="41"/>
      <c r="T925" s="41"/>
      <c r="U925" s="41"/>
      <c r="V925" s="41"/>
      <c r="W925" s="41"/>
      <c r="X925" s="41"/>
      <c r="Y925" s="41"/>
      <c r="Z925" s="41"/>
      <c r="AA925" s="41"/>
      <c r="AB925" s="41"/>
      <c r="AC925" s="41"/>
      <c r="AD925" s="41"/>
      <c r="AE925" s="41"/>
      <c r="AF925" s="41"/>
      <c r="AG925" s="41"/>
      <c r="AH925" s="41"/>
      <c r="AI925" s="41"/>
    </row>
    <row r="926" spans="1:35" ht="15.75" customHeight="1" x14ac:dyDescent="0.2">
      <c r="A926" s="41"/>
      <c r="B926" s="41"/>
      <c r="C926" s="41"/>
      <c r="D926" s="41"/>
      <c r="E926" s="41"/>
      <c r="F926" s="41"/>
      <c r="G926" s="41"/>
      <c r="H926" s="41"/>
      <c r="I926" s="41"/>
      <c r="J926" s="41"/>
      <c r="K926" s="41"/>
      <c r="L926" s="41"/>
      <c r="M926" s="41"/>
      <c r="N926" s="41"/>
      <c r="O926" s="41"/>
      <c r="P926" s="41"/>
      <c r="Q926" s="41"/>
      <c r="R926" s="41"/>
      <c r="S926" s="41"/>
      <c r="T926" s="41"/>
      <c r="U926" s="41"/>
      <c r="V926" s="41"/>
      <c r="W926" s="41"/>
      <c r="X926" s="41"/>
      <c r="Y926" s="41"/>
      <c r="Z926" s="41"/>
      <c r="AA926" s="41"/>
      <c r="AB926" s="41"/>
      <c r="AC926" s="41"/>
      <c r="AD926" s="41"/>
      <c r="AE926" s="41"/>
      <c r="AF926" s="41"/>
      <c r="AG926" s="41"/>
      <c r="AH926" s="41"/>
      <c r="AI926" s="41"/>
    </row>
    <row r="927" spans="1:35" ht="15.75" customHeight="1" x14ac:dyDescent="0.2">
      <c r="A927" s="41"/>
      <c r="B927" s="41"/>
      <c r="C927" s="41"/>
      <c r="D927" s="41"/>
      <c r="E927" s="41"/>
      <c r="F927" s="41"/>
      <c r="G927" s="41"/>
      <c r="H927" s="41"/>
      <c r="I927" s="41"/>
      <c r="J927" s="41"/>
      <c r="K927" s="41"/>
      <c r="L927" s="41"/>
      <c r="M927" s="41"/>
      <c r="N927" s="41"/>
      <c r="O927" s="41"/>
      <c r="P927" s="41"/>
      <c r="Q927" s="41"/>
      <c r="R927" s="41"/>
      <c r="S927" s="41"/>
      <c r="T927" s="41"/>
      <c r="U927" s="41"/>
      <c r="V927" s="41"/>
      <c r="W927" s="41"/>
      <c r="X927" s="41"/>
      <c r="Y927" s="41"/>
      <c r="Z927" s="41"/>
      <c r="AA927" s="41"/>
      <c r="AB927" s="41"/>
      <c r="AC927" s="41"/>
      <c r="AD927" s="41"/>
      <c r="AE927" s="41"/>
      <c r="AF927" s="41"/>
      <c r="AG927" s="41"/>
      <c r="AH927" s="41"/>
      <c r="AI927" s="41"/>
    </row>
    <row r="928" spans="1:35" ht="15.75" customHeight="1" x14ac:dyDescent="0.2">
      <c r="A928" s="41"/>
      <c r="B928" s="41"/>
      <c r="C928" s="41"/>
      <c r="D928" s="41"/>
      <c r="E928" s="41"/>
      <c r="F928" s="41"/>
      <c r="G928" s="41"/>
      <c r="H928" s="41"/>
      <c r="I928" s="41"/>
      <c r="J928" s="41"/>
      <c r="K928" s="41"/>
      <c r="L928" s="41"/>
      <c r="M928" s="41"/>
      <c r="N928" s="41"/>
      <c r="O928" s="41"/>
      <c r="P928" s="41"/>
      <c r="Q928" s="41"/>
      <c r="R928" s="41"/>
      <c r="S928" s="41"/>
      <c r="T928" s="41"/>
      <c r="U928" s="41"/>
      <c r="V928" s="41"/>
      <c r="W928" s="41"/>
      <c r="X928" s="41"/>
      <c r="Y928" s="41"/>
      <c r="Z928" s="41"/>
      <c r="AA928" s="41"/>
      <c r="AB928" s="41"/>
      <c r="AC928" s="41"/>
      <c r="AD928" s="41"/>
      <c r="AE928" s="41"/>
      <c r="AF928" s="41"/>
      <c r="AG928" s="41"/>
      <c r="AH928" s="41"/>
      <c r="AI928" s="41"/>
    </row>
    <row r="929" spans="1:35" ht="15.75" customHeight="1" x14ac:dyDescent="0.2">
      <c r="A929" s="41"/>
      <c r="B929" s="41"/>
      <c r="C929" s="41"/>
      <c r="D929" s="41"/>
      <c r="E929" s="41"/>
      <c r="F929" s="41"/>
      <c r="G929" s="41"/>
      <c r="H929" s="41"/>
      <c r="I929" s="41"/>
      <c r="J929" s="41"/>
      <c r="K929" s="41"/>
      <c r="L929" s="41"/>
      <c r="M929" s="41"/>
      <c r="N929" s="41"/>
      <c r="O929" s="41"/>
      <c r="P929" s="41"/>
      <c r="Q929" s="41"/>
      <c r="R929" s="41"/>
      <c r="S929" s="41"/>
      <c r="T929" s="41"/>
      <c r="U929" s="41"/>
      <c r="V929" s="41"/>
      <c r="W929" s="41"/>
      <c r="X929" s="41"/>
      <c r="Y929" s="41"/>
      <c r="Z929" s="41"/>
      <c r="AA929" s="41"/>
      <c r="AB929" s="41"/>
      <c r="AC929" s="41"/>
      <c r="AD929" s="41"/>
      <c r="AE929" s="41"/>
      <c r="AF929" s="41"/>
      <c r="AG929" s="41"/>
      <c r="AH929" s="41"/>
      <c r="AI929" s="41"/>
    </row>
    <row r="930" spans="1:35" ht="15.75" customHeight="1" x14ac:dyDescent="0.2">
      <c r="A930" s="41"/>
      <c r="B930" s="41"/>
      <c r="C930" s="41"/>
      <c r="D930" s="41"/>
      <c r="E930" s="41"/>
      <c r="F930" s="41"/>
      <c r="G930" s="41"/>
      <c r="H930" s="41"/>
      <c r="I930" s="41"/>
      <c r="J930" s="41"/>
      <c r="K930" s="41"/>
      <c r="L930" s="41"/>
      <c r="M930" s="41"/>
      <c r="N930" s="41"/>
      <c r="O930" s="41"/>
      <c r="P930" s="41"/>
      <c r="Q930" s="41"/>
      <c r="R930" s="41"/>
      <c r="S930" s="41"/>
      <c r="T930" s="41"/>
      <c r="U930" s="41"/>
      <c r="V930" s="41"/>
      <c r="W930" s="41"/>
      <c r="X930" s="41"/>
      <c r="Y930" s="41"/>
      <c r="Z930" s="41"/>
      <c r="AA930" s="41"/>
      <c r="AB930" s="41"/>
      <c r="AC930" s="41"/>
      <c r="AD930" s="41"/>
      <c r="AE930" s="41"/>
      <c r="AF930" s="41"/>
      <c r="AG930" s="41"/>
      <c r="AH930" s="41"/>
      <c r="AI930" s="41"/>
    </row>
    <row r="931" spans="1:35" ht="15.75" customHeight="1" x14ac:dyDescent="0.2">
      <c r="A931" s="41"/>
      <c r="B931" s="41"/>
      <c r="C931" s="41"/>
      <c r="D931" s="41"/>
      <c r="E931" s="41"/>
      <c r="F931" s="41"/>
      <c r="G931" s="41"/>
      <c r="H931" s="41"/>
      <c r="I931" s="41"/>
      <c r="J931" s="41"/>
      <c r="K931" s="41"/>
      <c r="L931" s="41"/>
      <c r="M931" s="41"/>
      <c r="N931" s="41"/>
      <c r="O931" s="41"/>
      <c r="P931" s="41"/>
      <c r="Q931" s="41"/>
      <c r="R931" s="41"/>
      <c r="S931" s="41"/>
      <c r="T931" s="41"/>
      <c r="U931" s="41"/>
      <c r="V931" s="41"/>
      <c r="W931" s="41"/>
      <c r="X931" s="41"/>
      <c r="Y931" s="41"/>
      <c r="Z931" s="41"/>
      <c r="AA931" s="41"/>
      <c r="AB931" s="41"/>
      <c r="AC931" s="41"/>
      <c r="AD931" s="41"/>
      <c r="AE931" s="41"/>
      <c r="AF931" s="41"/>
      <c r="AG931" s="41"/>
      <c r="AH931" s="41"/>
      <c r="AI931" s="41"/>
    </row>
    <row r="932" spans="1:35" ht="15.75" customHeight="1" x14ac:dyDescent="0.2">
      <c r="A932" s="41"/>
      <c r="B932" s="41"/>
      <c r="C932" s="41"/>
      <c r="D932" s="41"/>
      <c r="E932" s="41"/>
      <c r="F932" s="41"/>
      <c r="G932" s="41"/>
      <c r="H932" s="41"/>
      <c r="I932" s="41"/>
      <c r="J932" s="41"/>
      <c r="K932" s="41"/>
      <c r="L932" s="41"/>
      <c r="M932" s="41"/>
      <c r="N932" s="41"/>
      <c r="O932" s="41"/>
      <c r="P932" s="41"/>
      <c r="Q932" s="41"/>
      <c r="R932" s="41"/>
      <c r="S932" s="41"/>
      <c r="T932" s="41"/>
      <c r="U932" s="41"/>
      <c r="V932" s="41"/>
      <c r="W932" s="41"/>
      <c r="X932" s="41"/>
      <c r="Y932" s="41"/>
      <c r="Z932" s="41"/>
      <c r="AA932" s="41"/>
      <c r="AB932" s="41"/>
      <c r="AC932" s="41"/>
      <c r="AD932" s="41"/>
      <c r="AE932" s="41"/>
      <c r="AF932" s="41"/>
      <c r="AG932" s="41"/>
      <c r="AH932" s="41"/>
      <c r="AI932" s="41"/>
    </row>
    <row r="933" spans="1:35" ht="15.75" customHeight="1" x14ac:dyDescent="0.2">
      <c r="A933" s="41"/>
      <c r="B933" s="41"/>
      <c r="C933" s="41"/>
      <c r="D933" s="41"/>
      <c r="E933" s="41"/>
      <c r="F933" s="41"/>
      <c r="G933" s="41"/>
      <c r="H933" s="41"/>
      <c r="I933" s="41"/>
      <c r="J933" s="41"/>
      <c r="K933" s="41"/>
      <c r="L933" s="41"/>
      <c r="M933" s="41"/>
      <c r="N933" s="41"/>
      <c r="O933" s="41"/>
      <c r="P933" s="41"/>
      <c r="Q933" s="41"/>
      <c r="R933" s="41"/>
      <c r="S933" s="41"/>
      <c r="T933" s="41"/>
      <c r="U933" s="41"/>
      <c r="V933" s="41"/>
      <c r="W933" s="41"/>
      <c r="X933" s="41"/>
      <c r="Y933" s="41"/>
      <c r="Z933" s="41"/>
      <c r="AA933" s="41"/>
      <c r="AB933" s="41"/>
      <c r="AC933" s="41"/>
      <c r="AD933" s="41"/>
      <c r="AE933" s="41"/>
      <c r="AF933" s="41"/>
      <c r="AG933" s="41"/>
      <c r="AH933" s="41"/>
      <c r="AI933" s="41"/>
    </row>
    <row r="934" spans="1:35" ht="15.75" customHeight="1" x14ac:dyDescent="0.2">
      <c r="A934" s="41"/>
      <c r="B934" s="41"/>
      <c r="C934" s="41"/>
      <c r="D934" s="41"/>
      <c r="E934" s="41"/>
      <c r="F934" s="41"/>
      <c r="G934" s="41"/>
      <c r="H934" s="41"/>
      <c r="I934" s="41"/>
      <c r="J934" s="41"/>
      <c r="K934" s="41"/>
      <c r="L934" s="41"/>
      <c r="M934" s="41"/>
      <c r="N934" s="41"/>
      <c r="O934" s="41"/>
      <c r="P934" s="41"/>
      <c r="Q934" s="41"/>
      <c r="R934" s="41"/>
      <c r="S934" s="41"/>
      <c r="T934" s="41"/>
      <c r="U934" s="41"/>
      <c r="V934" s="41"/>
      <c r="W934" s="41"/>
      <c r="X934" s="41"/>
      <c r="Y934" s="41"/>
      <c r="Z934" s="41"/>
      <c r="AA934" s="41"/>
      <c r="AB934" s="41"/>
      <c r="AC934" s="41"/>
      <c r="AD934" s="41"/>
      <c r="AE934" s="41"/>
      <c r="AF934" s="41"/>
      <c r="AG934" s="41"/>
      <c r="AH934" s="41"/>
      <c r="AI934" s="41"/>
    </row>
    <row r="935" spans="1:35" ht="15.75" customHeight="1" x14ac:dyDescent="0.2">
      <c r="A935" s="41"/>
      <c r="B935" s="41"/>
      <c r="C935" s="41"/>
      <c r="D935" s="41"/>
      <c r="E935" s="41"/>
      <c r="F935" s="41"/>
      <c r="G935" s="41"/>
      <c r="H935" s="41"/>
      <c r="I935" s="41"/>
      <c r="J935" s="41"/>
      <c r="K935" s="41"/>
      <c r="L935" s="41"/>
      <c r="M935" s="41"/>
      <c r="N935" s="41"/>
      <c r="O935" s="41"/>
      <c r="P935" s="41"/>
      <c r="Q935" s="41"/>
      <c r="R935" s="41"/>
      <c r="S935" s="41"/>
      <c r="T935" s="41"/>
      <c r="U935" s="41"/>
      <c r="V935" s="41"/>
      <c r="W935" s="41"/>
      <c r="X935" s="41"/>
      <c r="Y935" s="41"/>
      <c r="Z935" s="41"/>
      <c r="AA935" s="41"/>
      <c r="AB935" s="41"/>
      <c r="AC935" s="41"/>
      <c r="AD935" s="41"/>
      <c r="AE935" s="41"/>
      <c r="AF935" s="41"/>
      <c r="AG935" s="41"/>
      <c r="AH935" s="41"/>
      <c r="AI935" s="41"/>
    </row>
    <row r="936" spans="1:35" ht="15.75" customHeight="1" x14ac:dyDescent="0.2">
      <c r="A936" s="41"/>
      <c r="B936" s="41"/>
      <c r="C936" s="41"/>
      <c r="D936" s="41"/>
      <c r="E936" s="41"/>
      <c r="F936" s="41"/>
      <c r="G936" s="41"/>
      <c r="H936" s="41"/>
      <c r="I936" s="41"/>
      <c r="J936" s="41"/>
      <c r="K936" s="41"/>
      <c r="L936" s="41"/>
      <c r="M936" s="41"/>
      <c r="N936" s="41"/>
      <c r="O936" s="41"/>
      <c r="P936" s="41"/>
      <c r="Q936" s="41"/>
      <c r="R936" s="41"/>
      <c r="S936" s="41"/>
      <c r="T936" s="41"/>
      <c r="U936" s="41"/>
      <c r="V936" s="41"/>
      <c r="W936" s="41"/>
      <c r="X936" s="41"/>
      <c r="Y936" s="41"/>
      <c r="Z936" s="41"/>
      <c r="AA936" s="41"/>
      <c r="AB936" s="41"/>
      <c r="AC936" s="41"/>
      <c r="AD936" s="41"/>
      <c r="AE936" s="41"/>
      <c r="AF936" s="41"/>
      <c r="AG936" s="41"/>
      <c r="AH936" s="41"/>
      <c r="AI936" s="41"/>
    </row>
    <row r="937" spans="1:35" ht="15.75" customHeight="1" x14ac:dyDescent="0.2">
      <c r="A937" s="41"/>
      <c r="B937" s="41"/>
      <c r="C937" s="41"/>
      <c r="D937" s="41"/>
      <c r="E937" s="41"/>
      <c r="F937" s="41"/>
      <c r="G937" s="41"/>
      <c r="H937" s="41"/>
      <c r="I937" s="41"/>
      <c r="J937" s="41"/>
      <c r="K937" s="41"/>
      <c r="L937" s="41"/>
      <c r="M937" s="41"/>
      <c r="N937" s="41"/>
      <c r="O937" s="41"/>
      <c r="P937" s="41"/>
      <c r="Q937" s="41"/>
      <c r="R937" s="41"/>
      <c r="S937" s="41"/>
      <c r="T937" s="41"/>
      <c r="U937" s="41"/>
      <c r="V937" s="41"/>
      <c r="W937" s="41"/>
      <c r="X937" s="41"/>
      <c r="Y937" s="41"/>
      <c r="Z937" s="41"/>
      <c r="AA937" s="41"/>
      <c r="AB937" s="41"/>
      <c r="AC937" s="41"/>
      <c r="AD937" s="41"/>
      <c r="AE937" s="41"/>
      <c r="AF937" s="41"/>
      <c r="AG937" s="41"/>
      <c r="AH937" s="41"/>
      <c r="AI937" s="41"/>
    </row>
    <row r="938" spans="1:35" ht="15.75" customHeight="1" x14ac:dyDescent="0.2">
      <c r="A938" s="41"/>
      <c r="B938" s="41"/>
      <c r="C938" s="41"/>
      <c r="D938" s="41"/>
      <c r="E938" s="41"/>
      <c r="F938" s="41"/>
      <c r="G938" s="41"/>
      <c r="H938" s="41"/>
      <c r="I938" s="41"/>
      <c r="J938" s="41"/>
      <c r="K938" s="41"/>
      <c r="L938" s="41"/>
      <c r="M938" s="41"/>
      <c r="N938" s="41"/>
      <c r="O938" s="41"/>
      <c r="P938" s="41"/>
      <c r="Q938" s="41"/>
      <c r="R938" s="41"/>
      <c r="S938" s="41"/>
      <c r="T938" s="41"/>
      <c r="U938" s="41"/>
      <c r="V938" s="41"/>
      <c r="W938" s="41"/>
      <c r="X938" s="41"/>
      <c r="Y938" s="41"/>
      <c r="Z938" s="41"/>
      <c r="AA938" s="41"/>
      <c r="AB938" s="41"/>
      <c r="AC938" s="41"/>
      <c r="AD938" s="41"/>
      <c r="AE938" s="41"/>
      <c r="AF938" s="41"/>
      <c r="AG938" s="41"/>
      <c r="AH938" s="41"/>
      <c r="AI938" s="41"/>
    </row>
    <row r="939" spans="1:35" ht="15.75" customHeight="1" x14ac:dyDescent="0.2">
      <c r="A939" s="41"/>
      <c r="B939" s="41"/>
      <c r="C939" s="41"/>
      <c r="D939" s="41"/>
      <c r="E939" s="41"/>
      <c r="F939" s="41"/>
      <c r="G939" s="41"/>
      <c r="H939" s="41"/>
      <c r="I939" s="41"/>
      <c r="J939" s="41"/>
      <c r="K939" s="41"/>
      <c r="L939" s="41"/>
      <c r="M939" s="41"/>
      <c r="N939" s="41"/>
      <c r="O939" s="41"/>
      <c r="P939" s="41"/>
      <c r="Q939" s="41"/>
      <c r="R939" s="41"/>
      <c r="S939" s="41"/>
      <c r="T939" s="41"/>
      <c r="U939" s="41"/>
      <c r="V939" s="41"/>
      <c r="W939" s="41"/>
      <c r="X939" s="41"/>
      <c r="Y939" s="41"/>
      <c r="Z939" s="41"/>
      <c r="AA939" s="41"/>
      <c r="AB939" s="41"/>
      <c r="AC939" s="41"/>
      <c r="AD939" s="41"/>
      <c r="AE939" s="41"/>
      <c r="AF939" s="41"/>
      <c r="AG939" s="41"/>
      <c r="AH939" s="41"/>
      <c r="AI939" s="41"/>
    </row>
    <row r="940" spans="1:35" ht="15.75" customHeight="1" x14ac:dyDescent="0.2">
      <c r="A940" s="41"/>
      <c r="B940" s="41"/>
      <c r="C940" s="41"/>
      <c r="D940" s="41"/>
      <c r="E940" s="41"/>
      <c r="F940" s="41"/>
      <c r="G940" s="41"/>
      <c r="H940" s="41"/>
      <c r="I940" s="41"/>
      <c r="J940" s="41"/>
      <c r="K940" s="41"/>
      <c r="L940" s="41"/>
      <c r="M940" s="41"/>
      <c r="N940" s="41"/>
      <c r="O940" s="41"/>
      <c r="P940" s="41"/>
      <c r="Q940" s="41"/>
      <c r="R940" s="41"/>
      <c r="S940" s="41"/>
      <c r="T940" s="41"/>
      <c r="U940" s="41"/>
      <c r="V940" s="41"/>
      <c r="W940" s="41"/>
      <c r="X940" s="41"/>
      <c r="Y940" s="41"/>
      <c r="Z940" s="41"/>
      <c r="AA940" s="41"/>
      <c r="AB940" s="41"/>
      <c r="AC940" s="41"/>
      <c r="AD940" s="41"/>
      <c r="AE940" s="41"/>
      <c r="AF940" s="41"/>
      <c r="AG940" s="41"/>
      <c r="AH940" s="41"/>
      <c r="AI940" s="41"/>
    </row>
    <row r="941" spans="1:35" ht="15.75" customHeight="1" x14ac:dyDescent="0.2">
      <c r="A941" s="41"/>
      <c r="B941" s="41"/>
      <c r="C941" s="41"/>
      <c r="D941" s="41"/>
      <c r="E941" s="41"/>
      <c r="F941" s="41"/>
      <c r="G941" s="41"/>
      <c r="H941" s="41"/>
      <c r="I941" s="41"/>
      <c r="J941" s="41"/>
      <c r="K941" s="41"/>
      <c r="L941" s="41"/>
      <c r="M941" s="41"/>
      <c r="N941" s="41"/>
      <c r="O941" s="41"/>
      <c r="P941" s="41"/>
      <c r="Q941" s="41"/>
      <c r="R941" s="41"/>
      <c r="S941" s="41"/>
      <c r="T941" s="41"/>
      <c r="U941" s="41"/>
      <c r="V941" s="41"/>
      <c r="W941" s="41"/>
      <c r="X941" s="41"/>
      <c r="Y941" s="41"/>
      <c r="Z941" s="41"/>
      <c r="AA941" s="41"/>
      <c r="AB941" s="41"/>
      <c r="AC941" s="41"/>
      <c r="AD941" s="41"/>
      <c r="AE941" s="41"/>
      <c r="AF941" s="41"/>
      <c r="AG941" s="41"/>
      <c r="AH941" s="41"/>
      <c r="AI941" s="41"/>
    </row>
    <row r="942" spans="1:35" ht="15.75" customHeight="1" x14ac:dyDescent="0.2">
      <c r="A942" s="41"/>
      <c r="B942" s="41"/>
      <c r="C942" s="41"/>
      <c r="D942" s="41"/>
      <c r="E942" s="41"/>
      <c r="F942" s="41"/>
      <c r="G942" s="41"/>
      <c r="H942" s="41"/>
      <c r="I942" s="41"/>
      <c r="J942" s="41"/>
      <c r="K942" s="41"/>
      <c r="L942" s="41"/>
      <c r="M942" s="41"/>
      <c r="N942" s="41"/>
      <c r="O942" s="41"/>
      <c r="P942" s="41"/>
      <c r="Q942" s="41"/>
      <c r="R942" s="41"/>
      <c r="S942" s="41"/>
      <c r="T942" s="41"/>
      <c r="U942" s="41"/>
      <c r="V942" s="41"/>
      <c r="W942" s="41"/>
      <c r="X942" s="41"/>
      <c r="Y942" s="41"/>
      <c r="Z942" s="41"/>
      <c r="AA942" s="41"/>
      <c r="AB942" s="41"/>
      <c r="AC942" s="41"/>
      <c r="AD942" s="41"/>
      <c r="AE942" s="41"/>
      <c r="AF942" s="41"/>
      <c r="AG942" s="41"/>
      <c r="AH942" s="41"/>
      <c r="AI942" s="41"/>
    </row>
    <row r="943" spans="1:35" ht="15.75" customHeight="1" x14ac:dyDescent="0.2">
      <c r="A943" s="41"/>
      <c r="B943" s="41"/>
      <c r="C943" s="41"/>
      <c r="D943" s="41"/>
      <c r="E943" s="41"/>
      <c r="F943" s="41"/>
      <c r="G943" s="41"/>
      <c r="H943" s="41"/>
      <c r="I943" s="41"/>
      <c r="J943" s="41"/>
      <c r="K943" s="41"/>
      <c r="L943" s="41"/>
      <c r="M943" s="41"/>
      <c r="N943" s="41"/>
      <c r="O943" s="41"/>
      <c r="P943" s="41"/>
      <c r="Q943" s="41"/>
      <c r="R943" s="41"/>
      <c r="S943" s="41"/>
      <c r="T943" s="41"/>
      <c r="U943" s="41"/>
      <c r="V943" s="41"/>
      <c r="W943" s="41"/>
      <c r="X943" s="41"/>
      <c r="Y943" s="41"/>
      <c r="Z943" s="41"/>
      <c r="AA943" s="41"/>
      <c r="AB943" s="41"/>
      <c r="AC943" s="41"/>
      <c r="AD943" s="41"/>
      <c r="AE943" s="41"/>
      <c r="AF943" s="41"/>
      <c r="AG943" s="41"/>
      <c r="AH943" s="41"/>
      <c r="AI943" s="41"/>
    </row>
    <row r="944" spans="1:35" ht="15.75" customHeight="1" x14ac:dyDescent="0.2">
      <c r="A944" s="41"/>
      <c r="B944" s="41"/>
      <c r="C944" s="41"/>
      <c r="D944" s="41"/>
      <c r="E944" s="41"/>
      <c r="F944" s="41"/>
      <c r="G944" s="41"/>
      <c r="H944" s="41"/>
      <c r="I944" s="41"/>
      <c r="J944" s="41"/>
      <c r="K944" s="41"/>
      <c r="L944" s="41"/>
      <c r="M944" s="41"/>
      <c r="N944" s="41"/>
      <c r="O944" s="41"/>
      <c r="P944" s="41"/>
      <c r="Q944" s="41"/>
      <c r="R944" s="41"/>
      <c r="S944" s="41"/>
      <c r="T944" s="41"/>
      <c r="U944" s="41"/>
      <c r="V944" s="41"/>
      <c r="W944" s="41"/>
      <c r="X944" s="41"/>
      <c r="Y944" s="41"/>
      <c r="Z944" s="41"/>
      <c r="AA944" s="41"/>
      <c r="AB944" s="41"/>
      <c r="AC944" s="41"/>
      <c r="AD944" s="41"/>
      <c r="AE944" s="41"/>
      <c r="AF944" s="41"/>
      <c r="AG944" s="41"/>
      <c r="AH944" s="41"/>
      <c r="AI944" s="41"/>
    </row>
    <row r="945" spans="1:35" ht="15.75" customHeight="1" x14ac:dyDescent="0.2">
      <c r="A945" s="41"/>
      <c r="B945" s="41"/>
      <c r="C945" s="41"/>
      <c r="D945" s="41"/>
      <c r="E945" s="41"/>
      <c r="F945" s="41"/>
      <c r="G945" s="41"/>
      <c r="H945" s="41"/>
      <c r="I945" s="41"/>
      <c r="J945" s="41"/>
      <c r="K945" s="41"/>
      <c r="L945" s="41"/>
      <c r="M945" s="41"/>
      <c r="N945" s="41"/>
      <c r="O945" s="41"/>
      <c r="P945" s="41"/>
      <c r="Q945" s="41"/>
      <c r="R945" s="41"/>
      <c r="S945" s="41"/>
      <c r="T945" s="41"/>
      <c r="U945" s="41"/>
      <c r="V945" s="41"/>
      <c r="W945" s="41"/>
      <c r="X945" s="41"/>
      <c r="Y945" s="41"/>
      <c r="Z945" s="41"/>
      <c r="AA945" s="41"/>
      <c r="AB945" s="41"/>
      <c r="AC945" s="41"/>
      <c r="AD945" s="41"/>
      <c r="AE945" s="41"/>
      <c r="AF945" s="41"/>
      <c r="AG945" s="41"/>
      <c r="AH945" s="41"/>
      <c r="AI945" s="41"/>
    </row>
    <row r="946" spans="1:35" ht="15.75" customHeight="1" x14ac:dyDescent="0.2">
      <c r="A946" s="41"/>
      <c r="B946" s="41"/>
      <c r="C946" s="41"/>
      <c r="D946" s="41"/>
      <c r="E946" s="41"/>
      <c r="F946" s="41"/>
      <c r="G946" s="41"/>
      <c r="H946" s="41"/>
      <c r="I946" s="41"/>
      <c r="J946" s="41"/>
      <c r="K946" s="41"/>
      <c r="L946" s="41"/>
      <c r="M946" s="41"/>
      <c r="N946" s="41"/>
      <c r="O946" s="41"/>
      <c r="P946" s="41"/>
      <c r="Q946" s="41"/>
      <c r="R946" s="41"/>
      <c r="S946" s="41"/>
      <c r="T946" s="41"/>
      <c r="U946" s="41"/>
      <c r="V946" s="41"/>
      <c r="W946" s="41"/>
      <c r="X946" s="41"/>
      <c r="Y946" s="41"/>
      <c r="Z946" s="41"/>
      <c r="AA946" s="41"/>
      <c r="AB946" s="41"/>
      <c r="AC946" s="41"/>
      <c r="AD946" s="41"/>
      <c r="AE946" s="41"/>
      <c r="AF946" s="41"/>
      <c r="AG946" s="41"/>
      <c r="AH946" s="41"/>
      <c r="AI946" s="41"/>
    </row>
    <row r="947" spans="1:35" ht="15.75" customHeight="1" x14ac:dyDescent="0.2">
      <c r="A947" s="41"/>
      <c r="B947" s="41"/>
      <c r="C947" s="41"/>
      <c r="D947" s="41"/>
      <c r="E947" s="41"/>
      <c r="F947" s="41"/>
      <c r="G947" s="41"/>
      <c r="H947" s="41"/>
      <c r="I947" s="41"/>
      <c r="J947" s="41"/>
      <c r="K947" s="41"/>
      <c r="L947" s="41"/>
      <c r="M947" s="41"/>
      <c r="N947" s="41"/>
      <c r="O947" s="41"/>
      <c r="P947" s="41"/>
      <c r="Q947" s="41"/>
      <c r="R947" s="41"/>
      <c r="S947" s="41"/>
      <c r="T947" s="41"/>
      <c r="U947" s="41"/>
      <c r="V947" s="41"/>
      <c r="W947" s="41"/>
      <c r="X947" s="41"/>
      <c r="Y947" s="41"/>
      <c r="Z947" s="41"/>
      <c r="AA947" s="41"/>
      <c r="AB947" s="41"/>
      <c r="AC947" s="41"/>
      <c r="AD947" s="41"/>
      <c r="AE947" s="41"/>
      <c r="AF947" s="41"/>
      <c r="AG947" s="41"/>
      <c r="AH947" s="41"/>
      <c r="AI947" s="41"/>
    </row>
    <row r="948" spans="1:35" ht="15.75" customHeight="1" x14ac:dyDescent="0.2">
      <c r="A948" s="41"/>
      <c r="B948" s="41"/>
      <c r="C948" s="41"/>
      <c r="D948" s="41"/>
      <c r="E948" s="41"/>
      <c r="F948" s="41"/>
      <c r="G948" s="41"/>
      <c r="H948" s="41"/>
      <c r="I948" s="41"/>
      <c r="J948" s="41"/>
      <c r="K948" s="41"/>
      <c r="L948" s="41"/>
      <c r="M948" s="41"/>
      <c r="N948" s="41"/>
      <c r="O948" s="41"/>
      <c r="P948" s="41"/>
      <c r="Q948" s="41"/>
      <c r="R948" s="41"/>
      <c r="S948" s="41"/>
      <c r="T948" s="41"/>
      <c r="U948" s="41"/>
      <c r="V948" s="41"/>
      <c r="W948" s="41"/>
      <c r="X948" s="41"/>
      <c r="Y948" s="41"/>
      <c r="Z948" s="41"/>
      <c r="AA948" s="41"/>
      <c r="AB948" s="41"/>
      <c r="AC948" s="41"/>
      <c r="AD948" s="41"/>
      <c r="AE948" s="41"/>
      <c r="AF948" s="41"/>
      <c r="AG948" s="41"/>
      <c r="AH948" s="41"/>
      <c r="AI948" s="41"/>
    </row>
    <row r="949" spans="1:35" ht="15.75" customHeight="1" x14ac:dyDescent="0.2">
      <c r="A949" s="41"/>
      <c r="B949" s="41"/>
      <c r="C949" s="41"/>
      <c r="D949" s="41"/>
      <c r="E949" s="41"/>
      <c r="F949" s="41"/>
      <c r="G949" s="41"/>
      <c r="H949" s="41"/>
      <c r="I949" s="41"/>
      <c r="J949" s="41"/>
      <c r="K949" s="41"/>
      <c r="L949" s="41"/>
      <c r="M949" s="41"/>
      <c r="N949" s="41"/>
      <c r="O949" s="41"/>
      <c r="P949" s="41"/>
      <c r="Q949" s="41"/>
      <c r="R949" s="41"/>
      <c r="S949" s="41"/>
      <c r="T949" s="41"/>
      <c r="U949" s="41"/>
      <c r="V949" s="41"/>
      <c r="W949" s="41"/>
      <c r="X949" s="41"/>
      <c r="Y949" s="41"/>
      <c r="Z949" s="41"/>
      <c r="AA949" s="41"/>
      <c r="AB949" s="41"/>
      <c r="AC949" s="41"/>
      <c r="AD949" s="41"/>
      <c r="AE949" s="41"/>
      <c r="AF949" s="41"/>
      <c r="AG949" s="41"/>
      <c r="AH949" s="41"/>
      <c r="AI949" s="41"/>
    </row>
    <row r="950" spans="1:35" ht="15.75" customHeight="1" x14ac:dyDescent="0.2">
      <c r="A950" s="41"/>
      <c r="B950" s="41"/>
      <c r="C950" s="41"/>
      <c r="D950" s="41"/>
      <c r="E950" s="41"/>
      <c r="F950" s="41"/>
      <c r="G950" s="41"/>
      <c r="H950" s="41"/>
      <c r="I950" s="41"/>
      <c r="J950" s="41"/>
      <c r="K950" s="41"/>
      <c r="L950" s="41"/>
      <c r="M950" s="41"/>
      <c r="N950" s="41"/>
      <c r="O950" s="41"/>
      <c r="P950" s="41"/>
      <c r="Q950" s="41"/>
      <c r="R950" s="41"/>
      <c r="S950" s="41"/>
      <c r="T950" s="41"/>
      <c r="U950" s="41"/>
      <c r="V950" s="41"/>
      <c r="W950" s="41"/>
      <c r="X950" s="41"/>
      <c r="Y950" s="41"/>
      <c r="Z950" s="41"/>
      <c r="AA950" s="41"/>
      <c r="AB950" s="41"/>
      <c r="AC950" s="41"/>
      <c r="AD950" s="41"/>
      <c r="AE950" s="41"/>
      <c r="AF950" s="41"/>
      <c r="AG950" s="41"/>
      <c r="AH950" s="41"/>
      <c r="AI950" s="41"/>
    </row>
    <row r="951" spans="1:35" ht="15.75" customHeight="1" x14ac:dyDescent="0.2">
      <c r="A951" s="41"/>
      <c r="B951" s="41"/>
      <c r="C951" s="41"/>
      <c r="D951" s="41"/>
      <c r="E951" s="41"/>
      <c r="F951" s="41"/>
      <c r="G951" s="41"/>
      <c r="H951" s="41"/>
      <c r="I951" s="41"/>
      <c r="J951" s="41"/>
      <c r="K951" s="41"/>
      <c r="L951" s="41"/>
      <c r="M951" s="41"/>
      <c r="N951" s="41"/>
      <c r="O951" s="41"/>
      <c r="P951" s="41"/>
      <c r="Q951" s="41"/>
      <c r="R951" s="41"/>
      <c r="S951" s="41"/>
      <c r="T951" s="41"/>
      <c r="U951" s="41"/>
      <c r="V951" s="41"/>
      <c r="W951" s="41"/>
      <c r="X951" s="41"/>
      <c r="Y951" s="41"/>
      <c r="Z951" s="41"/>
      <c r="AA951" s="41"/>
      <c r="AB951" s="41"/>
      <c r="AC951" s="41"/>
      <c r="AD951" s="41"/>
      <c r="AE951" s="41"/>
      <c r="AF951" s="41"/>
      <c r="AG951" s="41"/>
      <c r="AH951" s="41"/>
      <c r="AI951" s="41"/>
    </row>
    <row r="952" spans="1:35" ht="15.75" customHeight="1" x14ac:dyDescent="0.2">
      <c r="A952" s="41"/>
      <c r="B952" s="41"/>
      <c r="C952" s="41"/>
      <c r="D952" s="41"/>
      <c r="E952" s="41"/>
      <c r="F952" s="41"/>
      <c r="G952" s="41"/>
      <c r="H952" s="41"/>
      <c r="I952" s="41"/>
      <c r="J952" s="41"/>
      <c r="K952" s="41"/>
      <c r="L952" s="41"/>
      <c r="M952" s="41"/>
      <c r="N952" s="41"/>
      <c r="O952" s="41"/>
      <c r="P952" s="41"/>
      <c r="Q952" s="41"/>
      <c r="R952" s="41"/>
      <c r="S952" s="41"/>
      <c r="T952" s="41"/>
      <c r="U952" s="41"/>
      <c r="V952" s="41"/>
      <c r="W952" s="41"/>
      <c r="X952" s="41"/>
      <c r="Y952" s="41"/>
      <c r="Z952" s="41"/>
      <c r="AA952" s="41"/>
      <c r="AB952" s="41"/>
      <c r="AC952" s="41"/>
      <c r="AD952" s="41"/>
      <c r="AE952" s="41"/>
      <c r="AF952" s="41"/>
      <c r="AG952" s="41"/>
      <c r="AH952" s="41"/>
      <c r="AI952" s="41"/>
    </row>
    <row r="953" spans="1:35" ht="15.75" customHeight="1" x14ac:dyDescent="0.2">
      <c r="A953" s="41"/>
      <c r="B953" s="41"/>
      <c r="C953" s="41"/>
      <c r="D953" s="41"/>
      <c r="E953" s="41"/>
      <c r="F953" s="41"/>
      <c r="G953" s="41"/>
      <c r="H953" s="41"/>
      <c r="I953" s="41"/>
      <c r="J953" s="41"/>
      <c r="K953" s="41"/>
      <c r="L953" s="41"/>
      <c r="M953" s="41"/>
      <c r="N953" s="41"/>
      <c r="O953" s="41"/>
      <c r="P953" s="41"/>
      <c r="Q953" s="41"/>
      <c r="R953" s="41"/>
      <c r="S953" s="41"/>
      <c r="T953" s="41"/>
      <c r="U953" s="41"/>
      <c r="V953" s="41"/>
      <c r="W953" s="41"/>
      <c r="X953" s="41"/>
      <c r="Y953" s="41"/>
      <c r="Z953" s="41"/>
      <c r="AA953" s="41"/>
      <c r="AB953" s="41"/>
      <c r="AC953" s="41"/>
      <c r="AD953" s="41"/>
      <c r="AE953" s="41"/>
      <c r="AF953" s="41"/>
      <c r="AG953" s="41"/>
      <c r="AH953" s="41"/>
      <c r="AI953" s="41"/>
    </row>
    <row r="954" spans="1:35" ht="15.75" customHeight="1" x14ac:dyDescent="0.2">
      <c r="A954" s="41"/>
      <c r="B954" s="41"/>
      <c r="C954" s="41"/>
      <c r="D954" s="41"/>
      <c r="E954" s="41"/>
      <c r="F954" s="41"/>
      <c r="G954" s="41"/>
      <c r="H954" s="41"/>
      <c r="I954" s="41"/>
      <c r="J954" s="41"/>
      <c r="K954" s="41"/>
      <c r="L954" s="41"/>
      <c r="M954" s="41"/>
      <c r="N954" s="41"/>
      <c r="O954" s="41"/>
      <c r="P954" s="41"/>
      <c r="Q954" s="41"/>
      <c r="R954" s="41"/>
      <c r="S954" s="41"/>
      <c r="T954" s="41"/>
      <c r="U954" s="41"/>
      <c r="V954" s="41"/>
      <c r="W954" s="41"/>
      <c r="X954" s="41"/>
      <c r="Y954" s="41"/>
      <c r="Z954" s="41"/>
      <c r="AA954" s="41"/>
      <c r="AB954" s="41"/>
      <c r="AC954" s="41"/>
      <c r="AD954" s="41"/>
      <c r="AE954" s="41"/>
      <c r="AF954" s="41"/>
      <c r="AG954" s="41"/>
      <c r="AH954" s="41"/>
      <c r="AI954" s="41"/>
    </row>
    <row r="955" spans="1:35" ht="15.75" customHeight="1" x14ac:dyDescent="0.2">
      <c r="A955" s="41"/>
      <c r="B955" s="41"/>
      <c r="C955" s="41"/>
      <c r="D955" s="41"/>
      <c r="E955" s="41"/>
      <c r="F955" s="41"/>
      <c r="G955" s="41"/>
      <c r="H955" s="41"/>
      <c r="I955" s="41"/>
      <c r="J955" s="41"/>
      <c r="K955" s="41"/>
      <c r="L955" s="41"/>
      <c r="M955" s="41"/>
      <c r="N955" s="41"/>
      <c r="O955" s="41"/>
      <c r="P955" s="41"/>
      <c r="Q955" s="41"/>
      <c r="R955" s="41"/>
      <c r="S955" s="41"/>
      <c r="T955" s="41"/>
      <c r="U955" s="41"/>
      <c r="V955" s="41"/>
      <c r="W955" s="41"/>
      <c r="X955" s="41"/>
      <c r="Y955" s="41"/>
      <c r="Z955" s="41"/>
      <c r="AA955" s="41"/>
      <c r="AB955" s="41"/>
      <c r="AC955" s="41"/>
      <c r="AD955" s="41"/>
      <c r="AE955" s="41"/>
      <c r="AF955" s="41"/>
      <c r="AG955" s="41"/>
      <c r="AH955" s="41"/>
      <c r="AI955" s="41"/>
    </row>
    <row r="956" spans="1:35" ht="15.75" customHeight="1" x14ac:dyDescent="0.2">
      <c r="A956" s="41"/>
      <c r="B956" s="41"/>
      <c r="C956" s="41"/>
      <c r="D956" s="41"/>
      <c r="E956" s="41"/>
      <c r="F956" s="41"/>
      <c r="G956" s="41"/>
      <c r="H956" s="41"/>
      <c r="I956" s="41"/>
      <c r="J956" s="41"/>
      <c r="K956" s="41"/>
      <c r="L956" s="41"/>
      <c r="M956" s="41"/>
      <c r="N956" s="41"/>
      <c r="O956" s="41"/>
      <c r="P956" s="41"/>
      <c r="Q956" s="41"/>
      <c r="R956" s="41"/>
      <c r="S956" s="41"/>
      <c r="T956" s="41"/>
      <c r="U956" s="41"/>
      <c r="V956" s="41"/>
      <c r="W956" s="41"/>
      <c r="X956" s="41"/>
      <c r="Y956" s="41"/>
      <c r="Z956" s="41"/>
      <c r="AA956" s="41"/>
      <c r="AB956" s="41"/>
      <c r="AC956" s="41"/>
      <c r="AD956" s="41"/>
      <c r="AE956" s="41"/>
      <c r="AF956" s="41"/>
      <c r="AG956" s="41"/>
      <c r="AH956" s="41"/>
      <c r="AI956" s="41"/>
    </row>
    <row r="957" spans="1:35" ht="15.75" customHeight="1" x14ac:dyDescent="0.2">
      <c r="A957" s="41"/>
      <c r="B957" s="41"/>
      <c r="C957" s="41"/>
      <c r="D957" s="41"/>
      <c r="E957" s="41"/>
      <c r="F957" s="41"/>
      <c r="G957" s="41"/>
      <c r="H957" s="41"/>
      <c r="I957" s="41"/>
      <c r="J957" s="41"/>
      <c r="K957" s="41"/>
      <c r="L957" s="41"/>
      <c r="M957" s="41"/>
      <c r="N957" s="41"/>
      <c r="O957" s="41"/>
      <c r="P957" s="41"/>
      <c r="Q957" s="41"/>
      <c r="R957" s="41"/>
      <c r="S957" s="41"/>
      <c r="T957" s="41"/>
      <c r="U957" s="41"/>
      <c r="V957" s="41"/>
      <c r="W957" s="41"/>
      <c r="X957" s="41"/>
      <c r="Y957" s="41"/>
      <c r="Z957" s="41"/>
      <c r="AA957" s="41"/>
      <c r="AB957" s="41"/>
      <c r="AC957" s="41"/>
      <c r="AD957" s="41"/>
      <c r="AE957" s="41"/>
      <c r="AF957" s="41"/>
      <c r="AG957" s="41"/>
      <c r="AH957" s="41"/>
      <c r="AI957" s="41"/>
    </row>
    <row r="958" spans="1:35" ht="15.75" customHeight="1" x14ac:dyDescent="0.2">
      <c r="A958" s="41"/>
      <c r="B958" s="41"/>
      <c r="C958" s="41"/>
      <c r="D958" s="41"/>
      <c r="E958" s="41"/>
      <c r="F958" s="41"/>
      <c r="G958" s="41"/>
      <c r="H958" s="41"/>
      <c r="I958" s="41"/>
      <c r="J958" s="41"/>
      <c r="K958" s="41"/>
      <c r="L958" s="41"/>
      <c r="M958" s="41"/>
      <c r="N958" s="41"/>
      <c r="O958" s="41"/>
      <c r="P958" s="41"/>
      <c r="Q958" s="41"/>
      <c r="R958" s="41"/>
      <c r="S958" s="41"/>
      <c r="T958" s="41"/>
      <c r="U958" s="41"/>
      <c r="V958" s="41"/>
      <c r="W958" s="41"/>
      <c r="X958" s="41"/>
      <c r="Y958" s="41"/>
      <c r="Z958" s="41"/>
      <c r="AA958" s="41"/>
      <c r="AB958" s="41"/>
      <c r="AC958" s="41"/>
      <c r="AD958" s="41"/>
      <c r="AE958" s="41"/>
      <c r="AF958" s="41"/>
      <c r="AG958" s="41"/>
      <c r="AH958" s="41"/>
      <c r="AI958" s="41"/>
    </row>
    <row r="959" spans="1:35" ht="15.75" customHeight="1" x14ac:dyDescent="0.2">
      <c r="A959" s="41"/>
      <c r="B959" s="41"/>
      <c r="C959" s="41"/>
      <c r="D959" s="41"/>
      <c r="E959" s="41"/>
      <c r="F959" s="41"/>
      <c r="G959" s="41"/>
      <c r="H959" s="41"/>
      <c r="I959" s="41"/>
      <c r="J959" s="41"/>
      <c r="K959" s="41"/>
      <c r="L959" s="41"/>
      <c r="M959" s="41"/>
      <c r="N959" s="41"/>
      <c r="O959" s="41"/>
      <c r="P959" s="41"/>
      <c r="Q959" s="41"/>
      <c r="R959" s="41"/>
      <c r="S959" s="41"/>
      <c r="T959" s="41"/>
      <c r="U959" s="41"/>
      <c r="V959" s="41"/>
      <c r="W959" s="41"/>
      <c r="X959" s="41"/>
      <c r="Y959" s="41"/>
      <c r="Z959" s="41"/>
      <c r="AA959" s="41"/>
      <c r="AB959" s="41"/>
      <c r="AC959" s="41"/>
      <c r="AD959" s="41"/>
      <c r="AE959" s="41"/>
      <c r="AF959" s="41"/>
      <c r="AG959" s="41"/>
      <c r="AH959" s="41"/>
      <c r="AI959" s="41"/>
    </row>
    <row r="960" spans="1:35" ht="15.75" customHeight="1" x14ac:dyDescent="0.2">
      <c r="A960" s="41"/>
      <c r="B960" s="41"/>
      <c r="C960" s="41"/>
      <c r="D960" s="41"/>
      <c r="E960" s="41"/>
      <c r="F960" s="41"/>
      <c r="G960" s="41"/>
      <c r="H960" s="41"/>
      <c r="I960" s="41"/>
      <c r="J960" s="41"/>
      <c r="K960" s="41"/>
      <c r="L960" s="41"/>
      <c r="M960" s="41"/>
      <c r="N960" s="41"/>
      <c r="O960" s="41"/>
      <c r="P960" s="41"/>
      <c r="Q960" s="41"/>
      <c r="R960" s="41"/>
      <c r="S960" s="41"/>
      <c r="T960" s="41"/>
      <c r="U960" s="41"/>
      <c r="V960" s="41"/>
      <c r="W960" s="41"/>
      <c r="X960" s="41"/>
      <c r="Y960" s="41"/>
      <c r="Z960" s="41"/>
      <c r="AA960" s="41"/>
      <c r="AB960" s="41"/>
      <c r="AC960" s="41"/>
      <c r="AD960" s="41"/>
      <c r="AE960" s="41"/>
      <c r="AF960" s="41"/>
      <c r="AG960" s="41"/>
      <c r="AH960" s="41"/>
      <c r="AI960" s="41"/>
    </row>
    <row r="961" spans="1:35" ht="15.75" customHeight="1" x14ac:dyDescent="0.2">
      <c r="A961" s="41"/>
      <c r="B961" s="41"/>
      <c r="C961" s="41"/>
      <c r="D961" s="41"/>
      <c r="E961" s="41"/>
      <c r="F961" s="41"/>
      <c r="G961" s="41"/>
      <c r="H961" s="41"/>
      <c r="I961" s="41"/>
      <c r="J961" s="41"/>
      <c r="K961" s="41"/>
      <c r="L961" s="41"/>
      <c r="M961" s="41"/>
      <c r="N961" s="41"/>
      <c r="O961" s="41"/>
      <c r="P961" s="41"/>
      <c r="Q961" s="41"/>
      <c r="R961" s="41"/>
      <c r="S961" s="41"/>
      <c r="T961" s="41"/>
      <c r="U961" s="41"/>
      <c r="V961" s="41"/>
      <c r="W961" s="41"/>
      <c r="X961" s="41"/>
      <c r="Y961" s="41"/>
      <c r="Z961" s="41"/>
      <c r="AA961" s="41"/>
      <c r="AB961" s="41"/>
      <c r="AC961" s="41"/>
      <c r="AD961" s="41"/>
      <c r="AE961" s="41"/>
      <c r="AF961" s="41"/>
      <c r="AG961" s="41"/>
      <c r="AH961" s="41"/>
      <c r="AI961" s="41"/>
    </row>
    <row r="962" spans="1:35" ht="15.75" customHeight="1" x14ac:dyDescent="0.2">
      <c r="A962" s="41"/>
      <c r="B962" s="41"/>
      <c r="C962" s="41"/>
      <c r="D962" s="41"/>
      <c r="E962" s="41"/>
      <c r="F962" s="41"/>
      <c r="G962" s="41"/>
      <c r="H962" s="41"/>
      <c r="I962" s="41"/>
      <c r="J962" s="41"/>
      <c r="K962" s="41"/>
      <c r="L962" s="41"/>
      <c r="M962" s="41"/>
      <c r="N962" s="41"/>
      <c r="O962" s="41"/>
      <c r="P962" s="41"/>
      <c r="Q962" s="41"/>
      <c r="R962" s="41"/>
      <c r="S962" s="41"/>
      <c r="T962" s="41"/>
      <c r="U962" s="41"/>
      <c r="V962" s="41"/>
      <c r="W962" s="41"/>
      <c r="X962" s="41"/>
      <c r="Y962" s="41"/>
      <c r="Z962" s="41"/>
      <c r="AA962" s="41"/>
      <c r="AB962" s="41"/>
      <c r="AC962" s="41"/>
      <c r="AD962" s="41"/>
      <c r="AE962" s="41"/>
      <c r="AF962" s="41"/>
      <c r="AG962" s="41"/>
      <c r="AH962" s="41"/>
      <c r="AI962" s="41"/>
    </row>
    <row r="963" spans="1:35" ht="15.75" customHeight="1" x14ac:dyDescent="0.2">
      <c r="A963" s="41"/>
      <c r="B963" s="41"/>
      <c r="C963" s="41"/>
      <c r="D963" s="41"/>
      <c r="E963" s="41"/>
      <c r="F963" s="41"/>
      <c r="G963" s="41"/>
      <c r="H963" s="41"/>
      <c r="I963" s="41"/>
      <c r="J963" s="41"/>
      <c r="K963" s="41"/>
      <c r="L963" s="41"/>
      <c r="M963" s="41"/>
      <c r="N963" s="41"/>
      <c r="O963" s="41"/>
      <c r="P963" s="41"/>
      <c r="Q963" s="41"/>
      <c r="R963" s="41"/>
      <c r="S963" s="41"/>
      <c r="T963" s="41"/>
      <c r="U963" s="41"/>
      <c r="V963" s="41"/>
      <c r="W963" s="41"/>
      <c r="X963" s="41"/>
      <c r="Y963" s="41"/>
      <c r="Z963" s="41"/>
      <c r="AA963" s="41"/>
      <c r="AB963" s="41"/>
      <c r="AC963" s="41"/>
      <c r="AD963" s="41"/>
      <c r="AE963" s="41"/>
      <c r="AF963" s="41"/>
      <c r="AG963" s="41"/>
      <c r="AH963" s="41"/>
      <c r="AI963" s="41"/>
    </row>
    <row r="964" spans="1:35" ht="15.75" customHeight="1" x14ac:dyDescent="0.2">
      <c r="A964" s="41"/>
      <c r="B964" s="41"/>
      <c r="C964" s="41"/>
      <c r="D964" s="41"/>
      <c r="E964" s="41"/>
      <c r="F964" s="41"/>
      <c r="G964" s="41"/>
      <c r="H964" s="41"/>
      <c r="I964" s="41"/>
      <c r="J964" s="41"/>
      <c r="K964" s="41"/>
      <c r="L964" s="41"/>
      <c r="M964" s="41"/>
      <c r="N964" s="41"/>
      <c r="O964" s="41"/>
      <c r="P964" s="41"/>
      <c r="Q964" s="41"/>
      <c r="R964" s="41"/>
      <c r="S964" s="41"/>
      <c r="T964" s="41"/>
      <c r="U964" s="41"/>
      <c r="V964" s="41"/>
      <c r="W964" s="41"/>
      <c r="X964" s="41"/>
      <c r="Y964" s="41"/>
      <c r="Z964" s="41"/>
      <c r="AA964" s="41"/>
      <c r="AB964" s="41"/>
      <c r="AC964" s="41"/>
      <c r="AD964" s="41"/>
      <c r="AE964" s="41"/>
      <c r="AF964" s="41"/>
      <c r="AG964" s="41"/>
      <c r="AH964" s="41"/>
      <c r="AI964" s="41"/>
    </row>
    <row r="965" spans="1:35" ht="15.75" customHeight="1" x14ac:dyDescent="0.2">
      <c r="A965" s="41"/>
      <c r="B965" s="41"/>
      <c r="C965" s="41"/>
      <c r="D965" s="41"/>
      <c r="E965" s="41"/>
      <c r="F965" s="41"/>
      <c r="G965" s="41"/>
      <c r="H965" s="41"/>
      <c r="I965" s="41"/>
      <c r="J965" s="41"/>
      <c r="K965" s="41"/>
      <c r="L965" s="41"/>
      <c r="M965" s="41"/>
      <c r="N965" s="41"/>
      <c r="O965" s="41"/>
      <c r="P965" s="41"/>
      <c r="Q965" s="41"/>
      <c r="R965" s="41"/>
      <c r="S965" s="41"/>
      <c r="T965" s="41"/>
      <c r="U965" s="41"/>
      <c r="V965" s="41"/>
      <c r="W965" s="41"/>
      <c r="X965" s="41"/>
      <c r="Y965" s="41"/>
      <c r="Z965" s="41"/>
      <c r="AA965" s="41"/>
      <c r="AB965" s="41"/>
      <c r="AC965" s="41"/>
      <c r="AD965" s="41"/>
      <c r="AE965" s="41"/>
      <c r="AF965" s="41"/>
      <c r="AG965" s="41"/>
      <c r="AH965" s="41"/>
      <c r="AI965" s="41"/>
    </row>
    <row r="966" spans="1:35" ht="15.75" customHeight="1" x14ac:dyDescent="0.2">
      <c r="A966" s="41"/>
      <c r="B966" s="41"/>
      <c r="C966" s="41"/>
      <c r="D966" s="41"/>
      <c r="E966" s="41"/>
      <c r="F966" s="41"/>
      <c r="G966" s="41"/>
      <c r="H966" s="41"/>
      <c r="I966" s="41"/>
      <c r="J966" s="41"/>
      <c r="K966" s="41"/>
      <c r="L966" s="41"/>
      <c r="M966" s="41"/>
      <c r="N966" s="41"/>
      <c r="O966" s="41"/>
      <c r="P966" s="41"/>
      <c r="Q966" s="41"/>
      <c r="R966" s="41"/>
      <c r="S966" s="41"/>
      <c r="T966" s="41"/>
      <c r="U966" s="41"/>
      <c r="V966" s="41"/>
      <c r="W966" s="41"/>
      <c r="X966" s="41"/>
      <c r="Y966" s="41"/>
      <c r="Z966" s="41"/>
      <c r="AA966" s="41"/>
      <c r="AB966" s="41"/>
      <c r="AC966" s="41"/>
      <c r="AD966" s="41"/>
      <c r="AE966" s="41"/>
      <c r="AF966" s="41"/>
      <c r="AG966" s="41"/>
      <c r="AH966" s="41"/>
      <c r="AI966" s="41"/>
    </row>
    <row r="967" spans="1:35" ht="15.75" customHeight="1" x14ac:dyDescent="0.2">
      <c r="A967" s="41"/>
      <c r="B967" s="41"/>
      <c r="C967" s="41"/>
      <c r="D967" s="41"/>
      <c r="E967" s="41"/>
      <c r="F967" s="41"/>
      <c r="G967" s="41"/>
      <c r="H967" s="41"/>
      <c r="I967" s="41"/>
      <c r="J967" s="41"/>
      <c r="K967" s="41"/>
      <c r="L967" s="41"/>
      <c r="M967" s="41"/>
      <c r="N967" s="41"/>
      <c r="O967" s="41"/>
      <c r="P967" s="41"/>
      <c r="Q967" s="41"/>
      <c r="R967" s="41"/>
      <c r="S967" s="41"/>
      <c r="T967" s="41"/>
      <c r="U967" s="41"/>
      <c r="V967" s="41"/>
      <c r="W967" s="41"/>
      <c r="X967" s="41"/>
      <c r="Y967" s="41"/>
      <c r="Z967" s="41"/>
      <c r="AA967" s="41"/>
      <c r="AB967" s="41"/>
      <c r="AC967" s="41"/>
      <c r="AD967" s="41"/>
      <c r="AE967" s="41"/>
      <c r="AF967" s="41"/>
      <c r="AG967" s="41"/>
      <c r="AH967" s="41"/>
      <c r="AI967" s="41"/>
    </row>
    <row r="968" spans="1:35" ht="15.75" customHeight="1" x14ac:dyDescent="0.2">
      <c r="A968" s="41"/>
      <c r="B968" s="41"/>
      <c r="C968" s="41"/>
      <c r="D968" s="41"/>
      <c r="E968" s="41"/>
      <c r="F968" s="41"/>
      <c r="G968" s="41"/>
      <c r="H968" s="41"/>
      <c r="I968" s="41"/>
      <c r="J968" s="41"/>
      <c r="K968" s="41"/>
      <c r="L968" s="41"/>
      <c r="M968" s="41"/>
      <c r="N968" s="41"/>
      <c r="O968" s="41"/>
      <c r="P968" s="41"/>
      <c r="Q968" s="41"/>
      <c r="R968" s="41"/>
      <c r="S968" s="41"/>
      <c r="T968" s="41"/>
      <c r="U968" s="41"/>
      <c r="V968" s="41"/>
      <c r="W968" s="41"/>
      <c r="X968" s="41"/>
      <c r="Y968" s="41"/>
      <c r="Z968" s="41"/>
      <c r="AA968" s="41"/>
      <c r="AB968" s="41"/>
      <c r="AC968" s="41"/>
      <c r="AD968" s="41"/>
      <c r="AE968" s="41"/>
      <c r="AF968" s="41"/>
      <c r="AG968" s="41"/>
      <c r="AH968" s="41"/>
      <c r="AI968" s="41"/>
    </row>
    <row r="969" spans="1:35" ht="15.75" customHeight="1" x14ac:dyDescent="0.2">
      <c r="A969" s="41"/>
      <c r="B969" s="41"/>
      <c r="C969" s="41"/>
      <c r="D969" s="41"/>
      <c r="E969" s="41"/>
      <c r="F969" s="41"/>
      <c r="G969" s="41"/>
      <c r="H969" s="41"/>
      <c r="I969" s="41"/>
      <c r="J969" s="41"/>
      <c r="K969" s="41"/>
      <c r="L969" s="41"/>
      <c r="M969" s="41"/>
      <c r="N969" s="41"/>
      <c r="O969" s="41"/>
      <c r="P969" s="41"/>
      <c r="Q969" s="41"/>
      <c r="R969" s="41"/>
      <c r="S969" s="41"/>
      <c r="T969" s="41"/>
      <c r="U969" s="41"/>
      <c r="V969" s="41"/>
      <c r="W969" s="41"/>
      <c r="X969" s="41"/>
      <c r="Y969" s="41"/>
      <c r="Z969" s="41"/>
      <c r="AA969" s="41"/>
      <c r="AB969" s="41"/>
      <c r="AC969" s="41"/>
      <c r="AD969" s="41"/>
      <c r="AE969" s="41"/>
      <c r="AF969" s="41"/>
      <c r="AG969" s="41"/>
      <c r="AH969" s="41"/>
      <c r="AI969" s="41"/>
    </row>
    <row r="970" spans="1:35" ht="15.75" customHeight="1" x14ac:dyDescent="0.2">
      <c r="A970" s="41"/>
      <c r="B970" s="41"/>
      <c r="C970" s="41"/>
      <c r="D970" s="41"/>
      <c r="E970" s="41"/>
      <c r="F970" s="41"/>
      <c r="G970" s="41"/>
      <c r="H970" s="41"/>
      <c r="I970" s="41"/>
      <c r="J970" s="41"/>
      <c r="K970" s="41"/>
      <c r="L970" s="41"/>
      <c r="M970" s="41"/>
      <c r="N970" s="41"/>
      <c r="O970" s="41"/>
      <c r="P970" s="41"/>
      <c r="Q970" s="41"/>
      <c r="R970" s="41"/>
      <c r="S970" s="41"/>
      <c r="T970" s="41"/>
      <c r="U970" s="41"/>
      <c r="V970" s="41"/>
      <c r="W970" s="41"/>
      <c r="X970" s="41"/>
      <c r="Y970" s="41"/>
      <c r="Z970" s="41"/>
      <c r="AA970" s="41"/>
      <c r="AB970" s="41"/>
      <c r="AC970" s="41"/>
      <c r="AD970" s="41"/>
      <c r="AE970" s="41"/>
      <c r="AF970" s="41"/>
      <c r="AG970" s="41"/>
      <c r="AH970" s="41"/>
      <c r="AI970" s="41"/>
    </row>
    <row r="971" spans="1:35" ht="15.75" customHeight="1" x14ac:dyDescent="0.2">
      <c r="A971" s="41"/>
      <c r="B971" s="41"/>
      <c r="C971" s="41"/>
      <c r="D971" s="41"/>
      <c r="E971" s="41"/>
      <c r="F971" s="41"/>
      <c r="G971" s="41"/>
      <c r="H971" s="41"/>
      <c r="I971" s="41"/>
      <c r="J971" s="41"/>
      <c r="K971" s="41"/>
      <c r="L971" s="41"/>
      <c r="M971" s="41"/>
      <c r="N971" s="41"/>
      <c r="O971" s="41"/>
      <c r="P971" s="41"/>
      <c r="Q971" s="41"/>
      <c r="R971" s="41"/>
      <c r="S971" s="41"/>
      <c r="T971" s="41"/>
      <c r="U971" s="41"/>
      <c r="V971" s="41"/>
      <c r="W971" s="41"/>
      <c r="X971" s="41"/>
      <c r="Y971" s="41"/>
      <c r="Z971" s="41"/>
      <c r="AA971" s="41"/>
      <c r="AB971" s="41"/>
      <c r="AC971" s="41"/>
      <c r="AD971" s="41"/>
      <c r="AE971" s="41"/>
      <c r="AF971" s="41"/>
      <c r="AG971" s="41"/>
      <c r="AH971" s="41"/>
      <c r="AI971" s="41"/>
    </row>
    <row r="972" spans="1:35" ht="15.75" customHeight="1" x14ac:dyDescent="0.2">
      <c r="A972" s="41"/>
      <c r="B972" s="41"/>
      <c r="C972" s="41"/>
      <c r="D972" s="41"/>
      <c r="E972" s="41"/>
      <c r="F972" s="41"/>
      <c r="G972" s="41"/>
      <c r="H972" s="41"/>
      <c r="I972" s="41"/>
      <c r="J972" s="41"/>
      <c r="K972" s="41"/>
      <c r="L972" s="41"/>
      <c r="M972" s="41"/>
      <c r="N972" s="41"/>
      <c r="O972" s="41"/>
      <c r="P972" s="41"/>
      <c r="Q972" s="41"/>
      <c r="R972" s="41"/>
      <c r="S972" s="41"/>
      <c r="T972" s="41"/>
      <c r="U972" s="41"/>
      <c r="V972" s="41"/>
      <c r="W972" s="41"/>
      <c r="X972" s="41"/>
      <c r="Y972" s="41"/>
      <c r="Z972" s="41"/>
      <c r="AA972" s="41"/>
      <c r="AB972" s="41"/>
      <c r="AC972" s="41"/>
      <c r="AD972" s="41"/>
      <c r="AE972" s="41"/>
      <c r="AF972" s="41"/>
      <c r="AG972" s="41"/>
      <c r="AH972" s="41"/>
      <c r="AI972" s="41"/>
    </row>
    <row r="973" spans="1:35" ht="15.75" customHeight="1" x14ac:dyDescent="0.2">
      <c r="A973" s="41"/>
      <c r="B973" s="41"/>
      <c r="C973" s="41"/>
      <c r="D973" s="41"/>
      <c r="E973" s="41"/>
      <c r="F973" s="41"/>
      <c r="G973" s="41"/>
      <c r="H973" s="41"/>
      <c r="I973" s="41"/>
      <c r="J973" s="41"/>
      <c r="K973" s="41"/>
      <c r="L973" s="41"/>
      <c r="M973" s="41"/>
      <c r="N973" s="41"/>
      <c r="O973" s="41"/>
      <c r="P973" s="41"/>
      <c r="Q973" s="41"/>
      <c r="R973" s="41"/>
      <c r="S973" s="41"/>
      <c r="T973" s="41"/>
      <c r="U973" s="41"/>
      <c r="V973" s="41"/>
      <c r="W973" s="41"/>
      <c r="X973" s="41"/>
      <c r="Y973" s="41"/>
      <c r="Z973" s="41"/>
      <c r="AA973" s="41"/>
      <c r="AB973" s="41"/>
      <c r="AC973" s="41"/>
      <c r="AD973" s="41"/>
      <c r="AE973" s="41"/>
      <c r="AF973" s="41"/>
      <c r="AG973" s="41"/>
      <c r="AH973" s="41"/>
      <c r="AI973" s="41"/>
    </row>
    <row r="974" spans="1:35" ht="15.75" customHeight="1" x14ac:dyDescent="0.2">
      <c r="A974" s="41"/>
      <c r="B974" s="41"/>
      <c r="C974" s="41"/>
      <c r="D974" s="41"/>
      <c r="E974" s="41"/>
      <c r="F974" s="41"/>
      <c r="G974" s="41"/>
      <c r="H974" s="41"/>
      <c r="I974" s="41"/>
      <c r="J974" s="41"/>
      <c r="K974" s="41"/>
      <c r="L974" s="41"/>
      <c r="M974" s="41"/>
      <c r="N974" s="41"/>
      <c r="O974" s="41"/>
      <c r="P974" s="41"/>
      <c r="Q974" s="41"/>
      <c r="R974" s="41"/>
      <c r="S974" s="41"/>
      <c r="T974" s="41"/>
      <c r="U974" s="41"/>
      <c r="V974" s="41"/>
      <c r="W974" s="41"/>
      <c r="X974" s="41"/>
      <c r="Y974" s="41"/>
      <c r="Z974" s="41"/>
      <c r="AA974" s="41"/>
      <c r="AB974" s="41"/>
      <c r="AC974" s="41"/>
      <c r="AD974" s="41"/>
      <c r="AE974" s="41"/>
      <c r="AF974" s="41"/>
      <c r="AG974" s="41"/>
      <c r="AH974" s="41"/>
      <c r="AI974" s="41"/>
    </row>
    <row r="975" spans="1:35" ht="15.75" customHeight="1" x14ac:dyDescent="0.2">
      <c r="A975" s="41"/>
      <c r="B975" s="41"/>
      <c r="C975" s="41"/>
      <c r="D975" s="41"/>
      <c r="E975" s="41"/>
      <c r="F975" s="41"/>
      <c r="G975" s="41"/>
      <c r="H975" s="41"/>
      <c r="I975" s="41"/>
      <c r="J975" s="41"/>
      <c r="K975" s="41"/>
      <c r="L975" s="41"/>
      <c r="M975" s="41"/>
      <c r="N975" s="41"/>
      <c r="O975" s="41"/>
      <c r="P975" s="41"/>
      <c r="Q975" s="41"/>
      <c r="R975" s="41"/>
      <c r="S975" s="41"/>
      <c r="T975" s="41"/>
      <c r="U975" s="41"/>
      <c r="V975" s="41"/>
      <c r="W975" s="41"/>
      <c r="X975" s="41"/>
      <c r="Y975" s="41"/>
      <c r="Z975" s="41"/>
      <c r="AA975" s="41"/>
      <c r="AB975" s="41"/>
      <c r="AC975" s="41"/>
      <c r="AD975" s="41"/>
      <c r="AE975" s="41"/>
      <c r="AF975" s="41"/>
      <c r="AG975" s="41"/>
      <c r="AH975" s="41"/>
      <c r="AI975" s="41"/>
    </row>
    <row r="976" spans="1:35" ht="15.75" customHeight="1" x14ac:dyDescent="0.2">
      <c r="A976" s="41"/>
      <c r="B976" s="41"/>
      <c r="C976" s="41"/>
      <c r="D976" s="41"/>
      <c r="E976" s="41"/>
      <c r="F976" s="41"/>
      <c r="G976" s="41"/>
      <c r="H976" s="41"/>
      <c r="I976" s="41"/>
      <c r="J976" s="41"/>
      <c r="K976" s="41"/>
      <c r="L976" s="41"/>
      <c r="M976" s="41"/>
      <c r="N976" s="41"/>
      <c r="O976" s="41"/>
      <c r="P976" s="41"/>
      <c r="Q976" s="41"/>
      <c r="R976" s="41"/>
      <c r="S976" s="41"/>
      <c r="T976" s="41"/>
      <c r="U976" s="41"/>
      <c r="V976" s="41"/>
      <c r="W976" s="41"/>
      <c r="X976" s="41"/>
      <c r="Y976" s="41"/>
      <c r="Z976" s="41"/>
      <c r="AA976" s="41"/>
      <c r="AB976" s="41"/>
      <c r="AC976" s="41"/>
      <c r="AD976" s="41"/>
      <c r="AE976" s="41"/>
      <c r="AF976" s="41"/>
      <c r="AG976" s="41"/>
      <c r="AH976" s="41"/>
      <c r="AI976" s="41"/>
    </row>
    <row r="977" spans="1:35" ht="15.75" customHeight="1" x14ac:dyDescent="0.2">
      <c r="A977" s="41"/>
      <c r="B977" s="41"/>
      <c r="C977" s="41"/>
      <c r="D977" s="41"/>
      <c r="E977" s="41"/>
      <c r="F977" s="41"/>
      <c r="G977" s="41"/>
      <c r="H977" s="41"/>
      <c r="I977" s="41"/>
      <c r="J977" s="41"/>
      <c r="K977" s="41"/>
      <c r="L977" s="41"/>
      <c r="M977" s="41"/>
      <c r="N977" s="41"/>
      <c r="O977" s="41"/>
      <c r="P977" s="41"/>
      <c r="Q977" s="41"/>
      <c r="R977" s="41"/>
      <c r="S977" s="41"/>
      <c r="T977" s="41"/>
      <c r="U977" s="41"/>
      <c r="V977" s="41"/>
      <c r="W977" s="41"/>
      <c r="X977" s="41"/>
      <c r="Y977" s="41"/>
      <c r="Z977" s="41"/>
      <c r="AA977" s="41"/>
      <c r="AB977" s="41"/>
      <c r="AC977" s="41"/>
      <c r="AD977" s="41"/>
      <c r="AE977" s="41"/>
      <c r="AF977" s="41"/>
      <c r="AG977" s="41"/>
      <c r="AH977" s="41"/>
      <c r="AI977" s="41"/>
    </row>
    <row r="978" spans="1:35" ht="15.75" customHeight="1" x14ac:dyDescent="0.2">
      <c r="A978" s="41"/>
      <c r="B978" s="41"/>
      <c r="C978" s="41"/>
      <c r="D978" s="41"/>
      <c r="E978" s="41"/>
      <c r="F978" s="41"/>
      <c r="G978" s="41"/>
      <c r="H978" s="41"/>
      <c r="I978" s="41"/>
      <c r="J978" s="41"/>
      <c r="K978" s="41"/>
      <c r="L978" s="41"/>
      <c r="M978" s="41"/>
      <c r="N978" s="41"/>
      <c r="O978" s="41"/>
      <c r="P978" s="41"/>
      <c r="Q978" s="41"/>
      <c r="R978" s="41"/>
      <c r="S978" s="41"/>
      <c r="T978" s="41"/>
      <c r="U978" s="41"/>
      <c r="V978" s="41"/>
      <c r="W978" s="41"/>
      <c r="X978" s="41"/>
      <c r="Y978" s="41"/>
      <c r="Z978" s="41"/>
      <c r="AA978" s="41"/>
      <c r="AB978" s="41"/>
      <c r="AC978" s="41"/>
      <c r="AD978" s="41"/>
      <c r="AE978" s="41"/>
      <c r="AF978" s="41"/>
      <c r="AG978" s="41"/>
      <c r="AH978" s="41"/>
      <c r="AI978" s="41"/>
    </row>
    <row r="979" spans="1:35" ht="15.75" customHeight="1" x14ac:dyDescent="0.2">
      <c r="A979" s="41"/>
      <c r="B979" s="41"/>
      <c r="C979" s="41"/>
      <c r="D979" s="41"/>
      <c r="E979" s="41"/>
      <c r="F979" s="41"/>
      <c r="G979" s="41"/>
      <c r="H979" s="41"/>
      <c r="I979" s="41"/>
      <c r="J979" s="41"/>
      <c r="K979" s="41"/>
      <c r="L979" s="41"/>
      <c r="M979" s="41"/>
      <c r="N979" s="41"/>
      <c r="O979" s="41"/>
      <c r="P979" s="41"/>
      <c r="Q979" s="41"/>
      <c r="R979" s="41"/>
      <c r="S979" s="41"/>
      <c r="T979" s="41"/>
      <c r="U979" s="41"/>
      <c r="V979" s="41"/>
      <c r="W979" s="41"/>
      <c r="X979" s="41"/>
      <c r="Y979" s="41"/>
      <c r="Z979" s="41"/>
      <c r="AA979" s="41"/>
      <c r="AB979" s="41"/>
      <c r="AC979" s="41"/>
      <c r="AD979" s="41"/>
      <c r="AE979" s="41"/>
      <c r="AF979" s="41"/>
      <c r="AG979" s="41"/>
      <c r="AH979" s="41"/>
      <c r="AI979" s="41"/>
    </row>
    <row r="980" spans="1:35" ht="15.75" customHeight="1" x14ac:dyDescent="0.2">
      <c r="A980" s="41"/>
      <c r="B980" s="41"/>
      <c r="C980" s="41"/>
      <c r="D980" s="41"/>
      <c r="E980" s="41"/>
      <c r="F980" s="41"/>
      <c r="G980" s="41"/>
      <c r="H980" s="41"/>
      <c r="I980" s="41"/>
      <c r="J980" s="41"/>
      <c r="K980" s="41"/>
      <c r="L980" s="41"/>
      <c r="M980" s="41"/>
      <c r="N980" s="41"/>
      <c r="O980" s="41"/>
      <c r="P980" s="41"/>
      <c r="Q980" s="41"/>
      <c r="R980" s="41"/>
      <c r="S980" s="41"/>
      <c r="T980" s="41"/>
      <c r="U980" s="41"/>
      <c r="V980" s="41"/>
      <c r="W980" s="41"/>
      <c r="X980" s="41"/>
      <c r="Y980" s="41"/>
      <c r="Z980" s="41"/>
      <c r="AA980" s="41"/>
      <c r="AB980" s="41"/>
      <c r="AC980" s="41"/>
      <c r="AD980" s="41"/>
      <c r="AE980" s="41"/>
      <c r="AF980" s="41"/>
      <c r="AG980" s="41"/>
      <c r="AH980" s="41"/>
      <c r="AI980" s="41"/>
    </row>
    <row r="981" spans="1:35" ht="15.75" customHeight="1" x14ac:dyDescent="0.2">
      <c r="A981" s="41"/>
      <c r="B981" s="41"/>
      <c r="C981" s="41"/>
      <c r="D981" s="41"/>
      <c r="E981" s="41"/>
      <c r="F981" s="41"/>
      <c r="G981" s="41"/>
      <c r="H981" s="41"/>
      <c r="I981" s="41"/>
      <c r="J981" s="41"/>
      <c r="K981" s="41"/>
      <c r="L981" s="41"/>
      <c r="M981" s="41"/>
      <c r="N981" s="41"/>
      <c r="O981" s="41"/>
      <c r="P981" s="41"/>
      <c r="Q981" s="41"/>
      <c r="R981" s="41"/>
      <c r="S981" s="41"/>
      <c r="T981" s="41"/>
      <c r="U981" s="41"/>
      <c r="V981" s="41"/>
      <c r="W981" s="41"/>
      <c r="X981" s="41"/>
      <c r="Y981" s="41"/>
      <c r="Z981" s="41"/>
      <c r="AA981" s="41"/>
      <c r="AB981" s="41"/>
      <c r="AC981" s="41"/>
      <c r="AD981" s="41"/>
      <c r="AE981" s="41"/>
      <c r="AF981" s="41"/>
      <c r="AG981" s="41"/>
      <c r="AH981" s="41"/>
      <c r="AI981" s="41"/>
    </row>
    <row r="982" spans="1:35" ht="15.75" customHeight="1" x14ac:dyDescent="0.2">
      <c r="A982" s="41"/>
      <c r="B982" s="41"/>
      <c r="C982" s="41"/>
      <c r="D982" s="41"/>
      <c r="E982" s="41"/>
      <c r="F982" s="41"/>
      <c r="G982" s="41"/>
      <c r="H982" s="41"/>
      <c r="I982" s="41"/>
      <c r="J982" s="41"/>
      <c r="K982" s="41"/>
      <c r="L982" s="41"/>
      <c r="M982" s="41"/>
      <c r="N982" s="41"/>
      <c r="O982" s="41"/>
      <c r="P982" s="41"/>
      <c r="Q982" s="41"/>
      <c r="R982" s="41"/>
      <c r="S982" s="41"/>
      <c r="T982" s="41"/>
      <c r="U982" s="41"/>
      <c r="V982" s="41"/>
      <c r="W982" s="41"/>
      <c r="X982" s="41"/>
      <c r="Y982" s="41"/>
      <c r="Z982" s="41"/>
      <c r="AA982" s="41"/>
      <c r="AB982" s="41"/>
      <c r="AC982" s="41"/>
      <c r="AD982" s="41"/>
      <c r="AE982" s="41"/>
      <c r="AF982" s="41"/>
      <c r="AG982" s="41"/>
      <c r="AH982" s="41"/>
      <c r="AI982" s="41"/>
    </row>
    <row r="983" spans="1:35" ht="15.75" customHeight="1" x14ac:dyDescent="0.2">
      <c r="A983" s="41"/>
      <c r="B983" s="41"/>
      <c r="C983" s="41"/>
      <c r="D983" s="41"/>
      <c r="E983" s="41"/>
      <c r="F983" s="41"/>
      <c r="G983" s="41"/>
      <c r="H983" s="41"/>
      <c r="I983" s="41"/>
      <c r="J983" s="41"/>
      <c r="K983" s="41"/>
      <c r="L983" s="41"/>
      <c r="M983" s="41"/>
      <c r="N983" s="41"/>
      <c r="O983" s="41"/>
      <c r="P983" s="41"/>
      <c r="Q983" s="41"/>
      <c r="R983" s="41"/>
      <c r="S983" s="41"/>
      <c r="T983" s="41"/>
      <c r="U983" s="41"/>
      <c r="V983" s="41"/>
      <c r="W983" s="41"/>
      <c r="X983" s="41"/>
      <c r="Y983" s="41"/>
      <c r="Z983" s="41"/>
      <c r="AA983" s="41"/>
      <c r="AB983" s="41"/>
      <c r="AC983" s="41"/>
      <c r="AD983" s="41"/>
      <c r="AE983" s="41"/>
      <c r="AF983" s="41"/>
      <c r="AG983" s="41"/>
      <c r="AH983" s="41"/>
      <c r="AI983" s="41"/>
    </row>
    <row r="984" spans="1:35" ht="15.75" customHeight="1" x14ac:dyDescent="0.2">
      <c r="A984" s="41"/>
      <c r="B984" s="41"/>
      <c r="C984" s="41"/>
      <c r="D984" s="41"/>
      <c r="E984" s="41"/>
      <c r="F984" s="41"/>
      <c r="G984" s="41"/>
      <c r="H984" s="41"/>
      <c r="I984" s="41"/>
      <c r="J984" s="41"/>
      <c r="K984" s="41"/>
      <c r="L984" s="41"/>
      <c r="M984" s="41"/>
      <c r="N984" s="41"/>
      <c r="O984" s="41"/>
      <c r="P984" s="41"/>
      <c r="Q984" s="41"/>
      <c r="R984" s="41"/>
      <c r="S984" s="41"/>
      <c r="T984" s="41"/>
      <c r="U984" s="41"/>
      <c r="V984" s="41"/>
      <c r="W984" s="41"/>
      <c r="X984" s="41"/>
      <c r="Y984" s="41"/>
      <c r="Z984" s="41"/>
      <c r="AA984" s="41"/>
      <c r="AB984" s="41"/>
      <c r="AC984" s="41"/>
      <c r="AD984" s="41"/>
      <c r="AE984" s="41"/>
      <c r="AF984" s="41"/>
      <c r="AG984" s="41"/>
      <c r="AH984" s="41"/>
      <c r="AI984" s="41"/>
    </row>
    <row r="985" spans="1:35" ht="15.75" customHeight="1" x14ac:dyDescent="0.2">
      <c r="A985" s="41"/>
      <c r="B985" s="41"/>
      <c r="C985" s="41"/>
      <c r="D985" s="41"/>
      <c r="E985" s="41"/>
      <c r="F985" s="41"/>
      <c r="G985" s="41"/>
      <c r="H985" s="41"/>
      <c r="I985" s="41"/>
      <c r="J985" s="41"/>
      <c r="K985" s="41"/>
      <c r="L985" s="41"/>
      <c r="M985" s="41"/>
      <c r="N985" s="41"/>
      <c r="O985" s="41"/>
      <c r="P985" s="41"/>
      <c r="Q985" s="41"/>
      <c r="R985" s="41"/>
      <c r="S985" s="41"/>
      <c r="T985" s="41"/>
      <c r="U985" s="41"/>
      <c r="V985" s="41"/>
      <c r="W985" s="41"/>
      <c r="X985" s="41"/>
      <c r="Y985" s="41"/>
      <c r="Z985" s="41"/>
      <c r="AA985" s="41"/>
      <c r="AB985" s="41"/>
      <c r="AC985" s="41"/>
      <c r="AD985" s="41"/>
      <c r="AE985" s="41"/>
      <c r="AF985" s="41"/>
      <c r="AG985" s="41"/>
      <c r="AH985" s="41"/>
      <c r="AI985" s="41"/>
    </row>
    <row r="986" spans="1:35" ht="15.75" customHeight="1" x14ac:dyDescent="0.2">
      <c r="A986" s="41"/>
      <c r="B986" s="41"/>
      <c r="C986" s="41"/>
      <c r="D986" s="41"/>
      <c r="E986" s="41"/>
      <c r="F986" s="41"/>
      <c r="G986" s="41"/>
      <c r="H986" s="41"/>
      <c r="I986" s="41"/>
      <c r="J986" s="41"/>
      <c r="K986" s="41"/>
      <c r="L986" s="41"/>
      <c r="M986" s="41"/>
      <c r="N986" s="41"/>
      <c r="O986" s="41"/>
      <c r="P986" s="41"/>
      <c r="Q986" s="41"/>
      <c r="R986" s="41"/>
      <c r="S986" s="41"/>
      <c r="T986" s="41"/>
      <c r="U986" s="41"/>
      <c r="V986" s="41"/>
      <c r="W986" s="41"/>
      <c r="X986" s="41"/>
      <c r="Y986" s="41"/>
      <c r="Z986" s="41"/>
      <c r="AA986" s="41"/>
      <c r="AB986" s="41"/>
      <c r="AC986" s="41"/>
      <c r="AD986" s="41"/>
      <c r="AE986" s="41"/>
      <c r="AF986" s="41"/>
      <c r="AG986" s="41"/>
      <c r="AH986" s="41"/>
      <c r="AI986" s="41"/>
    </row>
    <row r="987" spans="1:35" ht="15.75" customHeight="1" x14ac:dyDescent="0.2">
      <c r="A987" s="41"/>
      <c r="B987" s="41"/>
      <c r="C987" s="41"/>
      <c r="D987" s="41"/>
      <c r="E987" s="41"/>
      <c r="F987" s="41"/>
      <c r="G987" s="41"/>
      <c r="H987" s="41"/>
      <c r="I987" s="41"/>
      <c r="J987" s="41"/>
      <c r="K987" s="41"/>
      <c r="L987" s="41"/>
      <c r="M987" s="41"/>
      <c r="N987" s="41"/>
      <c r="O987" s="41"/>
      <c r="P987" s="41"/>
      <c r="Q987" s="41"/>
      <c r="R987" s="41"/>
      <c r="S987" s="41"/>
      <c r="T987" s="41"/>
      <c r="U987" s="41"/>
      <c r="V987" s="41"/>
      <c r="W987" s="41"/>
      <c r="X987" s="41"/>
      <c r="Y987" s="41"/>
      <c r="Z987" s="41"/>
      <c r="AA987" s="41"/>
      <c r="AB987" s="41"/>
      <c r="AC987" s="41"/>
      <c r="AD987" s="41"/>
      <c r="AE987" s="41"/>
      <c r="AF987" s="41"/>
      <c r="AG987" s="41"/>
      <c r="AH987" s="41"/>
      <c r="AI987" s="41"/>
    </row>
    <row r="988" spans="1:35" ht="15.75" customHeight="1" x14ac:dyDescent="0.2">
      <c r="A988" s="41"/>
      <c r="B988" s="41"/>
      <c r="C988" s="41"/>
      <c r="D988" s="41"/>
      <c r="E988" s="41"/>
      <c r="F988" s="41"/>
      <c r="G988" s="41"/>
      <c r="H988" s="41"/>
      <c r="I988" s="41"/>
      <c r="J988" s="41"/>
      <c r="K988" s="41"/>
      <c r="L988" s="41"/>
      <c r="M988" s="41"/>
      <c r="N988" s="41"/>
      <c r="O988" s="41"/>
      <c r="P988" s="41"/>
      <c r="Q988" s="41"/>
      <c r="R988" s="41"/>
      <c r="S988" s="41"/>
      <c r="T988" s="41"/>
      <c r="U988" s="41"/>
      <c r="V988" s="41"/>
      <c r="W988" s="41"/>
      <c r="X988" s="41"/>
      <c r="Y988" s="41"/>
      <c r="Z988" s="41"/>
      <c r="AA988" s="41"/>
      <c r="AB988" s="41"/>
      <c r="AC988" s="41"/>
      <c r="AD988" s="41"/>
      <c r="AE988" s="41"/>
      <c r="AF988" s="41"/>
      <c r="AG988" s="41"/>
      <c r="AH988" s="41"/>
      <c r="AI988" s="41"/>
    </row>
    <row r="989" spans="1:35" ht="15.75" customHeight="1" x14ac:dyDescent="0.2">
      <c r="A989" s="41"/>
      <c r="B989" s="41"/>
      <c r="C989" s="41"/>
      <c r="D989" s="41"/>
      <c r="E989" s="41"/>
      <c r="F989" s="41"/>
      <c r="G989" s="41"/>
      <c r="H989" s="41"/>
      <c r="I989" s="41"/>
      <c r="J989" s="41"/>
      <c r="K989" s="41"/>
      <c r="L989" s="41"/>
      <c r="M989" s="41"/>
      <c r="N989" s="41"/>
      <c r="O989" s="41"/>
      <c r="P989" s="41"/>
      <c r="Q989" s="41"/>
      <c r="R989" s="41"/>
      <c r="S989" s="41"/>
      <c r="T989" s="41"/>
      <c r="U989" s="41"/>
      <c r="V989" s="41"/>
      <c r="W989" s="41"/>
      <c r="X989" s="41"/>
      <c r="Y989" s="41"/>
      <c r="Z989" s="41"/>
      <c r="AA989" s="41"/>
      <c r="AB989" s="41"/>
      <c r="AC989" s="41"/>
      <c r="AD989" s="41"/>
      <c r="AE989" s="41"/>
      <c r="AF989" s="41"/>
      <c r="AG989" s="41"/>
      <c r="AH989" s="41"/>
      <c r="AI989" s="41"/>
    </row>
    <row r="990" spans="1:35" ht="15.75" customHeight="1" x14ac:dyDescent="0.2">
      <c r="A990" s="41"/>
      <c r="B990" s="41"/>
      <c r="C990" s="41"/>
      <c r="D990" s="41"/>
      <c r="E990" s="41"/>
      <c r="F990" s="41"/>
      <c r="G990" s="41"/>
      <c r="H990" s="41"/>
      <c r="I990" s="41"/>
      <c r="J990" s="41"/>
      <c r="K990" s="41"/>
      <c r="L990" s="41"/>
      <c r="M990" s="41"/>
      <c r="N990" s="41"/>
      <c r="O990" s="41"/>
      <c r="P990" s="41"/>
      <c r="Q990" s="41"/>
      <c r="R990" s="41"/>
      <c r="S990" s="41"/>
      <c r="T990" s="41"/>
      <c r="U990" s="41"/>
      <c r="V990" s="41"/>
      <c r="W990" s="41"/>
      <c r="X990" s="41"/>
      <c r="Y990" s="41"/>
      <c r="Z990" s="41"/>
      <c r="AA990" s="41"/>
      <c r="AB990" s="41"/>
      <c r="AC990" s="41"/>
      <c r="AD990" s="41"/>
      <c r="AE990" s="41"/>
      <c r="AF990" s="41"/>
      <c r="AG990" s="41"/>
      <c r="AH990" s="41"/>
      <c r="AI990" s="41"/>
    </row>
    <row r="991" spans="1:35" ht="15.75" customHeight="1" x14ac:dyDescent="0.2">
      <c r="A991" s="41"/>
      <c r="B991" s="41"/>
      <c r="C991" s="41"/>
      <c r="D991" s="41"/>
      <c r="E991" s="41"/>
      <c r="F991" s="41"/>
      <c r="G991" s="41"/>
      <c r="H991" s="41"/>
      <c r="I991" s="41"/>
      <c r="J991" s="41"/>
      <c r="K991" s="41"/>
      <c r="L991" s="41"/>
      <c r="M991" s="41"/>
      <c r="N991" s="41"/>
      <c r="O991" s="41"/>
      <c r="P991" s="41"/>
      <c r="Q991" s="41"/>
      <c r="R991" s="41"/>
      <c r="S991" s="41"/>
      <c r="T991" s="41"/>
      <c r="U991" s="41"/>
      <c r="V991" s="41"/>
      <c r="W991" s="41"/>
      <c r="X991" s="41"/>
      <c r="Y991" s="41"/>
      <c r="Z991" s="41"/>
      <c r="AA991" s="41"/>
      <c r="AB991" s="41"/>
      <c r="AC991" s="41"/>
      <c r="AD991" s="41"/>
      <c r="AE991" s="41"/>
      <c r="AF991" s="41"/>
      <c r="AG991" s="41"/>
      <c r="AH991" s="41"/>
      <c r="AI991" s="41"/>
    </row>
    <row r="992" spans="1:35" ht="15.75" customHeight="1" x14ac:dyDescent="0.2">
      <c r="A992" s="41"/>
      <c r="B992" s="41"/>
      <c r="C992" s="41"/>
      <c r="D992" s="41"/>
      <c r="E992" s="41"/>
      <c r="F992" s="41"/>
      <c r="G992" s="41"/>
      <c r="H992" s="41"/>
      <c r="I992" s="41"/>
      <c r="J992" s="41"/>
      <c r="K992" s="41"/>
      <c r="L992" s="41"/>
      <c r="M992" s="41"/>
      <c r="N992" s="41"/>
      <c r="O992" s="41"/>
      <c r="P992" s="41"/>
      <c r="Q992" s="41"/>
      <c r="R992" s="41"/>
      <c r="S992" s="41"/>
      <c r="T992" s="41"/>
      <c r="U992" s="41"/>
      <c r="V992" s="41"/>
      <c r="W992" s="41"/>
      <c r="X992" s="41"/>
      <c r="Y992" s="41"/>
      <c r="Z992" s="41"/>
      <c r="AA992" s="41"/>
      <c r="AB992" s="41"/>
      <c r="AC992" s="41"/>
      <c r="AD992" s="41"/>
      <c r="AE992" s="41"/>
      <c r="AF992" s="41"/>
      <c r="AG992" s="41"/>
      <c r="AH992" s="41"/>
      <c r="AI992" s="41"/>
    </row>
    <row r="993" spans="1:35" ht="15.75" customHeight="1" x14ac:dyDescent="0.2">
      <c r="A993" s="41"/>
      <c r="B993" s="41"/>
      <c r="C993" s="41"/>
      <c r="D993" s="41"/>
      <c r="E993" s="41"/>
      <c r="F993" s="41"/>
      <c r="G993" s="41"/>
      <c r="H993" s="41"/>
      <c r="I993" s="41"/>
      <c r="J993" s="41"/>
      <c r="K993" s="41"/>
      <c r="L993" s="41"/>
      <c r="M993" s="41"/>
      <c r="N993" s="41"/>
      <c r="O993" s="41"/>
      <c r="P993" s="41"/>
      <c r="Q993" s="41"/>
      <c r="R993" s="41"/>
      <c r="S993" s="41"/>
      <c r="T993" s="41"/>
      <c r="U993" s="41"/>
      <c r="V993" s="41"/>
      <c r="W993" s="41"/>
      <c r="X993" s="41"/>
      <c r="Y993" s="41"/>
      <c r="Z993" s="41"/>
      <c r="AA993" s="41"/>
      <c r="AB993" s="41"/>
      <c r="AC993" s="41"/>
      <c r="AD993" s="41"/>
      <c r="AE993" s="41"/>
      <c r="AF993" s="41"/>
      <c r="AG993" s="41"/>
      <c r="AH993" s="41"/>
      <c r="AI993" s="41"/>
    </row>
    <row r="994" spans="1:35" ht="15.75" customHeight="1" x14ac:dyDescent="0.2">
      <c r="A994" s="41"/>
      <c r="B994" s="41"/>
      <c r="C994" s="41"/>
      <c r="D994" s="41"/>
      <c r="E994" s="41"/>
      <c r="F994" s="41"/>
      <c r="G994" s="41"/>
      <c r="H994" s="41"/>
      <c r="I994" s="41"/>
      <c r="J994" s="41"/>
      <c r="K994" s="41"/>
      <c r="L994" s="41"/>
      <c r="M994" s="41"/>
      <c r="N994" s="41"/>
      <c r="O994" s="41"/>
      <c r="P994" s="41"/>
      <c r="Q994" s="41"/>
      <c r="R994" s="41"/>
      <c r="S994" s="41"/>
      <c r="T994" s="41"/>
      <c r="U994" s="41"/>
      <c r="V994" s="41"/>
      <c r="W994" s="41"/>
      <c r="X994" s="41"/>
      <c r="Y994" s="41"/>
      <c r="Z994" s="41"/>
      <c r="AA994" s="41"/>
      <c r="AB994" s="41"/>
      <c r="AC994" s="41"/>
      <c r="AD994" s="41"/>
      <c r="AE994" s="41"/>
      <c r="AF994" s="41"/>
      <c r="AG994" s="41"/>
      <c r="AH994" s="41"/>
      <c r="AI994" s="41"/>
    </row>
    <row r="995" spans="1:35" ht="15.75" customHeight="1" x14ac:dyDescent="0.2">
      <c r="A995" s="41"/>
      <c r="B995" s="41"/>
      <c r="C995" s="41"/>
      <c r="D995" s="41"/>
      <c r="E995" s="41"/>
      <c r="F995" s="41"/>
      <c r="G995" s="41"/>
      <c r="H995" s="41"/>
      <c r="I995" s="41"/>
      <c r="J995" s="41"/>
      <c r="K995" s="41"/>
      <c r="L995" s="41"/>
      <c r="M995" s="41"/>
      <c r="N995" s="41"/>
      <c r="O995" s="41"/>
      <c r="P995" s="41"/>
      <c r="Q995" s="41"/>
      <c r="R995" s="41"/>
      <c r="S995" s="41"/>
      <c r="T995" s="41"/>
      <c r="U995" s="41"/>
      <c r="V995" s="41"/>
      <c r="W995" s="41"/>
      <c r="X995" s="41"/>
      <c r="Y995" s="41"/>
      <c r="Z995" s="41"/>
      <c r="AA995" s="41"/>
      <c r="AB995" s="41"/>
      <c r="AC995" s="41"/>
      <c r="AD995" s="41"/>
      <c r="AE995" s="41"/>
      <c r="AF995" s="41"/>
      <c r="AG995" s="41"/>
      <c r="AH995" s="41"/>
      <c r="AI995" s="41"/>
    </row>
    <row r="996" spans="1:35" ht="15.75" customHeight="1" x14ac:dyDescent="0.2">
      <c r="A996" s="41"/>
      <c r="B996" s="41"/>
      <c r="C996" s="41"/>
      <c r="D996" s="41"/>
      <c r="E996" s="41"/>
      <c r="F996" s="41"/>
      <c r="G996" s="41"/>
      <c r="H996" s="41"/>
      <c r="I996" s="41"/>
      <c r="J996" s="41"/>
      <c r="K996" s="41"/>
      <c r="L996" s="41"/>
      <c r="M996" s="41"/>
      <c r="N996" s="41"/>
      <c r="O996" s="41"/>
      <c r="P996" s="41"/>
      <c r="Q996" s="41"/>
      <c r="R996" s="41"/>
      <c r="S996" s="41"/>
      <c r="T996" s="41"/>
      <c r="U996" s="41"/>
      <c r="V996" s="41"/>
      <c r="W996" s="41"/>
      <c r="X996" s="41"/>
      <c r="Y996" s="41"/>
      <c r="Z996" s="41"/>
      <c r="AA996" s="41"/>
      <c r="AB996" s="41"/>
      <c r="AC996" s="41"/>
      <c r="AD996" s="41"/>
      <c r="AE996" s="41"/>
      <c r="AF996" s="41"/>
      <c r="AG996" s="41"/>
      <c r="AH996" s="41"/>
      <c r="AI996" s="41"/>
    </row>
    <row r="997" spans="1:35" ht="15.75" customHeight="1" x14ac:dyDescent="0.2">
      <c r="A997" s="41"/>
      <c r="B997" s="41"/>
      <c r="C997" s="41"/>
      <c r="D997" s="41"/>
      <c r="E997" s="41"/>
      <c r="F997" s="41"/>
      <c r="G997" s="41"/>
      <c r="H997" s="41"/>
      <c r="I997" s="41"/>
      <c r="J997" s="41"/>
      <c r="K997" s="41"/>
      <c r="L997" s="41"/>
      <c r="M997" s="41"/>
      <c r="N997" s="41"/>
      <c r="O997" s="41"/>
      <c r="P997" s="41"/>
      <c r="Q997" s="41"/>
      <c r="R997" s="41"/>
      <c r="S997" s="41"/>
      <c r="T997" s="41"/>
      <c r="U997" s="41"/>
      <c r="V997" s="41"/>
      <c r="W997" s="41"/>
      <c r="X997" s="41"/>
      <c r="Y997" s="41"/>
      <c r="Z997" s="41"/>
      <c r="AA997" s="41"/>
      <c r="AB997" s="41"/>
      <c r="AC997" s="41"/>
      <c r="AD997" s="41"/>
      <c r="AE997" s="41"/>
      <c r="AF997" s="41"/>
      <c r="AG997" s="41"/>
      <c r="AH997" s="41"/>
      <c r="AI997" s="41"/>
    </row>
    <row r="998" spans="1:35" ht="15.75" customHeight="1" x14ac:dyDescent="0.2">
      <c r="A998" s="41"/>
      <c r="B998" s="41"/>
      <c r="C998" s="41"/>
      <c r="D998" s="41"/>
      <c r="E998" s="41"/>
      <c r="F998" s="41"/>
      <c r="G998" s="41"/>
      <c r="H998" s="41"/>
      <c r="I998" s="41"/>
      <c r="J998" s="41"/>
      <c r="K998" s="41"/>
      <c r="L998" s="41"/>
      <c r="M998" s="41"/>
      <c r="N998" s="41"/>
      <c r="O998" s="41"/>
      <c r="P998" s="41"/>
      <c r="Q998" s="41"/>
      <c r="R998" s="41"/>
      <c r="S998" s="41"/>
      <c r="T998" s="41"/>
      <c r="U998" s="41"/>
      <c r="V998" s="41"/>
      <c r="W998" s="41"/>
      <c r="X998" s="41"/>
      <c r="Y998" s="41"/>
      <c r="Z998" s="41"/>
      <c r="AA998" s="41"/>
      <c r="AB998" s="41"/>
      <c r="AC998" s="41"/>
      <c r="AD998" s="41"/>
      <c r="AE998" s="41"/>
      <c r="AF998" s="41"/>
      <c r="AG998" s="41"/>
      <c r="AH998" s="41"/>
      <c r="AI998" s="41"/>
    </row>
    <row r="999" spans="1:35" ht="15.75" customHeight="1" x14ac:dyDescent="0.2">
      <c r="A999" s="41"/>
      <c r="B999" s="41"/>
      <c r="C999" s="41"/>
      <c r="D999" s="41"/>
      <c r="E999" s="41"/>
      <c r="F999" s="41"/>
      <c r="G999" s="41"/>
      <c r="H999" s="41"/>
      <c r="I999" s="41"/>
      <c r="J999" s="41"/>
      <c r="K999" s="41"/>
      <c r="L999" s="41"/>
      <c r="M999" s="41"/>
      <c r="N999" s="41"/>
      <c r="O999" s="41"/>
      <c r="P999" s="41"/>
      <c r="Q999" s="41"/>
      <c r="R999" s="41"/>
      <c r="S999" s="41"/>
      <c r="T999" s="41"/>
      <c r="U999" s="41"/>
      <c r="V999" s="41"/>
      <c r="W999" s="41"/>
      <c r="X999" s="41"/>
      <c r="Y999" s="41"/>
      <c r="Z999" s="41"/>
      <c r="AA999" s="41"/>
      <c r="AB999" s="41"/>
      <c r="AC999" s="41"/>
      <c r="AD999" s="41"/>
      <c r="AE999" s="41"/>
      <c r="AF999" s="41"/>
      <c r="AG999" s="41"/>
      <c r="AH999" s="41"/>
      <c r="AI999" s="41"/>
    </row>
    <row r="1000" spans="1:35" ht="15.75" customHeight="1" x14ac:dyDescent="0.2">
      <c r="A1000" s="41"/>
      <c r="B1000" s="41"/>
      <c r="C1000" s="41"/>
      <c r="D1000" s="41"/>
      <c r="E1000" s="41"/>
      <c r="F1000" s="41"/>
      <c r="G1000" s="41"/>
      <c r="H1000" s="41"/>
      <c r="I1000" s="41"/>
      <c r="J1000" s="41"/>
      <c r="K1000" s="41"/>
      <c r="L1000" s="41"/>
      <c r="M1000" s="41"/>
      <c r="N1000" s="41"/>
      <c r="O1000" s="41"/>
      <c r="P1000" s="41"/>
      <c r="Q1000" s="41"/>
      <c r="R1000" s="41"/>
      <c r="S1000" s="41"/>
      <c r="T1000" s="41"/>
      <c r="U1000" s="41"/>
      <c r="V1000" s="41"/>
      <c r="W1000" s="41"/>
      <c r="X1000" s="41"/>
      <c r="Y1000" s="41"/>
      <c r="Z1000" s="41"/>
      <c r="AA1000" s="41"/>
      <c r="AB1000" s="41"/>
      <c r="AC1000" s="41"/>
      <c r="AD1000" s="41"/>
      <c r="AE1000" s="41"/>
      <c r="AF1000" s="41"/>
      <c r="AG1000" s="41"/>
      <c r="AH1000" s="41"/>
      <c r="AI1000" s="41"/>
    </row>
  </sheetData>
  <autoFilter ref="A1:AI28" xr:uid="{00000000-0009-0000-0000-000004000000}"/>
  <hyperlinks>
    <hyperlink ref="F2" r:id="rId1" xr:uid="{00000000-0004-0000-0400-000000000000}"/>
    <hyperlink ref="E3" r:id="rId2" xr:uid="{00000000-0004-0000-0400-000001000000}"/>
    <hyperlink ref="F3" r:id="rId3" xr:uid="{00000000-0004-0000-0400-000002000000}"/>
    <hyperlink ref="G3" r:id="rId4" xr:uid="{00000000-0004-0000-0400-000003000000}"/>
    <hyperlink ref="E4" r:id="rId5" xr:uid="{00000000-0004-0000-0400-000004000000}"/>
    <hyperlink ref="F4" r:id="rId6" xr:uid="{00000000-0004-0000-0400-000005000000}"/>
    <hyperlink ref="E5" r:id="rId7" xr:uid="{00000000-0004-0000-0400-000006000000}"/>
    <hyperlink ref="F5" r:id="rId8" xr:uid="{00000000-0004-0000-0400-000007000000}"/>
    <hyperlink ref="F6" r:id="rId9" xr:uid="{00000000-0004-0000-0400-000008000000}"/>
    <hyperlink ref="E7" r:id="rId10" xr:uid="{00000000-0004-0000-0400-000009000000}"/>
    <hyperlink ref="E8" r:id="rId11" xr:uid="{00000000-0004-0000-0400-00000A000000}"/>
    <hyperlink ref="F9" r:id="rId12" xr:uid="{00000000-0004-0000-0400-00000B000000}"/>
    <hyperlink ref="E10" r:id="rId13" xr:uid="{00000000-0004-0000-0400-00000C000000}"/>
    <hyperlink ref="F10" r:id="rId14" xr:uid="{00000000-0004-0000-0400-00000D000000}"/>
    <hyperlink ref="G10" r:id="rId15" xr:uid="{00000000-0004-0000-0400-00000E000000}"/>
    <hyperlink ref="H10" r:id="rId16" xr:uid="{00000000-0004-0000-0400-00000F000000}"/>
  </hyperlinks>
  <pageMargins left="0.7" right="0.7" top="0.75" bottom="0.75" header="0" footer="0"/>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AI1000"/>
  <sheetViews>
    <sheetView workbookViewId="0">
      <pane ySplit="1" topLeftCell="A2" activePane="bottomLeft" state="frozen"/>
      <selection pane="bottomLeft" activeCell="B3" sqref="B3"/>
    </sheetView>
  </sheetViews>
  <sheetFormatPr baseColWidth="10" defaultColWidth="11.1640625" defaultRowHeight="15" customHeight="1" x14ac:dyDescent="0.2"/>
  <cols>
    <col min="1" max="1" width="16.6640625" customWidth="1"/>
    <col min="2" max="2" width="52.6640625" customWidth="1"/>
    <col min="3" max="3" width="45.33203125" customWidth="1"/>
    <col min="4" max="4" width="53.1640625" customWidth="1"/>
    <col min="5" max="5" width="16.83203125" customWidth="1"/>
    <col min="6" max="6" width="17.33203125" customWidth="1"/>
    <col min="7" max="7" width="16.6640625" customWidth="1"/>
    <col min="8" max="8" width="18" customWidth="1"/>
    <col min="9" max="9" width="22.83203125" customWidth="1"/>
    <col min="10" max="10" width="27" customWidth="1"/>
    <col min="11" max="11" width="32.83203125" customWidth="1"/>
    <col min="12" max="13" width="32" customWidth="1"/>
    <col min="14" max="14" width="23.83203125" customWidth="1"/>
    <col min="15" max="15" width="21.83203125" customWidth="1"/>
    <col min="16" max="16" width="20.6640625" customWidth="1"/>
    <col min="17" max="17" width="19.5" customWidth="1"/>
    <col min="18" max="18" width="18.83203125" customWidth="1"/>
    <col min="19" max="19" width="19.6640625" customWidth="1"/>
    <col min="20" max="20" width="15.1640625" customWidth="1"/>
    <col min="21" max="21" width="13.5" customWidth="1"/>
    <col min="22" max="22" width="14" customWidth="1"/>
    <col min="23" max="23" width="22.5" customWidth="1"/>
    <col min="24" max="24" width="27.5" customWidth="1"/>
    <col min="25" max="28" width="11" customWidth="1"/>
    <col min="29" max="35" width="11.1640625" customWidth="1"/>
  </cols>
  <sheetData>
    <row r="1" spans="1:35" ht="60" customHeight="1" x14ac:dyDescent="0.2">
      <c r="A1" s="45" t="s">
        <v>830</v>
      </c>
      <c r="B1" s="45" t="s">
        <v>1</v>
      </c>
      <c r="C1" s="45" t="s">
        <v>831</v>
      </c>
      <c r="D1" s="45" t="s">
        <v>832</v>
      </c>
      <c r="E1" s="45" t="s">
        <v>833</v>
      </c>
      <c r="F1" s="45" t="s">
        <v>16</v>
      </c>
      <c r="G1" s="45" t="s">
        <v>17</v>
      </c>
      <c r="H1" s="45" t="s">
        <v>834</v>
      </c>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row>
    <row r="2" spans="1:35" ht="60" customHeight="1" x14ac:dyDescent="0.2">
      <c r="A2" s="46">
        <v>43948</v>
      </c>
      <c r="B2" s="52" t="s">
        <v>861</v>
      </c>
      <c r="C2" s="53"/>
      <c r="D2" s="47" t="s">
        <v>862</v>
      </c>
      <c r="E2" s="20" t="s">
        <v>422</v>
      </c>
      <c r="F2" s="47"/>
      <c r="G2" s="47"/>
      <c r="H2" s="47"/>
      <c r="I2" s="47"/>
      <c r="J2" s="47"/>
      <c r="K2" s="47"/>
      <c r="L2" s="47"/>
      <c r="M2" s="47"/>
      <c r="N2" s="68"/>
      <c r="O2" s="47"/>
      <c r="P2" s="20"/>
      <c r="Q2" s="47"/>
      <c r="R2" s="47"/>
      <c r="S2" s="61"/>
      <c r="T2" s="61"/>
      <c r="U2" s="61"/>
      <c r="V2" s="61"/>
      <c r="W2" s="47"/>
      <c r="X2" s="47"/>
      <c r="Y2" s="47"/>
      <c r="Z2" s="47"/>
      <c r="AA2" s="47"/>
      <c r="AB2" s="47"/>
      <c r="AC2" s="47"/>
      <c r="AD2" s="47"/>
      <c r="AE2" s="47"/>
      <c r="AF2" s="47"/>
      <c r="AG2" s="47"/>
      <c r="AH2" s="47"/>
      <c r="AI2" s="47"/>
    </row>
    <row r="3" spans="1:35" ht="60" customHeight="1" x14ac:dyDescent="0.2">
      <c r="A3" s="57">
        <v>44195</v>
      </c>
      <c r="B3" s="52" t="s">
        <v>863</v>
      </c>
      <c r="C3" s="47" t="s">
        <v>864</v>
      </c>
      <c r="D3" s="69" t="s">
        <v>865</v>
      </c>
      <c r="E3" s="20" t="s">
        <v>866</v>
      </c>
      <c r="F3" s="47"/>
      <c r="G3" s="47"/>
      <c r="H3" s="47"/>
      <c r="I3" s="47"/>
      <c r="J3" s="47"/>
      <c r="K3" s="47"/>
      <c r="L3" s="47"/>
      <c r="M3" s="60"/>
      <c r="N3" s="70"/>
      <c r="O3" s="51"/>
      <c r="P3" s="20"/>
      <c r="Q3" s="47"/>
      <c r="R3" s="50"/>
      <c r="S3" s="50"/>
      <c r="T3" s="47"/>
      <c r="U3" s="47"/>
      <c r="V3" s="47"/>
      <c r="W3" s="47"/>
      <c r="X3" s="47"/>
      <c r="Y3" s="47"/>
      <c r="Z3" s="47"/>
      <c r="AA3" s="47"/>
      <c r="AB3" s="47"/>
      <c r="AC3" s="47"/>
      <c r="AD3" s="47"/>
      <c r="AE3" s="47"/>
      <c r="AF3" s="47"/>
      <c r="AG3" s="47"/>
      <c r="AH3" s="47"/>
      <c r="AI3" s="47"/>
    </row>
    <row r="4" spans="1:35" ht="60" customHeight="1" x14ac:dyDescent="0.2">
      <c r="A4" s="57">
        <v>44314</v>
      </c>
      <c r="B4" s="52" t="s">
        <v>867</v>
      </c>
      <c r="C4" s="47" t="s">
        <v>868</v>
      </c>
      <c r="D4" s="47" t="s">
        <v>869</v>
      </c>
      <c r="E4" s="47"/>
      <c r="F4" s="47"/>
      <c r="G4" s="47"/>
      <c r="H4" s="47"/>
      <c r="I4" s="47"/>
      <c r="J4" s="47"/>
      <c r="K4" s="47"/>
      <c r="L4" s="71"/>
      <c r="M4" s="47"/>
      <c r="N4" s="47"/>
      <c r="O4" s="47"/>
      <c r="P4" s="20"/>
      <c r="Q4" s="47"/>
      <c r="R4" s="50"/>
      <c r="S4" s="47"/>
      <c r="T4" s="47"/>
      <c r="U4" s="47"/>
      <c r="V4" s="47"/>
      <c r="W4" s="47"/>
      <c r="X4" s="47"/>
      <c r="Y4" s="47"/>
      <c r="Z4" s="47"/>
      <c r="AA4" s="47"/>
      <c r="AB4" s="47"/>
      <c r="AC4" s="47"/>
      <c r="AD4" s="47"/>
      <c r="AE4" s="47"/>
      <c r="AF4" s="47"/>
      <c r="AG4" s="47"/>
      <c r="AH4" s="47"/>
      <c r="AI4" s="47"/>
    </row>
    <row r="5" spans="1:35" ht="60" customHeight="1" x14ac:dyDescent="0.2">
      <c r="A5" s="57">
        <v>44969</v>
      </c>
      <c r="B5" s="52" t="s">
        <v>870</v>
      </c>
      <c r="C5" s="47" t="s">
        <v>871</v>
      </c>
      <c r="D5" s="48" t="s">
        <v>872</v>
      </c>
      <c r="E5" s="47"/>
      <c r="F5" s="47"/>
      <c r="G5" s="47"/>
      <c r="H5" s="47"/>
      <c r="I5" s="47"/>
      <c r="J5" s="47"/>
      <c r="K5" s="47"/>
      <c r="L5" s="47"/>
      <c r="M5" s="47"/>
      <c r="N5" s="47"/>
      <c r="O5" s="47"/>
      <c r="P5" s="20"/>
      <c r="Q5" s="47"/>
      <c r="R5" s="50"/>
      <c r="S5" s="47"/>
      <c r="T5" s="47"/>
      <c r="U5" s="47"/>
      <c r="V5" s="47"/>
      <c r="W5" s="47"/>
      <c r="X5" s="47"/>
      <c r="Y5" s="47"/>
      <c r="Z5" s="47"/>
      <c r="AA5" s="47"/>
      <c r="AB5" s="47"/>
      <c r="AC5" s="47"/>
      <c r="AD5" s="47"/>
      <c r="AE5" s="47"/>
      <c r="AF5" s="47"/>
      <c r="AG5" s="47"/>
      <c r="AH5" s="47"/>
      <c r="AI5" s="47"/>
    </row>
    <row r="6" spans="1:35" ht="60" customHeight="1" x14ac:dyDescent="0.2">
      <c r="A6" s="46">
        <v>45554</v>
      </c>
      <c r="B6" s="52" t="s">
        <v>873</v>
      </c>
      <c r="C6" s="47" t="s">
        <v>874</v>
      </c>
      <c r="D6" s="47" t="s">
        <v>875</v>
      </c>
      <c r="E6" s="20" t="s">
        <v>876</v>
      </c>
      <c r="F6" s="20" t="s">
        <v>124</v>
      </c>
      <c r="G6" s="20" t="s">
        <v>124</v>
      </c>
      <c r="H6" s="47"/>
      <c r="I6" s="47"/>
      <c r="J6" s="47"/>
      <c r="K6" s="47"/>
      <c r="L6" s="47"/>
      <c r="M6" s="47"/>
      <c r="N6" s="47"/>
      <c r="O6" s="47"/>
      <c r="P6" s="20"/>
      <c r="Q6" s="47"/>
      <c r="R6" s="50"/>
      <c r="S6" s="50"/>
      <c r="T6" s="47"/>
      <c r="U6" s="47"/>
      <c r="V6" s="47"/>
      <c r="W6" s="47"/>
      <c r="X6" s="47"/>
      <c r="Y6" s="47"/>
      <c r="Z6" s="47"/>
      <c r="AA6" s="47"/>
      <c r="AB6" s="47"/>
      <c r="AC6" s="47"/>
      <c r="AD6" s="47"/>
      <c r="AE6" s="47"/>
      <c r="AF6" s="47"/>
      <c r="AG6" s="47"/>
      <c r="AH6" s="47"/>
      <c r="AI6" s="47"/>
    </row>
    <row r="7" spans="1:35" ht="60" customHeight="1" x14ac:dyDescent="0.2">
      <c r="A7" s="57">
        <v>45611</v>
      </c>
      <c r="B7" s="52" t="s">
        <v>877</v>
      </c>
      <c r="C7" s="47"/>
      <c r="D7" s="56"/>
      <c r="E7" s="20" t="s">
        <v>878</v>
      </c>
      <c r="F7" s="47"/>
      <c r="G7" s="47"/>
      <c r="H7" s="47"/>
      <c r="I7" s="47"/>
      <c r="J7" s="47"/>
      <c r="K7" s="47"/>
      <c r="L7" s="47"/>
      <c r="M7" s="47"/>
      <c r="N7" s="47"/>
      <c r="O7" s="47"/>
      <c r="P7" s="20"/>
      <c r="Q7" s="47"/>
      <c r="R7" s="20"/>
      <c r="S7" s="20"/>
      <c r="T7" s="47"/>
      <c r="U7" s="47"/>
      <c r="V7" s="47"/>
      <c r="W7" s="47"/>
      <c r="X7" s="47"/>
      <c r="Y7" s="47"/>
      <c r="Z7" s="47"/>
      <c r="AA7" s="47"/>
      <c r="AB7" s="47"/>
      <c r="AC7" s="47"/>
      <c r="AD7" s="47"/>
      <c r="AE7" s="47"/>
      <c r="AF7" s="47"/>
      <c r="AG7" s="47"/>
      <c r="AH7" s="47"/>
      <c r="AI7" s="47"/>
    </row>
    <row r="8" spans="1:35" ht="60" customHeight="1" x14ac:dyDescent="0.2">
      <c r="A8" s="57">
        <v>45657</v>
      </c>
      <c r="B8" s="47" t="s">
        <v>879</v>
      </c>
      <c r="C8" s="56"/>
      <c r="D8" s="47" t="s">
        <v>880</v>
      </c>
      <c r="E8" s="20" t="s">
        <v>881</v>
      </c>
      <c r="F8" s="20" t="s">
        <v>882</v>
      </c>
      <c r="G8" s="47"/>
      <c r="H8" s="47"/>
      <c r="I8" s="47"/>
      <c r="J8" s="47"/>
      <c r="K8" s="47"/>
      <c r="L8" s="47"/>
      <c r="M8" s="47"/>
      <c r="N8" s="47"/>
      <c r="O8" s="47"/>
      <c r="P8" s="20"/>
      <c r="Q8" s="47"/>
      <c r="R8" s="50"/>
      <c r="S8" s="50"/>
      <c r="T8" s="47"/>
      <c r="U8" s="47"/>
      <c r="V8" s="47"/>
      <c r="W8" s="47"/>
      <c r="X8" s="47"/>
      <c r="Y8" s="47"/>
      <c r="Z8" s="47"/>
      <c r="AA8" s="47"/>
      <c r="AB8" s="47"/>
      <c r="AC8" s="47"/>
      <c r="AD8" s="47"/>
      <c r="AE8" s="47"/>
      <c r="AF8" s="47"/>
      <c r="AG8" s="47"/>
      <c r="AH8" s="47"/>
      <c r="AI8" s="47"/>
    </row>
    <row r="9" spans="1:35" ht="60" customHeight="1" x14ac:dyDescent="0.2">
      <c r="A9" s="57">
        <v>45657</v>
      </c>
      <c r="B9" s="52" t="s">
        <v>883</v>
      </c>
      <c r="C9" s="47"/>
      <c r="D9" s="47" t="s">
        <v>884</v>
      </c>
      <c r="E9" s="20" t="s">
        <v>885</v>
      </c>
      <c r="F9" s="20" t="s">
        <v>886</v>
      </c>
      <c r="G9" s="20" t="s">
        <v>887</v>
      </c>
      <c r="H9" s="47"/>
      <c r="I9" s="47"/>
      <c r="J9" s="47"/>
      <c r="K9" s="47"/>
      <c r="L9" s="47"/>
      <c r="M9" s="47"/>
      <c r="N9" s="47"/>
      <c r="O9" s="47"/>
      <c r="P9" s="20"/>
      <c r="Q9" s="47"/>
      <c r="R9" s="50"/>
      <c r="S9" s="47"/>
      <c r="T9" s="47"/>
      <c r="U9" s="47"/>
      <c r="V9" s="47"/>
      <c r="W9" s="47"/>
      <c r="X9" s="47"/>
      <c r="Y9" s="47"/>
      <c r="Z9" s="47"/>
      <c r="AA9" s="47"/>
      <c r="AB9" s="47"/>
      <c r="AC9" s="47"/>
      <c r="AD9" s="47"/>
      <c r="AE9" s="47"/>
      <c r="AF9" s="47"/>
      <c r="AG9" s="47"/>
      <c r="AH9" s="47"/>
      <c r="AI9" s="47"/>
    </row>
    <row r="10" spans="1:35" ht="60" customHeight="1" x14ac:dyDescent="0.2">
      <c r="A10" s="57"/>
      <c r="B10" s="47"/>
      <c r="C10" s="47"/>
      <c r="D10" s="47"/>
      <c r="E10" s="47"/>
      <c r="F10" s="47"/>
      <c r="G10" s="47"/>
      <c r="H10" s="47"/>
      <c r="I10" s="47"/>
      <c r="J10" s="47"/>
      <c r="K10" s="47"/>
      <c r="L10" s="47"/>
      <c r="M10" s="47"/>
      <c r="N10" s="47"/>
      <c r="O10" s="47"/>
      <c r="P10" s="20"/>
      <c r="Q10" s="47"/>
      <c r="R10" s="50"/>
      <c r="S10" s="50"/>
      <c r="T10" s="50"/>
      <c r="U10" s="47"/>
      <c r="V10" s="47"/>
      <c r="W10" s="47"/>
      <c r="X10" s="47"/>
      <c r="Y10" s="47"/>
      <c r="Z10" s="47"/>
      <c r="AA10" s="47"/>
      <c r="AB10" s="47"/>
      <c r="AC10" s="47"/>
      <c r="AD10" s="47"/>
      <c r="AE10" s="47"/>
      <c r="AF10" s="47"/>
      <c r="AG10" s="47"/>
      <c r="AH10" s="47"/>
      <c r="AI10" s="47"/>
    </row>
    <row r="11" spans="1:35" ht="60" customHeight="1" x14ac:dyDescent="0.2">
      <c r="A11" s="46"/>
      <c r="B11" s="47"/>
      <c r="C11" s="47"/>
      <c r="D11" s="47"/>
      <c r="E11" s="47"/>
      <c r="F11" s="47"/>
      <c r="G11" s="47"/>
      <c r="H11" s="47"/>
      <c r="I11" s="47"/>
      <c r="J11" s="47"/>
      <c r="K11" s="47"/>
      <c r="L11" s="47"/>
      <c r="M11" s="47"/>
      <c r="N11" s="47"/>
      <c r="O11" s="47"/>
      <c r="P11" s="20"/>
      <c r="Q11" s="50"/>
      <c r="R11" s="50"/>
      <c r="S11" s="47"/>
      <c r="T11" s="47"/>
      <c r="U11" s="47"/>
      <c r="V11" s="47"/>
      <c r="W11" s="47"/>
      <c r="X11" s="47"/>
      <c r="Y11" s="47"/>
      <c r="Z11" s="47"/>
      <c r="AA11" s="47"/>
      <c r="AB11" s="47"/>
      <c r="AC11" s="47"/>
      <c r="AD11" s="47"/>
      <c r="AE11" s="47"/>
      <c r="AF11" s="47"/>
      <c r="AG11" s="47"/>
      <c r="AH11" s="47"/>
      <c r="AI11" s="47"/>
    </row>
    <row r="12" spans="1:35" ht="60" customHeight="1" x14ac:dyDescent="0.2">
      <c r="A12" s="57"/>
      <c r="B12" s="47"/>
      <c r="C12" s="47"/>
      <c r="D12" s="47"/>
      <c r="E12" s="47"/>
      <c r="F12" s="47"/>
      <c r="G12" s="47"/>
      <c r="H12" s="47"/>
      <c r="I12" s="47"/>
      <c r="J12" s="47"/>
      <c r="K12" s="47"/>
      <c r="L12" s="47"/>
      <c r="M12" s="60"/>
      <c r="N12" s="47"/>
      <c r="O12" s="47"/>
      <c r="P12" s="20"/>
      <c r="Q12" s="47"/>
      <c r="R12" s="50"/>
      <c r="S12" s="47"/>
      <c r="T12" s="47"/>
      <c r="U12" s="47"/>
      <c r="V12" s="47"/>
      <c r="W12" s="47"/>
      <c r="X12" s="47"/>
      <c r="Y12" s="47"/>
      <c r="Z12" s="47"/>
      <c r="AA12" s="47"/>
      <c r="AB12" s="47"/>
      <c r="AC12" s="47"/>
      <c r="AD12" s="47"/>
      <c r="AE12" s="47"/>
      <c r="AF12" s="47"/>
      <c r="AG12" s="47"/>
      <c r="AH12" s="47"/>
      <c r="AI12" s="47"/>
    </row>
    <row r="13" spans="1:35" ht="60" customHeight="1" x14ac:dyDescent="0.2">
      <c r="A13" s="46"/>
      <c r="B13" s="47"/>
      <c r="C13" s="47"/>
      <c r="D13" s="47"/>
      <c r="E13" s="47"/>
      <c r="F13" s="47"/>
      <c r="G13" s="47"/>
      <c r="H13" s="47"/>
      <c r="I13" s="47"/>
      <c r="J13" s="47"/>
      <c r="K13" s="47"/>
      <c r="L13" s="47"/>
      <c r="M13" s="47"/>
      <c r="N13" s="47"/>
      <c r="O13" s="56"/>
      <c r="P13" s="20"/>
      <c r="Q13" s="20"/>
      <c r="R13" s="56"/>
      <c r="S13" s="20"/>
      <c r="T13" s="20"/>
      <c r="U13" s="47"/>
      <c r="V13" s="47"/>
      <c r="W13" s="47"/>
      <c r="X13" s="47"/>
      <c r="Y13" s="47"/>
      <c r="Z13" s="47"/>
      <c r="AA13" s="47"/>
      <c r="AB13" s="47"/>
      <c r="AC13" s="47"/>
      <c r="AD13" s="47"/>
      <c r="AE13" s="47"/>
      <c r="AF13" s="47"/>
      <c r="AG13" s="47"/>
      <c r="AH13" s="47"/>
      <c r="AI13" s="56"/>
    </row>
    <row r="14" spans="1:35" ht="60" customHeight="1" x14ac:dyDescent="0.2">
      <c r="A14" s="57"/>
      <c r="B14" s="47"/>
      <c r="C14" s="47"/>
      <c r="D14" s="47"/>
      <c r="E14" s="47"/>
      <c r="F14" s="47"/>
      <c r="G14" s="47"/>
      <c r="H14" s="47"/>
      <c r="I14" s="47"/>
      <c r="J14" s="47"/>
      <c r="K14" s="47"/>
      <c r="L14" s="47"/>
      <c r="M14" s="47"/>
      <c r="N14" s="47"/>
      <c r="O14" s="47"/>
      <c r="P14" s="23"/>
      <c r="Q14" s="47"/>
      <c r="R14" s="50"/>
      <c r="S14" s="50"/>
      <c r="T14" s="47"/>
      <c r="U14" s="47"/>
      <c r="V14" s="47"/>
      <c r="W14" s="47"/>
      <c r="X14" s="47"/>
      <c r="Y14" s="47"/>
      <c r="Z14" s="47"/>
      <c r="AA14" s="47"/>
      <c r="AB14" s="47"/>
      <c r="AC14" s="47"/>
      <c r="AD14" s="47"/>
      <c r="AE14" s="47"/>
      <c r="AF14" s="47"/>
      <c r="AG14" s="47"/>
      <c r="AH14" s="47"/>
      <c r="AI14" s="47"/>
    </row>
    <row r="15" spans="1:35" ht="60" customHeight="1" x14ac:dyDescent="0.2">
      <c r="A15" s="57"/>
      <c r="B15" s="47"/>
      <c r="C15" s="47"/>
      <c r="D15" s="47"/>
      <c r="E15" s="47"/>
      <c r="F15" s="47"/>
      <c r="G15" s="47"/>
      <c r="H15" s="47"/>
      <c r="I15" s="47"/>
      <c r="J15" s="47"/>
      <c r="K15" s="47"/>
      <c r="L15" s="47"/>
      <c r="M15" s="47"/>
      <c r="N15" s="47"/>
      <c r="O15" s="47"/>
      <c r="P15" s="20"/>
      <c r="Q15" s="47"/>
      <c r="R15" s="20"/>
      <c r="S15" s="47"/>
      <c r="T15" s="47"/>
      <c r="U15" s="47"/>
      <c r="V15" s="47"/>
      <c r="W15" s="47"/>
      <c r="X15" s="47"/>
      <c r="Y15" s="47"/>
      <c r="Z15" s="47"/>
      <c r="AA15" s="47"/>
      <c r="AB15" s="47"/>
      <c r="AC15" s="47"/>
      <c r="AD15" s="47"/>
      <c r="AE15" s="47"/>
      <c r="AF15" s="47"/>
      <c r="AG15" s="47"/>
      <c r="AH15" s="47"/>
      <c r="AI15" s="47"/>
    </row>
    <row r="16" spans="1:35" ht="60" customHeight="1" x14ac:dyDescent="0.2">
      <c r="A16" s="57"/>
      <c r="B16" s="47"/>
      <c r="C16" s="47"/>
      <c r="D16" s="47"/>
      <c r="E16" s="47"/>
      <c r="F16" s="47"/>
      <c r="G16" s="47"/>
      <c r="H16" s="47"/>
      <c r="I16" s="47"/>
      <c r="J16" s="47"/>
      <c r="K16" s="47"/>
      <c r="L16" s="47"/>
      <c r="M16" s="47"/>
      <c r="N16" s="47"/>
      <c r="O16" s="47"/>
      <c r="P16" s="20"/>
      <c r="Q16" s="20"/>
      <c r="R16" s="47"/>
      <c r="S16" s="20"/>
      <c r="T16" s="47"/>
      <c r="U16" s="47"/>
      <c r="V16" s="47"/>
      <c r="W16" s="47"/>
      <c r="X16" s="47"/>
      <c r="Y16" s="47"/>
      <c r="Z16" s="47"/>
      <c r="AA16" s="47"/>
      <c r="AB16" s="47"/>
      <c r="AC16" s="47"/>
      <c r="AD16" s="47"/>
      <c r="AE16" s="47"/>
      <c r="AF16" s="47"/>
      <c r="AG16" s="47"/>
      <c r="AH16" s="47"/>
      <c r="AI16" s="47"/>
    </row>
    <row r="17" spans="1:35" ht="60" customHeight="1" x14ac:dyDescent="0.2">
      <c r="A17" s="57"/>
      <c r="B17" s="47"/>
      <c r="C17" s="47"/>
      <c r="D17" s="47"/>
      <c r="E17" s="47"/>
      <c r="F17" s="47"/>
      <c r="G17" s="47"/>
      <c r="H17" s="47"/>
      <c r="I17" s="47"/>
      <c r="J17" s="47"/>
      <c r="K17" s="47"/>
      <c r="L17" s="47"/>
      <c r="M17" s="47"/>
      <c r="N17" s="47"/>
      <c r="O17" s="47"/>
      <c r="P17" s="20"/>
      <c r="Q17" s="20"/>
      <c r="R17" s="20"/>
      <c r="S17" s="47"/>
      <c r="T17" s="47"/>
      <c r="U17" s="47"/>
      <c r="V17" s="47"/>
      <c r="W17" s="47"/>
      <c r="X17" s="47"/>
      <c r="Y17" s="47"/>
      <c r="Z17" s="47"/>
      <c r="AA17" s="47"/>
      <c r="AB17" s="47"/>
      <c r="AC17" s="47"/>
      <c r="AD17" s="47"/>
      <c r="AE17" s="47"/>
      <c r="AF17" s="47"/>
      <c r="AG17" s="47"/>
      <c r="AH17" s="47"/>
      <c r="AI17" s="47"/>
    </row>
    <row r="18" spans="1:35" ht="60" customHeight="1" x14ac:dyDescent="0.2">
      <c r="A18" s="57"/>
      <c r="B18" s="47"/>
      <c r="C18" s="47"/>
      <c r="D18" s="47"/>
      <c r="E18" s="47"/>
      <c r="F18" s="47"/>
      <c r="G18" s="47"/>
      <c r="H18" s="47"/>
      <c r="I18" s="47"/>
      <c r="J18" s="47"/>
      <c r="K18" s="47"/>
      <c r="L18" s="47"/>
      <c r="M18" s="47"/>
      <c r="N18" s="47"/>
      <c r="O18" s="47"/>
      <c r="P18" s="20"/>
      <c r="Q18" s="20"/>
      <c r="R18" s="20"/>
      <c r="S18" s="47"/>
      <c r="T18" s="47"/>
      <c r="U18" s="47"/>
      <c r="V18" s="47"/>
      <c r="W18" s="47"/>
      <c r="X18" s="47"/>
      <c r="Y18" s="47"/>
      <c r="Z18" s="47"/>
      <c r="AA18" s="47"/>
      <c r="AB18" s="47"/>
      <c r="AC18" s="47"/>
      <c r="AD18" s="47"/>
      <c r="AE18" s="47"/>
      <c r="AF18" s="47"/>
      <c r="AG18" s="47"/>
      <c r="AH18" s="47"/>
      <c r="AI18" s="47"/>
    </row>
    <row r="19" spans="1:35" ht="60" customHeight="1" x14ac:dyDescent="0.2">
      <c r="A19" s="57"/>
      <c r="B19" s="47"/>
      <c r="C19" s="47"/>
      <c r="D19" s="47"/>
      <c r="E19" s="47"/>
      <c r="F19" s="47"/>
      <c r="G19" s="47"/>
      <c r="H19" s="47"/>
      <c r="I19" s="47"/>
      <c r="J19" s="47"/>
      <c r="K19" s="47"/>
      <c r="L19" s="47"/>
      <c r="M19" s="47"/>
      <c r="N19" s="47"/>
      <c r="O19" s="53"/>
      <c r="P19" s="20"/>
      <c r="Q19" s="50"/>
      <c r="R19" s="53"/>
      <c r="S19" s="47"/>
      <c r="T19" s="47"/>
      <c r="U19" s="47"/>
      <c r="V19" s="47"/>
      <c r="W19" s="47"/>
      <c r="X19" s="47"/>
      <c r="Y19" s="47"/>
      <c r="Z19" s="47"/>
      <c r="AA19" s="47"/>
      <c r="AB19" s="47"/>
      <c r="AC19" s="47"/>
      <c r="AD19" s="47"/>
      <c r="AE19" s="47"/>
      <c r="AF19" s="47"/>
      <c r="AG19" s="47"/>
      <c r="AH19" s="47"/>
      <c r="AI19" s="53"/>
    </row>
    <row r="20" spans="1:35" ht="60" customHeight="1" x14ac:dyDescent="0.2">
      <c r="A20" s="57"/>
      <c r="B20" s="47"/>
      <c r="C20" s="47"/>
      <c r="D20" s="47"/>
      <c r="E20" s="47"/>
      <c r="F20" s="47"/>
      <c r="G20" s="47"/>
      <c r="H20" s="47"/>
      <c r="I20" s="47"/>
      <c r="J20" s="47"/>
      <c r="K20" s="47"/>
      <c r="L20" s="47"/>
      <c r="M20" s="47"/>
      <c r="N20" s="47"/>
      <c r="O20" s="47"/>
      <c r="P20" s="20"/>
      <c r="Q20" s="20"/>
      <c r="R20" s="20"/>
      <c r="S20" s="47"/>
      <c r="T20" s="47"/>
      <c r="U20" s="47"/>
      <c r="V20" s="47"/>
      <c r="W20" s="47"/>
      <c r="X20" s="47"/>
      <c r="Y20" s="47"/>
      <c r="Z20" s="47"/>
      <c r="AA20" s="47"/>
      <c r="AB20" s="47"/>
      <c r="AC20" s="47"/>
      <c r="AD20" s="47"/>
      <c r="AE20" s="47"/>
      <c r="AF20" s="47"/>
      <c r="AG20" s="47"/>
      <c r="AH20" s="47"/>
      <c r="AI20" s="47"/>
    </row>
    <row r="21" spans="1:35" ht="60" customHeight="1" x14ac:dyDescent="0.2">
      <c r="A21" s="57"/>
      <c r="B21" s="47"/>
      <c r="C21" s="47"/>
      <c r="D21" s="47"/>
      <c r="E21" s="47"/>
      <c r="F21" s="47"/>
      <c r="G21" s="47"/>
      <c r="H21" s="47"/>
      <c r="I21" s="47"/>
      <c r="J21" s="47"/>
      <c r="K21" s="47"/>
      <c r="L21" s="47"/>
      <c r="M21" s="47"/>
      <c r="N21" s="47"/>
      <c r="O21" s="47"/>
      <c r="P21" s="20"/>
      <c r="Q21" s="47"/>
      <c r="R21" s="20"/>
      <c r="S21" s="47"/>
      <c r="T21" s="47"/>
      <c r="U21" s="47"/>
      <c r="V21" s="47"/>
      <c r="W21" s="47"/>
      <c r="X21" s="47"/>
      <c r="Y21" s="47"/>
      <c r="Z21" s="47"/>
      <c r="AA21" s="47"/>
      <c r="AB21" s="47"/>
      <c r="AC21" s="47"/>
      <c r="AD21" s="47"/>
      <c r="AE21" s="47"/>
      <c r="AF21" s="47"/>
      <c r="AG21" s="47"/>
      <c r="AH21" s="47"/>
      <c r="AI21" s="47"/>
    </row>
    <row r="22" spans="1:35" ht="60" customHeight="1" x14ac:dyDescent="0.2">
      <c r="A22" s="57"/>
      <c r="B22" s="47"/>
      <c r="C22" s="47"/>
      <c r="D22" s="47"/>
      <c r="E22" s="47"/>
      <c r="F22" s="47"/>
      <c r="G22" s="47"/>
      <c r="H22" s="47"/>
      <c r="I22" s="47"/>
      <c r="J22" s="47"/>
      <c r="K22" s="47"/>
      <c r="L22" s="47"/>
      <c r="M22" s="47"/>
      <c r="N22" s="47"/>
      <c r="O22" s="47"/>
      <c r="P22" s="20"/>
      <c r="Q22" s="20"/>
      <c r="R22" s="47"/>
      <c r="S22" s="47"/>
      <c r="T22" s="47"/>
      <c r="U22" s="47"/>
      <c r="V22" s="47"/>
      <c r="W22" s="47"/>
      <c r="X22" s="47"/>
      <c r="Y22" s="47"/>
      <c r="Z22" s="47"/>
      <c r="AA22" s="47"/>
      <c r="AB22" s="47"/>
      <c r="AC22" s="47"/>
      <c r="AD22" s="47"/>
      <c r="AE22" s="47"/>
      <c r="AF22" s="47"/>
      <c r="AG22" s="47"/>
      <c r="AH22" s="47"/>
      <c r="AI22" s="47"/>
    </row>
    <row r="23" spans="1:35" ht="60" customHeight="1" x14ac:dyDescent="0.2">
      <c r="A23" s="57"/>
      <c r="B23" s="47"/>
      <c r="C23" s="47"/>
      <c r="D23" s="47"/>
      <c r="E23" s="47"/>
      <c r="F23" s="47"/>
      <c r="G23" s="47"/>
      <c r="H23" s="47"/>
      <c r="I23" s="47"/>
      <c r="J23" s="47"/>
      <c r="K23" s="47"/>
      <c r="L23" s="47"/>
      <c r="M23" s="47"/>
      <c r="N23" s="47"/>
      <c r="O23" s="47"/>
      <c r="P23" s="20"/>
      <c r="Q23" s="47"/>
      <c r="R23" s="50"/>
      <c r="S23" s="47"/>
      <c r="T23" s="47"/>
      <c r="U23" s="47"/>
      <c r="V23" s="47"/>
      <c r="W23" s="47"/>
      <c r="X23" s="47"/>
      <c r="Y23" s="47"/>
      <c r="Z23" s="47"/>
      <c r="AA23" s="47"/>
      <c r="AB23" s="47"/>
      <c r="AC23" s="47"/>
      <c r="AD23" s="47"/>
      <c r="AE23" s="47"/>
      <c r="AF23" s="47"/>
      <c r="AG23" s="47"/>
      <c r="AH23" s="47"/>
      <c r="AI23" s="47"/>
    </row>
    <row r="24" spans="1:35" ht="60" customHeight="1" x14ac:dyDescent="0.2">
      <c r="A24" s="57"/>
      <c r="B24" s="47"/>
      <c r="C24" s="47"/>
      <c r="D24" s="47"/>
      <c r="E24" s="47"/>
      <c r="F24" s="47"/>
      <c r="G24" s="47"/>
      <c r="H24" s="47"/>
      <c r="I24" s="47"/>
      <c r="J24" s="47"/>
      <c r="K24" s="47"/>
      <c r="L24" s="47"/>
      <c r="M24" s="47"/>
      <c r="N24" s="47"/>
      <c r="O24" s="47"/>
      <c r="P24" s="20"/>
      <c r="Q24" s="47"/>
      <c r="R24" s="50"/>
      <c r="S24" s="50"/>
      <c r="T24" s="47"/>
      <c r="U24" s="47"/>
      <c r="V24" s="47"/>
      <c r="W24" s="47"/>
      <c r="X24" s="47"/>
      <c r="Y24" s="47"/>
      <c r="Z24" s="47"/>
      <c r="AA24" s="47"/>
      <c r="AB24" s="47"/>
      <c r="AC24" s="47"/>
      <c r="AD24" s="47"/>
      <c r="AE24" s="47"/>
      <c r="AF24" s="47"/>
      <c r="AG24" s="47"/>
      <c r="AH24" s="47"/>
      <c r="AI24" s="47"/>
    </row>
    <row r="25" spans="1:35" ht="60" customHeight="1" x14ac:dyDescent="0.2">
      <c r="A25" s="57"/>
      <c r="B25" s="47"/>
      <c r="C25" s="47"/>
      <c r="D25" s="47"/>
      <c r="E25" s="47"/>
      <c r="F25" s="47"/>
      <c r="G25" s="47"/>
      <c r="H25" s="47"/>
      <c r="I25" s="47"/>
      <c r="J25" s="47"/>
      <c r="K25" s="47"/>
      <c r="L25" s="47"/>
      <c r="M25" s="47"/>
      <c r="N25" s="47"/>
      <c r="O25" s="47"/>
      <c r="P25" s="20"/>
      <c r="Q25" s="47"/>
      <c r="R25" s="20"/>
      <c r="S25" s="50"/>
      <c r="T25" s="50"/>
      <c r="U25" s="62"/>
      <c r="V25" s="47"/>
      <c r="W25" s="47"/>
      <c r="X25" s="47"/>
      <c r="Y25" s="47"/>
      <c r="Z25" s="47"/>
      <c r="AA25" s="47"/>
      <c r="AB25" s="47"/>
      <c r="AC25" s="47"/>
      <c r="AD25" s="47"/>
      <c r="AE25" s="47"/>
      <c r="AF25" s="47"/>
      <c r="AG25" s="47"/>
      <c r="AH25" s="47"/>
      <c r="AI25" s="47"/>
    </row>
    <row r="26" spans="1:35" ht="60" customHeight="1" x14ac:dyDescent="0.2">
      <c r="A26" s="57"/>
      <c r="B26" s="47"/>
      <c r="C26" s="47"/>
      <c r="D26" s="47"/>
      <c r="E26" s="47"/>
      <c r="F26" s="47"/>
      <c r="G26" s="47"/>
      <c r="H26" s="47"/>
      <c r="I26" s="47"/>
      <c r="J26" s="47"/>
      <c r="K26" s="47"/>
      <c r="L26" s="47"/>
      <c r="M26" s="60"/>
      <c r="N26" s="47"/>
      <c r="O26" s="47"/>
      <c r="P26" s="20"/>
      <c r="Q26" s="47"/>
      <c r="R26" s="20"/>
      <c r="S26" s="20"/>
      <c r="T26" s="47"/>
      <c r="U26" s="47"/>
      <c r="V26" s="47"/>
      <c r="W26" s="47"/>
      <c r="X26" s="47"/>
      <c r="Y26" s="47"/>
      <c r="Z26" s="47"/>
      <c r="AA26" s="47"/>
      <c r="AB26" s="47"/>
      <c r="AC26" s="47"/>
      <c r="AD26" s="47"/>
      <c r="AE26" s="47"/>
      <c r="AF26" s="47"/>
      <c r="AG26" s="47"/>
      <c r="AH26" s="47"/>
      <c r="AI26" s="47"/>
    </row>
    <row r="27" spans="1:35" ht="60" customHeight="1" x14ac:dyDescent="0.2">
      <c r="A27" s="57"/>
      <c r="B27" s="47"/>
      <c r="C27" s="47"/>
      <c r="D27" s="47"/>
      <c r="E27" s="47"/>
      <c r="F27" s="47"/>
      <c r="G27" s="47"/>
      <c r="H27" s="47"/>
      <c r="I27" s="47"/>
      <c r="J27" s="47"/>
      <c r="K27" s="47"/>
      <c r="L27" s="47"/>
      <c r="M27" s="47"/>
      <c r="N27" s="47"/>
      <c r="O27" s="47"/>
      <c r="P27" s="20"/>
      <c r="Q27" s="47"/>
      <c r="R27" s="20"/>
      <c r="S27" s="47"/>
      <c r="T27" s="47"/>
      <c r="U27" s="47"/>
      <c r="V27" s="47"/>
      <c r="W27" s="47"/>
      <c r="X27" s="47"/>
      <c r="Y27" s="47"/>
      <c r="Z27" s="47"/>
      <c r="AA27" s="47"/>
      <c r="AB27" s="47"/>
      <c r="AC27" s="47"/>
      <c r="AD27" s="47"/>
      <c r="AE27" s="47"/>
      <c r="AF27" s="47"/>
      <c r="AG27" s="47"/>
      <c r="AH27" s="47"/>
      <c r="AI27" s="47"/>
    </row>
    <row r="28" spans="1:35" ht="60" customHeight="1" x14ac:dyDescent="0.2">
      <c r="A28" s="57"/>
      <c r="B28" s="47"/>
      <c r="C28" s="47"/>
      <c r="D28" s="47"/>
      <c r="E28" s="47"/>
      <c r="F28" s="47"/>
      <c r="G28" s="47"/>
      <c r="H28" s="47"/>
      <c r="I28" s="47"/>
      <c r="J28" s="47"/>
      <c r="K28" s="47"/>
      <c r="L28" s="47"/>
      <c r="M28" s="47"/>
      <c r="N28" s="47"/>
      <c r="O28" s="47"/>
      <c r="P28" s="20"/>
      <c r="Q28" s="47"/>
      <c r="R28" s="20"/>
      <c r="S28" s="47"/>
      <c r="T28" s="47"/>
      <c r="U28" s="47"/>
      <c r="V28" s="47"/>
      <c r="W28" s="47"/>
      <c r="X28" s="47"/>
      <c r="Y28" s="47"/>
      <c r="Z28" s="47"/>
      <c r="AA28" s="47"/>
      <c r="AB28" s="47"/>
      <c r="AC28" s="47"/>
      <c r="AD28" s="47"/>
      <c r="AE28" s="47"/>
      <c r="AF28" s="47"/>
      <c r="AG28" s="47"/>
      <c r="AH28" s="47"/>
      <c r="AI28" s="47"/>
    </row>
    <row r="29" spans="1:35" ht="60" customHeight="1" x14ac:dyDescent="0.2">
      <c r="A29" s="57"/>
      <c r="B29" s="47"/>
      <c r="C29" s="47"/>
      <c r="D29" s="47"/>
      <c r="E29" s="47"/>
      <c r="F29" s="47"/>
      <c r="G29" s="47"/>
      <c r="H29" s="47"/>
      <c r="I29" s="47"/>
      <c r="J29" s="47"/>
      <c r="K29" s="47"/>
      <c r="L29" s="47"/>
      <c r="M29" s="47"/>
      <c r="N29" s="47"/>
      <c r="O29" s="47"/>
      <c r="P29" s="20"/>
      <c r="Q29" s="50"/>
      <c r="R29" s="47"/>
      <c r="S29" s="47"/>
      <c r="T29" s="47"/>
      <c r="U29" s="47"/>
      <c r="V29" s="47"/>
      <c r="W29" s="47"/>
      <c r="X29" s="47"/>
      <c r="Y29" s="47"/>
      <c r="Z29" s="47"/>
      <c r="AA29" s="47"/>
      <c r="AB29" s="47"/>
      <c r="AC29" s="47"/>
      <c r="AD29" s="47"/>
      <c r="AE29" s="47"/>
      <c r="AF29" s="47"/>
      <c r="AG29" s="47"/>
      <c r="AH29" s="47"/>
      <c r="AI29" s="47"/>
    </row>
    <row r="30" spans="1:35" ht="60" customHeight="1" x14ac:dyDescent="0.2">
      <c r="A30" s="57"/>
      <c r="B30" s="47"/>
      <c r="C30" s="47"/>
      <c r="D30" s="47"/>
      <c r="E30" s="47"/>
      <c r="F30" s="47"/>
      <c r="G30" s="47"/>
      <c r="H30" s="47"/>
      <c r="I30" s="47"/>
      <c r="J30" s="47"/>
      <c r="K30" s="47"/>
      <c r="L30" s="47"/>
      <c r="M30" s="47"/>
      <c r="N30" s="47"/>
      <c r="O30" s="47"/>
      <c r="P30" s="20"/>
      <c r="Q30" s="47"/>
      <c r="R30" s="50"/>
      <c r="S30" s="50"/>
      <c r="T30" s="20"/>
      <c r="U30" s="47"/>
      <c r="V30" s="47"/>
      <c r="W30" s="47"/>
      <c r="X30" s="47"/>
      <c r="Y30" s="47"/>
      <c r="Z30" s="47"/>
      <c r="AA30" s="47"/>
      <c r="AB30" s="47"/>
      <c r="AC30" s="47"/>
      <c r="AD30" s="47"/>
      <c r="AE30" s="47"/>
      <c r="AF30" s="47"/>
      <c r="AG30" s="47"/>
      <c r="AH30" s="47"/>
      <c r="AI30" s="47"/>
    </row>
    <row r="31" spans="1:35" ht="60" customHeight="1" x14ac:dyDescent="0.2">
      <c r="A31" s="57"/>
      <c r="B31" s="47"/>
      <c r="C31" s="47"/>
      <c r="D31" s="47"/>
      <c r="E31" s="47"/>
      <c r="F31" s="47"/>
      <c r="G31" s="47"/>
      <c r="H31" s="47"/>
      <c r="I31" s="47"/>
      <c r="J31" s="47"/>
      <c r="K31" s="47"/>
      <c r="L31" s="47"/>
      <c r="M31" s="47"/>
      <c r="N31" s="47"/>
      <c r="O31" s="47"/>
      <c r="P31" s="20"/>
      <c r="Q31" s="20"/>
      <c r="R31" s="47"/>
      <c r="S31" s="47"/>
      <c r="T31" s="47"/>
      <c r="U31" s="47"/>
      <c r="V31" s="47"/>
      <c r="W31" s="47"/>
      <c r="X31" s="47"/>
      <c r="Y31" s="47"/>
      <c r="Z31" s="47"/>
      <c r="AA31" s="47"/>
      <c r="AB31" s="47"/>
      <c r="AC31" s="47"/>
      <c r="AD31" s="47"/>
      <c r="AE31" s="47"/>
      <c r="AF31" s="47"/>
      <c r="AG31" s="47"/>
      <c r="AH31" s="47"/>
      <c r="AI31" s="47"/>
    </row>
    <row r="32" spans="1:35" ht="60" customHeight="1" x14ac:dyDescent="0.2">
      <c r="A32" s="57"/>
      <c r="B32" s="47"/>
      <c r="C32" s="47"/>
      <c r="D32" s="47"/>
      <c r="E32" s="47"/>
      <c r="F32" s="47"/>
      <c r="G32" s="47"/>
      <c r="H32" s="47"/>
      <c r="I32" s="47"/>
      <c r="J32" s="47"/>
      <c r="K32" s="47"/>
      <c r="L32" s="47"/>
      <c r="M32" s="47"/>
      <c r="N32" s="47"/>
      <c r="O32" s="47"/>
      <c r="P32" s="20"/>
      <c r="Q32" s="47"/>
      <c r="R32" s="20"/>
      <c r="S32" s="47"/>
      <c r="T32" s="47"/>
      <c r="U32" s="47"/>
      <c r="V32" s="47"/>
      <c r="W32" s="47"/>
      <c r="X32" s="47"/>
      <c r="Y32" s="47"/>
      <c r="Z32" s="47"/>
      <c r="AA32" s="47"/>
      <c r="AB32" s="47"/>
      <c r="AC32" s="47"/>
      <c r="AD32" s="47"/>
      <c r="AE32" s="47"/>
      <c r="AF32" s="47"/>
      <c r="AG32" s="47"/>
      <c r="AH32" s="47"/>
      <c r="AI32" s="47"/>
    </row>
    <row r="33" spans="1:35" ht="60" customHeight="1" x14ac:dyDescent="0.2">
      <c r="A33" s="57"/>
      <c r="B33" s="47"/>
      <c r="C33" s="47"/>
      <c r="D33" s="47"/>
      <c r="E33" s="47"/>
      <c r="F33" s="47"/>
      <c r="G33" s="47"/>
      <c r="H33" s="47"/>
      <c r="I33" s="47"/>
      <c r="J33" s="47"/>
      <c r="K33" s="47"/>
      <c r="L33" s="47"/>
      <c r="M33" s="47"/>
      <c r="N33" s="47"/>
      <c r="O33" s="47"/>
      <c r="P33" s="20"/>
      <c r="Q33" s="20"/>
      <c r="R33" s="20"/>
      <c r="S33" s="50"/>
      <c r="T33" s="50"/>
      <c r="U33" s="47"/>
      <c r="V33" s="47"/>
      <c r="W33" s="47"/>
      <c r="X33" s="47"/>
      <c r="Y33" s="47"/>
      <c r="Z33" s="47"/>
      <c r="AA33" s="47"/>
      <c r="AB33" s="47"/>
      <c r="AC33" s="47"/>
      <c r="AD33" s="47"/>
      <c r="AE33" s="47"/>
      <c r="AF33" s="47"/>
      <c r="AG33" s="47"/>
      <c r="AH33" s="47"/>
      <c r="AI33" s="47"/>
    </row>
    <row r="34" spans="1:35" ht="60" customHeight="1" x14ac:dyDescent="0.2">
      <c r="A34" s="57"/>
      <c r="B34" s="47"/>
      <c r="C34" s="47"/>
      <c r="D34" s="47"/>
      <c r="E34" s="47"/>
      <c r="F34" s="47"/>
      <c r="G34" s="47"/>
      <c r="H34" s="47"/>
      <c r="I34" s="47"/>
      <c r="J34" s="47"/>
      <c r="K34" s="47"/>
      <c r="L34" s="47"/>
      <c r="M34" s="47"/>
      <c r="N34" s="47"/>
      <c r="O34" s="47"/>
      <c r="P34" s="20"/>
      <c r="Q34" s="20"/>
      <c r="R34" s="47"/>
      <c r="S34" s="47"/>
      <c r="T34" s="47"/>
      <c r="U34" s="47"/>
      <c r="V34" s="47"/>
      <c r="W34" s="47"/>
      <c r="X34" s="47"/>
      <c r="Y34" s="47"/>
      <c r="Z34" s="47"/>
      <c r="AA34" s="47"/>
      <c r="AB34" s="47"/>
      <c r="AC34" s="47"/>
      <c r="AD34" s="47"/>
      <c r="AE34" s="47"/>
      <c r="AF34" s="47"/>
      <c r="AG34" s="47"/>
      <c r="AH34" s="47"/>
      <c r="AI34" s="47"/>
    </row>
    <row r="35" spans="1:35" ht="60" customHeight="1" x14ac:dyDescent="0.2">
      <c r="A35" s="57"/>
      <c r="B35" s="47"/>
      <c r="C35" s="47"/>
      <c r="D35" s="47"/>
      <c r="E35" s="47"/>
      <c r="F35" s="47"/>
      <c r="G35" s="47"/>
      <c r="H35" s="47"/>
      <c r="I35" s="47"/>
      <c r="J35" s="60"/>
      <c r="K35" s="47"/>
      <c r="L35" s="47"/>
      <c r="M35" s="47"/>
      <c r="N35" s="47"/>
      <c r="O35" s="47"/>
      <c r="P35" s="20"/>
      <c r="Q35" s="20"/>
      <c r="R35" s="20"/>
      <c r="S35" s="20"/>
      <c r="T35" s="53"/>
      <c r="U35" s="47"/>
      <c r="V35" s="47"/>
      <c r="W35" s="47"/>
      <c r="X35" s="47"/>
      <c r="Y35" s="47"/>
      <c r="Z35" s="47"/>
      <c r="AA35" s="47"/>
      <c r="AB35" s="47"/>
      <c r="AC35" s="47"/>
      <c r="AD35" s="47"/>
      <c r="AE35" s="47"/>
      <c r="AF35" s="47"/>
      <c r="AG35" s="47"/>
      <c r="AH35" s="47"/>
      <c r="AI35" s="47"/>
    </row>
    <row r="36" spans="1:35" ht="60" customHeight="1" x14ac:dyDescent="0.2">
      <c r="A36" s="57"/>
      <c r="B36" s="47"/>
      <c r="C36" s="47"/>
      <c r="D36" s="47"/>
      <c r="E36" s="47"/>
      <c r="F36" s="47"/>
      <c r="G36" s="47"/>
      <c r="H36" s="47"/>
      <c r="I36" s="47"/>
      <c r="J36" s="47"/>
      <c r="K36" s="47"/>
      <c r="L36" s="47"/>
      <c r="M36" s="47"/>
      <c r="N36" s="47"/>
      <c r="O36" s="47"/>
      <c r="P36" s="20"/>
      <c r="Q36" s="20"/>
      <c r="R36" s="20"/>
      <c r="S36" s="47"/>
      <c r="T36" s="47"/>
      <c r="U36" s="47"/>
      <c r="V36" s="47"/>
      <c r="W36" s="47"/>
      <c r="X36" s="47"/>
      <c r="Y36" s="47"/>
      <c r="Z36" s="47"/>
      <c r="AA36" s="47"/>
      <c r="AB36" s="47"/>
      <c r="AC36" s="47"/>
      <c r="AD36" s="47"/>
      <c r="AE36" s="47"/>
      <c r="AF36" s="47"/>
      <c r="AG36" s="47"/>
      <c r="AH36" s="47"/>
      <c r="AI36" s="47"/>
    </row>
    <row r="37" spans="1:35" ht="60" customHeight="1" x14ac:dyDescent="0.2">
      <c r="A37" s="57"/>
      <c r="B37" s="47"/>
      <c r="C37" s="47"/>
      <c r="D37" s="47"/>
      <c r="E37" s="47"/>
      <c r="F37" s="47"/>
      <c r="G37" s="47"/>
      <c r="H37" s="47"/>
      <c r="I37" s="47"/>
      <c r="J37" s="47"/>
      <c r="K37" s="47"/>
      <c r="L37" s="47"/>
      <c r="M37" s="60"/>
      <c r="N37" s="47"/>
      <c r="O37" s="47"/>
      <c r="P37" s="20"/>
      <c r="Q37" s="20"/>
      <c r="R37" s="47"/>
      <c r="S37" s="50"/>
      <c r="T37" s="47"/>
      <c r="U37" s="47"/>
      <c r="V37" s="47"/>
      <c r="W37" s="47"/>
      <c r="X37" s="47"/>
      <c r="Y37" s="47"/>
      <c r="Z37" s="47"/>
      <c r="AA37" s="47"/>
      <c r="AB37" s="47"/>
      <c r="AC37" s="47"/>
      <c r="AD37" s="47"/>
      <c r="AE37" s="47"/>
      <c r="AF37" s="47"/>
      <c r="AG37" s="47"/>
      <c r="AH37" s="47"/>
      <c r="AI37" s="47"/>
    </row>
    <row r="38" spans="1:35" ht="60" customHeight="1" x14ac:dyDescent="0.2">
      <c r="A38" s="57"/>
      <c r="B38" s="47"/>
      <c r="C38" s="47"/>
      <c r="D38" s="47"/>
      <c r="E38" s="47"/>
      <c r="F38" s="47"/>
      <c r="G38" s="47"/>
      <c r="H38" s="47"/>
      <c r="I38" s="47"/>
      <c r="J38" s="47"/>
      <c r="K38" s="47"/>
      <c r="L38" s="47"/>
      <c r="M38" s="47"/>
      <c r="N38" s="47"/>
      <c r="O38" s="47"/>
      <c r="P38" s="20"/>
      <c r="Q38" s="20"/>
      <c r="R38" s="47"/>
      <c r="S38" s="20"/>
      <c r="T38" s="47"/>
      <c r="U38" s="47"/>
      <c r="V38" s="47"/>
      <c r="W38" s="47"/>
      <c r="X38" s="47"/>
      <c r="Y38" s="47"/>
      <c r="Z38" s="47"/>
      <c r="AA38" s="47"/>
      <c r="AB38" s="47"/>
      <c r="AC38" s="47"/>
      <c r="AD38" s="47"/>
      <c r="AE38" s="47"/>
      <c r="AF38" s="47"/>
      <c r="AG38" s="47"/>
      <c r="AH38" s="47"/>
      <c r="AI38" s="47"/>
    </row>
    <row r="39" spans="1:35" ht="60" customHeight="1" x14ac:dyDescent="0.2">
      <c r="A39" s="57"/>
      <c r="B39" s="47"/>
      <c r="C39" s="47"/>
      <c r="D39" s="47"/>
      <c r="E39" s="47"/>
      <c r="F39" s="47"/>
      <c r="G39" s="47"/>
      <c r="H39" s="47"/>
      <c r="I39" s="47"/>
      <c r="J39" s="47"/>
      <c r="K39" s="47"/>
      <c r="L39" s="47"/>
      <c r="M39" s="47"/>
      <c r="N39" s="47"/>
      <c r="O39" s="47"/>
      <c r="P39" s="20"/>
      <c r="Q39" s="48"/>
      <c r="R39" s="50"/>
      <c r="S39" s="47"/>
      <c r="T39" s="56"/>
      <c r="U39" s="47"/>
      <c r="V39" s="47"/>
      <c r="W39" s="47"/>
      <c r="X39" s="47"/>
      <c r="Y39" s="47"/>
      <c r="Z39" s="47"/>
      <c r="AA39" s="47"/>
      <c r="AB39" s="47"/>
      <c r="AC39" s="47"/>
      <c r="AD39" s="47"/>
      <c r="AE39" s="47"/>
      <c r="AF39" s="47"/>
      <c r="AG39" s="47"/>
      <c r="AH39" s="47"/>
      <c r="AI39" s="47"/>
    </row>
    <row r="40" spans="1:35" ht="60" customHeight="1" x14ac:dyDescent="0.2">
      <c r="A40" s="57"/>
      <c r="B40" s="47"/>
      <c r="C40" s="47"/>
      <c r="D40" s="47"/>
      <c r="E40" s="47"/>
      <c r="F40" s="47"/>
      <c r="G40" s="47"/>
      <c r="H40" s="47"/>
      <c r="I40" s="47"/>
      <c r="J40" s="47"/>
      <c r="K40" s="47"/>
      <c r="L40" s="47"/>
      <c r="M40" s="47"/>
      <c r="N40" s="47"/>
      <c r="O40" s="47"/>
      <c r="P40" s="47"/>
      <c r="Q40" s="47"/>
      <c r="R40" s="20"/>
      <c r="S40" s="20"/>
      <c r="T40" s="47"/>
      <c r="U40" s="47"/>
      <c r="V40" s="47"/>
      <c r="W40" s="47"/>
      <c r="X40" s="47"/>
      <c r="Y40" s="47"/>
      <c r="Z40" s="47"/>
      <c r="AA40" s="47"/>
      <c r="AB40" s="47"/>
      <c r="AC40" s="47"/>
      <c r="AD40" s="47"/>
      <c r="AE40" s="47"/>
      <c r="AF40" s="47"/>
      <c r="AG40" s="47"/>
      <c r="AH40" s="47"/>
      <c r="AI40" s="47"/>
    </row>
    <row r="41" spans="1:35" ht="60" customHeight="1" x14ac:dyDescent="0.2">
      <c r="A41" s="57"/>
      <c r="B41" s="47"/>
      <c r="C41" s="47"/>
      <c r="D41" s="47"/>
      <c r="E41" s="47"/>
      <c r="F41" s="47"/>
      <c r="G41" s="47"/>
      <c r="H41" s="47"/>
      <c r="I41" s="47"/>
      <c r="J41" s="47"/>
      <c r="K41" s="47"/>
      <c r="L41" s="47"/>
      <c r="M41" s="47"/>
      <c r="N41" s="47"/>
      <c r="O41" s="47"/>
      <c r="P41" s="47"/>
      <c r="Q41" s="47"/>
      <c r="R41" s="50"/>
      <c r="S41" s="47"/>
      <c r="T41" s="47"/>
      <c r="U41" s="47"/>
      <c r="V41" s="47"/>
      <c r="W41" s="47"/>
      <c r="X41" s="47"/>
      <c r="Y41" s="47"/>
      <c r="Z41" s="47"/>
      <c r="AA41" s="47"/>
      <c r="AB41" s="47"/>
      <c r="AC41" s="47"/>
      <c r="AD41" s="47"/>
      <c r="AE41" s="47"/>
      <c r="AF41" s="47"/>
      <c r="AG41" s="47"/>
      <c r="AH41" s="47"/>
      <c r="AI41" s="47"/>
    </row>
    <row r="42" spans="1:35" ht="60" customHeight="1" x14ac:dyDescent="0.2">
      <c r="A42" s="57"/>
      <c r="B42" s="47"/>
      <c r="C42" s="47"/>
      <c r="D42" s="47"/>
      <c r="E42" s="47"/>
      <c r="F42" s="47"/>
      <c r="G42" s="47"/>
      <c r="H42" s="47"/>
      <c r="I42" s="47"/>
      <c r="J42" s="47"/>
      <c r="K42" s="47"/>
      <c r="L42" s="47"/>
      <c r="M42" s="47"/>
      <c r="N42" s="47"/>
      <c r="O42" s="47"/>
      <c r="P42" s="47"/>
      <c r="Q42" s="47"/>
      <c r="R42" s="50"/>
      <c r="S42" s="47"/>
      <c r="T42" s="47"/>
      <c r="U42" s="47"/>
      <c r="V42" s="47"/>
      <c r="W42" s="47"/>
      <c r="X42" s="47"/>
      <c r="Y42" s="47"/>
      <c r="Z42" s="47"/>
      <c r="AA42" s="47"/>
      <c r="AB42" s="47"/>
      <c r="AC42" s="47"/>
      <c r="AD42" s="47"/>
      <c r="AE42" s="47"/>
      <c r="AF42" s="47"/>
      <c r="AG42" s="47"/>
      <c r="AH42" s="47"/>
      <c r="AI42" s="47"/>
    </row>
    <row r="43" spans="1:35" ht="60" customHeight="1" x14ac:dyDescent="0.2">
      <c r="A43" s="57"/>
      <c r="B43" s="47"/>
      <c r="C43" s="47"/>
      <c r="D43" s="47"/>
      <c r="E43" s="47"/>
      <c r="F43" s="47"/>
      <c r="G43" s="47"/>
      <c r="H43" s="47"/>
      <c r="I43" s="47"/>
      <c r="J43" s="47"/>
      <c r="K43" s="47"/>
      <c r="L43" s="47"/>
      <c r="M43" s="47"/>
      <c r="N43" s="47"/>
      <c r="O43" s="47"/>
      <c r="P43" s="47"/>
      <c r="Q43" s="47"/>
      <c r="R43" s="20"/>
      <c r="S43" s="47"/>
      <c r="T43" s="47"/>
      <c r="U43" s="47"/>
      <c r="V43" s="47"/>
      <c r="W43" s="47"/>
      <c r="X43" s="47"/>
      <c r="Y43" s="47"/>
      <c r="Z43" s="47"/>
      <c r="AA43" s="47"/>
      <c r="AB43" s="47"/>
      <c r="AC43" s="47"/>
      <c r="AD43" s="47"/>
      <c r="AE43" s="47"/>
      <c r="AF43" s="47"/>
      <c r="AG43" s="47"/>
      <c r="AH43" s="47"/>
      <c r="AI43" s="47"/>
    </row>
    <row r="44" spans="1:35" ht="60" customHeight="1" x14ac:dyDescent="0.2">
      <c r="A44" s="57"/>
      <c r="B44" s="47"/>
      <c r="C44" s="47"/>
      <c r="D44" s="47"/>
      <c r="E44" s="47"/>
      <c r="F44" s="47"/>
      <c r="G44" s="47"/>
      <c r="H44" s="47"/>
      <c r="I44" s="47"/>
      <c r="J44" s="47"/>
      <c r="K44" s="47"/>
      <c r="L44" s="47"/>
      <c r="M44" s="47"/>
      <c r="N44" s="47"/>
      <c r="O44" s="47"/>
      <c r="P44" s="47"/>
      <c r="Q44" s="47"/>
      <c r="R44" s="20"/>
      <c r="S44" s="50"/>
      <c r="T44" s="47"/>
      <c r="U44" s="47"/>
      <c r="V44" s="47"/>
      <c r="W44" s="47"/>
      <c r="X44" s="47"/>
      <c r="Y44" s="47"/>
      <c r="Z44" s="47"/>
      <c r="AA44" s="47"/>
      <c r="AB44" s="47"/>
      <c r="AC44" s="47"/>
      <c r="AD44" s="47"/>
      <c r="AE44" s="47"/>
      <c r="AF44" s="47"/>
      <c r="AG44" s="47"/>
      <c r="AH44" s="47"/>
      <c r="AI44" s="47"/>
    </row>
    <row r="45" spans="1:35" ht="60" customHeight="1" x14ac:dyDescent="0.2">
      <c r="A45" s="57"/>
      <c r="B45" s="47"/>
      <c r="C45" s="47"/>
      <c r="D45" s="47"/>
      <c r="E45" s="47"/>
      <c r="F45" s="47"/>
      <c r="G45" s="47"/>
      <c r="H45" s="47"/>
      <c r="I45" s="47"/>
      <c r="J45" s="47"/>
      <c r="K45" s="47"/>
      <c r="L45" s="47"/>
      <c r="M45" s="47"/>
      <c r="N45" s="47"/>
      <c r="O45" s="47"/>
      <c r="P45" s="47"/>
      <c r="Q45" s="47"/>
      <c r="R45" s="20"/>
      <c r="S45" s="47"/>
      <c r="T45" s="47"/>
      <c r="U45" s="47"/>
      <c r="V45" s="47"/>
      <c r="W45" s="47"/>
      <c r="X45" s="47"/>
      <c r="Y45" s="47"/>
      <c r="Z45" s="47"/>
      <c r="AA45" s="47"/>
      <c r="AB45" s="47"/>
      <c r="AC45" s="47"/>
      <c r="AD45" s="47"/>
      <c r="AE45" s="47"/>
      <c r="AF45" s="47"/>
      <c r="AG45" s="47"/>
      <c r="AH45" s="47"/>
      <c r="AI45" s="47"/>
    </row>
    <row r="46" spans="1:35" ht="66" customHeight="1" x14ac:dyDescent="0.2">
      <c r="A46" s="57"/>
      <c r="B46" s="47"/>
      <c r="C46" s="47"/>
      <c r="D46" s="47"/>
      <c r="E46" s="47"/>
      <c r="F46" s="47"/>
      <c r="G46" s="47"/>
      <c r="H46" s="47"/>
      <c r="I46" s="47"/>
      <c r="J46" s="47"/>
      <c r="K46" s="47"/>
      <c r="L46" s="47"/>
      <c r="M46" s="47"/>
      <c r="N46" s="47"/>
      <c r="O46" s="47"/>
      <c r="P46" s="47"/>
      <c r="Q46" s="47"/>
      <c r="R46" s="20"/>
      <c r="S46" s="20"/>
      <c r="T46" s="47"/>
      <c r="U46" s="47"/>
      <c r="V46" s="47"/>
      <c r="W46" s="47"/>
      <c r="X46" s="47"/>
      <c r="Y46" s="47"/>
      <c r="Z46" s="47"/>
      <c r="AA46" s="47"/>
      <c r="AB46" s="47"/>
      <c r="AC46" s="47"/>
      <c r="AD46" s="47"/>
      <c r="AE46" s="47"/>
      <c r="AF46" s="47"/>
      <c r="AG46" s="47"/>
      <c r="AH46" s="47"/>
      <c r="AI46" s="47"/>
    </row>
    <row r="47" spans="1:35" ht="60" customHeight="1" x14ac:dyDescent="0.2">
      <c r="A47" s="57"/>
      <c r="B47" s="47"/>
      <c r="C47" s="47"/>
      <c r="D47" s="47"/>
      <c r="E47" s="47"/>
      <c r="F47" s="47"/>
      <c r="G47" s="47"/>
      <c r="H47" s="47"/>
      <c r="I47" s="47"/>
      <c r="J47" s="47"/>
      <c r="K47" s="47"/>
      <c r="L47" s="47"/>
      <c r="M47" s="47"/>
      <c r="N47" s="47"/>
      <c r="O47" s="47"/>
      <c r="P47" s="47"/>
      <c r="Q47" s="47"/>
      <c r="R47" s="20"/>
      <c r="S47" s="47"/>
      <c r="T47" s="47"/>
      <c r="U47" s="47"/>
      <c r="V47" s="47"/>
      <c r="W47" s="47"/>
      <c r="X47" s="47"/>
      <c r="Y47" s="47"/>
      <c r="Z47" s="47"/>
      <c r="AA47" s="47"/>
      <c r="AB47" s="47"/>
      <c r="AC47" s="47"/>
      <c r="AD47" s="47"/>
      <c r="AE47" s="47"/>
      <c r="AF47" s="47"/>
      <c r="AG47" s="47"/>
      <c r="AH47" s="47"/>
      <c r="AI47" s="47"/>
    </row>
    <row r="48" spans="1:35" ht="60" customHeight="1" x14ac:dyDescent="0.2">
      <c r="A48" s="57"/>
      <c r="B48" s="47"/>
      <c r="C48" s="47"/>
      <c r="D48" s="47"/>
      <c r="E48" s="47"/>
      <c r="F48" s="47"/>
      <c r="G48" s="47"/>
      <c r="H48" s="47"/>
      <c r="I48" s="47"/>
      <c r="J48" s="47"/>
      <c r="K48" s="47"/>
      <c r="L48" s="47"/>
      <c r="M48" s="47"/>
      <c r="N48" s="47"/>
      <c r="O48" s="47"/>
      <c r="P48" s="47"/>
      <c r="Q48" s="47"/>
      <c r="R48" s="20"/>
      <c r="S48" s="20"/>
      <c r="T48" s="20"/>
      <c r="U48" s="47"/>
      <c r="V48" s="47"/>
      <c r="W48" s="47"/>
      <c r="X48" s="47"/>
      <c r="Y48" s="47"/>
      <c r="Z48" s="47"/>
      <c r="AA48" s="47"/>
      <c r="AB48" s="47"/>
      <c r="AC48" s="47"/>
      <c r="AD48" s="47"/>
      <c r="AE48" s="47"/>
      <c r="AF48" s="47"/>
      <c r="AG48" s="47"/>
      <c r="AH48" s="47"/>
      <c r="AI48" s="47"/>
    </row>
    <row r="49" spans="1:35" ht="60" customHeight="1" x14ac:dyDescent="0.2">
      <c r="A49" s="57"/>
      <c r="B49" s="47"/>
      <c r="C49" s="47"/>
      <c r="D49" s="47"/>
      <c r="E49" s="47"/>
      <c r="F49" s="47"/>
      <c r="G49" s="47"/>
      <c r="H49" s="47"/>
      <c r="I49" s="47"/>
      <c r="J49" s="47"/>
      <c r="K49" s="47"/>
      <c r="L49" s="47"/>
      <c r="M49" s="47"/>
      <c r="N49" s="47"/>
      <c r="O49" s="47"/>
      <c r="P49" s="47"/>
      <c r="Q49" s="47"/>
      <c r="R49" s="20"/>
      <c r="S49" s="47"/>
      <c r="T49" s="47"/>
      <c r="U49" s="47"/>
      <c r="V49" s="47"/>
      <c r="W49" s="47"/>
      <c r="X49" s="47"/>
      <c r="Y49" s="47"/>
      <c r="Z49" s="47"/>
      <c r="AA49" s="47"/>
      <c r="AB49" s="47"/>
      <c r="AC49" s="47"/>
      <c r="AD49" s="47"/>
      <c r="AE49" s="47"/>
      <c r="AF49" s="47"/>
      <c r="AG49" s="47"/>
      <c r="AH49" s="47"/>
      <c r="AI49" s="47"/>
    </row>
    <row r="50" spans="1:35" ht="60" customHeight="1" x14ac:dyDescent="0.2">
      <c r="A50" s="57"/>
      <c r="B50" s="47"/>
      <c r="C50" s="47"/>
      <c r="D50" s="47"/>
      <c r="E50" s="47"/>
      <c r="F50" s="47"/>
      <c r="G50" s="47"/>
      <c r="H50" s="47"/>
      <c r="I50" s="47"/>
      <c r="J50" s="47"/>
      <c r="K50" s="47"/>
      <c r="L50" s="47"/>
      <c r="M50" s="47"/>
      <c r="N50" s="47"/>
      <c r="O50" s="47"/>
      <c r="P50" s="47"/>
      <c r="Q50" s="47"/>
      <c r="R50" s="20"/>
      <c r="S50" s="47"/>
      <c r="T50" s="47"/>
      <c r="U50" s="47"/>
      <c r="V50" s="47"/>
      <c r="W50" s="47"/>
      <c r="X50" s="47"/>
      <c r="Y50" s="47"/>
      <c r="Z50" s="47"/>
      <c r="AA50" s="47"/>
      <c r="AB50" s="47"/>
      <c r="AC50" s="47"/>
      <c r="AD50" s="47"/>
      <c r="AE50" s="47"/>
      <c r="AF50" s="47"/>
      <c r="AG50" s="47"/>
      <c r="AH50" s="47"/>
      <c r="AI50" s="47"/>
    </row>
    <row r="51" spans="1:35" ht="60" customHeight="1" x14ac:dyDescent="0.2">
      <c r="A51" s="57"/>
      <c r="B51" s="47"/>
      <c r="C51" s="47"/>
      <c r="D51" s="47"/>
      <c r="E51" s="47"/>
      <c r="F51" s="47"/>
      <c r="G51" s="47"/>
      <c r="H51" s="47"/>
      <c r="I51" s="47"/>
      <c r="J51" s="47"/>
      <c r="K51" s="47"/>
      <c r="L51" s="47"/>
      <c r="M51" s="47"/>
      <c r="N51" s="47"/>
      <c r="O51" s="47"/>
      <c r="P51" s="47"/>
      <c r="Q51" s="47"/>
      <c r="R51" s="20"/>
      <c r="S51" s="47"/>
      <c r="T51" s="47"/>
      <c r="U51" s="47"/>
      <c r="V51" s="47"/>
      <c r="W51" s="47"/>
      <c r="X51" s="47"/>
      <c r="Y51" s="47"/>
      <c r="Z51" s="47"/>
      <c r="AA51" s="47"/>
      <c r="AB51" s="47"/>
      <c r="AC51" s="47"/>
      <c r="AD51" s="47"/>
      <c r="AE51" s="47"/>
      <c r="AF51" s="47"/>
      <c r="AG51" s="47"/>
      <c r="AH51" s="47"/>
      <c r="AI51" s="47"/>
    </row>
    <row r="52" spans="1:35" ht="60" customHeight="1" x14ac:dyDescent="0.2">
      <c r="A52" s="57"/>
      <c r="B52" s="47"/>
      <c r="C52" s="47"/>
      <c r="D52" s="47"/>
      <c r="E52" s="47"/>
      <c r="F52" s="47"/>
      <c r="G52" s="47"/>
      <c r="H52" s="47"/>
      <c r="I52" s="47"/>
      <c r="J52" s="47"/>
      <c r="K52" s="47"/>
      <c r="L52" s="47"/>
      <c r="M52" s="47"/>
      <c r="N52" s="47"/>
      <c r="O52" s="47"/>
      <c r="P52" s="47"/>
      <c r="Q52" s="47"/>
      <c r="R52" s="50"/>
      <c r="S52" s="47"/>
      <c r="T52" s="47"/>
      <c r="U52" s="47"/>
      <c r="V52" s="47"/>
      <c r="W52" s="47"/>
      <c r="X52" s="47"/>
      <c r="Y52" s="47"/>
      <c r="Z52" s="47"/>
      <c r="AA52" s="47"/>
      <c r="AB52" s="47"/>
      <c r="AC52" s="47"/>
      <c r="AD52" s="47"/>
      <c r="AE52" s="47"/>
      <c r="AF52" s="47"/>
      <c r="AG52" s="47"/>
      <c r="AH52" s="47"/>
      <c r="AI52" s="47"/>
    </row>
    <row r="53" spans="1:35" ht="60" customHeight="1" x14ac:dyDescent="0.2">
      <c r="A53" s="57"/>
      <c r="B53" s="47"/>
      <c r="C53" s="47"/>
      <c r="D53" s="47"/>
      <c r="E53" s="47"/>
      <c r="F53" s="47"/>
      <c r="G53" s="47"/>
      <c r="H53" s="47"/>
      <c r="I53" s="47"/>
      <c r="J53" s="47"/>
      <c r="K53" s="47"/>
      <c r="L53" s="47"/>
      <c r="M53" s="47"/>
      <c r="N53" s="47"/>
      <c r="O53" s="47"/>
      <c r="P53" s="47"/>
      <c r="Q53" s="47"/>
      <c r="R53" s="50"/>
      <c r="S53" s="47"/>
      <c r="T53" s="47"/>
      <c r="U53" s="47"/>
      <c r="V53" s="47"/>
      <c r="W53" s="47"/>
      <c r="X53" s="47"/>
      <c r="Y53" s="47"/>
      <c r="Z53" s="47"/>
      <c r="AA53" s="47"/>
      <c r="AB53" s="47"/>
      <c r="AC53" s="47"/>
      <c r="AD53" s="47"/>
      <c r="AE53" s="47"/>
      <c r="AF53" s="47"/>
      <c r="AG53" s="47"/>
      <c r="AH53" s="47"/>
      <c r="AI53" s="47"/>
    </row>
    <row r="54" spans="1:35" ht="60" customHeight="1" x14ac:dyDescent="0.2">
      <c r="A54" s="57"/>
      <c r="B54" s="47"/>
      <c r="C54" s="47"/>
      <c r="D54" s="47"/>
      <c r="E54" s="47"/>
      <c r="F54" s="47"/>
      <c r="G54" s="47"/>
      <c r="H54" s="47"/>
      <c r="I54" s="47"/>
      <c r="J54" s="47"/>
      <c r="K54" s="47"/>
      <c r="L54" s="47"/>
      <c r="M54" s="47"/>
      <c r="N54" s="47"/>
      <c r="O54" s="47"/>
      <c r="P54" s="47"/>
      <c r="Q54" s="47"/>
      <c r="R54" s="50"/>
      <c r="S54" s="50"/>
      <c r="T54" s="50"/>
      <c r="U54" s="50"/>
      <c r="V54" s="47"/>
      <c r="W54" s="47"/>
      <c r="X54" s="47"/>
      <c r="Y54" s="47"/>
      <c r="Z54" s="47"/>
      <c r="AA54" s="47"/>
      <c r="AB54" s="47"/>
      <c r="AC54" s="47"/>
      <c r="AD54" s="47"/>
      <c r="AE54" s="47"/>
      <c r="AF54" s="47"/>
      <c r="AG54" s="47"/>
      <c r="AH54" s="47"/>
      <c r="AI54" s="47"/>
    </row>
    <row r="55" spans="1:35" ht="60" customHeight="1" x14ac:dyDescent="0.2">
      <c r="A55" s="57"/>
      <c r="B55" s="63"/>
      <c r="C55" s="47"/>
      <c r="D55" s="47"/>
      <c r="E55" s="47"/>
      <c r="F55" s="47"/>
      <c r="G55" s="47"/>
      <c r="H55" s="47"/>
      <c r="I55" s="47"/>
      <c r="J55" s="47"/>
      <c r="K55" s="47"/>
      <c r="L55" s="47"/>
      <c r="M55" s="47"/>
      <c r="N55" s="47"/>
      <c r="O55" s="47"/>
      <c r="P55" s="47"/>
      <c r="Q55" s="47"/>
      <c r="R55" s="50"/>
      <c r="S55" s="50"/>
      <c r="T55" s="50"/>
      <c r="U55" s="50"/>
      <c r="V55" s="47"/>
      <c r="W55" s="47"/>
      <c r="X55" s="47"/>
      <c r="Y55" s="47"/>
      <c r="Z55" s="47"/>
      <c r="AA55" s="47"/>
      <c r="AB55" s="47"/>
      <c r="AC55" s="47"/>
      <c r="AD55" s="47"/>
      <c r="AE55" s="47"/>
      <c r="AF55" s="47"/>
      <c r="AG55" s="47"/>
      <c r="AH55" s="47"/>
      <c r="AI55" s="47"/>
    </row>
    <row r="56" spans="1:35" ht="60" customHeight="1" x14ac:dyDescent="0.2">
      <c r="A56" s="57"/>
      <c r="B56" s="63"/>
      <c r="C56" s="47"/>
      <c r="D56" s="47"/>
      <c r="E56" s="47"/>
      <c r="F56" s="47"/>
      <c r="G56" s="47"/>
      <c r="H56" s="47"/>
      <c r="I56" s="47"/>
      <c r="J56" s="47"/>
      <c r="K56" s="47"/>
      <c r="L56" s="47"/>
      <c r="M56" s="47"/>
      <c r="N56" s="47"/>
      <c r="O56" s="47"/>
      <c r="P56" s="47"/>
      <c r="Q56" s="47"/>
      <c r="R56" s="50"/>
      <c r="S56" s="47"/>
      <c r="T56" s="47"/>
      <c r="U56" s="47"/>
      <c r="V56" s="47"/>
      <c r="W56" s="47"/>
      <c r="X56" s="47"/>
      <c r="Y56" s="47"/>
      <c r="Z56" s="47"/>
      <c r="AA56" s="47"/>
      <c r="AB56" s="47"/>
      <c r="AC56" s="47"/>
      <c r="AD56" s="47"/>
      <c r="AE56" s="47"/>
      <c r="AF56" s="47"/>
      <c r="AG56" s="47"/>
      <c r="AH56" s="47"/>
      <c r="AI56" s="47"/>
    </row>
    <row r="57" spans="1:35" ht="60" customHeight="1" x14ac:dyDescent="0.2">
      <c r="A57" s="57"/>
      <c r="B57" s="47"/>
      <c r="C57" s="47"/>
      <c r="D57" s="47"/>
      <c r="E57" s="47"/>
      <c r="F57" s="47"/>
      <c r="G57" s="47"/>
      <c r="H57" s="47"/>
      <c r="I57" s="47"/>
      <c r="J57" s="47"/>
      <c r="K57" s="47"/>
      <c r="L57" s="47"/>
      <c r="M57" s="47"/>
      <c r="N57" s="47"/>
      <c r="O57" s="47"/>
      <c r="P57" s="47"/>
      <c r="Q57" s="47"/>
      <c r="R57" s="50"/>
      <c r="S57" s="47"/>
      <c r="T57" s="47"/>
      <c r="U57" s="47"/>
      <c r="V57" s="47"/>
      <c r="W57" s="47"/>
      <c r="X57" s="47"/>
      <c r="Y57" s="47"/>
      <c r="Z57" s="47"/>
      <c r="AA57" s="47"/>
      <c r="AB57" s="47"/>
      <c r="AC57" s="47"/>
      <c r="AD57" s="47"/>
      <c r="AE57" s="47"/>
      <c r="AF57" s="47"/>
      <c r="AG57" s="47"/>
      <c r="AH57" s="47"/>
      <c r="AI57" s="47"/>
    </row>
    <row r="58" spans="1:35" ht="60" customHeight="1" x14ac:dyDescent="0.2">
      <c r="A58" s="57"/>
      <c r="B58" s="47"/>
      <c r="C58" s="47"/>
      <c r="D58" s="47"/>
      <c r="E58" s="47"/>
      <c r="F58" s="47"/>
      <c r="G58" s="47"/>
      <c r="H58" s="47"/>
      <c r="I58" s="47"/>
      <c r="J58" s="47"/>
      <c r="K58" s="47"/>
      <c r="L58" s="47"/>
      <c r="M58" s="47"/>
      <c r="N58" s="47"/>
      <c r="O58" s="47"/>
      <c r="P58" s="47"/>
      <c r="Q58" s="47"/>
      <c r="R58" s="20"/>
      <c r="S58" s="62"/>
      <c r="T58" s="20"/>
      <c r="U58" s="47"/>
      <c r="V58" s="47"/>
      <c r="W58" s="47"/>
      <c r="X58" s="47"/>
      <c r="Y58" s="47"/>
      <c r="Z58" s="47"/>
      <c r="AA58" s="47"/>
      <c r="AB58" s="47"/>
      <c r="AC58" s="47"/>
      <c r="AD58" s="47"/>
      <c r="AE58" s="47"/>
      <c r="AF58" s="47"/>
      <c r="AG58" s="47"/>
      <c r="AH58" s="47"/>
      <c r="AI58" s="47"/>
    </row>
    <row r="59" spans="1:35" ht="60" customHeight="1" x14ac:dyDescent="0.2">
      <c r="A59" s="57"/>
      <c r="B59" s="47"/>
      <c r="C59" s="47"/>
      <c r="D59" s="47"/>
      <c r="E59" s="47"/>
      <c r="F59" s="47"/>
      <c r="G59" s="47"/>
      <c r="H59" s="47"/>
      <c r="I59" s="47"/>
      <c r="J59" s="47"/>
      <c r="K59" s="47"/>
      <c r="L59" s="47"/>
      <c r="M59" s="47"/>
      <c r="N59" s="47"/>
      <c r="O59" s="47"/>
      <c r="P59" s="47"/>
      <c r="Q59" s="47"/>
      <c r="R59" s="50"/>
      <c r="S59" s="50"/>
      <c r="T59" s="47"/>
      <c r="U59" s="47"/>
      <c r="V59" s="47"/>
      <c r="W59" s="47"/>
      <c r="X59" s="47"/>
      <c r="Y59" s="47"/>
      <c r="Z59" s="47"/>
      <c r="AA59" s="47"/>
      <c r="AB59" s="47"/>
      <c r="AC59" s="47"/>
      <c r="AD59" s="47"/>
      <c r="AE59" s="47"/>
      <c r="AF59" s="47"/>
      <c r="AG59" s="47"/>
      <c r="AH59" s="47"/>
      <c r="AI59" s="47"/>
    </row>
    <row r="60" spans="1:35" ht="60" customHeight="1" x14ac:dyDescent="0.2">
      <c r="A60" s="57"/>
      <c r="B60" s="47"/>
      <c r="C60" s="47"/>
      <c r="D60" s="47"/>
      <c r="E60" s="47"/>
      <c r="F60" s="47"/>
      <c r="G60" s="47"/>
      <c r="H60" s="47"/>
      <c r="I60" s="47"/>
      <c r="J60" s="47"/>
      <c r="K60" s="47"/>
      <c r="L60" s="47"/>
      <c r="M60" s="47"/>
      <c r="N60" s="47"/>
      <c r="O60" s="47"/>
      <c r="P60" s="47"/>
      <c r="Q60" s="47"/>
      <c r="R60" s="50"/>
      <c r="S60" s="47"/>
      <c r="T60" s="47"/>
      <c r="U60" s="47"/>
      <c r="V60" s="47"/>
      <c r="W60" s="47"/>
      <c r="X60" s="47"/>
      <c r="Y60" s="47"/>
      <c r="Z60" s="47"/>
      <c r="AA60" s="47"/>
      <c r="AB60" s="47"/>
      <c r="AC60" s="47"/>
      <c r="AD60" s="47"/>
      <c r="AE60" s="47"/>
      <c r="AF60" s="47"/>
      <c r="AG60" s="47"/>
      <c r="AH60" s="47"/>
      <c r="AI60" s="47"/>
    </row>
    <row r="61" spans="1:35" ht="60" customHeight="1" x14ac:dyDescent="0.2">
      <c r="A61" s="57"/>
      <c r="B61" s="47"/>
      <c r="C61" s="47"/>
      <c r="D61" s="47"/>
      <c r="E61" s="47"/>
      <c r="F61" s="47"/>
      <c r="G61" s="47"/>
      <c r="H61" s="47"/>
      <c r="I61" s="47"/>
      <c r="J61" s="47"/>
      <c r="K61" s="47"/>
      <c r="L61" s="47"/>
      <c r="M61" s="47"/>
      <c r="N61" s="47"/>
      <c r="O61" s="47"/>
      <c r="P61" s="47"/>
      <c r="Q61" s="47"/>
      <c r="R61" s="20"/>
      <c r="S61" s="20"/>
      <c r="T61" s="47"/>
      <c r="U61" s="47"/>
      <c r="V61" s="47"/>
      <c r="W61" s="47"/>
      <c r="X61" s="47"/>
      <c r="Y61" s="47"/>
      <c r="Z61" s="47"/>
      <c r="AA61" s="47"/>
      <c r="AB61" s="47"/>
      <c r="AC61" s="47"/>
      <c r="AD61" s="47"/>
      <c r="AE61" s="47"/>
      <c r="AF61" s="47"/>
      <c r="AG61" s="47"/>
      <c r="AH61" s="47"/>
      <c r="AI61" s="47"/>
    </row>
    <row r="62" spans="1:35" ht="60" customHeight="1" x14ac:dyDescent="0.2">
      <c r="A62" s="57"/>
      <c r="B62" s="47"/>
      <c r="C62" s="47"/>
      <c r="D62" s="47"/>
      <c r="E62" s="47"/>
      <c r="F62" s="47"/>
      <c r="G62" s="47"/>
      <c r="H62" s="47"/>
      <c r="I62" s="47"/>
      <c r="J62" s="47"/>
      <c r="K62" s="47"/>
      <c r="L62" s="47"/>
      <c r="M62" s="47"/>
      <c r="N62" s="47"/>
      <c r="O62" s="47"/>
      <c r="P62" s="47"/>
      <c r="Q62" s="47"/>
      <c r="R62" s="20"/>
      <c r="S62" s="47"/>
      <c r="T62" s="47"/>
      <c r="U62" s="47"/>
      <c r="V62" s="47"/>
      <c r="W62" s="47"/>
      <c r="X62" s="47"/>
      <c r="Y62" s="47"/>
      <c r="Z62" s="47"/>
      <c r="AA62" s="47"/>
      <c r="AB62" s="47"/>
      <c r="AC62" s="47"/>
      <c r="AD62" s="47"/>
      <c r="AE62" s="47"/>
      <c r="AF62" s="47"/>
      <c r="AG62" s="47"/>
      <c r="AH62" s="47"/>
      <c r="AI62" s="47"/>
    </row>
    <row r="63" spans="1:35" ht="60" customHeight="1" x14ac:dyDescent="0.2">
      <c r="A63" s="57"/>
      <c r="B63" s="47"/>
      <c r="C63" s="47"/>
      <c r="D63" s="47"/>
      <c r="E63" s="47"/>
      <c r="F63" s="47"/>
      <c r="G63" s="47"/>
      <c r="H63" s="47"/>
      <c r="I63" s="47"/>
      <c r="J63" s="47"/>
      <c r="K63" s="47"/>
      <c r="L63" s="47"/>
      <c r="M63" s="47"/>
      <c r="N63" s="47"/>
      <c r="O63" s="47"/>
      <c r="P63" s="47"/>
      <c r="Q63" s="47"/>
      <c r="R63" s="50"/>
      <c r="S63" s="47"/>
      <c r="T63" s="47"/>
      <c r="U63" s="47"/>
      <c r="V63" s="47"/>
      <c r="W63" s="47"/>
      <c r="X63" s="47"/>
      <c r="Y63" s="47"/>
      <c r="Z63" s="47"/>
      <c r="AA63" s="47"/>
      <c r="AB63" s="47"/>
      <c r="AC63" s="47"/>
      <c r="AD63" s="47"/>
      <c r="AE63" s="47"/>
      <c r="AF63" s="47"/>
      <c r="AG63" s="47"/>
      <c r="AH63" s="47"/>
      <c r="AI63" s="47"/>
    </row>
    <row r="64" spans="1:35" ht="60" customHeight="1" x14ac:dyDescent="0.2">
      <c r="A64" s="57"/>
      <c r="B64" s="47"/>
      <c r="C64" s="47"/>
      <c r="D64" s="47"/>
      <c r="E64" s="47"/>
      <c r="F64" s="47"/>
      <c r="G64" s="47"/>
      <c r="H64" s="47"/>
      <c r="I64" s="47"/>
      <c r="J64" s="47"/>
      <c r="K64" s="47"/>
      <c r="L64" s="47"/>
      <c r="M64" s="47"/>
      <c r="N64" s="47"/>
      <c r="O64" s="47"/>
      <c r="P64" s="47"/>
      <c r="Q64" s="47"/>
      <c r="R64" s="20"/>
      <c r="S64" s="20"/>
      <c r="T64" s="20"/>
      <c r="U64" s="47"/>
      <c r="V64" s="47"/>
      <c r="W64" s="47"/>
      <c r="X64" s="47"/>
      <c r="Y64" s="47"/>
      <c r="Z64" s="47"/>
      <c r="AA64" s="47"/>
      <c r="AB64" s="47"/>
      <c r="AC64" s="47"/>
      <c r="AD64" s="47"/>
      <c r="AE64" s="47"/>
      <c r="AF64" s="47"/>
      <c r="AG64" s="47"/>
      <c r="AH64" s="47"/>
      <c r="AI64" s="47"/>
    </row>
    <row r="65" spans="1:35" ht="60" customHeight="1" x14ac:dyDescent="0.2">
      <c r="A65" s="57"/>
      <c r="B65" s="47"/>
      <c r="C65" s="47"/>
      <c r="D65" s="47"/>
      <c r="E65" s="47"/>
      <c r="F65" s="47"/>
      <c r="G65" s="47"/>
      <c r="H65" s="47"/>
      <c r="I65" s="47"/>
      <c r="J65" s="47"/>
      <c r="K65" s="47"/>
      <c r="L65" s="47"/>
      <c r="M65" s="47"/>
      <c r="N65" s="47"/>
      <c r="O65" s="47"/>
      <c r="P65" s="47"/>
      <c r="Q65" s="47"/>
      <c r="R65" s="50"/>
      <c r="S65" s="50"/>
      <c r="T65" s="47"/>
      <c r="U65" s="47"/>
      <c r="V65" s="47"/>
      <c r="W65" s="47"/>
      <c r="X65" s="47"/>
      <c r="Y65" s="47"/>
      <c r="Z65" s="47"/>
      <c r="AA65" s="47"/>
      <c r="AB65" s="47"/>
      <c r="AC65" s="47"/>
      <c r="AD65" s="47"/>
      <c r="AE65" s="47"/>
      <c r="AF65" s="47"/>
      <c r="AG65" s="47"/>
      <c r="AH65" s="47"/>
      <c r="AI65" s="47"/>
    </row>
    <row r="66" spans="1:35" ht="60" customHeight="1" x14ac:dyDescent="0.2">
      <c r="A66" s="57"/>
      <c r="B66" s="47"/>
      <c r="C66" s="47"/>
      <c r="D66" s="47"/>
      <c r="E66" s="47"/>
      <c r="F66" s="47"/>
      <c r="G66" s="47"/>
      <c r="H66" s="47"/>
      <c r="I66" s="47"/>
      <c r="J66" s="47"/>
      <c r="K66" s="47"/>
      <c r="L66" s="47"/>
      <c r="M66" s="47"/>
      <c r="N66" s="47"/>
      <c r="O66" s="47"/>
      <c r="P66" s="47"/>
      <c r="Q66" s="47"/>
      <c r="R66" s="50"/>
      <c r="S66" s="50"/>
      <c r="T66" s="47"/>
      <c r="U66" s="47"/>
      <c r="V66" s="47"/>
      <c r="W66" s="47"/>
      <c r="X66" s="47"/>
      <c r="Y66" s="47"/>
      <c r="Z66" s="47"/>
      <c r="AA66" s="47"/>
      <c r="AB66" s="47"/>
      <c r="AC66" s="47"/>
      <c r="AD66" s="47"/>
      <c r="AE66" s="47"/>
      <c r="AF66" s="47"/>
      <c r="AG66" s="47"/>
      <c r="AH66" s="47"/>
      <c r="AI66" s="47"/>
    </row>
    <row r="67" spans="1:35" ht="60" customHeight="1" x14ac:dyDescent="0.2">
      <c r="A67" s="57"/>
      <c r="B67" s="47"/>
      <c r="C67" s="47"/>
      <c r="D67" s="47"/>
      <c r="E67" s="47"/>
      <c r="F67" s="47"/>
      <c r="G67" s="47"/>
      <c r="H67" s="47"/>
      <c r="I67" s="47"/>
      <c r="J67" s="47"/>
      <c r="K67" s="47"/>
      <c r="L67" s="47"/>
      <c r="M67" s="47"/>
      <c r="N67" s="47"/>
      <c r="O67" s="47"/>
      <c r="P67" s="47"/>
      <c r="Q67" s="47"/>
      <c r="R67" s="50"/>
      <c r="S67" s="47"/>
      <c r="T67" s="47"/>
      <c r="U67" s="47"/>
      <c r="V67" s="47"/>
      <c r="W67" s="47"/>
      <c r="X67" s="47"/>
      <c r="Y67" s="47"/>
      <c r="Z67" s="47"/>
      <c r="AA67" s="47"/>
      <c r="AB67" s="47"/>
      <c r="AC67" s="47"/>
      <c r="AD67" s="47"/>
      <c r="AE67" s="47"/>
      <c r="AF67" s="47"/>
      <c r="AG67" s="47"/>
      <c r="AH67" s="47"/>
      <c r="AI67" s="47"/>
    </row>
    <row r="68" spans="1:35" ht="60" customHeight="1" x14ac:dyDescent="0.2">
      <c r="A68" s="57"/>
      <c r="B68" s="47"/>
      <c r="C68" s="47"/>
      <c r="D68" s="47"/>
      <c r="E68" s="47"/>
      <c r="F68" s="47"/>
      <c r="G68" s="47"/>
      <c r="H68" s="47"/>
      <c r="I68" s="47"/>
      <c r="J68" s="47"/>
      <c r="K68" s="47"/>
      <c r="L68" s="47"/>
      <c r="M68" s="47"/>
      <c r="N68" s="47"/>
      <c r="O68" s="47"/>
      <c r="P68" s="47"/>
      <c r="Q68" s="47"/>
      <c r="R68" s="50"/>
      <c r="S68" s="50"/>
      <c r="T68" s="20"/>
      <c r="U68" s="47"/>
      <c r="V68" s="47"/>
      <c r="W68" s="47"/>
      <c r="X68" s="47"/>
      <c r="Y68" s="47"/>
      <c r="Z68" s="47"/>
      <c r="AA68" s="47"/>
      <c r="AB68" s="47"/>
      <c r="AC68" s="47"/>
      <c r="AD68" s="47"/>
      <c r="AE68" s="47"/>
      <c r="AF68" s="47"/>
      <c r="AG68" s="47"/>
      <c r="AH68" s="47"/>
      <c r="AI68" s="47"/>
    </row>
    <row r="69" spans="1:35" ht="60" customHeight="1" x14ac:dyDescent="0.2">
      <c r="A69" s="57"/>
      <c r="B69" s="47"/>
      <c r="C69" s="47"/>
      <c r="D69" s="47"/>
      <c r="E69" s="47"/>
      <c r="F69" s="47"/>
      <c r="G69" s="47"/>
      <c r="H69" s="47"/>
      <c r="I69" s="47"/>
      <c r="J69" s="47"/>
      <c r="K69" s="47"/>
      <c r="L69" s="47"/>
      <c r="M69" s="47"/>
      <c r="N69" s="47"/>
      <c r="O69" s="47"/>
      <c r="P69" s="47"/>
      <c r="Q69" s="47"/>
      <c r="R69" s="50"/>
      <c r="S69" s="47"/>
      <c r="T69" s="47"/>
      <c r="U69" s="47"/>
      <c r="V69" s="47"/>
      <c r="W69" s="47"/>
      <c r="X69" s="47"/>
      <c r="Y69" s="47"/>
      <c r="Z69" s="47"/>
      <c r="AA69" s="47"/>
      <c r="AB69" s="47"/>
      <c r="AC69" s="47"/>
      <c r="AD69" s="47"/>
      <c r="AE69" s="47"/>
      <c r="AF69" s="47"/>
      <c r="AG69" s="47"/>
      <c r="AH69" s="47"/>
      <c r="AI69" s="47"/>
    </row>
    <row r="70" spans="1:35" ht="60" customHeight="1" x14ac:dyDescent="0.2">
      <c r="A70" s="57"/>
      <c r="B70" s="47"/>
      <c r="C70" s="47"/>
      <c r="D70" s="47"/>
      <c r="E70" s="47"/>
      <c r="F70" s="47"/>
      <c r="G70" s="47"/>
      <c r="H70" s="47"/>
      <c r="I70" s="47"/>
      <c r="J70" s="47"/>
      <c r="K70" s="47"/>
      <c r="L70" s="47"/>
      <c r="M70" s="47"/>
      <c r="N70" s="47"/>
      <c r="O70" s="47"/>
      <c r="P70" s="47"/>
      <c r="Q70" s="47"/>
      <c r="R70" s="50"/>
      <c r="S70" s="50"/>
      <c r="T70" s="47"/>
      <c r="U70" s="47"/>
      <c r="V70" s="47"/>
      <c r="W70" s="47"/>
      <c r="X70" s="47"/>
      <c r="Y70" s="47"/>
      <c r="Z70" s="47"/>
      <c r="AA70" s="47"/>
      <c r="AB70" s="47"/>
      <c r="AC70" s="47"/>
      <c r="AD70" s="47"/>
      <c r="AE70" s="47"/>
      <c r="AF70" s="47"/>
      <c r="AG70" s="47"/>
      <c r="AH70" s="47"/>
      <c r="AI70" s="47"/>
    </row>
    <row r="71" spans="1:35" ht="60" customHeight="1" x14ac:dyDescent="0.2">
      <c r="A71" s="57"/>
      <c r="B71" s="47"/>
      <c r="C71" s="47"/>
      <c r="D71" s="47"/>
      <c r="E71" s="47"/>
      <c r="F71" s="47"/>
      <c r="G71" s="47"/>
      <c r="H71" s="47"/>
      <c r="I71" s="47"/>
      <c r="J71" s="47"/>
      <c r="K71" s="47"/>
      <c r="L71" s="47"/>
      <c r="M71" s="47"/>
      <c r="N71" s="47"/>
      <c r="O71" s="47"/>
      <c r="P71" s="47"/>
      <c r="Q71" s="47"/>
      <c r="R71" s="50"/>
      <c r="S71" s="47"/>
      <c r="T71" s="47"/>
      <c r="U71" s="47"/>
      <c r="V71" s="47"/>
      <c r="W71" s="47"/>
      <c r="X71" s="47"/>
      <c r="Y71" s="47"/>
      <c r="Z71" s="47"/>
      <c r="AA71" s="47"/>
      <c r="AB71" s="47"/>
      <c r="AC71" s="47"/>
      <c r="AD71" s="47"/>
      <c r="AE71" s="47"/>
      <c r="AF71" s="47"/>
      <c r="AG71" s="47"/>
      <c r="AH71" s="47"/>
      <c r="AI71" s="47"/>
    </row>
    <row r="72" spans="1:35" ht="60" customHeight="1" x14ac:dyDescent="0.2">
      <c r="A72" s="57"/>
      <c r="B72" s="47"/>
      <c r="C72" s="47"/>
      <c r="D72" s="47"/>
      <c r="E72" s="47"/>
      <c r="F72" s="47"/>
      <c r="G72" s="47"/>
      <c r="H72" s="47"/>
      <c r="I72" s="47"/>
      <c r="J72" s="47"/>
      <c r="K72" s="47"/>
      <c r="L72" s="47"/>
      <c r="M72" s="47"/>
      <c r="N72" s="47"/>
      <c r="O72" s="47"/>
      <c r="P72" s="47"/>
      <c r="Q72" s="47"/>
      <c r="R72" s="50"/>
      <c r="S72" s="47"/>
      <c r="T72" s="47"/>
      <c r="U72" s="47"/>
      <c r="V72" s="47"/>
      <c r="W72" s="47"/>
      <c r="X72" s="47"/>
      <c r="Y72" s="47"/>
      <c r="Z72" s="47"/>
      <c r="AA72" s="47"/>
      <c r="AB72" s="47"/>
      <c r="AC72" s="47"/>
      <c r="AD72" s="47"/>
      <c r="AE72" s="47"/>
      <c r="AF72" s="47"/>
      <c r="AG72" s="47"/>
      <c r="AH72" s="47"/>
      <c r="AI72" s="47"/>
    </row>
    <row r="73" spans="1:35" ht="60" customHeight="1" x14ac:dyDescent="0.2">
      <c r="A73" s="57"/>
      <c r="B73" s="47"/>
      <c r="C73" s="47"/>
      <c r="D73" s="47"/>
      <c r="E73" s="47"/>
      <c r="F73" s="47"/>
      <c r="G73" s="47"/>
      <c r="H73" s="47"/>
      <c r="I73" s="47"/>
      <c r="J73" s="47"/>
      <c r="K73" s="47"/>
      <c r="L73" s="47"/>
      <c r="M73" s="47"/>
      <c r="N73" s="47"/>
      <c r="O73" s="47"/>
      <c r="P73" s="47"/>
      <c r="Q73" s="47"/>
      <c r="R73" s="50"/>
      <c r="S73" s="47"/>
      <c r="T73" s="47"/>
      <c r="U73" s="47"/>
      <c r="V73" s="47"/>
      <c r="W73" s="47"/>
      <c r="X73" s="47"/>
      <c r="Y73" s="47"/>
      <c r="Z73" s="47"/>
      <c r="AA73" s="47"/>
      <c r="AB73" s="47"/>
      <c r="AC73" s="47"/>
      <c r="AD73" s="47"/>
      <c r="AE73" s="47"/>
      <c r="AF73" s="47"/>
      <c r="AG73" s="47"/>
      <c r="AH73" s="47"/>
      <c r="AI73" s="47"/>
    </row>
    <row r="74" spans="1:35" ht="60" customHeight="1" x14ac:dyDescent="0.2">
      <c r="A74" s="57"/>
      <c r="B74" s="47"/>
      <c r="C74" s="47"/>
      <c r="D74" s="47"/>
      <c r="E74" s="47"/>
      <c r="F74" s="47"/>
      <c r="G74" s="47"/>
      <c r="H74" s="47"/>
      <c r="I74" s="47"/>
      <c r="J74" s="47"/>
      <c r="K74" s="47"/>
      <c r="L74" s="47"/>
      <c r="M74" s="47"/>
      <c r="N74" s="47"/>
      <c r="O74" s="47"/>
      <c r="P74" s="47"/>
      <c r="Q74" s="47"/>
      <c r="R74" s="20"/>
      <c r="S74" s="20"/>
      <c r="T74" s="47"/>
      <c r="U74" s="47"/>
      <c r="V74" s="47"/>
      <c r="W74" s="47"/>
      <c r="X74" s="47"/>
      <c r="Y74" s="47"/>
      <c r="Z74" s="47"/>
      <c r="AA74" s="47"/>
      <c r="AB74" s="47"/>
      <c r="AC74" s="47"/>
      <c r="AD74" s="47"/>
      <c r="AE74" s="47"/>
      <c r="AF74" s="47"/>
      <c r="AG74" s="47"/>
      <c r="AH74" s="47"/>
      <c r="AI74" s="47"/>
    </row>
    <row r="75" spans="1:35" ht="60" customHeight="1" x14ac:dyDescent="0.2">
      <c r="A75" s="57"/>
      <c r="B75" s="47"/>
      <c r="C75" s="47"/>
      <c r="D75" s="47"/>
      <c r="E75" s="47"/>
      <c r="F75" s="47"/>
      <c r="G75" s="47"/>
      <c r="H75" s="47"/>
      <c r="I75" s="47"/>
      <c r="J75" s="47"/>
      <c r="K75" s="47"/>
      <c r="L75" s="47"/>
      <c r="M75" s="47"/>
      <c r="N75" s="47"/>
      <c r="O75" s="47"/>
      <c r="P75" s="47"/>
      <c r="Q75" s="47"/>
      <c r="R75" s="50"/>
      <c r="S75" s="47"/>
      <c r="T75" s="47"/>
      <c r="U75" s="47"/>
      <c r="V75" s="47"/>
      <c r="W75" s="47"/>
      <c r="X75" s="47"/>
      <c r="Y75" s="47"/>
      <c r="Z75" s="47"/>
      <c r="AA75" s="47"/>
      <c r="AB75" s="47"/>
      <c r="AC75" s="47"/>
      <c r="AD75" s="47"/>
      <c r="AE75" s="47"/>
      <c r="AF75" s="47"/>
      <c r="AG75" s="47"/>
      <c r="AH75" s="47"/>
      <c r="AI75" s="47"/>
    </row>
    <row r="76" spans="1:35" ht="60" customHeight="1" x14ac:dyDescent="0.2">
      <c r="A76" s="57"/>
      <c r="B76" s="47"/>
      <c r="C76" s="47"/>
      <c r="D76" s="47"/>
      <c r="E76" s="47"/>
      <c r="F76" s="47"/>
      <c r="G76" s="47"/>
      <c r="H76" s="47"/>
      <c r="I76" s="47"/>
      <c r="J76" s="47"/>
      <c r="K76" s="47"/>
      <c r="L76" s="47"/>
      <c r="M76" s="47"/>
      <c r="N76" s="47"/>
      <c r="O76" s="47"/>
      <c r="P76" s="47"/>
      <c r="Q76" s="47"/>
      <c r="R76" s="50"/>
      <c r="S76" s="62"/>
      <c r="T76" s="62"/>
      <c r="U76" s="62"/>
      <c r="V76" s="62"/>
      <c r="W76" s="47"/>
      <c r="X76" s="47"/>
      <c r="Y76" s="47"/>
      <c r="Z76" s="47"/>
      <c r="AA76" s="47"/>
      <c r="AB76" s="47"/>
      <c r="AC76" s="47"/>
      <c r="AD76" s="47"/>
      <c r="AE76" s="47"/>
      <c r="AF76" s="47"/>
      <c r="AG76" s="47"/>
      <c r="AH76" s="47"/>
      <c r="AI76" s="47"/>
    </row>
    <row r="77" spans="1:35" ht="60" customHeight="1" x14ac:dyDescent="0.2">
      <c r="A77" s="57"/>
      <c r="B77" s="47"/>
      <c r="C77" s="47"/>
      <c r="D77" s="47"/>
      <c r="E77" s="47"/>
      <c r="F77" s="47"/>
      <c r="G77" s="47"/>
      <c r="H77" s="47"/>
      <c r="I77" s="47"/>
      <c r="J77" s="47"/>
      <c r="K77" s="47"/>
      <c r="L77" s="47"/>
      <c r="M77" s="47"/>
      <c r="N77" s="47"/>
      <c r="O77" s="47"/>
      <c r="P77" s="47"/>
      <c r="Q77" s="47"/>
      <c r="R77" s="50"/>
      <c r="S77" s="47"/>
      <c r="T77" s="47"/>
      <c r="U77" s="47"/>
      <c r="V77" s="47"/>
      <c r="W77" s="47"/>
      <c r="X77" s="47"/>
      <c r="Y77" s="47"/>
      <c r="Z77" s="47"/>
      <c r="AA77" s="47"/>
      <c r="AB77" s="47"/>
      <c r="AC77" s="47"/>
      <c r="AD77" s="47"/>
      <c r="AE77" s="47"/>
      <c r="AF77" s="47"/>
      <c r="AG77" s="47"/>
      <c r="AH77" s="47"/>
      <c r="AI77" s="47"/>
    </row>
    <row r="78" spans="1:35" ht="60" customHeight="1" x14ac:dyDescent="0.2">
      <c r="A78" s="57"/>
      <c r="B78" s="47"/>
      <c r="C78" s="47"/>
      <c r="D78" s="47"/>
      <c r="E78" s="47"/>
      <c r="F78" s="47"/>
      <c r="G78" s="47"/>
      <c r="H78" s="47"/>
      <c r="I78" s="47"/>
      <c r="J78" s="47"/>
      <c r="K78" s="47"/>
      <c r="L78" s="47"/>
      <c r="M78" s="47"/>
      <c r="N78" s="47"/>
      <c r="O78" s="47"/>
      <c r="P78" s="47"/>
      <c r="Q78" s="47"/>
      <c r="R78" s="50"/>
      <c r="S78" s="50"/>
      <c r="T78" s="61"/>
      <c r="U78" s="47"/>
      <c r="V78" s="47"/>
      <c r="W78" s="47"/>
      <c r="X78" s="47"/>
      <c r="Y78" s="47"/>
      <c r="Z78" s="47"/>
      <c r="AA78" s="47"/>
      <c r="AB78" s="47"/>
      <c r="AC78" s="47"/>
      <c r="AD78" s="47"/>
      <c r="AE78" s="47"/>
      <c r="AF78" s="47"/>
      <c r="AG78" s="47"/>
      <c r="AH78" s="47"/>
      <c r="AI78" s="47"/>
    </row>
    <row r="79" spans="1:35" ht="60" customHeight="1" x14ac:dyDescent="0.2">
      <c r="A79" s="57"/>
      <c r="B79" s="47"/>
      <c r="C79" s="47"/>
      <c r="D79" s="47"/>
      <c r="E79" s="47"/>
      <c r="F79" s="47"/>
      <c r="G79" s="47"/>
      <c r="H79" s="47"/>
      <c r="I79" s="47"/>
      <c r="J79" s="47"/>
      <c r="K79" s="47"/>
      <c r="L79" s="47"/>
      <c r="M79" s="47"/>
      <c r="N79" s="47"/>
      <c r="O79" s="47"/>
      <c r="P79" s="47"/>
      <c r="Q79" s="47"/>
      <c r="R79" s="50"/>
      <c r="S79" s="50"/>
      <c r="T79" s="61"/>
      <c r="U79" s="47"/>
      <c r="V79" s="47"/>
      <c r="W79" s="47"/>
      <c r="X79" s="47"/>
      <c r="Y79" s="47"/>
      <c r="Z79" s="47"/>
      <c r="AA79" s="47"/>
      <c r="AB79" s="47"/>
      <c r="AC79" s="47"/>
      <c r="AD79" s="47"/>
      <c r="AE79" s="47"/>
      <c r="AF79" s="47"/>
      <c r="AG79" s="47"/>
      <c r="AH79" s="47"/>
      <c r="AI79" s="47"/>
    </row>
    <row r="80" spans="1:35" ht="60" customHeight="1" x14ac:dyDescent="0.2">
      <c r="A80" s="57"/>
      <c r="B80" s="47"/>
      <c r="C80" s="47"/>
      <c r="D80" s="47"/>
      <c r="E80" s="47"/>
      <c r="F80" s="47"/>
      <c r="G80" s="47"/>
      <c r="H80" s="47"/>
      <c r="I80" s="47"/>
      <c r="J80" s="47"/>
      <c r="K80" s="47"/>
      <c r="L80" s="47"/>
      <c r="M80" s="47"/>
      <c r="N80" s="47"/>
      <c r="O80" s="47"/>
      <c r="P80" s="47"/>
      <c r="Q80" s="47"/>
      <c r="R80" s="50"/>
      <c r="S80" s="47"/>
      <c r="T80" s="47"/>
      <c r="U80" s="47"/>
      <c r="V80" s="47"/>
      <c r="W80" s="47"/>
      <c r="X80" s="47"/>
      <c r="Y80" s="47"/>
      <c r="Z80" s="47"/>
      <c r="AA80" s="47"/>
      <c r="AB80" s="47"/>
      <c r="AC80" s="47"/>
      <c r="AD80" s="47"/>
      <c r="AE80" s="47"/>
      <c r="AF80" s="47"/>
      <c r="AG80" s="47"/>
      <c r="AH80" s="47"/>
      <c r="AI80" s="47"/>
    </row>
    <row r="81" spans="1:35" ht="60" customHeight="1" x14ac:dyDescent="0.2">
      <c r="A81" s="57"/>
      <c r="B81" s="47"/>
      <c r="C81" s="47"/>
      <c r="D81" s="47"/>
      <c r="E81" s="47"/>
      <c r="F81" s="47"/>
      <c r="G81" s="47"/>
      <c r="H81" s="47"/>
      <c r="I81" s="47"/>
      <c r="J81" s="47"/>
      <c r="K81" s="47"/>
      <c r="L81" s="47"/>
      <c r="M81" s="47"/>
      <c r="N81" s="47"/>
      <c r="O81" s="47"/>
      <c r="P81" s="47"/>
      <c r="Q81" s="47"/>
      <c r="R81" s="50"/>
      <c r="S81" s="61"/>
      <c r="T81" s="50"/>
      <c r="U81" s="50"/>
      <c r="V81" s="47"/>
      <c r="W81" s="47"/>
      <c r="X81" s="47"/>
      <c r="Y81" s="47"/>
      <c r="Z81" s="47"/>
      <c r="AA81" s="47"/>
      <c r="AB81" s="47"/>
      <c r="AC81" s="47"/>
      <c r="AD81" s="47"/>
      <c r="AE81" s="47"/>
      <c r="AF81" s="47"/>
      <c r="AG81" s="47"/>
      <c r="AH81" s="47"/>
      <c r="AI81" s="47"/>
    </row>
    <row r="82" spans="1:35" ht="60" customHeight="1" x14ac:dyDescent="0.2">
      <c r="A82" s="57"/>
      <c r="B82" s="47"/>
      <c r="C82" s="47"/>
      <c r="D82" s="47"/>
      <c r="E82" s="47"/>
      <c r="F82" s="47"/>
      <c r="G82" s="47"/>
      <c r="H82" s="47"/>
      <c r="I82" s="47"/>
      <c r="J82" s="47"/>
      <c r="K82" s="47"/>
      <c r="L82" s="47"/>
      <c r="M82" s="47"/>
      <c r="N82" s="47"/>
      <c r="O82" s="47"/>
      <c r="P82" s="47"/>
      <c r="Q82" s="47"/>
      <c r="R82" s="50"/>
      <c r="S82" s="50"/>
      <c r="T82" s="47"/>
      <c r="U82" s="47"/>
      <c r="V82" s="47"/>
      <c r="W82" s="47"/>
      <c r="X82" s="47"/>
      <c r="Y82" s="47"/>
      <c r="Z82" s="47"/>
      <c r="AA82" s="47"/>
      <c r="AB82" s="47"/>
      <c r="AC82" s="47"/>
      <c r="AD82" s="47"/>
      <c r="AE82" s="47"/>
      <c r="AF82" s="47"/>
      <c r="AG82" s="47"/>
      <c r="AH82" s="47"/>
      <c r="AI82" s="47"/>
    </row>
    <row r="83" spans="1:35" ht="60" customHeight="1" x14ac:dyDescent="0.2">
      <c r="A83" s="57"/>
      <c r="B83" s="47"/>
      <c r="C83" s="47"/>
      <c r="D83" s="47"/>
      <c r="E83" s="47"/>
      <c r="F83" s="47"/>
      <c r="G83" s="47"/>
      <c r="H83" s="47"/>
      <c r="I83" s="47"/>
      <c r="J83" s="47"/>
      <c r="K83" s="47"/>
      <c r="L83" s="47"/>
      <c r="M83" s="47"/>
      <c r="N83" s="47"/>
      <c r="O83" s="47"/>
      <c r="P83" s="47"/>
      <c r="Q83" s="47"/>
      <c r="R83" s="50"/>
      <c r="S83" s="50"/>
      <c r="T83" s="47"/>
      <c r="U83" s="47"/>
      <c r="V83" s="47"/>
      <c r="W83" s="47"/>
      <c r="X83" s="47"/>
      <c r="Y83" s="47"/>
      <c r="Z83" s="47"/>
      <c r="AA83" s="47"/>
      <c r="AB83" s="47"/>
      <c r="AC83" s="47"/>
      <c r="AD83" s="47"/>
      <c r="AE83" s="47"/>
      <c r="AF83" s="47"/>
      <c r="AG83" s="47"/>
      <c r="AH83" s="47"/>
      <c r="AI83" s="47"/>
    </row>
    <row r="84" spans="1:35" ht="60" customHeight="1" x14ac:dyDescent="0.2">
      <c r="A84" s="57"/>
      <c r="B84" s="47"/>
      <c r="C84" s="47"/>
      <c r="D84" s="47"/>
      <c r="E84" s="47"/>
      <c r="F84" s="47"/>
      <c r="G84" s="47"/>
      <c r="H84" s="47"/>
      <c r="I84" s="47"/>
      <c r="J84" s="47"/>
      <c r="K84" s="47"/>
      <c r="L84" s="47"/>
      <c r="M84" s="47"/>
      <c r="N84" s="47"/>
      <c r="O84" s="47"/>
      <c r="P84" s="47"/>
      <c r="Q84" s="47"/>
      <c r="R84" s="50"/>
      <c r="S84" s="47"/>
      <c r="T84" s="47"/>
      <c r="U84" s="47"/>
      <c r="V84" s="47"/>
      <c r="W84" s="47"/>
      <c r="X84" s="47"/>
      <c r="Y84" s="47"/>
      <c r="Z84" s="47"/>
      <c r="AA84" s="47"/>
      <c r="AB84" s="47"/>
      <c r="AC84" s="47"/>
      <c r="AD84" s="47"/>
      <c r="AE84" s="47"/>
      <c r="AF84" s="47"/>
      <c r="AG84" s="47"/>
      <c r="AH84" s="47"/>
      <c r="AI84" s="47"/>
    </row>
    <row r="85" spans="1:35" ht="60" customHeight="1" x14ac:dyDescent="0.2">
      <c r="A85" s="57"/>
      <c r="B85" s="47"/>
      <c r="C85" s="47"/>
      <c r="D85" s="47"/>
      <c r="E85" s="47"/>
      <c r="F85" s="47"/>
      <c r="G85" s="47"/>
      <c r="H85" s="47"/>
      <c r="I85" s="47"/>
      <c r="J85" s="47"/>
      <c r="K85" s="47"/>
      <c r="L85" s="47"/>
      <c r="M85" s="47"/>
      <c r="N85" s="47"/>
      <c r="O85" s="47"/>
      <c r="P85" s="47"/>
      <c r="Q85" s="47"/>
      <c r="R85" s="50"/>
      <c r="S85" s="50"/>
      <c r="T85" s="62"/>
      <c r="U85" s="47"/>
      <c r="V85" s="47"/>
      <c r="W85" s="47"/>
      <c r="X85" s="47"/>
      <c r="Y85" s="47"/>
      <c r="Z85" s="47"/>
      <c r="AA85" s="47"/>
      <c r="AB85" s="47"/>
      <c r="AC85" s="47"/>
      <c r="AD85" s="47"/>
      <c r="AE85" s="47"/>
      <c r="AF85" s="47"/>
      <c r="AG85" s="47"/>
      <c r="AH85" s="47"/>
      <c r="AI85" s="47"/>
    </row>
    <row r="86" spans="1:35" ht="60" customHeight="1" x14ac:dyDescent="0.2">
      <c r="A86" s="57"/>
      <c r="B86" s="47"/>
      <c r="C86" s="47"/>
      <c r="D86" s="47"/>
      <c r="E86" s="47"/>
      <c r="F86" s="47"/>
      <c r="G86" s="47"/>
      <c r="H86" s="47"/>
      <c r="I86" s="47"/>
      <c r="J86" s="47"/>
      <c r="K86" s="47"/>
      <c r="L86" s="47"/>
      <c r="M86" s="47"/>
      <c r="N86" s="47"/>
      <c r="O86" s="47"/>
      <c r="P86" s="47"/>
      <c r="Q86" s="47"/>
      <c r="R86" s="20"/>
      <c r="S86" s="47"/>
      <c r="T86" s="47"/>
      <c r="U86" s="47"/>
      <c r="V86" s="47"/>
      <c r="W86" s="47"/>
      <c r="X86" s="47"/>
      <c r="Y86" s="47"/>
      <c r="Z86" s="47"/>
      <c r="AA86" s="47"/>
      <c r="AB86" s="47"/>
      <c r="AC86" s="47"/>
      <c r="AD86" s="47"/>
      <c r="AE86" s="47"/>
      <c r="AF86" s="47"/>
      <c r="AG86" s="47"/>
      <c r="AH86" s="47"/>
      <c r="AI86" s="47"/>
    </row>
    <row r="87" spans="1:35" ht="60" customHeight="1" x14ac:dyDescent="0.2">
      <c r="A87" s="57"/>
      <c r="B87" s="47"/>
      <c r="C87" s="47"/>
      <c r="D87" s="47"/>
      <c r="E87" s="47"/>
      <c r="F87" s="47"/>
      <c r="G87" s="47"/>
      <c r="H87" s="47"/>
      <c r="I87" s="47"/>
      <c r="J87" s="47"/>
      <c r="K87" s="47"/>
      <c r="L87" s="47"/>
      <c r="M87" s="47"/>
      <c r="N87" s="47"/>
      <c r="O87" s="47"/>
      <c r="P87" s="47"/>
      <c r="Q87" s="47"/>
      <c r="R87" s="50"/>
      <c r="S87" s="20"/>
      <c r="T87" s="47"/>
      <c r="U87" s="47"/>
      <c r="V87" s="47"/>
      <c r="W87" s="47"/>
      <c r="X87" s="47"/>
      <c r="Y87" s="47"/>
      <c r="Z87" s="47"/>
      <c r="AA87" s="47"/>
      <c r="AB87" s="47"/>
      <c r="AC87" s="47"/>
      <c r="AD87" s="47"/>
      <c r="AE87" s="47"/>
      <c r="AF87" s="47"/>
      <c r="AG87" s="47"/>
      <c r="AH87" s="47"/>
      <c r="AI87" s="47"/>
    </row>
    <row r="88" spans="1:35" ht="60" customHeight="1" x14ac:dyDescent="0.2">
      <c r="A88" s="57"/>
      <c r="B88" s="47"/>
      <c r="C88" s="47"/>
      <c r="D88" s="47"/>
      <c r="E88" s="47"/>
      <c r="F88" s="47"/>
      <c r="G88" s="47"/>
      <c r="H88" s="47"/>
      <c r="I88" s="47"/>
      <c r="J88" s="47"/>
      <c r="K88" s="47"/>
      <c r="L88" s="47"/>
      <c r="M88" s="47"/>
      <c r="N88" s="47"/>
      <c r="O88" s="47"/>
      <c r="P88" s="47"/>
      <c r="Q88" s="47"/>
      <c r="R88" s="50"/>
      <c r="S88" s="50"/>
      <c r="T88" s="47"/>
      <c r="U88" s="47"/>
      <c r="V88" s="47"/>
      <c r="W88" s="47"/>
      <c r="X88" s="47"/>
      <c r="Y88" s="47"/>
      <c r="Z88" s="47"/>
      <c r="AA88" s="47"/>
      <c r="AB88" s="47"/>
      <c r="AC88" s="47"/>
      <c r="AD88" s="47"/>
      <c r="AE88" s="47"/>
      <c r="AF88" s="47"/>
      <c r="AG88" s="47"/>
      <c r="AH88" s="47"/>
      <c r="AI88" s="47"/>
    </row>
    <row r="89" spans="1:35" ht="60" customHeight="1" x14ac:dyDescent="0.2">
      <c r="A89" s="57"/>
      <c r="B89" s="47"/>
      <c r="C89" s="47"/>
      <c r="D89" s="47"/>
      <c r="E89" s="47"/>
      <c r="F89" s="47"/>
      <c r="G89" s="47"/>
      <c r="H89" s="47"/>
      <c r="I89" s="47"/>
      <c r="J89" s="47"/>
      <c r="K89" s="47"/>
      <c r="L89" s="47"/>
      <c r="M89" s="47"/>
      <c r="N89" s="47"/>
      <c r="O89" s="47"/>
      <c r="P89" s="47"/>
      <c r="Q89" s="47"/>
      <c r="R89" s="20"/>
      <c r="S89" s="20"/>
      <c r="T89" s="20"/>
      <c r="U89" s="20"/>
      <c r="V89" s="47"/>
      <c r="W89" s="47"/>
      <c r="X89" s="47"/>
      <c r="Y89" s="47"/>
      <c r="Z89" s="47"/>
      <c r="AA89" s="47"/>
      <c r="AB89" s="47"/>
      <c r="AC89" s="47"/>
      <c r="AD89" s="47"/>
      <c r="AE89" s="47"/>
      <c r="AF89" s="47"/>
      <c r="AG89" s="47"/>
      <c r="AH89" s="47"/>
      <c r="AI89" s="47"/>
    </row>
    <row r="90" spans="1:35" ht="60" customHeight="1" x14ac:dyDescent="0.2">
      <c r="A90" s="57"/>
      <c r="B90" s="47"/>
      <c r="C90" s="47"/>
      <c r="D90" s="47"/>
      <c r="E90" s="47"/>
      <c r="F90" s="47"/>
      <c r="G90" s="47"/>
      <c r="H90" s="47"/>
      <c r="I90" s="47"/>
      <c r="J90" s="47"/>
      <c r="K90" s="47"/>
      <c r="L90" s="47"/>
      <c r="M90" s="47"/>
      <c r="N90" s="47"/>
      <c r="O90" s="47"/>
      <c r="P90" s="47"/>
      <c r="Q90" s="47"/>
      <c r="R90" s="20"/>
      <c r="S90" s="20"/>
      <c r="T90" s="47"/>
      <c r="U90" s="47"/>
      <c r="V90" s="47"/>
      <c r="W90" s="47"/>
      <c r="X90" s="47"/>
      <c r="Y90" s="47"/>
      <c r="Z90" s="47"/>
      <c r="AA90" s="47"/>
      <c r="AB90" s="47"/>
      <c r="AC90" s="47"/>
      <c r="AD90" s="47"/>
      <c r="AE90" s="47"/>
      <c r="AF90" s="47"/>
      <c r="AG90" s="47"/>
      <c r="AH90" s="47"/>
      <c r="AI90" s="47"/>
    </row>
    <row r="91" spans="1:35" ht="60" customHeight="1" x14ac:dyDescent="0.2">
      <c r="A91" s="57"/>
      <c r="B91" s="47"/>
      <c r="C91" s="47"/>
      <c r="D91" s="47"/>
      <c r="E91" s="47"/>
      <c r="F91" s="47"/>
      <c r="G91" s="47"/>
      <c r="H91" s="47"/>
      <c r="I91" s="47"/>
      <c r="J91" s="47"/>
      <c r="K91" s="47"/>
      <c r="L91" s="47"/>
      <c r="M91" s="47"/>
      <c r="N91" s="47"/>
      <c r="O91" s="47"/>
      <c r="P91" s="47"/>
      <c r="Q91" s="47"/>
      <c r="R91" s="20"/>
      <c r="S91" s="20"/>
      <c r="T91" s="47"/>
      <c r="U91" s="47"/>
      <c r="V91" s="47"/>
      <c r="W91" s="47"/>
      <c r="X91" s="47"/>
      <c r="Y91" s="47"/>
      <c r="Z91" s="47"/>
      <c r="AA91" s="47"/>
      <c r="AB91" s="47"/>
      <c r="AC91" s="47"/>
      <c r="AD91" s="47"/>
      <c r="AE91" s="47"/>
      <c r="AF91" s="47"/>
      <c r="AG91" s="47"/>
      <c r="AH91" s="47"/>
      <c r="AI91" s="47"/>
    </row>
    <row r="92" spans="1:35" ht="60" customHeight="1" x14ac:dyDescent="0.2">
      <c r="A92" s="57"/>
      <c r="B92" s="47"/>
      <c r="C92" s="47"/>
      <c r="D92" s="47"/>
      <c r="E92" s="47"/>
      <c r="F92" s="47"/>
      <c r="G92" s="47"/>
      <c r="H92" s="47"/>
      <c r="I92" s="47"/>
      <c r="J92" s="47"/>
      <c r="K92" s="47"/>
      <c r="L92" s="47"/>
      <c r="M92" s="47"/>
      <c r="N92" s="47"/>
      <c r="O92" s="47"/>
      <c r="P92" s="47"/>
      <c r="Q92" s="47"/>
      <c r="R92" s="20"/>
      <c r="S92" s="47"/>
      <c r="T92" s="47"/>
      <c r="U92" s="47"/>
      <c r="V92" s="47"/>
      <c r="W92" s="47"/>
      <c r="X92" s="47"/>
      <c r="Y92" s="47"/>
      <c r="Z92" s="47"/>
      <c r="AA92" s="47"/>
      <c r="AB92" s="47"/>
      <c r="AC92" s="47"/>
      <c r="AD92" s="47"/>
      <c r="AE92" s="47"/>
      <c r="AF92" s="47"/>
      <c r="AG92" s="47"/>
      <c r="AH92" s="47"/>
      <c r="AI92" s="47"/>
    </row>
    <row r="93" spans="1:35" ht="60" customHeight="1" x14ac:dyDescent="0.2">
      <c r="A93" s="57"/>
      <c r="B93" s="47"/>
      <c r="C93" s="47"/>
      <c r="D93" s="47"/>
      <c r="E93" s="47"/>
      <c r="F93" s="47"/>
      <c r="G93" s="47"/>
      <c r="H93" s="47"/>
      <c r="I93" s="47"/>
      <c r="J93" s="47"/>
      <c r="K93" s="47"/>
      <c r="L93" s="47"/>
      <c r="M93" s="47"/>
      <c r="N93" s="47"/>
      <c r="O93" s="47"/>
      <c r="P93" s="47"/>
      <c r="Q93" s="47"/>
      <c r="R93" s="20"/>
      <c r="S93" s="47"/>
      <c r="T93" s="47"/>
      <c r="U93" s="47"/>
      <c r="V93" s="47"/>
      <c r="W93" s="47"/>
      <c r="X93" s="47"/>
      <c r="Y93" s="47"/>
      <c r="Z93" s="47"/>
      <c r="AA93" s="47"/>
      <c r="AB93" s="47"/>
      <c r="AC93" s="47"/>
      <c r="AD93" s="47"/>
      <c r="AE93" s="47"/>
      <c r="AF93" s="47"/>
      <c r="AG93" s="47"/>
      <c r="AH93" s="47"/>
      <c r="AI93" s="47"/>
    </row>
    <row r="94" spans="1:35" ht="60" customHeight="1" x14ac:dyDescent="0.2">
      <c r="A94" s="57"/>
      <c r="B94" s="47"/>
      <c r="C94" s="47"/>
      <c r="D94" s="47"/>
      <c r="E94" s="47"/>
      <c r="F94" s="47"/>
      <c r="G94" s="47"/>
      <c r="H94" s="47"/>
      <c r="I94" s="47"/>
      <c r="J94" s="47"/>
      <c r="K94" s="47"/>
      <c r="L94" s="47"/>
      <c r="M94" s="47"/>
      <c r="N94" s="47"/>
      <c r="O94" s="47"/>
      <c r="P94" s="47"/>
      <c r="Q94" s="47"/>
      <c r="R94" s="20"/>
      <c r="S94" s="47"/>
      <c r="T94" s="62"/>
      <c r="U94" s="62"/>
      <c r="V94" s="47"/>
      <c r="W94" s="47"/>
      <c r="X94" s="47"/>
      <c r="Y94" s="47"/>
      <c r="Z94" s="47"/>
      <c r="AA94" s="47"/>
      <c r="AB94" s="47"/>
      <c r="AC94" s="47"/>
      <c r="AD94" s="47"/>
      <c r="AE94" s="47"/>
      <c r="AF94" s="47"/>
      <c r="AG94" s="47"/>
      <c r="AH94" s="47"/>
      <c r="AI94" s="47"/>
    </row>
    <row r="95" spans="1:35" ht="60" customHeight="1" x14ac:dyDescent="0.2">
      <c r="A95" s="57"/>
      <c r="B95" s="47"/>
      <c r="C95" s="47"/>
      <c r="D95" s="47"/>
      <c r="E95" s="47"/>
      <c r="F95" s="47"/>
      <c r="G95" s="47"/>
      <c r="H95" s="47"/>
      <c r="I95" s="47"/>
      <c r="J95" s="47"/>
      <c r="K95" s="47"/>
      <c r="L95" s="47"/>
      <c r="M95" s="47"/>
      <c r="N95" s="47"/>
      <c r="O95" s="47"/>
      <c r="P95" s="47"/>
      <c r="Q95" s="47"/>
      <c r="R95" s="20"/>
      <c r="S95" s="62"/>
      <c r="T95" s="62"/>
      <c r="U95" s="62"/>
      <c r="V95" s="47"/>
      <c r="W95" s="47"/>
      <c r="X95" s="47"/>
      <c r="Y95" s="47"/>
      <c r="Z95" s="47"/>
      <c r="AA95" s="47"/>
      <c r="AB95" s="47"/>
      <c r="AC95" s="47"/>
      <c r="AD95" s="47"/>
      <c r="AE95" s="47"/>
      <c r="AF95" s="47"/>
      <c r="AG95" s="47"/>
      <c r="AH95" s="47"/>
      <c r="AI95" s="47"/>
    </row>
    <row r="96" spans="1:35" ht="60" customHeight="1" x14ac:dyDescent="0.2">
      <c r="A96" s="57"/>
      <c r="B96" s="47"/>
      <c r="C96" s="63"/>
      <c r="D96" s="63"/>
      <c r="E96" s="47"/>
      <c r="F96" s="47"/>
      <c r="G96" s="47"/>
      <c r="H96" s="47"/>
      <c r="I96" s="47"/>
      <c r="J96" s="47"/>
      <c r="K96" s="47"/>
      <c r="L96" s="47"/>
      <c r="M96" s="47"/>
      <c r="N96" s="47"/>
      <c r="O96" s="47"/>
      <c r="P96" s="47"/>
      <c r="Q96" s="47"/>
      <c r="R96" s="20"/>
      <c r="S96" s="20"/>
      <c r="T96" s="20"/>
      <c r="U96" s="47"/>
      <c r="V96" s="47"/>
      <c r="W96" s="47"/>
      <c r="X96" s="47"/>
      <c r="Y96" s="47"/>
      <c r="Z96" s="47"/>
      <c r="AA96" s="47"/>
      <c r="AB96" s="47"/>
      <c r="AC96" s="47"/>
      <c r="AD96" s="47"/>
      <c r="AE96" s="47"/>
      <c r="AF96" s="47"/>
      <c r="AG96" s="47"/>
      <c r="AH96" s="47"/>
      <c r="AI96" s="47"/>
    </row>
    <row r="97" spans="1:35" ht="60" customHeight="1" x14ac:dyDescent="0.2">
      <c r="A97" s="57"/>
      <c r="B97" s="47"/>
      <c r="C97" s="47"/>
      <c r="D97" s="47"/>
      <c r="E97" s="47"/>
      <c r="F97" s="47"/>
      <c r="G97" s="47"/>
      <c r="H97" s="47"/>
      <c r="I97" s="47"/>
      <c r="J97" s="47"/>
      <c r="K97" s="47"/>
      <c r="L97" s="47"/>
      <c r="M97" s="47"/>
      <c r="N97" s="47"/>
      <c r="O97" s="47"/>
      <c r="P97" s="47"/>
      <c r="Q97" s="47"/>
      <c r="R97" s="50"/>
      <c r="S97" s="50"/>
      <c r="T97" s="47"/>
      <c r="U97" s="47"/>
      <c r="V97" s="47"/>
      <c r="W97" s="47"/>
      <c r="X97" s="47"/>
      <c r="Y97" s="47"/>
      <c r="Z97" s="47"/>
      <c r="AA97" s="47"/>
      <c r="AB97" s="47"/>
      <c r="AC97" s="47"/>
      <c r="AD97" s="47"/>
      <c r="AE97" s="47"/>
      <c r="AF97" s="47"/>
      <c r="AG97" s="47"/>
      <c r="AH97" s="47"/>
      <c r="AI97" s="47"/>
    </row>
    <row r="98" spans="1:35" ht="60" customHeight="1" x14ac:dyDescent="0.2">
      <c r="A98" s="57"/>
      <c r="B98" s="47"/>
      <c r="C98" s="47"/>
      <c r="D98" s="47"/>
      <c r="E98" s="47"/>
      <c r="F98" s="47"/>
      <c r="G98" s="47"/>
      <c r="H98" s="47"/>
      <c r="I98" s="47"/>
      <c r="J98" s="47"/>
      <c r="K98" s="47"/>
      <c r="L98" s="47"/>
      <c r="M98" s="47"/>
      <c r="N98" s="47"/>
      <c r="O98" s="47"/>
      <c r="P98" s="47"/>
      <c r="Q98" s="47"/>
      <c r="R98" s="50"/>
      <c r="S98" s="47"/>
      <c r="T98" s="47"/>
      <c r="U98" s="47"/>
      <c r="V98" s="47"/>
      <c r="W98" s="47"/>
      <c r="X98" s="47"/>
      <c r="Y98" s="47"/>
      <c r="Z98" s="47"/>
      <c r="AA98" s="47"/>
      <c r="AB98" s="47"/>
      <c r="AC98" s="47"/>
      <c r="AD98" s="47"/>
      <c r="AE98" s="47"/>
      <c r="AF98" s="47"/>
      <c r="AG98" s="47"/>
      <c r="AH98" s="47"/>
      <c r="AI98" s="47"/>
    </row>
    <row r="99" spans="1:35" ht="60" customHeight="1" x14ac:dyDescent="0.2">
      <c r="A99" s="57"/>
      <c r="B99" s="47"/>
      <c r="C99" s="47"/>
      <c r="D99" s="47"/>
      <c r="E99" s="47"/>
      <c r="F99" s="47"/>
      <c r="G99" s="47"/>
      <c r="H99" s="47"/>
      <c r="I99" s="47"/>
      <c r="J99" s="47"/>
      <c r="K99" s="47"/>
      <c r="L99" s="47"/>
      <c r="M99" s="47"/>
      <c r="N99" s="47"/>
      <c r="O99" s="47"/>
      <c r="P99" s="47"/>
      <c r="Q99" s="47"/>
      <c r="R99" s="20"/>
      <c r="S99" s="47"/>
      <c r="T99" s="47"/>
      <c r="U99" s="47"/>
      <c r="V99" s="47"/>
      <c r="W99" s="47"/>
      <c r="X99" s="47"/>
      <c r="Y99" s="47"/>
      <c r="Z99" s="47"/>
      <c r="AA99" s="47"/>
      <c r="AB99" s="47"/>
      <c r="AC99" s="47"/>
      <c r="AD99" s="47"/>
      <c r="AE99" s="47"/>
      <c r="AF99" s="47"/>
      <c r="AG99" s="47"/>
      <c r="AH99" s="47"/>
      <c r="AI99" s="47"/>
    </row>
    <row r="100" spans="1:35" ht="60" customHeight="1" x14ac:dyDescent="0.2">
      <c r="A100" s="57"/>
      <c r="B100" s="47"/>
      <c r="C100" s="47"/>
      <c r="D100" s="47"/>
      <c r="E100" s="47"/>
      <c r="F100" s="47"/>
      <c r="G100" s="47"/>
      <c r="H100" s="47"/>
      <c r="I100" s="47"/>
      <c r="J100" s="47"/>
      <c r="K100" s="47"/>
      <c r="L100" s="47"/>
      <c r="M100" s="47"/>
      <c r="N100" s="47"/>
      <c r="O100" s="47"/>
      <c r="P100" s="47"/>
      <c r="Q100" s="47"/>
      <c r="R100" s="20"/>
      <c r="S100" s="20"/>
      <c r="T100" s="47"/>
      <c r="U100" s="47"/>
      <c r="V100" s="47"/>
      <c r="W100" s="47"/>
      <c r="X100" s="47"/>
      <c r="Y100" s="47"/>
      <c r="Z100" s="47"/>
      <c r="AA100" s="47"/>
      <c r="AB100" s="47"/>
      <c r="AC100" s="47"/>
      <c r="AD100" s="47"/>
      <c r="AE100" s="47"/>
      <c r="AF100" s="47"/>
      <c r="AG100" s="47"/>
      <c r="AH100" s="47"/>
      <c r="AI100" s="47"/>
    </row>
    <row r="101" spans="1:35" ht="60" customHeight="1" x14ac:dyDescent="0.2">
      <c r="A101" s="57"/>
      <c r="B101" s="47"/>
      <c r="C101" s="47"/>
      <c r="D101" s="47"/>
      <c r="E101" s="47"/>
      <c r="F101" s="47"/>
      <c r="G101" s="47"/>
      <c r="H101" s="47"/>
      <c r="I101" s="47"/>
      <c r="J101" s="47"/>
      <c r="K101" s="47"/>
      <c r="L101" s="47"/>
      <c r="M101" s="47"/>
      <c r="N101" s="47"/>
      <c r="O101" s="47"/>
      <c r="P101" s="47"/>
      <c r="Q101" s="47"/>
      <c r="R101" s="20"/>
      <c r="S101" s="20"/>
      <c r="T101" s="47"/>
      <c r="U101" s="47"/>
      <c r="V101" s="47"/>
      <c r="W101" s="47"/>
      <c r="X101" s="47"/>
      <c r="Y101" s="47"/>
      <c r="Z101" s="47"/>
      <c r="AA101" s="47"/>
      <c r="AB101" s="47"/>
      <c r="AC101" s="47"/>
      <c r="AD101" s="47"/>
      <c r="AE101" s="47"/>
      <c r="AF101" s="47"/>
      <c r="AG101" s="47"/>
      <c r="AH101" s="47"/>
      <c r="AI101" s="47"/>
    </row>
    <row r="102" spans="1:35" ht="60" customHeight="1" x14ac:dyDescent="0.2">
      <c r="A102" s="57"/>
      <c r="B102" s="47"/>
      <c r="C102" s="47"/>
      <c r="D102" s="47"/>
      <c r="E102" s="47"/>
      <c r="F102" s="47"/>
      <c r="G102" s="47"/>
      <c r="H102" s="47"/>
      <c r="I102" s="47"/>
      <c r="J102" s="47"/>
      <c r="K102" s="47"/>
      <c r="L102" s="47"/>
      <c r="M102" s="47"/>
      <c r="N102" s="47"/>
      <c r="O102" s="47"/>
      <c r="P102" s="47"/>
      <c r="Q102" s="47"/>
      <c r="R102" s="20"/>
      <c r="S102" s="50"/>
      <c r="T102" s="50"/>
      <c r="U102" s="47"/>
      <c r="V102" s="47"/>
      <c r="W102" s="47"/>
      <c r="X102" s="47"/>
      <c r="Y102" s="47"/>
      <c r="Z102" s="47"/>
      <c r="AA102" s="47"/>
      <c r="AB102" s="47"/>
      <c r="AC102" s="47"/>
      <c r="AD102" s="47"/>
      <c r="AE102" s="47"/>
      <c r="AF102" s="47"/>
      <c r="AG102" s="47"/>
      <c r="AH102" s="47"/>
      <c r="AI102" s="47"/>
    </row>
    <row r="103" spans="1:35" ht="60" customHeight="1" x14ac:dyDescent="0.2">
      <c r="A103" s="57"/>
      <c r="B103" s="47"/>
      <c r="C103" s="47"/>
      <c r="D103" s="47"/>
      <c r="E103" s="47"/>
      <c r="F103" s="47"/>
      <c r="G103" s="47"/>
      <c r="H103" s="47"/>
      <c r="I103" s="47"/>
      <c r="J103" s="47"/>
      <c r="K103" s="47"/>
      <c r="L103" s="47"/>
      <c r="M103" s="47"/>
      <c r="N103" s="47"/>
      <c r="O103" s="47"/>
      <c r="P103" s="47"/>
      <c r="Q103" s="47"/>
      <c r="R103" s="20"/>
      <c r="S103" s="47"/>
      <c r="T103" s="47"/>
      <c r="U103" s="47"/>
      <c r="V103" s="47"/>
      <c r="W103" s="47"/>
      <c r="X103" s="20"/>
      <c r="Y103" s="47"/>
      <c r="Z103" s="47"/>
      <c r="AA103" s="47"/>
      <c r="AB103" s="47"/>
      <c r="AC103" s="47"/>
      <c r="AD103" s="47"/>
      <c r="AE103" s="47"/>
      <c r="AF103" s="47"/>
      <c r="AG103" s="47"/>
      <c r="AH103" s="47"/>
      <c r="AI103" s="47"/>
    </row>
    <row r="104" spans="1:35" ht="60" customHeight="1" x14ac:dyDescent="0.2">
      <c r="A104" s="57"/>
      <c r="B104" s="47"/>
      <c r="C104" s="47"/>
      <c r="D104" s="47"/>
      <c r="E104" s="47"/>
      <c r="F104" s="47"/>
      <c r="G104" s="47"/>
      <c r="H104" s="47"/>
      <c r="I104" s="47"/>
      <c r="J104" s="47"/>
      <c r="K104" s="47"/>
      <c r="L104" s="47"/>
      <c r="M104" s="47"/>
      <c r="N104" s="47"/>
      <c r="O104" s="47"/>
      <c r="P104" s="47"/>
      <c r="Q104" s="47"/>
      <c r="R104" s="50"/>
      <c r="S104" s="50"/>
      <c r="T104" s="47"/>
      <c r="U104" s="47"/>
      <c r="V104" s="47"/>
      <c r="W104" s="47"/>
      <c r="X104" s="47"/>
      <c r="Y104" s="47"/>
      <c r="Z104" s="47"/>
      <c r="AA104" s="47"/>
      <c r="AB104" s="47"/>
      <c r="AC104" s="47"/>
      <c r="AD104" s="47"/>
      <c r="AE104" s="47"/>
      <c r="AF104" s="47"/>
      <c r="AG104" s="47"/>
      <c r="AH104" s="47"/>
      <c r="AI104" s="47"/>
    </row>
    <row r="105" spans="1:35" ht="60" customHeight="1" x14ac:dyDescent="0.2">
      <c r="A105" s="57"/>
      <c r="B105" s="47"/>
      <c r="C105" s="47"/>
      <c r="D105" s="47"/>
      <c r="E105" s="47"/>
      <c r="F105" s="47"/>
      <c r="G105" s="47"/>
      <c r="H105" s="47"/>
      <c r="I105" s="47"/>
      <c r="J105" s="47"/>
      <c r="K105" s="47"/>
      <c r="L105" s="47"/>
      <c r="M105" s="47"/>
      <c r="N105" s="47"/>
      <c r="O105" s="47"/>
      <c r="P105" s="47"/>
      <c r="Q105" s="47"/>
      <c r="R105" s="20"/>
      <c r="S105" s="50"/>
      <c r="T105" s="47"/>
      <c r="U105" s="47"/>
      <c r="V105" s="47"/>
      <c r="W105" s="47"/>
      <c r="X105" s="47"/>
      <c r="Y105" s="47"/>
      <c r="Z105" s="47"/>
      <c r="AA105" s="47"/>
      <c r="AB105" s="47"/>
      <c r="AC105" s="47"/>
      <c r="AD105" s="47"/>
      <c r="AE105" s="47"/>
      <c r="AF105" s="47"/>
      <c r="AG105" s="47"/>
      <c r="AH105" s="47"/>
      <c r="AI105" s="47"/>
    </row>
    <row r="106" spans="1:35" ht="60" customHeight="1" x14ac:dyDescent="0.2">
      <c r="A106" s="57"/>
      <c r="B106" s="47"/>
      <c r="C106" s="47"/>
      <c r="D106" s="47"/>
      <c r="E106" s="47"/>
      <c r="F106" s="47"/>
      <c r="G106" s="47"/>
      <c r="H106" s="47"/>
      <c r="I106" s="47"/>
      <c r="J106" s="47"/>
      <c r="K106" s="47"/>
      <c r="L106" s="47"/>
      <c r="M106" s="47"/>
      <c r="N106" s="47"/>
      <c r="O106" s="47"/>
      <c r="P106" s="47"/>
      <c r="Q106" s="47"/>
      <c r="R106" s="20"/>
      <c r="S106" s="47"/>
      <c r="T106" s="47"/>
      <c r="U106" s="47"/>
      <c r="V106" s="47"/>
      <c r="W106" s="47"/>
      <c r="X106" s="47"/>
      <c r="Y106" s="47"/>
      <c r="Z106" s="47"/>
      <c r="AA106" s="47"/>
      <c r="AB106" s="47"/>
      <c r="AC106" s="47"/>
      <c r="AD106" s="47"/>
      <c r="AE106" s="47"/>
      <c r="AF106" s="47"/>
      <c r="AG106" s="47"/>
      <c r="AH106" s="47"/>
      <c r="AI106" s="47"/>
    </row>
    <row r="107" spans="1:35" ht="60" customHeight="1" x14ac:dyDescent="0.2">
      <c r="A107" s="57"/>
      <c r="B107" s="47"/>
      <c r="C107" s="47"/>
      <c r="D107" s="47"/>
      <c r="E107" s="47"/>
      <c r="F107" s="47"/>
      <c r="G107" s="47"/>
      <c r="H107" s="47"/>
      <c r="I107" s="47"/>
      <c r="J107" s="47"/>
      <c r="K107" s="47"/>
      <c r="L107" s="47"/>
      <c r="M107" s="47"/>
      <c r="N107" s="47"/>
      <c r="O107" s="47"/>
      <c r="P107" s="47"/>
      <c r="Q107" s="47"/>
      <c r="R107" s="20"/>
      <c r="S107" s="20"/>
      <c r="T107" s="47"/>
      <c r="U107" s="47"/>
      <c r="V107" s="47"/>
      <c r="W107" s="47"/>
      <c r="X107" s="47"/>
      <c r="Y107" s="47"/>
      <c r="Z107" s="47"/>
      <c r="AA107" s="47"/>
      <c r="AB107" s="47"/>
      <c r="AC107" s="47"/>
      <c r="AD107" s="47"/>
      <c r="AE107" s="47"/>
      <c r="AF107" s="47"/>
      <c r="AG107" s="47"/>
      <c r="AH107" s="47"/>
      <c r="AI107" s="47"/>
    </row>
    <row r="108" spans="1:35" ht="60" customHeight="1" x14ac:dyDescent="0.2">
      <c r="A108" s="57"/>
      <c r="B108" s="47"/>
      <c r="C108" s="47"/>
      <c r="D108" s="47"/>
      <c r="E108" s="47"/>
      <c r="F108" s="47"/>
      <c r="G108" s="47"/>
      <c r="H108" s="47"/>
      <c r="I108" s="47"/>
      <c r="J108" s="47"/>
      <c r="K108" s="47"/>
      <c r="L108" s="47"/>
      <c r="M108" s="47"/>
      <c r="N108" s="47"/>
      <c r="O108" s="47"/>
      <c r="P108" s="47"/>
      <c r="Q108" s="47"/>
      <c r="R108" s="61"/>
      <c r="S108" s="20"/>
      <c r="T108" s="47"/>
      <c r="U108" s="47"/>
      <c r="V108" s="47"/>
      <c r="W108" s="47"/>
      <c r="X108" s="47"/>
      <c r="Y108" s="47"/>
      <c r="Z108" s="47"/>
      <c r="AA108" s="47"/>
      <c r="AB108" s="47"/>
      <c r="AC108" s="47"/>
      <c r="AD108" s="47"/>
      <c r="AE108" s="47"/>
      <c r="AF108" s="47"/>
      <c r="AG108" s="47"/>
      <c r="AH108" s="47"/>
      <c r="AI108" s="47"/>
    </row>
    <row r="109" spans="1:35" ht="60" customHeight="1" x14ac:dyDescent="0.2">
      <c r="A109" s="57"/>
      <c r="B109" s="47"/>
      <c r="C109" s="47"/>
      <c r="D109" s="47"/>
      <c r="E109" s="47"/>
      <c r="F109" s="47"/>
      <c r="G109" s="47"/>
      <c r="H109" s="47"/>
      <c r="I109" s="47"/>
      <c r="J109" s="47"/>
      <c r="K109" s="47"/>
      <c r="L109" s="47"/>
      <c r="M109" s="47"/>
      <c r="N109" s="47"/>
      <c r="O109" s="47"/>
      <c r="P109" s="47"/>
      <c r="Q109" s="47"/>
      <c r="R109" s="20"/>
      <c r="S109" s="20"/>
      <c r="T109" s="47"/>
      <c r="U109" s="47"/>
      <c r="V109" s="47"/>
      <c r="W109" s="47"/>
      <c r="X109" s="47"/>
      <c r="Y109" s="47"/>
      <c r="Z109" s="47"/>
      <c r="AA109" s="47"/>
      <c r="AB109" s="47"/>
      <c r="AC109" s="47"/>
      <c r="AD109" s="47"/>
      <c r="AE109" s="47"/>
      <c r="AF109" s="47"/>
      <c r="AG109" s="47"/>
      <c r="AH109" s="47"/>
      <c r="AI109" s="47"/>
    </row>
    <row r="110" spans="1:35" ht="60" customHeight="1" x14ac:dyDescent="0.2">
      <c r="A110" s="57"/>
      <c r="B110" s="47"/>
      <c r="C110" s="47"/>
      <c r="D110" s="47"/>
      <c r="E110" s="63"/>
      <c r="F110" s="63"/>
      <c r="G110" s="63"/>
      <c r="H110" s="47"/>
      <c r="I110" s="47"/>
      <c r="J110" s="47"/>
      <c r="K110" s="47"/>
      <c r="L110" s="47"/>
      <c r="M110" s="47"/>
      <c r="N110" s="47"/>
      <c r="O110" s="47"/>
      <c r="P110" s="47"/>
      <c r="Q110" s="47"/>
      <c r="R110" s="50"/>
      <c r="S110" s="50"/>
      <c r="T110" s="64"/>
      <c r="U110" s="47"/>
      <c r="V110" s="47"/>
      <c r="W110" s="47"/>
      <c r="X110" s="47"/>
      <c r="Y110" s="47"/>
      <c r="Z110" s="47"/>
      <c r="AA110" s="47"/>
      <c r="AB110" s="47"/>
      <c r="AC110" s="47"/>
      <c r="AD110" s="47"/>
      <c r="AE110" s="47"/>
      <c r="AF110" s="47"/>
      <c r="AG110" s="47"/>
      <c r="AH110" s="47"/>
      <c r="AI110" s="47"/>
    </row>
    <row r="111" spans="1:35" ht="60" customHeight="1" x14ac:dyDescent="0.2">
      <c r="A111" s="57"/>
      <c r="B111" s="47"/>
      <c r="C111" s="47"/>
      <c r="D111" s="47"/>
      <c r="E111" s="47"/>
      <c r="F111" s="47"/>
      <c r="G111" s="47"/>
      <c r="H111" s="47"/>
      <c r="I111" s="47"/>
      <c r="J111" s="47"/>
      <c r="K111" s="47"/>
      <c r="L111" s="47"/>
      <c r="M111" s="47"/>
      <c r="N111" s="47"/>
      <c r="O111" s="47"/>
      <c r="P111" s="47"/>
      <c r="Q111" s="47"/>
      <c r="R111" s="50"/>
      <c r="S111" s="47"/>
      <c r="T111" s="47"/>
      <c r="U111" s="47"/>
      <c r="V111" s="47"/>
      <c r="W111" s="47"/>
      <c r="X111" s="47"/>
      <c r="Y111" s="47"/>
      <c r="Z111" s="47"/>
      <c r="AA111" s="47"/>
      <c r="AB111" s="47"/>
      <c r="AC111" s="47"/>
      <c r="AD111" s="47"/>
      <c r="AE111" s="47"/>
      <c r="AF111" s="47"/>
      <c r="AG111" s="47"/>
      <c r="AH111" s="47"/>
      <c r="AI111" s="47"/>
    </row>
    <row r="112" spans="1:35" ht="60" customHeight="1" x14ac:dyDescent="0.2">
      <c r="A112" s="57"/>
      <c r="B112" s="47"/>
      <c r="C112" s="47"/>
      <c r="D112" s="47"/>
      <c r="E112" s="47"/>
      <c r="F112" s="47"/>
      <c r="G112" s="47"/>
      <c r="H112" s="47"/>
      <c r="I112" s="47"/>
      <c r="J112" s="47"/>
      <c r="K112" s="47"/>
      <c r="L112" s="47"/>
      <c r="M112" s="47"/>
      <c r="N112" s="47"/>
      <c r="O112" s="47"/>
      <c r="P112" s="65"/>
      <c r="Q112" s="47"/>
      <c r="R112" s="50"/>
      <c r="S112" s="47"/>
      <c r="T112" s="47"/>
      <c r="U112" s="47"/>
      <c r="V112" s="47"/>
      <c r="W112" s="47"/>
      <c r="X112" s="47"/>
      <c r="Y112" s="47"/>
      <c r="Z112" s="47"/>
      <c r="AA112" s="47"/>
      <c r="AB112" s="47"/>
      <c r="AC112" s="47"/>
      <c r="AD112" s="47"/>
      <c r="AE112" s="47"/>
      <c r="AF112" s="47"/>
      <c r="AG112" s="47"/>
      <c r="AH112" s="47"/>
      <c r="AI112" s="47"/>
    </row>
    <row r="113" spans="1:35" ht="60" customHeight="1" x14ac:dyDescent="0.2">
      <c r="A113" s="57"/>
      <c r="B113" s="47"/>
      <c r="C113" s="47"/>
      <c r="D113" s="47"/>
      <c r="E113" s="47"/>
      <c r="F113" s="47"/>
      <c r="G113" s="47"/>
      <c r="H113" s="47"/>
      <c r="I113" s="47"/>
      <c r="J113" s="47"/>
      <c r="K113" s="47"/>
      <c r="L113" s="47"/>
      <c r="M113" s="47"/>
      <c r="N113" s="47"/>
      <c r="O113" s="47"/>
      <c r="P113" s="47"/>
      <c r="Q113" s="47"/>
      <c r="R113" s="20"/>
      <c r="S113" s="20"/>
      <c r="T113" s="20"/>
      <c r="U113" s="20"/>
      <c r="V113" s="47"/>
      <c r="W113" s="47"/>
      <c r="X113" s="47"/>
      <c r="Y113" s="47"/>
      <c r="Z113" s="47"/>
      <c r="AA113" s="47"/>
      <c r="AB113" s="47"/>
      <c r="AC113" s="47"/>
      <c r="AD113" s="47"/>
      <c r="AE113" s="47"/>
      <c r="AF113" s="47"/>
      <c r="AG113" s="47"/>
      <c r="AH113" s="47"/>
      <c r="AI113" s="47"/>
    </row>
    <row r="114" spans="1:35" ht="60" customHeight="1" x14ac:dyDescent="0.2">
      <c r="A114" s="57"/>
      <c r="B114" s="47"/>
      <c r="C114" s="47"/>
      <c r="D114" s="47"/>
      <c r="E114" s="47"/>
      <c r="F114" s="47"/>
      <c r="G114" s="47"/>
      <c r="H114" s="47"/>
      <c r="I114" s="47"/>
      <c r="J114" s="47"/>
      <c r="K114" s="47"/>
      <c r="L114" s="47"/>
      <c r="M114" s="47"/>
      <c r="N114" s="47"/>
      <c r="O114" s="47"/>
      <c r="P114" s="47"/>
      <c r="Q114" s="47"/>
      <c r="R114" s="20"/>
      <c r="S114" s="47"/>
      <c r="T114" s="47"/>
      <c r="U114" s="47"/>
      <c r="V114" s="47"/>
      <c r="W114" s="47"/>
      <c r="X114" s="47"/>
      <c r="Y114" s="47"/>
      <c r="Z114" s="47"/>
      <c r="AA114" s="47"/>
      <c r="AB114" s="47"/>
      <c r="AC114" s="47"/>
      <c r="AD114" s="47"/>
      <c r="AE114" s="47"/>
      <c r="AF114" s="47"/>
      <c r="AG114" s="47"/>
      <c r="AH114" s="47"/>
      <c r="AI114" s="47"/>
    </row>
    <row r="115" spans="1:35" ht="60" customHeight="1" x14ac:dyDescent="0.2">
      <c r="A115" s="57"/>
      <c r="B115" s="47"/>
      <c r="C115" s="47"/>
      <c r="D115" s="47"/>
      <c r="E115" s="47"/>
      <c r="F115" s="47"/>
      <c r="G115" s="47"/>
      <c r="H115" s="47"/>
      <c r="I115" s="47"/>
      <c r="J115" s="47"/>
      <c r="K115" s="47"/>
      <c r="L115" s="47"/>
      <c r="M115" s="47"/>
      <c r="N115" s="47"/>
      <c r="O115" s="47"/>
      <c r="P115" s="47"/>
      <c r="Q115" s="47"/>
      <c r="R115" s="20"/>
      <c r="S115" s="47"/>
      <c r="T115" s="47"/>
      <c r="U115" s="47"/>
      <c r="V115" s="47"/>
      <c r="W115" s="47"/>
      <c r="X115" s="47"/>
      <c r="Y115" s="47"/>
      <c r="Z115" s="47"/>
      <c r="AA115" s="47"/>
      <c r="AB115" s="47"/>
      <c r="AC115" s="47"/>
      <c r="AD115" s="47"/>
      <c r="AE115" s="47"/>
      <c r="AF115" s="47"/>
      <c r="AG115" s="47"/>
      <c r="AH115" s="47"/>
      <c r="AI115" s="47"/>
    </row>
    <row r="116" spans="1:35" ht="60" customHeight="1" x14ac:dyDescent="0.2">
      <c r="A116" s="57"/>
      <c r="B116" s="47"/>
      <c r="C116" s="47"/>
      <c r="D116" s="47"/>
      <c r="E116" s="47"/>
      <c r="F116" s="47"/>
      <c r="G116" s="47"/>
      <c r="H116" s="47"/>
      <c r="I116" s="47"/>
      <c r="J116" s="47"/>
      <c r="K116" s="47"/>
      <c r="L116" s="47"/>
      <c r="M116" s="47"/>
      <c r="N116" s="47"/>
      <c r="O116" s="47"/>
      <c r="P116" s="47"/>
      <c r="Q116" s="47"/>
      <c r="R116" s="20"/>
      <c r="S116" s="47"/>
      <c r="T116" s="47"/>
      <c r="U116" s="47"/>
      <c r="V116" s="47"/>
      <c r="W116" s="47"/>
      <c r="X116" s="47"/>
      <c r="Y116" s="47"/>
      <c r="Z116" s="47"/>
      <c r="AA116" s="47"/>
      <c r="AB116" s="47"/>
      <c r="AC116" s="47"/>
      <c r="AD116" s="47"/>
      <c r="AE116" s="47"/>
      <c r="AF116" s="47"/>
      <c r="AG116" s="47"/>
      <c r="AH116" s="47"/>
      <c r="AI116" s="47"/>
    </row>
    <row r="117" spans="1:35" ht="60" customHeight="1" x14ac:dyDescent="0.2">
      <c r="A117" s="57"/>
      <c r="B117" s="47"/>
      <c r="C117" s="47"/>
      <c r="D117" s="47"/>
      <c r="E117" s="47"/>
      <c r="F117" s="47"/>
      <c r="G117" s="47"/>
      <c r="H117" s="47"/>
      <c r="I117" s="47"/>
      <c r="J117" s="47"/>
      <c r="K117" s="47"/>
      <c r="L117" s="47"/>
      <c r="M117" s="47"/>
      <c r="N117" s="47"/>
      <c r="O117" s="47"/>
      <c r="P117" s="47"/>
      <c r="Q117" s="47"/>
      <c r="R117" s="20"/>
      <c r="S117" s="20"/>
      <c r="T117" s="47"/>
      <c r="U117" s="47"/>
      <c r="V117" s="47"/>
      <c r="W117" s="47"/>
      <c r="X117" s="47"/>
      <c r="Y117" s="47"/>
      <c r="Z117" s="47"/>
      <c r="AA117" s="47"/>
      <c r="AB117" s="47"/>
      <c r="AC117" s="47"/>
      <c r="AD117" s="47"/>
      <c r="AE117" s="47"/>
      <c r="AF117" s="47"/>
      <c r="AG117" s="47"/>
      <c r="AH117" s="47"/>
      <c r="AI117" s="47"/>
    </row>
    <row r="118" spans="1:35" ht="60" customHeight="1" x14ac:dyDescent="0.2">
      <c r="A118" s="57"/>
      <c r="B118" s="47"/>
      <c r="C118" s="47"/>
      <c r="D118" s="47"/>
      <c r="E118" s="47"/>
      <c r="F118" s="47"/>
      <c r="G118" s="47"/>
      <c r="H118" s="47"/>
      <c r="I118" s="47"/>
      <c r="J118" s="47"/>
      <c r="K118" s="47"/>
      <c r="L118" s="47"/>
      <c r="M118" s="47"/>
      <c r="N118" s="47"/>
      <c r="O118" s="47"/>
      <c r="P118" s="47"/>
      <c r="Q118" s="47"/>
      <c r="R118" s="20"/>
      <c r="S118" s="20"/>
      <c r="T118" s="20"/>
      <c r="U118" s="20"/>
      <c r="V118" s="47"/>
      <c r="W118" s="47"/>
      <c r="X118" s="47"/>
      <c r="Y118" s="47"/>
      <c r="Z118" s="47"/>
      <c r="AA118" s="47"/>
      <c r="AB118" s="47"/>
      <c r="AC118" s="47"/>
      <c r="AD118" s="47"/>
      <c r="AE118" s="47"/>
      <c r="AF118" s="47"/>
      <c r="AG118" s="47"/>
      <c r="AH118" s="47"/>
      <c r="AI118" s="47"/>
    </row>
    <row r="119" spans="1:35" ht="60" customHeight="1" x14ac:dyDescent="0.2">
      <c r="A119" s="57"/>
      <c r="B119" s="47"/>
      <c r="C119" s="47"/>
      <c r="D119" s="47"/>
      <c r="E119" s="47"/>
      <c r="F119" s="47"/>
      <c r="G119" s="47"/>
      <c r="H119" s="47"/>
      <c r="I119" s="47"/>
      <c r="J119" s="47"/>
      <c r="K119" s="47"/>
      <c r="L119" s="47"/>
      <c r="M119" s="47"/>
      <c r="N119" s="47"/>
      <c r="O119" s="47"/>
      <c r="P119" s="47"/>
      <c r="Q119" s="47"/>
      <c r="R119" s="20"/>
      <c r="S119" s="20"/>
      <c r="T119" s="47"/>
      <c r="U119" s="47"/>
      <c r="V119" s="47"/>
      <c r="W119" s="47"/>
      <c r="X119" s="47"/>
      <c r="Y119" s="47"/>
      <c r="Z119" s="47"/>
      <c r="AA119" s="47"/>
      <c r="AB119" s="47"/>
      <c r="AC119" s="47"/>
      <c r="AD119" s="47"/>
      <c r="AE119" s="47"/>
      <c r="AF119" s="47"/>
      <c r="AG119" s="47"/>
      <c r="AH119" s="47"/>
      <c r="AI119" s="47"/>
    </row>
    <row r="120" spans="1:35" ht="60" customHeight="1" x14ac:dyDescent="0.2">
      <c r="A120" s="57"/>
      <c r="B120" s="47"/>
      <c r="C120" s="47"/>
      <c r="D120" s="47"/>
      <c r="E120" s="47"/>
      <c r="F120" s="47"/>
      <c r="G120" s="47"/>
      <c r="H120" s="47"/>
      <c r="I120" s="47"/>
      <c r="J120" s="47"/>
      <c r="K120" s="47"/>
      <c r="L120" s="47"/>
      <c r="M120" s="47"/>
      <c r="N120" s="47"/>
      <c r="O120" s="47"/>
      <c r="P120" s="47"/>
      <c r="Q120" s="47"/>
      <c r="R120" s="20"/>
      <c r="S120" s="20"/>
      <c r="T120" s="20"/>
      <c r="U120" s="20"/>
      <c r="V120" s="47"/>
      <c r="W120" s="47"/>
      <c r="X120" s="47"/>
      <c r="Y120" s="47"/>
      <c r="Z120" s="47"/>
      <c r="AA120" s="47"/>
      <c r="AB120" s="47"/>
      <c r="AC120" s="47"/>
      <c r="AD120" s="47"/>
      <c r="AE120" s="47"/>
      <c r="AF120" s="47"/>
      <c r="AG120" s="47"/>
      <c r="AH120" s="47"/>
      <c r="AI120" s="47"/>
    </row>
    <row r="121" spans="1:35" ht="60" customHeight="1" x14ac:dyDescent="0.2">
      <c r="A121" s="57"/>
      <c r="B121" s="47"/>
      <c r="C121" s="47"/>
      <c r="D121" s="47"/>
      <c r="E121" s="47"/>
      <c r="F121" s="47"/>
      <c r="G121" s="47"/>
      <c r="H121" s="47"/>
      <c r="I121" s="47"/>
      <c r="J121" s="47"/>
      <c r="K121" s="47"/>
      <c r="L121" s="47"/>
      <c r="M121" s="47"/>
      <c r="N121" s="47"/>
      <c r="O121" s="47"/>
      <c r="P121" s="20"/>
      <c r="Q121" s="20"/>
      <c r="R121" s="20"/>
      <c r="S121" s="20"/>
      <c r="T121" s="20"/>
      <c r="U121" s="20"/>
      <c r="V121" s="20"/>
      <c r="W121" s="47"/>
      <c r="X121" s="47"/>
      <c r="Y121" s="47"/>
      <c r="Z121" s="47"/>
      <c r="AA121" s="47"/>
      <c r="AB121" s="47"/>
      <c r="AC121" s="47"/>
      <c r="AD121" s="47"/>
      <c r="AE121" s="47"/>
      <c r="AF121" s="47"/>
      <c r="AG121" s="47"/>
      <c r="AH121" s="47"/>
      <c r="AI121" s="47"/>
    </row>
    <row r="122" spans="1:35" ht="60" customHeight="1" x14ac:dyDescent="0.2">
      <c r="A122" s="57"/>
      <c r="B122" s="47"/>
      <c r="C122" s="47"/>
      <c r="D122" s="47"/>
      <c r="E122" s="63"/>
      <c r="F122" s="63"/>
      <c r="G122" s="63"/>
      <c r="H122" s="47"/>
      <c r="I122" s="47"/>
      <c r="J122" s="47"/>
      <c r="K122" s="47"/>
      <c r="L122" s="47"/>
      <c r="M122" s="47"/>
      <c r="N122" s="47"/>
      <c r="O122" s="47"/>
      <c r="P122" s="47"/>
      <c r="Q122" s="47"/>
      <c r="R122" s="20"/>
      <c r="S122" s="20"/>
      <c r="T122" s="20"/>
      <c r="U122" s="20"/>
      <c r="V122" s="50"/>
      <c r="W122" s="47"/>
      <c r="X122" s="62"/>
      <c r="Y122" s="47"/>
      <c r="Z122" s="47"/>
      <c r="AA122" s="47"/>
      <c r="AB122" s="47"/>
      <c r="AC122" s="47"/>
      <c r="AD122" s="47"/>
      <c r="AE122" s="47"/>
      <c r="AF122" s="47"/>
      <c r="AG122" s="47"/>
      <c r="AH122" s="47"/>
      <c r="AI122" s="47"/>
    </row>
    <row r="123" spans="1:35" ht="60" customHeight="1" x14ac:dyDescent="0.2">
      <c r="A123" s="57"/>
      <c r="B123" s="47"/>
      <c r="C123" s="47"/>
      <c r="D123" s="47"/>
      <c r="E123" s="63"/>
      <c r="F123" s="63"/>
      <c r="G123" s="63"/>
      <c r="H123" s="47"/>
      <c r="I123" s="47"/>
      <c r="J123" s="47"/>
      <c r="K123" s="47"/>
      <c r="L123" s="47"/>
      <c r="M123" s="47"/>
      <c r="N123" s="47"/>
      <c r="O123" s="47"/>
      <c r="P123" s="47"/>
      <c r="Q123" s="62"/>
      <c r="R123" s="20"/>
      <c r="S123" s="20"/>
      <c r="T123" s="20"/>
      <c r="U123" s="20"/>
      <c r="V123" s="20"/>
      <c r="W123" s="47"/>
      <c r="X123" s="47"/>
      <c r="Y123" s="47"/>
      <c r="Z123" s="47"/>
      <c r="AA123" s="47"/>
      <c r="AB123" s="47"/>
      <c r="AC123" s="47"/>
      <c r="AD123" s="47"/>
      <c r="AE123" s="47"/>
      <c r="AF123" s="47"/>
      <c r="AG123" s="47"/>
      <c r="AH123" s="47"/>
      <c r="AI123" s="47"/>
    </row>
    <row r="124" spans="1:35" ht="60" customHeight="1" x14ac:dyDescent="0.2">
      <c r="A124" s="57"/>
      <c r="B124" s="47"/>
      <c r="C124" s="47"/>
      <c r="D124" s="47"/>
      <c r="E124" s="63"/>
      <c r="F124" s="63"/>
      <c r="G124" s="63"/>
      <c r="H124" s="47"/>
      <c r="I124" s="47"/>
      <c r="J124" s="47"/>
      <c r="K124" s="47"/>
      <c r="L124" s="47"/>
      <c r="M124" s="47"/>
      <c r="N124" s="47"/>
      <c r="O124" s="47"/>
      <c r="P124" s="47"/>
      <c r="Q124" s="47"/>
      <c r="R124" s="20"/>
      <c r="S124" s="20"/>
      <c r="T124" s="20"/>
      <c r="U124" s="20"/>
      <c r="V124" s="20"/>
      <c r="W124" s="47"/>
      <c r="X124" s="47"/>
      <c r="Y124" s="47"/>
      <c r="Z124" s="47"/>
      <c r="AA124" s="47"/>
      <c r="AB124" s="47"/>
      <c r="AC124" s="47"/>
      <c r="AD124" s="47"/>
      <c r="AE124" s="47"/>
      <c r="AF124" s="47"/>
      <c r="AG124" s="47"/>
      <c r="AH124" s="47"/>
      <c r="AI124" s="47"/>
    </row>
    <row r="125" spans="1:35" ht="60" customHeight="1" x14ac:dyDescent="0.2">
      <c r="A125" s="57"/>
      <c r="B125" s="47"/>
      <c r="C125" s="47"/>
      <c r="D125" s="47"/>
      <c r="E125" s="47"/>
      <c r="F125" s="47"/>
      <c r="G125" s="47"/>
      <c r="H125" s="47"/>
      <c r="I125" s="47"/>
      <c r="J125" s="47"/>
      <c r="K125" s="47"/>
      <c r="L125" s="47"/>
      <c r="M125" s="47"/>
      <c r="N125" s="47"/>
      <c r="O125" s="47"/>
      <c r="P125" s="47"/>
      <c r="Q125" s="47"/>
      <c r="R125" s="20"/>
      <c r="S125" s="20"/>
      <c r="T125" s="20"/>
      <c r="U125" s="20"/>
      <c r="V125" s="47"/>
      <c r="W125" s="47"/>
      <c r="X125" s="47"/>
      <c r="Y125" s="47"/>
      <c r="Z125" s="47"/>
      <c r="AA125" s="47"/>
      <c r="AB125" s="47"/>
      <c r="AC125" s="47"/>
      <c r="AD125" s="47"/>
      <c r="AE125" s="47"/>
      <c r="AF125" s="47"/>
      <c r="AG125" s="47"/>
      <c r="AH125" s="47"/>
      <c r="AI125" s="47"/>
    </row>
    <row r="126" spans="1:35" ht="60" customHeight="1" x14ac:dyDescent="0.2">
      <c r="A126" s="57"/>
      <c r="B126" s="47"/>
      <c r="C126" s="47"/>
      <c r="D126" s="47"/>
      <c r="E126" s="47"/>
      <c r="F126" s="47"/>
      <c r="G126" s="47"/>
      <c r="H126" s="47"/>
      <c r="I126" s="47"/>
      <c r="J126" s="47"/>
      <c r="K126" s="47"/>
      <c r="L126" s="47"/>
      <c r="M126" s="47"/>
      <c r="N126" s="47"/>
      <c r="O126" s="47"/>
      <c r="P126" s="47"/>
      <c r="Q126" s="47"/>
      <c r="R126" s="20"/>
      <c r="S126" s="20"/>
      <c r="T126" s="20"/>
      <c r="U126" s="47"/>
      <c r="V126" s="47"/>
      <c r="W126" s="47"/>
      <c r="X126" s="47"/>
      <c r="Y126" s="47"/>
      <c r="Z126" s="47"/>
      <c r="AA126" s="47"/>
      <c r="AB126" s="47"/>
      <c r="AC126" s="47"/>
      <c r="AD126" s="47"/>
      <c r="AE126" s="47"/>
      <c r="AF126" s="47"/>
      <c r="AG126" s="47"/>
      <c r="AH126" s="47"/>
      <c r="AI126" s="47"/>
    </row>
    <row r="127" spans="1:35" ht="60" customHeight="1" x14ac:dyDescent="0.2">
      <c r="A127" s="57"/>
      <c r="B127" s="47"/>
      <c r="C127" s="47"/>
      <c r="D127" s="47"/>
      <c r="E127" s="47"/>
      <c r="F127" s="47"/>
      <c r="G127" s="47"/>
      <c r="H127" s="47"/>
      <c r="I127" s="47"/>
      <c r="J127" s="47"/>
      <c r="K127" s="47"/>
      <c r="L127" s="47"/>
      <c r="M127" s="47"/>
      <c r="N127" s="47"/>
      <c r="O127" s="47"/>
      <c r="P127" s="47"/>
      <c r="Q127" s="47"/>
      <c r="R127" s="50"/>
      <c r="S127" s="20"/>
      <c r="T127" s="47"/>
      <c r="U127" s="47"/>
      <c r="V127" s="47"/>
      <c r="W127" s="47"/>
      <c r="X127" s="47"/>
      <c r="Y127" s="47"/>
      <c r="Z127" s="47"/>
      <c r="AA127" s="47"/>
      <c r="AB127" s="47"/>
      <c r="AC127" s="47"/>
      <c r="AD127" s="47"/>
      <c r="AE127" s="47"/>
      <c r="AF127" s="47"/>
      <c r="AG127" s="47"/>
      <c r="AH127" s="47"/>
      <c r="AI127" s="47"/>
    </row>
    <row r="128" spans="1:35" ht="60" customHeight="1" x14ac:dyDescent="0.2">
      <c r="A128" s="57"/>
      <c r="B128" s="47"/>
      <c r="C128" s="47"/>
      <c r="D128" s="47"/>
      <c r="E128" s="47"/>
      <c r="F128" s="47"/>
      <c r="G128" s="47"/>
      <c r="H128" s="47"/>
      <c r="I128" s="47"/>
      <c r="J128" s="47"/>
      <c r="K128" s="47"/>
      <c r="L128" s="47"/>
      <c r="M128" s="47"/>
      <c r="N128" s="47"/>
      <c r="O128" s="47"/>
      <c r="P128" s="47"/>
      <c r="Q128" s="47"/>
      <c r="R128" s="50"/>
      <c r="S128" s="50"/>
      <c r="T128" s="50"/>
      <c r="U128" s="50"/>
      <c r="V128" s="50"/>
      <c r="W128" s="47"/>
      <c r="X128" s="47"/>
      <c r="Y128" s="47"/>
      <c r="Z128" s="47"/>
      <c r="AA128" s="47"/>
      <c r="AB128" s="47"/>
      <c r="AC128" s="47"/>
      <c r="AD128" s="47"/>
      <c r="AE128" s="47"/>
      <c r="AF128" s="47"/>
      <c r="AG128" s="47"/>
      <c r="AH128" s="47"/>
      <c r="AI128" s="47"/>
    </row>
    <row r="129" spans="1:35" ht="60" customHeight="1" x14ac:dyDescent="0.2">
      <c r="A129" s="57"/>
      <c r="B129" s="47"/>
      <c r="C129" s="47"/>
      <c r="D129" s="47"/>
      <c r="E129" s="47"/>
      <c r="F129" s="47"/>
      <c r="G129" s="47"/>
      <c r="H129" s="47"/>
      <c r="I129" s="47"/>
      <c r="J129" s="47"/>
      <c r="K129" s="47"/>
      <c r="L129" s="47"/>
      <c r="M129" s="47"/>
      <c r="N129" s="47"/>
      <c r="O129" s="47"/>
      <c r="P129" s="47"/>
      <c r="Q129" s="47"/>
      <c r="R129" s="50"/>
      <c r="S129" s="62"/>
      <c r="T129" s="47"/>
      <c r="U129" s="47"/>
      <c r="V129" s="47"/>
      <c r="W129" s="47"/>
      <c r="X129" s="47"/>
      <c r="Y129" s="47"/>
      <c r="Z129" s="47"/>
      <c r="AA129" s="47"/>
      <c r="AB129" s="47"/>
      <c r="AC129" s="47"/>
      <c r="AD129" s="47"/>
      <c r="AE129" s="47"/>
      <c r="AF129" s="47"/>
      <c r="AG129" s="47"/>
      <c r="AH129" s="47"/>
      <c r="AI129" s="47"/>
    </row>
    <row r="130" spans="1:35" ht="60" customHeight="1" x14ac:dyDescent="0.2">
      <c r="A130" s="57"/>
      <c r="B130" s="47"/>
      <c r="C130" s="47"/>
      <c r="D130" s="47"/>
      <c r="E130" s="47"/>
      <c r="F130" s="47"/>
      <c r="G130" s="47"/>
      <c r="H130" s="47"/>
      <c r="I130" s="47"/>
      <c r="J130" s="47"/>
      <c r="K130" s="47"/>
      <c r="L130" s="47"/>
      <c r="M130" s="47"/>
      <c r="N130" s="47"/>
      <c r="O130" s="47"/>
      <c r="P130" s="47"/>
      <c r="Q130" s="47"/>
      <c r="R130" s="50"/>
      <c r="S130" s="50"/>
      <c r="T130" s="47"/>
      <c r="U130" s="62"/>
      <c r="V130" s="47"/>
      <c r="W130" s="47"/>
      <c r="X130" s="47"/>
      <c r="Y130" s="47"/>
      <c r="Z130" s="47"/>
      <c r="AA130" s="47"/>
      <c r="AB130" s="47"/>
      <c r="AC130" s="47"/>
      <c r="AD130" s="47"/>
      <c r="AE130" s="47"/>
      <c r="AF130" s="47"/>
      <c r="AG130" s="47"/>
      <c r="AH130" s="47"/>
      <c r="AI130" s="47"/>
    </row>
    <row r="131" spans="1:35" ht="60" customHeight="1" x14ac:dyDescent="0.2">
      <c r="A131" s="57"/>
      <c r="B131" s="47"/>
      <c r="C131" s="47"/>
      <c r="D131" s="47"/>
      <c r="E131" s="47"/>
      <c r="F131" s="47"/>
      <c r="G131" s="47"/>
      <c r="H131" s="47"/>
      <c r="I131" s="47"/>
      <c r="J131" s="47"/>
      <c r="K131" s="47"/>
      <c r="L131" s="47"/>
      <c r="M131" s="47"/>
      <c r="N131" s="47"/>
      <c r="O131" s="47"/>
      <c r="P131" s="47"/>
      <c r="Q131" s="47"/>
      <c r="R131" s="50"/>
      <c r="S131" s="50"/>
      <c r="T131" s="47"/>
      <c r="U131" s="47"/>
      <c r="V131" s="47"/>
      <c r="W131" s="47"/>
      <c r="X131" s="47"/>
      <c r="Y131" s="47"/>
      <c r="Z131" s="47"/>
      <c r="AA131" s="47"/>
      <c r="AB131" s="47"/>
      <c r="AC131" s="47"/>
      <c r="AD131" s="47"/>
      <c r="AE131" s="47"/>
      <c r="AF131" s="47"/>
      <c r="AG131" s="47"/>
      <c r="AH131" s="47"/>
      <c r="AI131" s="47"/>
    </row>
    <row r="132" spans="1:35" ht="60" customHeight="1" x14ac:dyDescent="0.2">
      <c r="A132" s="57"/>
      <c r="B132" s="47"/>
      <c r="C132" s="47"/>
      <c r="D132" s="47"/>
      <c r="E132" s="47"/>
      <c r="F132" s="47"/>
      <c r="G132" s="47"/>
      <c r="H132" s="47"/>
      <c r="I132" s="47"/>
      <c r="J132" s="47"/>
      <c r="K132" s="47"/>
      <c r="L132" s="47"/>
      <c r="M132" s="47"/>
      <c r="N132" s="47"/>
      <c r="O132" s="47"/>
      <c r="P132" s="47"/>
      <c r="Q132" s="47"/>
      <c r="R132" s="50"/>
      <c r="S132" s="50"/>
      <c r="T132" s="50"/>
      <c r="U132" s="47"/>
      <c r="V132" s="47"/>
      <c r="W132" s="47"/>
      <c r="X132" s="47"/>
      <c r="Y132" s="47"/>
      <c r="Z132" s="47"/>
      <c r="AA132" s="47"/>
      <c r="AB132" s="47"/>
      <c r="AC132" s="47"/>
      <c r="AD132" s="47"/>
      <c r="AE132" s="47"/>
      <c r="AF132" s="47"/>
      <c r="AG132" s="47"/>
      <c r="AH132" s="47"/>
      <c r="AI132" s="47"/>
    </row>
    <row r="133" spans="1:35" ht="60" customHeight="1" x14ac:dyDescent="0.2">
      <c r="A133" s="57"/>
      <c r="B133" s="47"/>
      <c r="C133" s="47"/>
      <c r="D133" s="47"/>
      <c r="E133" s="47"/>
      <c r="F133" s="47"/>
      <c r="G133" s="47"/>
      <c r="H133" s="47"/>
      <c r="I133" s="47"/>
      <c r="J133" s="47"/>
      <c r="K133" s="47"/>
      <c r="L133" s="47"/>
      <c r="M133" s="47"/>
      <c r="N133" s="47"/>
      <c r="O133" s="47"/>
      <c r="P133" s="66"/>
      <c r="Q133" s="47"/>
      <c r="R133" s="50"/>
      <c r="S133" s="50"/>
      <c r="T133" s="50"/>
      <c r="U133" s="47"/>
      <c r="V133" s="47"/>
      <c r="W133" s="47"/>
      <c r="X133" s="47"/>
      <c r="Y133" s="47"/>
      <c r="Z133" s="47"/>
      <c r="AA133" s="47"/>
      <c r="AB133" s="47"/>
      <c r="AC133" s="47"/>
      <c r="AD133" s="47"/>
      <c r="AE133" s="47"/>
      <c r="AF133" s="47"/>
      <c r="AG133" s="47"/>
      <c r="AH133" s="47"/>
      <c r="AI133" s="47"/>
    </row>
    <row r="134" spans="1:35" ht="60" customHeight="1" x14ac:dyDescent="0.2">
      <c r="A134" s="57"/>
      <c r="B134" s="47"/>
      <c r="C134" s="47"/>
      <c r="D134" s="47"/>
      <c r="E134" s="47"/>
      <c r="F134" s="47"/>
      <c r="G134" s="47"/>
      <c r="H134" s="47"/>
      <c r="I134" s="47"/>
      <c r="J134" s="47"/>
      <c r="K134" s="47"/>
      <c r="L134" s="47"/>
      <c r="M134" s="47"/>
      <c r="N134" s="47"/>
      <c r="O134" s="47"/>
      <c r="P134" s="47"/>
      <c r="Q134" s="47"/>
      <c r="R134" s="20"/>
      <c r="S134" s="47"/>
      <c r="T134" s="47"/>
      <c r="U134" s="47"/>
      <c r="V134" s="47"/>
      <c r="W134" s="47"/>
      <c r="X134" s="47"/>
      <c r="Y134" s="47"/>
      <c r="Z134" s="47"/>
      <c r="AA134" s="47"/>
      <c r="AB134" s="47"/>
      <c r="AC134" s="47"/>
      <c r="AD134" s="47"/>
      <c r="AE134" s="47"/>
      <c r="AF134" s="47"/>
      <c r="AG134" s="47"/>
      <c r="AH134" s="47"/>
      <c r="AI134" s="47"/>
    </row>
    <row r="135" spans="1:35" ht="60" customHeight="1" x14ac:dyDescent="0.2">
      <c r="A135" s="57"/>
      <c r="B135" s="47"/>
      <c r="C135" s="47"/>
      <c r="D135" s="47"/>
      <c r="E135" s="47"/>
      <c r="F135" s="47"/>
      <c r="G135" s="47"/>
      <c r="H135" s="47"/>
      <c r="I135" s="47"/>
      <c r="J135" s="47"/>
      <c r="K135" s="47"/>
      <c r="L135" s="47"/>
      <c r="M135" s="47"/>
      <c r="N135" s="47"/>
      <c r="O135" s="47"/>
      <c r="P135" s="47"/>
      <c r="Q135" s="47"/>
      <c r="R135" s="50"/>
      <c r="S135" s="50"/>
      <c r="T135" s="47"/>
      <c r="U135" s="47"/>
      <c r="V135" s="47"/>
      <c r="W135" s="47"/>
      <c r="X135" s="47"/>
      <c r="Y135" s="47"/>
      <c r="Z135" s="47"/>
      <c r="AA135" s="47"/>
      <c r="AB135" s="47"/>
      <c r="AC135" s="47"/>
      <c r="AD135" s="47"/>
      <c r="AE135" s="47"/>
      <c r="AF135" s="47"/>
      <c r="AG135" s="47"/>
      <c r="AH135" s="47"/>
      <c r="AI135" s="47"/>
    </row>
    <row r="136" spans="1:35" ht="60" customHeight="1" x14ac:dyDescent="0.2">
      <c r="A136" s="57"/>
      <c r="B136" s="47"/>
      <c r="C136" s="47"/>
      <c r="D136" s="47"/>
      <c r="E136" s="47"/>
      <c r="F136" s="47"/>
      <c r="G136" s="47"/>
      <c r="H136" s="47"/>
      <c r="I136" s="47"/>
      <c r="J136" s="63"/>
      <c r="K136" s="47"/>
      <c r="L136" s="47"/>
      <c r="M136" s="47"/>
      <c r="N136" s="47"/>
      <c r="O136" s="47"/>
      <c r="P136" s="47"/>
      <c r="Q136" s="47"/>
      <c r="R136" s="50"/>
      <c r="S136" s="50"/>
      <c r="T136" s="47"/>
      <c r="U136" s="47"/>
      <c r="V136" s="47"/>
      <c r="W136" s="47"/>
      <c r="X136" s="47"/>
      <c r="Y136" s="47"/>
      <c r="Z136" s="47"/>
      <c r="AA136" s="47"/>
      <c r="AB136" s="47"/>
      <c r="AC136" s="47"/>
      <c r="AD136" s="47"/>
      <c r="AE136" s="47"/>
      <c r="AF136" s="47"/>
      <c r="AG136" s="47"/>
      <c r="AH136" s="47"/>
      <c r="AI136" s="47"/>
    </row>
    <row r="137" spans="1:35" ht="60" customHeight="1" x14ac:dyDescent="0.2">
      <c r="A137" s="57"/>
      <c r="B137" s="47"/>
      <c r="C137" s="47"/>
      <c r="D137" s="47"/>
      <c r="E137" s="47"/>
      <c r="F137" s="47"/>
      <c r="G137" s="47"/>
      <c r="H137" s="47"/>
      <c r="I137" s="47"/>
      <c r="J137" s="63"/>
      <c r="K137" s="47"/>
      <c r="L137" s="47"/>
      <c r="M137" s="47"/>
      <c r="N137" s="47"/>
      <c r="O137" s="47"/>
      <c r="P137" s="47"/>
      <c r="Q137" s="47"/>
      <c r="R137" s="20"/>
      <c r="S137" s="50"/>
      <c r="T137" s="47"/>
      <c r="U137" s="47"/>
      <c r="V137" s="47"/>
      <c r="W137" s="47"/>
      <c r="X137" s="47"/>
      <c r="Y137" s="47"/>
      <c r="Z137" s="47"/>
      <c r="AA137" s="47"/>
      <c r="AB137" s="47"/>
      <c r="AC137" s="47"/>
      <c r="AD137" s="47"/>
      <c r="AE137" s="47"/>
      <c r="AF137" s="47"/>
      <c r="AG137" s="47"/>
      <c r="AH137" s="47"/>
      <c r="AI137" s="47"/>
    </row>
    <row r="138" spans="1:35" ht="60" customHeight="1" x14ac:dyDescent="0.2">
      <c r="A138" s="57"/>
      <c r="B138" s="47"/>
      <c r="C138" s="47"/>
      <c r="D138" s="47"/>
      <c r="E138" s="47"/>
      <c r="F138" s="47"/>
      <c r="G138" s="47"/>
      <c r="H138" s="47"/>
      <c r="I138" s="47"/>
      <c r="J138" s="47"/>
      <c r="K138" s="47"/>
      <c r="L138" s="47"/>
      <c r="M138" s="47"/>
      <c r="N138" s="47"/>
      <c r="O138" s="47"/>
      <c r="P138" s="47"/>
      <c r="Q138" s="47"/>
      <c r="R138" s="20"/>
      <c r="S138" s="20"/>
      <c r="T138" s="47"/>
      <c r="U138" s="47"/>
      <c r="V138" s="47"/>
      <c r="W138" s="47"/>
      <c r="X138" s="47"/>
      <c r="Y138" s="47"/>
      <c r="Z138" s="47"/>
      <c r="AA138" s="47"/>
      <c r="AB138" s="47"/>
      <c r="AC138" s="47"/>
      <c r="AD138" s="47"/>
      <c r="AE138" s="47"/>
      <c r="AF138" s="47"/>
      <c r="AG138" s="47"/>
      <c r="AH138" s="47"/>
      <c r="AI138" s="47"/>
    </row>
    <row r="139" spans="1:35" ht="60" customHeight="1" x14ac:dyDescent="0.2">
      <c r="A139" s="57"/>
      <c r="B139" s="47"/>
      <c r="C139" s="47"/>
      <c r="D139" s="47"/>
      <c r="E139" s="47"/>
      <c r="F139" s="47"/>
      <c r="G139" s="47"/>
      <c r="H139" s="47"/>
      <c r="I139" s="47"/>
      <c r="J139" s="47"/>
      <c r="K139" s="47"/>
      <c r="L139" s="47"/>
      <c r="M139" s="47"/>
      <c r="N139" s="47"/>
      <c r="O139" s="47"/>
      <c r="P139" s="47"/>
      <c r="Q139" s="47"/>
      <c r="R139" s="50"/>
      <c r="S139" s="50"/>
      <c r="T139" s="50"/>
      <c r="U139" s="50"/>
      <c r="V139" s="47"/>
      <c r="W139" s="47"/>
      <c r="X139" s="47"/>
      <c r="Y139" s="47"/>
      <c r="Z139" s="47"/>
      <c r="AA139" s="47"/>
      <c r="AB139" s="47"/>
      <c r="AC139" s="47"/>
      <c r="AD139" s="47"/>
      <c r="AE139" s="47"/>
      <c r="AF139" s="47"/>
      <c r="AG139" s="47"/>
      <c r="AH139" s="47"/>
      <c r="AI139" s="47"/>
    </row>
    <row r="140" spans="1:35" ht="60" customHeight="1" x14ac:dyDescent="0.2">
      <c r="A140" s="57"/>
      <c r="B140" s="47"/>
      <c r="C140" s="47"/>
      <c r="D140" s="47"/>
      <c r="E140" s="47"/>
      <c r="F140" s="47"/>
      <c r="G140" s="47"/>
      <c r="H140" s="47"/>
      <c r="I140" s="47"/>
      <c r="J140" s="47"/>
      <c r="K140" s="47"/>
      <c r="L140" s="47"/>
      <c r="M140" s="47"/>
      <c r="N140" s="47"/>
      <c r="O140" s="47"/>
      <c r="P140" s="47"/>
      <c r="Q140" s="47"/>
      <c r="R140" s="50"/>
      <c r="S140" s="47"/>
      <c r="T140" s="47"/>
      <c r="U140" s="47"/>
      <c r="V140" s="47"/>
      <c r="W140" s="47"/>
      <c r="X140" s="47"/>
      <c r="Y140" s="47"/>
      <c r="Z140" s="47"/>
      <c r="AA140" s="47"/>
      <c r="AB140" s="47"/>
      <c r="AC140" s="47"/>
      <c r="AD140" s="47"/>
      <c r="AE140" s="47"/>
      <c r="AF140" s="47"/>
      <c r="AG140" s="47"/>
      <c r="AH140" s="47"/>
      <c r="AI140" s="47"/>
    </row>
    <row r="141" spans="1:35" ht="60" customHeight="1" x14ac:dyDescent="0.2">
      <c r="A141" s="57"/>
      <c r="B141" s="47"/>
      <c r="C141" s="47"/>
      <c r="D141" s="47"/>
      <c r="E141" s="47"/>
      <c r="F141" s="47"/>
      <c r="G141" s="47"/>
      <c r="H141" s="47"/>
      <c r="I141" s="47"/>
      <c r="J141" s="47"/>
      <c r="K141" s="47"/>
      <c r="L141" s="47"/>
      <c r="M141" s="47"/>
      <c r="N141" s="47"/>
      <c r="O141" s="47"/>
      <c r="P141" s="47"/>
      <c r="Q141" s="47"/>
      <c r="R141" s="50"/>
      <c r="S141" s="47"/>
      <c r="T141" s="47"/>
      <c r="U141" s="47"/>
      <c r="V141" s="47"/>
      <c r="W141" s="47"/>
      <c r="X141" s="47"/>
      <c r="Y141" s="47"/>
      <c r="Z141" s="47"/>
      <c r="AA141" s="47"/>
      <c r="AB141" s="47"/>
      <c r="AC141" s="47"/>
      <c r="AD141" s="47"/>
      <c r="AE141" s="47"/>
      <c r="AF141" s="47"/>
      <c r="AG141" s="47"/>
      <c r="AH141" s="47"/>
      <c r="AI141" s="47"/>
    </row>
    <row r="142" spans="1:35" ht="60" customHeight="1" x14ac:dyDescent="0.2">
      <c r="A142" s="57"/>
      <c r="B142" s="47"/>
      <c r="C142" s="47"/>
      <c r="D142" s="47"/>
      <c r="E142" s="47"/>
      <c r="F142" s="47"/>
      <c r="G142" s="47"/>
      <c r="H142" s="47"/>
      <c r="I142" s="47"/>
      <c r="J142" s="47"/>
      <c r="K142" s="47"/>
      <c r="L142" s="47"/>
      <c r="M142" s="47"/>
      <c r="N142" s="47"/>
      <c r="O142" s="47"/>
      <c r="P142" s="47"/>
      <c r="Q142" s="47"/>
      <c r="R142" s="50"/>
      <c r="S142" s="50"/>
      <c r="T142" s="47"/>
      <c r="U142" s="47"/>
      <c r="V142" s="47"/>
      <c r="W142" s="47"/>
      <c r="X142" s="47"/>
      <c r="Y142" s="47"/>
      <c r="Z142" s="47"/>
      <c r="AA142" s="47"/>
      <c r="AB142" s="47"/>
      <c r="AC142" s="47"/>
      <c r="AD142" s="47"/>
      <c r="AE142" s="47"/>
      <c r="AF142" s="47"/>
      <c r="AG142" s="47"/>
      <c r="AH142" s="47"/>
      <c r="AI142" s="47"/>
    </row>
    <row r="143" spans="1:35" ht="60" customHeight="1" x14ac:dyDescent="0.2">
      <c r="A143" s="57"/>
      <c r="B143" s="47"/>
      <c r="C143" s="47"/>
      <c r="D143" s="47"/>
      <c r="E143" s="47"/>
      <c r="F143" s="47"/>
      <c r="G143" s="47"/>
      <c r="H143" s="47"/>
      <c r="I143" s="47"/>
      <c r="J143" s="47"/>
      <c r="K143" s="47"/>
      <c r="L143" s="47"/>
      <c r="M143" s="47"/>
      <c r="N143" s="47"/>
      <c r="O143" s="47"/>
      <c r="P143" s="47"/>
      <c r="Q143" s="47"/>
      <c r="R143" s="50"/>
      <c r="S143" s="50"/>
      <c r="T143" s="47"/>
      <c r="U143" s="47"/>
      <c r="V143" s="47"/>
      <c r="W143" s="47"/>
      <c r="X143" s="47"/>
      <c r="Y143" s="47"/>
      <c r="Z143" s="47"/>
      <c r="AA143" s="47"/>
      <c r="AB143" s="47"/>
      <c r="AC143" s="47"/>
      <c r="AD143" s="47"/>
      <c r="AE143" s="47"/>
      <c r="AF143" s="47"/>
      <c r="AG143" s="47"/>
      <c r="AH143" s="47"/>
      <c r="AI143" s="47"/>
    </row>
    <row r="144" spans="1:35" ht="60" customHeight="1" x14ac:dyDescent="0.2">
      <c r="A144" s="57"/>
      <c r="B144" s="47"/>
      <c r="C144" s="47"/>
      <c r="D144" s="47"/>
      <c r="E144" s="47"/>
      <c r="F144" s="47"/>
      <c r="G144" s="47"/>
      <c r="H144" s="47"/>
      <c r="I144" s="47"/>
      <c r="J144" s="47"/>
      <c r="K144" s="47"/>
      <c r="L144" s="47"/>
      <c r="M144" s="47"/>
      <c r="N144" s="47"/>
      <c r="O144" s="47"/>
      <c r="P144" s="47"/>
      <c r="Q144" s="47"/>
      <c r="R144" s="50"/>
      <c r="S144" s="47"/>
      <c r="T144" s="47"/>
      <c r="U144" s="47"/>
      <c r="V144" s="47"/>
      <c r="W144" s="47"/>
      <c r="X144" s="47"/>
      <c r="Y144" s="47"/>
      <c r="Z144" s="47"/>
      <c r="AA144" s="47"/>
      <c r="AB144" s="47"/>
      <c r="AC144" s="47"/>
      <c r="AD144" s="47"/>
      <c r="AE144" s="47"/>
      <c r="AF144" s="47"/>
      <c r="AG144" s="47"/>
      <c r="AH144" s="47"/>
      <c r="AI144" s="47"/>
    </row>
    <row r="145" spans="1:35" ht="60" customHeight="1" x14ac:dyDescent="0.2">
      <c r="A145" s="57"/>
      <c r="B145" s="47"/>
      <c r="C145" s="47"/>
      <c r="D145" s="47"/>
      <c r="E145" s="47"/>
      <c r="F145" s="47"/>
      <c r="G145" s="47"/>
      <c r="H145" s="47"/>
      <c r="I145" s="47"/>
      <c r="J145" s="47"/>
      <c r="K145" s="47"/>
      <c r="L145" s="47"/>
      <c r="M145" s="47"/>
      <c r="N145" s="47"/>
      <c r="O145" s="47"/>
      <c r="P145" s="47"/>
      <c r="Q145" s="47"/>
      <c r="R145" s="50"/>
      <c r="S145" s="50"/>
      <c r="T145" s="47"/>
      <c r="U145" s="47"/>
      <c r="V145" s="47"/>
      <c r="W145" s="47"/>
      <c r="X145" s="47"/>
      <c r="Y145" s="47"/>
      <c r="Z145" s="47"/>
      <c r="AA145" s="47"/>
      <c r="AB145" s="47"/>
      <c r="AC145" s="47"/>
      <c r="AD145" s="47"/>
      <c r="AE145" s="47"/>
      <c r="AF145" s="47"/>
      <c r="AG145" s="47"/>
      <c r="AH145" s="47"/>
      <c r="AI145" s="47"/>
    </row>
    <row r="146" spans="1:35" ht="60" customHeight="1" x14ac:dyDescent="0.2">
      <c r="A146" s="57"/>
      <c r="B146" s="47"/>
      <c r="C146" s="47"/>
      <c r="D146" s="47"/>
      <c r="E146" s="47"/>
      <c r="F146" s="47"/>
      <c r="G146" s="47"/>
      <c r="H146" s="47"/>
      <c r="I146" s="47"/>
      <c r="J146" s="47"/>
      <c r="K146" s="47"/>
      <c r="L146" s="47"/>
      <c r="M146" s="47"/>
      <c r="N146" s="47"/>
      <c r="O146" s="47"/>
      <c r="P146" s="47"/>
      <c r="Q146" s="47"/>
      <c r="R146" s="50"/>
      <c r="S146" s="47"/>
      <c r="T146" s="47"/>
      <c r="U146" s="47"/>
      <c r="V146" s="47"/>
      <c r="W146" s="47"/>
      <c r="X146" s="47"/>
      <c r="Y146" s="47"/>
      <c r="Z146" s="47"/>
      <c r="AA146" s="47"/>
      <c r="AB146" s="47"/>
      <c r="AC146" s="47"/>
      <c r="AD146" s="47"/>
      <c r="AE146" s="47"/>
      <c r="AF146" s="47"/>
      <c r="AG146" s="47"/>
      <c r="AH146" s="47"/>
      <c r="AI146" s="47"/>
    </row>
    <row r="147" spans="1:35" ht="60" customHeight="1" x14ac:dyDescent="0.2">
      <c r="A147" s="57"/>
      <c r="B147" s="47"/>
      <c r="C147" s="47"/>
      <c r="D147" s="47"/>
      <c r="E147" s="47"/>
      <c r="F147" s="47"/>
      <c r="G147" s="47"/>
      <c r="H147" s="47"/>
      <c r="I147" s="47"/>
      <c r="J147" s="47"/>
      <c r="K147" s="47"/>
      <c r="L147" s="47"/>
      <c r="M147" s="47"/>
      <c r="N147" s="47"/>
      <c r="O147" s="47"/>
      <c r="P147" s="47"/>
      <c r="Q147" s="47"/>
      <c r="R147" s="50"/>
      <c r="S147" s="47"/>
      <c r="T147" s="47"/>
      <c r="U147" s="47"/>
      <c r="V147" s="47"/>
      <c r="W147" s="47"/>
      <c r="X147" s="47"/>
      <c r="Y147" s="47"/>
      <c r="Z147" s="47"/>
      <c r="AA147" s="47"/>
      <c r="AB147" s="47"/>
      <c r="AC147" s="47"/>
      <c r="AD147" s="47"/>
      <c r="AE147" s="47"/>
      <c r="AF147" s="47"/>
      <c r="AG147" s="47"/>
      <c r="AH147" s="47"/>
      <c r="AI147" s="47"/>
    </row>
    <row r="148" spans="1:35" ht="60" customHeight="1" x14ac:dyDescent="0.2">
      <c r="A148" s="57"/>
      <c r="B148" s="47"/>
      <c r="C148" s="47"/>
      <c r="D148" s="47"/>
      <c r="E148" s="47"/>
      <c r="F148" s="47"/>
      <c r="G148" s="47"/>
      <c r="H148" s="47"/>
      <c r="I148" s="47"/>
      <c r="J148" s="47"/>
      <c r="K148" s="47"/>
      <c r="L148" s="47"/>
      <c r="M148" s="47"/>
      <c r="N148" s="47"/>
      <c r="O148" s="47"/>
      <c r="P148" s="47"/>
      <c r="Q148" s="47"/>
      <c r="R148" s="50"/>
      <c r="S148" s="50"/>
      <c r="T148" s="47"/>
      <c r="U148" s="47"/>
      <c r="V148" s="47"/>
      <c r="W148" s="47"/>
      <c r="X148" s="47"/>
      <c r="Y148" s="47"/>
      <c r="Z148" s="47"/>
      <c r="AA148" s="47"/>
      <c r="AB148" s="47"/>
      <c r="AC148" s="47"/>
      <c r="AD148" s="47"/>
      <c r="AE148" s="47"/>
      <c r="AF148" s="47"/>
      <c r="AG148" s="47"/>
      <c r="AH148" s="47"/>
      <c r="AI148" s="47"/>
    </row>
    <row r="149" spans="1:35" ht="60" customHeight="1" x14ac:dyDescent="0.2">
      <c r="A149" s="57"/>
      <c r="B149" s="47"/>
      <c r="C149" s="47"/>
      <c r="D149" s="47"/>
      <c r="E149" s="47"/>
      <c r="F149" s="47"/>
      <c r="G149" s="47"/>
      <c r="H149" s="47"/>
      <c r="I149" s="47"/>
      <c r="J149" s="47"/>
      <c r="K149" s="47"/>
      <c r="L149" s="47"/>
      <c r="M149" s="47"/>
      <c r="N149" s="47"/>
      <c r="O149" s="47"/>
      <c r="P149" s="47"/>
      <c r="Q149" s="47"/>
      <c r="R149" s="50"/>
      <c r="S149" s="47"/>
      <c r="T149" s="47"/>
      <c r="U149" s="47"/>
      <c r="V149" s="47"/>
      <c r="W149" s="47"/>
      <c r="X149" s="47"/>
      <c r="Y149" s="47"/>
      <c r="Z149" s="47"/>
      <c r="AA149" s="47"/>
      <c r="AB149" s="47"/>
      <c r="AC149" s="47"/>
      <c r="AD149" s="47"/>
      <c r="AE149" s="47"/>
      <c r="AF149" s="47"/>
      <c r="AG149" s="47"/>
      <c r="AH149" s="47"/>
      <c r="AI149" s="47"/>
    </row>
    <row r="150" spans="1:35" ht="60" customHeight="1" x14ac:dyDescent="0.2">
      <c r="A150" s="57"/>
      <c r="B150" s="47"/>
      <c r="C150" s="47"/>
      <c r="D150" s="47"/>
      <c r="E150" s="47"/>
      <c r="F150" s="47"/>
      <c r="G150" s="47"/>
      <c r="H150" s="47"/>
      <c r="I150" s="47"/>
      <c r="J150" s="47"/>
      <c r="K150" s="47"/>
      <c r="L150" s="47"/>
      <c r="M150" s="47"/>
      <c r="N150" s="47"/>
      <c r="O150" s="47"/>
      <c r="P150" s="47"/>
      <c r="Q150" s="47"/>
      <c r="R150" s="50"/>
      <c r="S150" s="50"/>
      <c r="T150" s="47"/>
      <c r="U150" s="47"/>
      <c r="V150" s="47"/>
      <c r="W150" s="47"/>
      <c r="X150" s="47"/>
      <c r="Y150" s="47"/>
      <c r="Z150" s="47"/>
      <c r="AA150" s="47"/>
      <c r="AB150" s="47"/>
      <c r="AC150" s="47"/>
      <c r="AD150" s="47"/>
      <c r="AE150" s="47"/>
      <c r="AF150" s="47"/>
      <c r="AG150" s="47"/>
      <c r="AH150" s="47"/>
      <c r="AI150" s="47"/>
    </row>
    <row r="151" spans="1:35" ht="60" customHeight="1" x14ac:dyDescent="0.2">
      <c r="A151" s="57"/>
      <c r="B151" s="47"/>
      <c r="C151" s="47"/>
      <c r="D151" s="47"/>
      <c r="E151" s="47"/>
      <c r="F151" s="47"/>
      <c r="G151" s="47"/>
      <c r="H151" s="47"/>
      <c r="I151" s="47"/>
      <c r="J151" s="47"/>
      <c r="K151" s="47"/>
      <c r="L151" s="47"/>
      <c r="M151" s="47"/>
      <c r="N151" s="47"/>
      <c r="O151" s="47"/>
      <c r="P151" s="47"/>
      <c r="Q151" s="47"/>
      <c r="R151" s="50"/>
      <c r="S151" s="50"/>
      <c r="T151" s="47"/>
      <c r="U151" s="47"/>
      <c r="V151" s="47"/>
      <c r="W151" s="47"/>
      <c r="X151" s="47"/>
      <c r="Y151" s="47"/>
      <c r="Z151" s="47"/>
      <c r="AA151" s="47"/>
      <c r="AB151" s="47"/>
      <c r="AC151" s="47"/>
      <c r="AD151" s="47"/>
      <c r="AE151" s="47"/>
      <c r="AF151" s="47"/>
      <c r="AG151" s="47"/>
      <c r="AH151" s="47"/>
      <c r="AI151" s="47"/>
    </row>
    <row r="152" spans="1:35" ht="60" customHeight="1" x14ac:dyDescent="0.2">
      <c r="A152" s="57"/>
      <c r="B152" s="47"/>
      <c r="C152" s="47"/>
      <c r="D152" s="47"/>
      <c r="E152" s="47"/>
      <c r="F152" s="47"/>
      <c r="G152" s="47"/>
      <c r="H152" s="47"/>
      <c r="I152" s="47"/>
      <c r="J152" s="47"/>
      <c r="K152" s="47"/>
      <c r="L152" s="47"/>
      <c r="M152" s="47"/>
      <c r="N152" s="47"/>
      <c r="O152" s="47"/>
      <c r="P152" s="47"/>
      <c r="Q152" s="47"/>
      <c r="R152" s="50"/>
      <c r="S152" s="47"/>
      <c r="T152" s="47"/>
      <c r="U152" s="47"/>
      <c r="V152" s="47"/>
      <c r="W152" s="47"/>
      <c r="X152" s="47"/>
      <c r="Y152" s="47"/>
      <c r="Z152" s="47"/>
      <c r="AA152" s="47"/>
      <c r="AB152" s="47"/>
      <c r="AC152" s="47"/>
      <c r="AD152" s="47"/>
      <c r="AE152" s="47"/>
      <c r="AF152" s="47"/>
      <c r="AG152" s="47"/>
      <c r="AH152" s="47"/>
      <c r="AI152" s="47"/>
    </row>
    <row r="153" spans="1:35" ht="60" customHeight="1" x14ac:dyDescent="0.2">
      <c r="A153" s="57"/>
      <c r="B153" s="47"/>
      <c r="C153" s="47"/>
      <c r="D153" s="47"/>
      <c r="E153" s="47"/>
      <c r="F153" s="47"/>
      <c r="G153" s="47"/>
      <c r="H153" s="47"/>
      <c r="I153" s="47"/>
      <c r="J153" s="47"/>
      <c r="K153" s="47"/>
      <c r="L153" s="47"/>
      <c r="M153" s="47"/>
      <c r="N153" s="47"/>
      <c r="O153" s="47"/>
      <c r="P153" s="47"/>
      <c r="Q153" s="47"/>
      <c r="R153" s="50"/>
      <c r="S153" s="47"/>
      <c r="T153" s="47"/>
      <c r="U153" s="47"/>
      <c r="V153" s="47"/>
      <c r="W153" s="47"/>
      <c r="X153" s="47"/>
      <c r="Y153" s="47"/>
      <c r="Z153" s="47"/>
      <c r="AA153" s="47"/>
      <c r="AB153" s="47"/>
      <c r="AC153" s="47"/>
      <c r="AD153" s="47"/>
      <c r="AE153" s="47"/>
      <c r="AF153" s="47"/>
      <c r="AG153" s="47"/>
      <c r="AH153" s="47"/>
      <c r="AI153" s="47"/>
    </row>
    <row r="154" spans="1:35" ht="60" customHeight="1" x14ac:dyDescent="0.2">
      <c r="A154" s="57"/>
      <c r="B154" s="47"/>
      <c r="C154" s="47"/>
      <c r="D154" s="47"/>
      <c r="E154" s="47"/>
      <c r="F154" s="47"/>
      <c r="G154" s="47"/>
      <c r="H154" s="47"/>
      <c r="I154" s="47"/>
      <c r="J154" s="47"/>
      <c r="K154" s="47"/>
      <c r="L154" s="47"/>
      <c r="M154" s="47"/>
      <c r="N154" s="47"/>
      <c r="O154" s="47"/>
      <c r="P154" s="47"/>
      <c r="Q154" s="47"/>
      <c r="R154" s="50"/>
      <c r="S154" s="50"/>
      <c r="T154" s="47"/>
      <c r="U154" s="47"/>
      <c r="V154" s="47"/>
      <c r="W154" s="47"/>
      <c r="X154" s="47"/>
      <c r="Y154" s="47"/>
      <c r="Z154" s="47"/>
      <c r="AA154" s="47"/>
      <c r="AB154" s="47"/>
      <c r="AC154" s="47"/>
      <c r="AD154" s="47"/>
      <c r="AE154" s="47"/>
      <c r="AF154" s="47"/>
      <c r="AG154" s="47"/>
      <c r="AH154" s="47"/>
      <c r="AI154" s="47"/>
    </row>
    <row r="155" spans="1:35" ht="60" customHeight="1" x14ac:dyDescent="0.2">
      <c r="A155" s="57"/>
      <c r="B155" s="47"/>
      <c r="C155" s="47"/>
      <c r="D155" s="47"/>
      <c r="E155" s="47"/>
      <c r="F155" s="47"/>
      <c r="G155" s="47"/>
      <c r="H155" s="47"/>
      <c r="I155" s="47"/>
      <c r="J155" s="47"/>
      <c r="K155" s="47"/>
      <c r="L155" s="47"/>
      <c r="M155" s="47"/>
      <c r="N155" s="47"/>
      <c r="O155" s="47"/>
      <c r="P155" s="47"/>
      <c r="Q155" s="47"/>
      <c r="R155" s="50"/>
      <c r="S155" s="62"/>
      <c r="T155" s="62"/>
      <c r="U155" s="47"/>
      <c r="V155" s="47"/>
      <c r="W155" s="47"/>
      <c r="X155" s="47"/>
      <c r="Y155" s="47"/>
      <c r="Z155" s="47"/>
      <c r="AA155" s="47"/>
      <c r="AB155" s="47"/>
      <c r="AC155" s="47"/>
      <c r="AD155" s="47"/>
      <c r="AE155" s="47"/>
      <c r="AF155" s="47"/>
      <c r="AG155" s="47"/>
      <c r="AH155" s="47"/>
      <c r="AI155" s="47"/>
    </row>
    <row r="156" spans="1:35" ht="60" customHeight="1" x14ac:dyDescent="0.2">
      <c r="A156" s="57"/>
      <c r="B156" s="47"/>
      <c r="C156" s="47"/>
      <c r="D156" s="47"/>
      <c r="E156" s="47"/>
      <c r="F156" s="47"/>
      <c r="G156" s="47"/>
      <c r="H156" s="47"/>
      <c r="I156" s="47"/>
      <c r="J156" s="47"/>
      <c r="K156" s="47"/>
      <c r="L156" s="47"/>
      <c r="M156" s="47"/>
      <c r="N156" s="47"/>
      <c r="O156" s="47"/>
      <c r="P156" s="47"/>
      <c r="Q156" s="47"/>
      <c r="R156" s="50"/>
      <c r="S156" s="47"/>
      <c r="T156" s="47"/>
      <c r="U156" s="47"/>
      <c r="V156" s="47"/>
      <c r="W156" s="47"/>
      <c r="X156" s="47"/>
      <c r="Y156" s="47"/>
      <c r="Z156" s="47"/>
      <c r="AA156" s="47"/>
      <c r="AB156" s="47"/>
      <c r="AC156" s="47"/>
      <c r="AD156" s="47"/>
      <c r="AE156" s="47"/>
      <c r="AF156" s="47"/>
      <c r="AG156" s="47"/>
      <c r="AH156" s="47"/>
      <c r="AI156" s="47"/>
    </row>
    <row r="157" spans="1:35" ht="60" customHeight="1" x14ac:dyDescent="0.2">
      <c r="A157" s="57"/>
      <c r="B157" s="47"/>
      <c r="C157" s="47"/>
      <c r="D157" s="47"/>
      <c r="E157" s="47"/>
      <c r="F157" s="47"/>
      <c r="G157" s="47"/>
      <c r="H157" s="47"/>
      <c r="I157" s="47"/>
      <c r="J157" s="47"/>
      <c r="K157" s="47"/>
      <c r="L157" s="47"/>
      <c r="M157" s="47"/>
      <c r="N157" s="47"/>
      <c r="O157" s="47"/>
      <c r="P157" s="47"/>
      <c r="Q157" s="47"/>
      <c r="R157" s="50"/>
      <c r="S157" s="20"/>
      <c r="T157" s="47"/>
      <c r="U157" s="47"/>
      <c r="V157" s="47"/>
      <c r="W157" s="47"/>
      <c r="X157" s="47"/>
      <c r="Y157" s="47"/>
      <c r="Z157" s="47"/>
      <c r="AA157" s="47"/>
      <c r="AB157" s="47"/>
      <c r="AC157" s="47"/>
      <c r="AD157" s="47"/>
      <c r="AE157" s="47"/>
      <c r="AF157" s="47"/>
      <c r="AG157" s="47"/>
      <c r="AH157" s="47"/>
      <c r="AI157" s="47"/>
    </row>
    <row r="158" spans="1:35" ht="60" customHeight="1" x14ac:dyDescent="0.2">
      <c r="A158" s="57"/>
      <c r="B158" s="47"/>
      <c r="C158" s="47"/>
      <c r="D158" s="47"/>
      <c r="E158" s="47"/>
      <c r="F158" s="47"/>
      <c r="G158" s="47"/>
      <c r="H158" s="47"/>
      <c r="I158" s="47"/>
      <c r="J158" s="47"/>
      <c r="K158" s="47"/>
      <c r="L158" s="47"/>
      <c r="M158" s="47"/>
      <c r="N158" s="47"/>
      <c r="O158" s="47"/>
      <c r="P158" s="47"/>
      <c r="Q158" s="47"/>
      <c r="R158" s="50"/>
      <c r="S158" s="61"/>
      <c r="T158" s="47"/>
      <c r="U158" s="47"/>
      <c r="V158" s="47"/>
      <c r="W158" s="47"/>
      <c r="X158" s="47"/>
      <c r="Y158" s="47"/>
      <c r="Z158" s="47"/>
      <c r="AA158" s="47"/>
      <c r="AB158" s="47"/>
      <c r="AC158" s="47"/>
      <c r="AD158" s="47"/>
      <c r="AE158" s="47"/>
      <c r="AF158" s="47"/>
      <c r="AG158" s="47"/>
      <c r="AH158" s="47"/>
      <c r="AI158" s="47"/>
    </row>
    <row r="159" spans="1:35" ht="60" customHeight="1" x14ac:dyDescent="0.2">
      <c r="A159" s="57"/>
      <c r="B159" s="47"/>
      <c r="C159" s="47"/>
      <c r="D159" s="47"/>
      <c r="E159" s="47"/>
      <c r="F159" s="47"/>
      <c r="G159" s="47"/>
      <c r="H159" s="47"/>
      <c r="I159" s="47"/>
      <c r="J159" s="47"/>
      <c r="K159" s="47"/>
      <c r="L159" s="47"/>
      <c r="M159" s="47"/>
      <c r="N159" s="47"/>
      <c r="O159" s="47"/>
      <c r="P159" s="47"/>
      <c r="Q159" s="47"/>
      <c r="R159" s="50"/>
      <c r="S159" s="50"/>
      <c r="T159" s="47"/>
      <c r="U159" s="47"/>
      <c r="V159" s="47"/>
      <c r="W159" s="47"/>
      <c r="X159" s="47"/>
      <c r="Y159" s="47"/>
      <c r="Z159" s="47"/>
      <c r="AA159" s="47"/>
      <c r="AB159" s="47"/>
      <c r="AC159" s="47"/>
      <c r="AD159" s="47"/>
      <c r="AE159" s="47"/>
      <c r="AF159" s="47"/>
      <c r="AG159" s="47"/>
      <c r="AH159" s="47"/>
      <c r="AI159" s="47"/>
    </row>
    <row r="160" spans="1:35" ht="60" customHeight="1" x14ac:dyDescent="0.2">
      <c r="A160" s="57"/>
      <c r="B160" s="47"/>
      <c r="C160" s="47"/>
      <c r="D160" s="47"/>
      <c r="E160" s="47"/>
      <c r="F160" s="47"/>
      <c r="G160" s="47"/>
      <c r="H160" s="47"/>
      <c r="I160" s="47"/>
      <c r="J160" s="47"/>
      <c r="K160" s="47"/>
      <c r="L160" s="47"/>
      <c r="M160" s="47"/>
      <c r="N160" s="47"/>
      <c r="O160" s="47"/>
      <c r="P160" s="47"/>
      <c r="Q160" s="47"/>
      <c r="R160" s="50"/>
      <c r="S160" s="50"/>
      <c r="T160" s="47"/>
      <c r="U160" s="47"/>
      <c r="V160" s="47"/>
      <c r="W160" s="47"/>
      <c r="X160" s="47"/>
      <c r="Y160" s="47"/>
      <c r="Z160" s="47"/>
      <c r="AA160" s="47"/>
      <c r="AB160" s="47"/>
      <c r="AC160" s="47"/>
      <c r="AD160" s="47"/>
      <c r="AE160" s="47"/>
      <c r="AF160" s="47"/>
      <c r="AG160" s="47"/>
      <c r="AH160" s="47"/>
      <c r="AI160" s="47"/>
    </row>
    <row r="161" spans="1:35" ht="60" customHeight="1" x14ac:dyDescent="0.2">
      <c r="A161" s="57"/>
      <c r="B161" s="47"/>
      <c r="C161" s="47"/>
      <c r="D161" s="47"/>
      <c r="E161" s="47"/>
      <c r="F161" s="47"/>
      <c r="G161" s="47"/>
      <c r="H161" s="47"/>
      <c r="I161" s="47"/>
      <c r="J161" s="47"/>
      <c r="K161" s="47"/>
      <c r="L161" s="47"/>
      <c r="M161" s="47"/>
      <c r="N161" s="47"/>
      <c r="O161" s="47"/>
      <c r="P161" s="47"/>
      <c r="Q161" s="47"/>
      <c r="R161" s="50"/>
      <c r="S161" s="50"/>
      <c r="T161" s="47"/>
      <c r="U161" s="47"/>
      <c r="V161" s="47"/>
      <c r="W161" s="47"/>
      <c r="X161" s="47"/>
      <c r="Y161" s="47"/>
      <c r="Z161" s="47"/>
      <c r="AA161" s="47"/>
      <c r="AB161" s="47"/>
      <c r="AC161" s="47"/>
      <c r="AD161" s="47"/>
      <c r="AE161" s="47"/>
      <c r="AF161" s="47"/>
      <c r="AG161" s="47"/>
      <c r="AH161" s="47"/>
      <c r="AI161" s="47"/>
    </row>
    <row r="162" spans="1:35" ht="60" customHeight="1" x14ac:dyDescent="0.2">
      <c r="A162" s="57"/>
      <c r="B162" s="47"/>
      <c r="C162" s="47"/>
      <c r="D162" s="47"/>
      <c r="E162" s="47"/>
      <c r="F162" s="47"/>
      <c r="G162" s="47"/>
      <c r="H162" s="47"/>
      <c r="I162" s="47"/>
      <c r="J162" s="47"/>
      <c r="K162" s="47"/>
      <c r="L162" s="47"/>
      <c r="M162" s="47"/>
      <c r="N162" s="47"/>
      <c r="O162" s="47"/>
      <c r="P162" s="67"/>
      <c r="Q162" s="47"/>
      <c r="R162" s="50"/>
      <c r="S162" s="47"/>
      <c r="T162" s="47"/>
      <c r="U162" s="47"/>
      <c r="V162" s="47"/>
      <c r="W162" s="47"/>
      <c r="X162" s="47"/>
      <c r="Y162" s="47"/>
      <c r="Z162" s="47"/>
      <c r="AA162" s="47"/>
      <c r="AB162" s="47"/>
      <c r="AC162" s="47"/>
      <c r="AD162" s="47"/>
      <c r="AE162" s="47"/>
      <c r="AF162" s="47"/>
      <c r="AG162" s="47"/>
      <c r="AH162" s="47"/>
      <c r="AI162" s="47"/>
    </row>
    <row r="163" spans="1:35" ht="60" customHeight="1" x14ac:dyDescent="0.2">
      <c r="A163" s="57"/>
      <c r="B163" s="47"/>
      <c r="C163" s="47"/>
      <c r="D163" s="47"/>
      <c r="E163" s="47"/>
      <c r="F163" s="47"/>
      <c r="G163" s="47"/>
      <c r="H163" s="47"/>
      <c r="I163" s="47"/>
      <c r="J163" s="47"/>
      <c r="K163" s="47"/>
      <c r="L163" s="47"/>
      <c r="M163" s="47"/>
      <c r="N163" s="47"/>
      <c r="O163" s="47"/>
      <c r="P163" s="47"/>
      <c r="Q163" s="47"/>
      <c r="R163" s="50"/>
      <c r="S163" s="50"/>
      <c r="T163" s="47"/>
      <c r="U163" s="47"/>
      <c r="V163" s="47"/>
      <c r="W163" s="47"/>
      <c r="X163" s="47"/>
      <c r="Y163" s="47"/>
      <c r="Z163" s="47"/>
      <c r="AA163" s="47"/>
      <c r="AB163" s="47"/>
      <c r="AC163" s="47"/>
      <c r="AD163" s="47"/>
      <c r="AE163" s="47"/>
      <c r="AF163" s="47"/>
      <c r="AG163" s="47"/>
      <c r="AH163" s="47"/>
      <c r="AI163" s="47"/>
    </row>
    <row r="164" spans="1:35" ht="60" customHeight="1" x14ac:dyDescent="0.2">
      <c r="A164" s="57"/>
      <c r="B164" s="47"/>
      <c r="C164" s="47"/>
      <c r="D164" s="47"/>
      <c r="E164" s="47"/>
      <c r="F164" s="47"/>
      <c r="G164" s="47"/>
      <c r="H164" s="47"/>
      <c r="I164" s="47"/>
      <c r="J164" s="47"/>
      <c r="K164" s="47"/>
      <c r="L164" s="47"/>
      <c r="M164" s="47"/>
      <c r="N164" s="47"/>
      <c r="O164" s="47"/>
      <c r="P164" s="47"/>
      <c r="Q164" s="47"/>
      <c r="R164" s="50"/>
      <c r="S164" s="50"/>
      <c r="T164" s="50"/>
      <c r="U164" s="47"/>
      <c r="V164" s="47"/>
      <c r="W164" s="47"/>
      <c r="X164" s="47"/>
      <c r="Y164" s="47"/>
      <c r="Z164" s="47"/>
      <c r="AA164" s="47"/>
      <c r="AB164" s="47"/>
      <c r="AC164" s="47"/>
      <c r="AD164" s="47"/>
      <c r="AE164" s="47"/>
      <c r="AF164" s="47"/>
      <c r="AG164" s="47"/>
      <c r="AH164" s="47"/>
      <c r="AI164" s="47"/>
    </row>
    <row r="165" spans="1:35" ht="60" customHeight="1" x14ac:dyDescent="0.2">
      <c r="A165" s="57"/>
      <c r="B165" s="47"/>
      <c r="C165" s="47"/>
      <c r="D165" s="47"/>
      <c r="E165" s="47"/>
      <c r="F165" s="47"/>
      <c r="G165" s="47"/>
      <c r="H165" s="47"/>
      <c r="I165" s="47"/>
      <c r="J165" s="47"/>
      <c r="K165" s="47"/>
      <c r="L165" s="47"/>
      <c r="M165" s="47"/>
      <c r="N165" s="47"/>
      <c r="O165" s="47"/>
      <c r="P165" s="47"/>
      <c r="Q165" s="47"/>
      <c r="R165" s="50"/>
      <c r="S165" s="50"/>
      <c r="T165" s="47"/>
      <c r="U165" s="47"/>
      <c r="V165" s="47"/>
      <c r="W165" s="47"/>
      <c r="X165" s="47"/>
      <c r="Y165" s="47"/>
      <c r="Z165" s="47"/>
      <c r="AA165" s="47"/>
      <c r="AB165" s="47"/>
      <c r="AC165" s="47"/>
      <c r="AD165" s="47"/>
      <c r="AE165" s="47"/>
      <c r="AF165" s="47"/>
      <c r="AG165" s="47"/>
      <c r="AH165" s="47"/>
      <c r="AI165" s="47"/>
    </row>
    <row r="166" spans="1:35" ht="60" customHeight="1" x14ac:dyDescent="0.2">
      <c r="A166" s="57"/>
      <c r="B166" s="47"/>
      <c r="C166" s="47"/>
      <c r="D166" s="47"/>
      <c r="E166" s="47"/>
      <c r="F166" s="47"/>
      <c r="G166" s="47"/>
      <c r="H166" s="47"/>
      <c r="I166" s="47"/>
      <c r="J166" s="47"/>
      <c r="K166" s="47"/>
      <c r="L166" s="47"/>
      <c r="M166" s="47"/>
      <c r="N166" s="47"/>
      <c r="O166" s="47"/>
      <c r="P166" s="47"/>
      <c r="Q166" s="47"/>
      <c r="R166" s="50"/>
      <c r="S166" s="47"/>
      <c r="T166" s="47"/>
      <c r="U166" s="47"/>
      <c r="V166" s="47"/>
      <c r="W166" s="47"/>
      <c r="X166" s="47"/>
      <c r="Y166" s="47"/>
      <c r="Z166" s="47"/>
      <c r="AA166" s="47"/>
      <c r="AB166" s="47"/>
      <c r="AC166" s="47"/>
      <c r="AD166" s="47"/>
      <c r="AE166" s="47"/>
      <c r="AF166" s="47"/>
      <c r="AG166" s="47"/>
      <c r="AH166" s="47"/>
      <c r="AI166" s="47"/>
    </row>
    <row r="167" spans="1:35" ht="60" customHeight="1" x14ac:dyDescent="0.2">
      <c r="A167" s="57"/>
      <c r="B167" s="47"/>
      <c r="C167" s="47"/>
      <c r="D167" s="47"/>
      <c r="E167" s="47"/>
      <c r="F167" s="47"/>
      <c r="G167" s="47"/>
      <c r="H167" s="47"/>
      <c r="I167" s="47"/>
      <c r="J167" s="47"/>
      <c r="K167" s="47"/>
      <c r="L167" s="47"/>
      <c r="M167" s="47"/>
      <c r="N167" s="47"/>
      <c r="O167" s="47"/>
      <c r="P167" s="47"/>
      <c r="Q167" s="47"/>
      <c r="R167" s="50"/>
      <c r="S167" s="47"/>
      <c r="T167" s="47"/>
      <c r="U167" s="47"/>
      <c r="V167" s="47"/>
      <c r="W167" s="47"/>
      <c r="X167" s="47"/>
      <c r="Y167" s="47"/>
      <c r="Z167" s="47"/>
      <c r="AA167" s="47"/>
      <c r="AB167" s="47"/>
      <c r="AC167" s="47"/>
      <c r="AD167" s="47"/>
      <c r="AE167" s="47"/>
      <c r="AF167" s="47"/>
      <c r="AG167" s="47"/>
      <c r="AH167" s="47"/>
      <c r="AI167" s="47"/>
    </row>
    <row r="168" spans="1:35" ht="60" customHeight="1" x14ac:dyDescent="0.2">
      <c r="A168" s="57"/>
      <c r="B168" s="47"/>
      <c r="C168" s="47"/>
      <c r="D168" s="47"/>
      <c r="E168" s="47"/>
      <c r="F168" s="47"/>
      <c r="G168" s="47"/>
      <c r="H168" s="47"/>
      <c r="I168" s="47"/>
      <c r="J168" s="47"/>
      <c r="K168" s="47"/>
      <c r="L168" s="47"/>
      <c r="M168" s="47"/>
      <c r="N168" s="47"/>
      <c r="O168" s="47"/>
      <c r="P168" s="47"/>
      <c r="Q168" s="47"/>
      <c r="R168" s="50"/>
      <c r="S168" s="47"/>
      <c r="T168" s="47"/>
      <c r="U168" s="47"/>
      <c r="V168" s="47"/>
      <c r="W168" s="47"/>
      <c r="X168" s="47"/>
      <c r="Y168" s="47"/>
      <c r="Z168" s="47"/>
      <c r="AA168" s="47"/>
      <c r="AB168" s="47"/>
      <c r="AC168" s="47"/>
      <c r="AD168" s="47"/>
      <c r="AE168" s="47"/>
      <c r="AF168" s="47"/>
      <c r="AG168" s="47"/>
      <c r="AH168" s="47"/>
      <c r="AI168" s="47"/>
    </row>
    <row r="169" spans="1:35" ht="60" customHeight="1" x14ac:dyDescent="0.2">
      <c r="A169" s="57"/>
      <c r="B169" s="47"/>
      <c r="C169" s="47"/>
      <c r="D169" s="47"/>
      <c r="E169" s="47"/>
      <c r="F169" s="47"/>
      <c r="G169" s="47"/>
      <c r="H169" s="47"/>
      <c r="I169" s="47"/>
      <c r="J169" s="47"/>
      <c r="K169" s="47"/>
      <c r="L169" s="47"/>
      <c r="M169" s="47"/>
      <c r="N169" s="47"/>
      <c r="O169" s="47"/>
      <c r="P169" s="47"/>
      <c r="Q169" s="47"/>
      <c r="R169" s="50"/>
      <c r="S169" s="47"/>
      <c r="T169" s="47"/>
      <c r="U169" s="47"/>
      <c r="V169" s="47"/>
      <c r="W169" s="47"/>
      <c r="X169" s="47"/>
      <c r="Y169" s="47"/>
      <c r="Z169" s="47"/>
      <c r="AA169" s="47"/>
      <c r="AB169" s="47"/>
      <c r="AC169" s="47"/>
      <c r="AD169" s="47"/>
      <c r="AE169" s="47"/>
      <c r="AF169" s="47"/>
      <c r="AG169" s="47"/>
      <c r="AH169" s="47"/>
      <c r="AI169" s="47"/>
    </row>
    <row r="170" spans="1:35" ht="60" customHeight="1" x14ac:dyDescent="0.2">
      <c r="A170" s="57"/>
      <c r="B170" s="47"/>
      <c r="C170" s="47"/>
      <c r="D170" s="47"/>
      <c r="E170" s="47"/>
      <c r="F170" s="47"/>
      <c r="G170" s="47"/>
      <c r="H170" s="47"/>
      <c r="I170" s="47"/>
      <c r="J170" s="47"/>
      <c r="K170" s="47"/>
      <c r="L170" s="47"/>
      <c r="M170" s="47"/>
      <c r="N170" s="47"/>
      <c r="O170" s="47"/>
      <c r="P170" s="47"/>
      <c r="Q170" s="47"/>
      <c r="R170" s="50"/>
      <c r="S170" s="50"/>
      <c r="T170" s="47"/>
      <c r="U170" s="47"/>
      <c r="V170" s="47"/>
      <c r="W170" s="47"/>
      <c r="X170" s="47"/>
      <c r="Y170" s="47"/>
      <c r="Z170" s="47"/>
      <c r="AA170" s="47"/>
      <c r="AB170" s="47"/>
      <c r="AC170" s="47"/>
      <c r="AD170" s="47"/>
      <c r="AE170" s="47"/>
      <c r="AF170" s="47"/>
      <c r="AG170" s="47"/>
      <c r="AH170" s="47"/>
      <c r="AI170" s="47"/>
    </row>
    <row r="171" spans="1:35" ht="60" customHeight="1" x14ac:dyDescent="0.2">
      <c r="A171" s="57"/>
      <c r="B171" s="47"/>
      <c r="C171" s="47"/>
      <c r="D171" s="47"/>
      <c r="E171" s="47"/>
      <c r="F171" s="47"/>
      <c r="G171" s="47"/>
      <c r="H171" s="47"/>
      <c r="I171" s="47"/>
      <c r="J171" s="47"/>
      <c r="K171" s="47"/>
      <c r="L171" s="47"/>
      <c r="M171" s="47"/>
      <c r="N171" s="47"/>
      <c r="O171" s="47"/>
      <c r="P171" s="47"/>
      <c r="Q171" s="47"/>
      <c r="R171" s="50"/>
      <c r="S171" s="50"/>
      <c r="T171" s="47"/>
      <c r="U171" s="47"/>
      <c r="V171" s="47"/>
      <c r="W171" s="47"/>
      <c r="X171" s="47"/>
      <c r="Y171" s="47"/>
      <c r="Z171" s="47"/>
      <c r="AA171" s="47"/>
      <c r="AB171" s="47"/>
      <c r="AC171" s="47"/>
      <c r="AD171" s="47"/>
      <c r="AE171" s="47"/>
      <c r="AF171" s="47"/>
      <c r="AG171" s="47"/>
      <c r="AH171" s="47"/>
      <c r="AI171" s="47"/>
    </row>
    <row r="172" spans="1:35" ht="60" customHeight="1" x14ac:dyDescent="0.2">
      <c r="A172" s="57"/>
      <c r="B172" s="47"/>
      <c r="C172" s="47"/>
      <c r="D172" s="47"/>
      <c r="E172" s="47"/>
      <c r="F172" s="47"/>
      <c r="G172" s="47"/>
      <c r="H172" s="47"/>
      <c r="I172" s="47"/>
      <c r="J172" s="47"/>
      <c r="K172" s="47"/>
      <c r="L172" s="47"/>
      <c r="M172" s="47"/>
      <c r="N172" s="47"/>
      <c r="O172" s="47"/>
      <c r="P172" s="47"/>
      <c r="Q172" s="47"/>
      <c r="R172" s="50"/>
      <c r="S172" s="50"/>
      <c r="T172" s="47"/>
      <c r="U172" s="47"/>
      <c r="V172" s="47"/>
      <c r="W172" s="47"/>
      <c r="X172" s="47"/>
      <c r="Y172" s="47"/>
      <c r="Z172" s="47"/>
      <c r="AA172" s="47"/>
      <c r="AB172" s="47"/>
      <c r="AC172" s="47"/>
      <c r="AD172" s="47"/>
      <c r="AE172" s="47"/>
      <c r="AF172" s="47"/>
      <c r="AG172" s="47"/>
      <c r="AH172" s="47"/>
      <c r="AI172" s="47"/>
    </row>
    <row r="173" spans="1:35" ht="60" customHeight="1" x14ac:dyDescent="0.2">
      <c r="A173" s="57"/>
      <c r="B173" s="47"/>
      <c r="C173" s="47"/>
      <c r="D173" s="47"/>
      <c r="E173" s="47"/>
      <c r="F173" s="47"/>
      <c r="G173" s="47"/>
      <c r="H173" s="47"/>
      <c r="I173" s="47"/>
      <c r="J173" s="47"/>
      <c r="K173" s="47"/>
      <c r="L173" s="47"/>
      <c r="M173" s="47"/>
      <c r="N173" s="47"/>
      <c r="O173" s="47"/>
      <c r="P173" s="47"/>
      <c r="Q173" s="47"/>
      <c r="R173" s="50"/>
      <c r="S173" s="47"/>
      <c r="T173" s="47"/>
      <c r="U173" s="47"/>
      <c r="V173" s="47"/>
      <c r="W173" s="47"/>
      <c r="X173" s="47"/>
      <c r="Y173" s="47"/>
      <c r="Z173" s="47"/>
      <c r="AA173" s="47"/>
      <c r="AB173" s="47"/>
      <c r="AC173" s="47"/>
      <c r="AD173" s="47"/>
      <c r="AE173" s="47"/>
      <c r="AF173" s="47"/>
      <c r="AG173" s="47"/>
      <c r="AH173" s="47"/>
      <c r="AI173" s="47"/>
    </row>
    <row r="174" spans="1:35" ht="60" customHeight="1" x14ac:dyDescent="0.2">
      <c r="A174" s="57"/>
      <c r="B174" s="47"/>
      <c r="C174" s="47"/>
      <c r="D174" s="47"/>
      <c r="E174" s="47"/>
      <c r="F174" s="47"/>
      <c r="G174" s="47"/>
      <c r="H174" s="47"/>
      <c r="I174" s="47"/>
      <c r="J174" s="47"/>
      <c r="K174" s="47"/>
      <c r="L174" s="47"/>
      <c r="M174" s="47"/>
      <c r="N174" s="47"/>
      <c r="O174" s="47"/>
      <c r="P174" s="47"/>
      <c r="Q174" s="47"/>
      <c r="R174" s="20"/>
      <c r="S174" s="20"/>
      <c r="T174" s="47"/>
      <c r="U174" s="47"/>
      <c r="V174" s="47"/>
      <c r="W174" s="47"/>
      <c r="X174" s="47"/>
      <c r="Y174" s="47"/>
      <c r="Z174" s="47"/>
      <c r="AA174" s="47"/>
      <c r="AB174" s="47"/>
      <c r="AC174" s="47"/>
      <c r="AD174" s="47"/>
      <c r="AE174" s="47"/>
      <c r="AF174" s="47"/>
      <c r="AG174" s="47"/>
      <c r="AH174" s="47"/>
      <c r="AI174" s="47"/>
    </row>
    <row r="175" spans="1:35" ht="60" customHeight="1" x14ac:dyDescent="0.2">
      <c r="A175" s="57"/>
      <c r="B175" s="47"/>
      <c r="C175" s="47"/>
      <c r="D175" s="47"/>
      <c r="E175" s="47"/>
      <c r="F175" s="47"/>
      <c r="G175" s="47"/>
      <c r="H175" s="47"/>
      <c r="I175" s="47"/>
      <c r="J175" s="47"/>
      <c r="K175" s="47"/>
      <c r="L175" s="47"/>
      <c r="M175" s="47"/>
      <c r="N175" s="47"/>
      <c r="O175" s="47"/>
      <c r="P175" s="63"/>
      <c r="Q175" s="47"/>
      <c r="R175" s="50"/>
      <c r="S175" s="50"/>
      <c r="T175" s="47"/>
      <c r="U175" s="47"/>
      <c r="V175" s="47"/>
      <c r="W175" s="47"/>
      <c r="X175" s="47"/>
      <c r="Y175" s="47"/>
      <c r="Z175" s="47"/>
      <c r="AA175" s="47"/>
      <c r="AB175" s="47"/>
      <c r="AC175" s="47"/>
      <c r="AD175" s="47"/>
      <c r="AE175" s="47"/>
      <c r="AF175" s="47"/>
      <c r="AG175" s="47"/>
      <c r="AH175" s="47"/>
      <c r="AI175" s="47"/>
    </row>
    <row r="176" spans="1:35" ht="60" customHeight="1" x14ac:dyDescent="0.2">
      <c r="A176" s="57"/>
      <c r="B176" s="47"/>
      <c r="C176" s="47"/>
      <c r="D176" s="47"/>
      <c r="E176" s="47"/>
      <c r="F176" s="47"/>
      <c r="G176" s="47"/>
      <c r="H176" s="47"/>
      <c r="I176" s="47"/>
      <c r="J176" s="47"/>
      <c r="K176" s="47"/>
      <c r="L176" s="47"/>
      <c r="M176" s="47"/>
      <c r="N176" s="47"/>
      <c r="O176" s="47"/>
      <c r="P176" s="63"/>
      <c r="Q176" s="47"/>
      <c r="R176" s="50"/>
      <c r="S176" s="20"/>
      <c r="T176" s="47"/>
      <c r="U176" s="47"/>
      <c r="V176" s="47"/>
      <c r="W176" s="47"/>
      <c r="X176" s="47"/>
      <c r="Y176" s="47"/>
      <c r="Z176" s="47"/>
      <c r="AA176" s="47"/>
      <c r="AB176" s="47"/>
      <c r="AC176" s="47"/>
      <c r="AD176" s="47"/>
      <c r="AE176" s="47"/>
      <c r="AF176" s="47"/>
      <c r="AG176" s="47"/>
      <c r="AH176" s="47"/>
      <c r="AI176" s="47"/>
    </row>
    <row r="177" spans="1:35" ht="60" customHeight="1" x14ac:dyDescent="0.2">
      <c r="A177" s="57"/>
      <c r="B177" s="47"/>
      <c r="C177" s="47"/>
      <c r="D177" s="47"/>
      <c r="E177" s="47"/>
      <c r="F177" s="47"/>
      <c r="G177" s="47"/>
      <c r="H177" s="47"/>
      <c r="I177" s="47"/>
      <c r="J177" s="47"/>
      <c r="K177" s="47"/>
      <c r="L177" s="47"/>
      <c r="M177" s="47"/>
      <c r="N177" s="47"/>
      <c r="O177" s="47"/>
      <c r="P177" s="47"/>
      <c r="Q177" s="47"/>
      <c r="R177" s="50"/>
      <c r="S177" s="50"/>
      <c r="T177" s="47"/>
      <c r="U177" s="47"/>
      <c r="V177" s="47"/>
      <c r="W177" s="47"/>
      <c r="X177" s="47"/>
      <c r="Y177" s="47"/>
      <c r="Z177" s="47"/>
      <c r="AA177" s="47"/>
      <c r="AB177" s="47"/>
      <c r="AC177" s="47"/>
      <c r="AD177" s="47"/>
      <c r="AE177" s="47"/>
      <c r="AF177" s="47"/>
      <c r="AG177" s="47"/>
      <c r="AH177" s="47"/>
      <c r="AI177" s="47"/>
    </row>
    <row r="178" spans="1:35" ht="60" customHeight="1" x14ac:dyDescent="0.2">
      <c r="A178" s="57"/>
      <c r="B178" s="47"/>
      <c r="C178" s="47"/>
      <c r="D178" s="47"/>
      <c r="E178" s="47"/>
      <c r="F178" s="47"/>
      <c r="G178" s="47"/>
      <c r="H178" s="47"/>
      <c r="I178" s="47"/>
      <c r="J178" s="47"/>
      <c r="K178" s="47"/>
      <c r="L178" s="47"/>
      <c r="M178" s="47"/>
      <c r="N178" s="47"/>
      <c r="O178" s="47"/>
      <c r="P178" s="47"/>
      <c r="Q178" s="47"/>
      <c r="R178" s="50"/>
      <c r="S178" s="47"/>
      <c r="T178" s="47"/>
      <c r="U178" s="47"/>
      <c r="V178" s="47"/>
      <c r="W178" s="47"/>
      <c r="X178" s="47"/>
      <c r="Y178" s="47"/>
      <c r="Z178" s="47"/>
      <c r="AA178" s="47"/>
      <c r="AB178" s="47"/>
      <c r="AC178" s="47"/>
      <c r="AD178" s="47"/>
      <c r="AE178" s="47"/>
      <c r="AF178" s="47"/>
      <c r="AG178" s="47"/>
      <c r="AH178" s="47"/>
      <c r="AI178" s="47"/>
    </row>
    <row r="179" spans="1:35" ht="60" customHeight="1" x14ac:dyDescent="0.2">
      <c r="A179" s="57"/>
      <c r="B179" s="47"/>
      <c r="C179" s="47"/>
      <c r="D179" s="47"/>
      <c r="E179" s="47"/>
      <c r="F179" s="47"/>
      <c r="G179" s="47"/>
      <c r="H179" s="47"/>
      <c r="I179" s="47"/>
      <c r="J179" s="47"/>
      <c r="K179" s="47"/>
      <c r="L179" s="47"/>
      <c r="M179" s="47"/>
      <c r="N179" s="47"/>
      <c r="O179" s="47"/>
      <c r="P179" s="47"/>
      <c r="Q179" s="47"/>
      <c r="R179" s="50"/>
      <c r="S179" s="47"/>
      <c r="T179" s="47"/>
      <c r="U179" s="47"/>
      <c r="V179" s="47"/>
      <c r="W179" s="47"/>
      <c r="X179" s="47"/>
      <c r="Y179" s="47"/>
      <c r="Z179" s="47"/>
      <c r="AA179" s="47"/>
      <c r="AB179" s="47"/>
      <c r="AC179" s="47"/>
      <c r="AD179" s="47"/>
      <c r="AE179" s="47"/>
      <c r="AF179" s="47"/>
      <c r="AG179" s="47"/>
      <c r="AH179" s="47"/>
      <c r="AI179" s="47"/>
    </row>
    <row r="180" spans="1:35" ht="60" customHeight="1" x14ac:dyDescent="0.2">
      <c r="A180" s="57"/>
      <c r="B180" s="47"/>
      <c r="C180" s="47"/>
      <c r="D180" s="47"/>
      <c r="E180" s="47"/>
      <c r="F180" s="47"/>
      <c r="G180" s="47"/>
      <c r="H180" s="47"/>
      <c r="I180" s="47"/>
      <c r="J180" s="47"/>
      <c r="K180" s="47"/>
      <c r="L180" s="47"/>
      <c r="M180" s="47"/>
      <c r="N180" s="47"/>
      <c r="O180" s="47"/>
      <c r="P180" s="47"/>
      <c r="Q180" s="47"/>
      <c r="R180" s="50"/>
      <c r="S180" s="50"/>
      <c r="T180" s="47"/>
      <c r="U180" s="47"/>
      <c r="V180" s="47"/>
      <c r="W180" s="47"/>
      <c r="X180" s="47"/>
      <c r="Y180" s="47"/>
      <c r="Z180" s="47"/>
      <c r="AA180" s="47"/>
      <c r="AB180" s="47"/>
      <c r="AC180" s="47"/>
      <c r="AD180" s="47"/>
      <c r="AE180" s="47"/>
      <c r="AF180" s="47"/>
      <c r="AG180" s="47"/>
      <c r="AH180" s="47"/>
      <c r="AI180" s="47"/>
    </row>
    <row r="181" spans="1:35" ht="60" customHeight="1" x14ac:dyDescent="0.2">
      <c r="A181" s="57"/>
      <c r="B181" s="47"/>
      <c r="C181" s="47"/>
      <c r="D181" s="47"/>
      <c r="E181" s="47"/>
      <c r="F181" s="47"/>
      <c r="G181" s="47"/>
      <c r="H181" s="47"/>
      <c r="I181" s="47"/>
      <c r="J181" s="47"/>
      <c r="K181" s="47"/>
      <c r="L181" s="47"/>
      <c r="M181" s="47"/>
      <c r="N181" s="47"/>
      <c r="O181" s="47"/>
      <c r="P181" s="47"/>
      <c r="Q181" s="47"/>
      <c r="R181" s="50"/>
      <c r="S181" s="47"/>
      <c r="T181" s="47"/>
      <c r="U181" s="47"/>
      <c r="V181" s="47"/>
      <c r="W181" s="47"/>
      <c r="X181" s="47"/>
      <c r="Y181" s="47"/>
      <c r="Z181" s="47"/>
      <c r="AA181" s="47"/>
      <c r="AB181" s="47"/>
      <c r="AC181" s="47"/>
      <c r="AD181" s="47"/>
      <c r="AE181" s="47"/>
      <c r="AF181" s="47"/>
      <c r="AG181" s="47"/>
      <c r="AH181" s="47"/>
      <c r="AI181" s="47"/>
    </row>
    <row r="182" spans="1:35" ht="60" customHeight="1" x14ac:dyDescent="0.2">
      <c r="A182" s="57"/>
      <c r="B182" s="47"/>
      <c r="C182" s="47"/>
      <c r="D182" s="47"/>
      <c r="E182" s="47"/>
      <c r="F182" s="47"/>
      <c r="G182" s="47"/>
      <c r="H182" s="47"/>
      <c r="I182" s="47"/>
      <c r="J182" s="47"/>
      <c r="K182" s="47"/>
      <c r="L182" s="47"/>
      <c r="M182" s="47"/>
      <c r="N182" s="47"/>
      <c r="O182" s="47"/>
      <c r="P182" s="47"/>
      <c r="Q182" s="47"/>
      <c r="R182" s="61"/>
      <c r="S182" s="50"/>
      <c r="T182" s="50"/>
      <c r="U182" s="47"/>
      <c r="V182" s="47"/>
      <c r="W182" s="47"/>
      <c r="X182" s="47"/>
      <c r="Y182" s="47"/>
      <c r="Z182" s="47"/>
      <c r="AA182" s="47"/>
      <c r="AB182" s="47"/>
      <c r="AC182" s="47"/>
      <c r="AD182" s="47"/>
      <c r="AE182" s="47"/>
      <c r="AF182" s="47"/>
      <c r="AG182" s="47"/>
      <c r="AH182" s="47"/>
      <c r="AI182" s="47"/>
    </row>
    <row r="183" spans="1:35" ht="60" customHeight="1" x14ac:dyDescent="0.2">
      <c r="A183" s="57"/>
      <c r="B183" s="47"/>
      <c r="C183" s="47"/>
      <c r="D183" s="47"/>
      <c r="E183" s="47"/>
      <c r="F183" s="47"/>
      <c r="G183" s="47"/>
      <c r="H183" s="47"/>
      <c r="I183" s="47"/>
      <c r="J183" s="47"/>
      <c r="K183" s="47"/>
      <c r="L183" s="47"/>
      <c r="M183" s="47"/>
      <c r="N183" s="47"/>
      <c r="O183" s="47"/>
      <c r="P183" s="47"/>
      <c r="Q183" s="47"/>
      <c r="R183" s="20"/>
      <c r="S183" s="47"/>
      <c r="T183" s="47"/>
      <c r="U183" s="47"/>
      <c r="V183" s="47"/>
      <c r="W183" s="47"/>
      <c r="X183" s="47"/>
      <c r="Y183" s="47"/>
      <c r="Z183" s="47"/>
      <c r="AA183" s="47"/>
      <c r="AB183" s="47"/>
      <c r="AC183" s="47"/>
      <c r="AD183" s="47"/>
      <c r="AE183" s="47"/>
      <c r="AF183" s="47"/>
      <c r="AG183" s="47"/>
      <c r="AH183" s="47"/>
      <c r="AI183" s="47"/>
    </row>
    <row r="184" spans="1:35" ht="60" customHeight="1" x14ac:dyDescent="0.2">
      <c r="A184" s="57"/>
      <c r="B184" s="47"/>
      <c r="C184" s="47"/>
      <c r="D184" s="47"/>
      <c r="E184" s="47"/>
      <c r="F184" s="47"/>
      <c r="G184" s="47"/>
      <c r="H184" s="47"/>
      <c r="I184" s="47"/>
      <c r="J184" s="47"/>
      <c r="K184" s="47"/>
      <c r="L184" s="47"/>
      <c r="M184" s="47"/>
      <c r="N184" s="47"/>
      <c r="O184" s="47"/>
      <c r="P184" s="47"/>
      <c r="Q184" s="47"/>
      <c r="R184" s="20"/>
      <c r="S184" s="47"/>
      <c r="T184" s="47"/>
      <c r="U184" s="47"/>
      <c r="V184" s="47"/>
      <c r="W184" s="47"/>
      <c r="X184" s="47"/>
      <c r="Y184" s="47"/>
      <c r="Z184" s="47"/>
      <c r="AA184" s="47"/>
      <c r="AB184" s="47"/>
      <c r="AC184" s="47"/>
      <c r="AD184" s="47"/>
      <c r="AE184" s="47"/>
      <c r="AF184" s="47"/>
      <c r="AG184" s="47"/>
      <c r="AH184" s="47"/>
      <c r="AI184" s="47"/>
    </row>
    <row r="185" spans="1:35" ht="60" customHeight="1" x14ac:dyDescent="0.2">
      <c r="A185" s="57"/>
      <c r="B185" s="47"/>
      <c r="C185" s="47"/>
      <c r="D185" s="47"/>
      <c r="E185" s="47"/>
      <c r="F185" s="47"/>
      <c r="G185" s="47"/>
      <c r="H185" s="47"/>
      <c r="I185" s="47"/>
      <c r="J185" s="47"/>
      <c r="K185" s="47"/>
      <c r="L185" s="47"/>
      <c r="M185" s="47"/>
      <c r="N185" s="47"/>
      <c r="O185" s="47"/>
      <c r="P185" s="47"/>
      <c r="Q185" s="47"/>
      <c r="R185" s="50"/>
      <c r="S185" s="50"/>
      <c r="T185" s="50"/>
      <c r="U185" s="50"/>
      <c r="V185" s="47"/>
      <c r="W185" s="47"/>
      <c r="X185" s="47"/>
      <c r="Y185" s="47"/>
      <c r="Z185" s="47"/>
      <c r="AA185" s="47"/>
      <c r="AB185" s="47"/>
      <c r="AC185" s="47"/>
      <c r="AD185" s="47"/>
      <c r="AE185" s="47"/>
      <c r="AF185" s="47"/>
      <c r="AG185" s="47"/>
      <c r="AH185" s="47"/>
      <c r="AI185" s="47"/>
    </row>
    <row r="186" spans="1:35" ht="60" customHeight="1" x14ac:dyDescent="0.2">
      <c r="A186" s="57"/>
      <c r="B186" s="47"/>
      <c r="C186" s="47"/>
      <c r="D186" s="47"/>
      <c r="E186" s="47"/>
      <c r="F186" s="47"/>
      <c r="G186" s="47"/>
      <c r="H186" s="47"/>
      <c r="I186" s="47"/>
      <c r="J186" s="47"/>
      <c r="K186" s="47"/>
      <c r="L186" s="47"/>
      <c r="M186" s="47"/>
      <c r="N186" s="47"/>
      <c r="O186" s="47"/>
      <c r="P186" s="47"/>
      <c r="Q186" s="47"/>
      <c r="R186" s="50"/>
      <c r="S186" s="47"/>
      <c r="T186" s="47"/>
      <c r="U186" s="47"/>
      <c r="V186" s="47"/>
      <c r="W186" s="47"/>
      <c r="X186" s="47"/>
      <c r="Y186" s="47"/>
      <c r="Z186" s="47"/>
      <c r="AA186" s="47"/>
      <c r="AB186" s="47"/>
      <c r="AC186" s="47"/>
      <c r="AD186" s="47"/>
      <c r="AE186" s="47"/>
      <c r="AF186" s="47"/>
      <c r="AG186" s="47"/>
      <c r="AH186" s="47"/>
      <c r="AI186" s="47"/>
    </row>
    <row r="187" spans="1:35" ht="60" customHeight="1" x14ac:dyDescent="0.2">
      <c r="A187" s="57"/>
      <c r="B187" s="47"/>
      <c r="C187" s="47"/>
      <c r="D187" s="47"/>
      <c r="E187" s="47"/>
      <c r="F187" s="47"/>
      <c r="G187" s="47"/>
      <c r="H187" s="47"/>
      <c r="I187" s="47"/>
      <c r="J187" s="47"/>
      <c r="K187" s="47"/>
      <c r="L187" s="47"/>
      <c r="M187" s="47"/>
      <c r="N187" s="47"/>
      <c r="O187" s="47"/>
      <c r="P187" s="47"/>
      <c r="Q187" s="47"/>
      <c r="R187" s="50"/>
      <c r="S187" s="47"/>
      <c r="T187" s="47"/>
      <c r="U187" s="47"/>
      <c r="V187" s="47"/>
      <c r="W187" s="47"/>
      <c r="X187" s="47"/>
      <c r="Y187" s="47"/>
      <c r="Z187" s="47"/>
      <c r="AA187" s="47"/>
      <c r="AB187" s="47"/>
      <c r="AC187" s="47"/>
      <c r="AD187" s="47"/>
      <c r="AE187" s="47"/>
      <c r="AF187" s="47"/>
      <c r="AG187" s="47"/>
      <c r="AH187" s="47"/>
      <c r="AI187" s="47"/>
    </row>
    <row r="188" spans="1:35" ht="60" customHeight="1" x14ac:dyDescent="0.2">
      <c r="A188" s="57"/>
      <c r="B188" s="47"/>
      <c r="C188" s="47"/>
      <c r="D188" s="47"/>
      <c r="E188" s="47"/>
      <c r="F188" s="47"/>
      <c r="G188" s="47"/>
      <c r="H188" s="47"/>
      <c r="I188" s="47"/>
      <c r="J188" s="47"/>
      <c r="K188" s="47"/>
      <c r="L188" s="47"/>
      <c r="M188" s="47"/>
      <c r="N188" s="47"/>
      <c r="O188" s="47"/>
      <c r="P188" s="47"/>
      <c r="Q188" s="47"/>
      <c r="R188" s="20"/>
      <c r="S188" s="47"/>
      <c r="T188" s="47"/>
      <c r="U188" s="47"/>
      <c r="V188" s="47"/>
      <c r="W188" s="47"/>
      <c r="X188" s="47"/>
      <c r="Y188" s="47"/>
      <c r="Z188" s="47"/>
      <c r="AA188" s="47"/>
      <c r="AB188" s="47"/>
      <c r="AC188" s="47"/>
      <c r="AD188" s="47"/>
      <c r="AE188" s="47"/>
      <c r="AF188" s="47"/>
      <c r="AG188" s="47"/>
      <c r="AH188" s="47"/>
      <c r="AI188" s="47"/>
    </row>
    <row r="189" spans="1:35" ht="60" customHeight="1" x14ac:dyDescent="0.2">
      <c r="A189" s="57"/>
      <c r="B189" s="47"/>
      <c r="C189" s="47"/>
      <c r="D189" s="47"/>
      <c r="E189" s="47"/>
      <c r="F189" s="47"/>
      <c r="G189" s="47"/>
      <c r="H189" s="47"/>
      <c r="I189" s="47"/>
      <c r="J189" s="47"/>
      <c r="K189" s="47"/>
      <c r="L189" s="47"/>
      <c r="M189" s="47"/>
      <c r="N189" s="47"/>
      <c r="O189" s="47"/>
      <c r="P189" s="47"/>
      <c r="Q189" s="47"/>
      <c r="R189" s="20"/>
      <c r="S189" s="20"/>
      <c r="T189" s="20"/>
      <c r="U189" s="47"/>
      <c r="V189" s="47"/>
      <c r="W189" s="47"/>
      <c r="X189" s="47"/>
      <c r="Y189" s="47"/>
      <c r="Z189" s="47"/>
      <c r="AA189" s="47"/>
      <c r="AB189" s="47"/>
      <c r="AC189" s="47"/>
      <c r="AD189" s="47"/>
      <c r="AE189" s="47"/>
      <c r="AF189" s="47"/>
      <c r="AG189" s="47"/>
      <c r="AH189" s="47"/>
      <c r="AI189" s="47"/>
    </row>
    <row r="190" spans="1:35" ht="60" customHeight="1" x14ac:dyDescent="0.2">
      <c r="A190" s="57"/>
      <c r="B190" s="47"/>
      <c r="C190" s="47"/>
      <c r="D190" s="47"/>
      <c r="E190" s="47"/>
      <c r="F190" s="47"/>
      <c r="G190" s="47"/>
      <c r="H190" s="47"/>
      <c r="I190" s="47"/>
      <c r="J190" s="47"/>
      <c r="K190" s="47"/>
      <c r="L190" s="47"/>
      <c r="M190" s="47"/>
      <c r="N190" s="47"/>
      <c r="O190" s="47"/>
      <c r="P190" s="47"/>
      <c r="Q190" s="47"/>
      <c r="R190" s="20"/>
      <c r="S190" s="20"/>
      <c r="T190" s="47"/>
      <c r="U190" s="47"/>
      <c r="V190" s="47"/>
      <c r="W190" s="47"/>
      <c r="X190" s="47"/>
      <c r="Y190" s="47"/>
      <c r="Z190" s="47"/>
      <c r="AA190" s="47"/>
      <c r="AB190" s="47"/>
      <c r="AC190" s="47"/>
      <c r="AD190" s="47"/>
      <c r="AE190" s="47"/>
      <c r="AF190" s="47"/>
      <c r="AG190" s="47"/>
      <c r="AH190" s="47"/>
      <c r="AI190" s="47"/>
    </row>
    <row r="191" spans="1:35" ht="60" customHeight="1" x14ac:dyDescent="0.2">
      <c r="A191" s="57"/>
      <c r="B191" s="47"/>
      <c r="C191" s="47"/>
      <c r="D191" s="47"/>
      <c r="E191" s="47"/>
      <c r="F191" s="47"/>
      <c r="G191" s="47"/>
      <c r="H191" s="47"/>
      <c r="I191" s="47"/>
      <c r="J191" s="47"/>
      <c r="K191" s="47"/>
      <c r="L191" s="47"/>
      <c r="M191" s="47"/>
      <c r="N191" s="47"/>
      <c r="O191" s="47"/>
      <c r="P191" s="47"/>
      <c r="Q191" s="47"/>
      <c r="R191" s="50"/>
      <c r="S191" s="50"/>
      <c r="T191" s="47"/>
      <c r="U191" s="47"/>
      <c r="V191" s="47"/>
      <c r="W191" s="47"/>
      <c r="X191" s="47"/>
      <c r="Y191" s="47"/>
      <c r="Z191" s="47"/>
      <c r="AA191" s="47"/>
      <c r="AB191" s="47"/>
      <c r="AC191" s="47"/>
      <c r="AD191" s="47"/>
      <c r="AE191" s="47"/>
      <c r="AF191" s="47"/>
      <c r="AG191" s="47"/>
      <c r="AH191" s="47"/>
      <c r="AI191" s="47"/>
    </row>
    <row r="192" spans="1:35" ht="60" customHeight="1" x14ac:dyDescent="0.2">
      <c r="A192" s="57"/>
      <c r="B192" s="47"/>
      <c r="C192" s="47"/>
      <c r="D192" s="47"/>
      <c r="E192" s="47"/>
      <c r="F192" s="47"/>
      <c r="G192" s="47"/>
      <c r="H192" s="47"/>
      <c r="I192" s="47"/>
      <c r="J192" s="47"/>
      <c r="K192" s="47"/>
      <c r="L192" s="47"/>
      <c r="M192" s="47"/>
      <c r="N192" s="47"/>
      <c r="O192" s="47"/>
      <c r="P192" s="47"/>
      <c r="Q192" s="47"/>
      <c r="R192" s="50"/>
      <c r="S192" s="47"/>
      <c r="T192" s="47"/>
      <c r="U192" s="47"/>
      <c r="V192" s="47"/>
      <c r="W192" s="47"/>
      <c r="X192" s="47"/>
      <c r="Y192" s="47"/>
      <c r="Z192" s="47"/>
      <c r="AA192" s="47"/>
      <c r="AB192" s="47"/>
      <c r="AC192" s="47"/>
      <c r="AD192" s="47"/>
      <c r="AE192" s="47"/>
      <c r="AF192" s="47"/>
      <c r="AG192" s="47"/>
      <c r="AH192" s="47"/>
      <c r="AI192" s="47"/>
    </row>
    <row r="193" spans="1:35" ht="60" customHeight="1" x14ac:dyDescent="0.2">
      <c r="A193" s="57"/>
      <c r="B193" s="47"/>
      <c r="C193" s="47"/>
      <c r="D193" s="47"/>
      <c r="E193" s="47"/>
      <c r="F193" s="47"/>
      <c r="G193" s="47"/>
      <c r="H193" s="47"/>
      <c r="I193" s="47"/>
      <c r="J193" s="47"/>
      <c r="K193" s="47"/>
      <c r="L193" s="47"/>
      <c r="M193" s="47"/>
      <c r="N193" s="47"/>
      <c r="O193" s="47"/>
      <c r="P193" s="47"/>
      <c r="Q193" s="47"/>
      <c r="R193" s="20"/>
      <c r="S193" s="47"/>
      <c r="T193" s="50"/>
      <c r="U193" s="47"/>
      <c r="V193" s="47"/>
      <c r="W193" s="47"/>
      <c r="X193" s="47"/>
      <c r="Y193" s="47"/>
      <c r="Z193" s="47"/>
      <c r="AA193" s="47"/>
      <c r="AB193" s="47"/>
      <c r="AC193" s="47"/>
      <c r="AD193" s="47"/>
      <c r="AE193" s="47"/>
      <c r="AF193" s="47"/>
      <c r="AG193" s="47"/>
      <c r="AH193" s="47"/>
      <c r="AI193" s="47"/>
    </row>
    <row r="194" spans="1:35" ht="60" customHeight="1" x14ac:dyDescent="0.2">
      <c r="A194" s="57"/>
      <c r="B194" s="47"/>
      <c r="C194" s="47"/>
      <c r="D194" s="47"/>
      <c r="E194" s="47"/>
      <c r="F194" s="47"/>
      <c r="G194" s="47"/>
      <c r="H194" s="47"/>
      <c r="I194" s="47"/>
      <c r="J194" s="47"/>
      <c r="K194" s="47"/>
      <c r="L194" s="47"/>
      <c r="M194" s="47"/>
      <c r="N194" s="47"/>
      <c r="O194" s="47"/>
      <c r="P194" s="47"/>
      <c r="Q194" s="47"/>
      <c r="R194" s="20"/>
      <c r="S194" s="50"/>
      <c r="T194" s="47"/>
      <c r="U194" s="47"/>
      <c r="V194" s="47"/>
      <c r="W194" s="47"/>
      <c r="X194" s="47"/>
      <c r="Y194" s="47"/>
      <c r="Z194" s="47"/>
      <c r="AA194" s="47"/>
      <c r="AB194" s="47"/>
      <c r="AC194" s="47"/>
      <c r="AD194" s="47"/>
      <c r="AE194" s="47"/>
      <c r="AF194" s="47"/>
      <c r="AG194" s="47"/>
      <c r="AH194" s="47"/>
      <c r="AI194" s="47"/>
    </row>
    <row r="195" spans="1:35" ht="60" customHeight="1" x14ac:dyDescent="0.2">
      <c r="A195" s="57"/>
      <c r="B195" s="47"/>
      <c r="C195" s="47"/>
      <c r="D195" s="47"/>
      <c r="E195" s="47"/>
      <c r="F195" s="47"/>
      <c r="G195" s="47"/>
      <c r="H195" s="47"/>
      <c r="I195" s="47"/>
      <c r="J195" s="47"/>
      <c r="K195" s="47"/>
      <c r="L195" s="47"/>
      <c r="M195" s="47"/>
      <c r="N195" s="47"/>
      <c r="O195" s="47"/>
      <c r="P195" s="47"/>
      <c r="Q195" s="47"/>
      <c r="R195" s="20"/>
      <c r="S195" s="50"/>
      <c r="T195" s="47"/>
      <c r="U195" s="47"/>
      <c r="V195" s="47"/>
      <c r="W195" s="47"/>
      <c r="X195" s="47"/>
      <c r="Y195" s="47"/>
      <c r="Z195" s="47"/>
      <c r="AA195" s="47"/>
      <c r="AB195" s="47"/>
      <c r="AC195" s="47"/>
      <c r="AD195" s="47"/>
      <c r="AE195" s="47"/>
      <c r="AF195" s="47"/>
      <c r="AG195" s="47"/>
      <c r="AH195" s="47"/>
      <c r="AI195" s="47"/>
    </row>
    <row r="196" spans="1:35" ht="60" customHeight="1" x14ac:dyDescent="0.2">
      <c r="A196" s="57"/>
      <c r="B196" s="47"/>
      <c r="C196" s="47"/>
      <c r="D196" s="47"/>
      <c r="E196" s="47"/>
      <c r="F196" s="47"/>
      <c r="G196" s="47"/>
      <c r="H196" s="47"/>
      <c r="I196" s="47"/>
      <c r="J196" s="47"/>
      <c r="K196" s="47"/>
      <c r="L196" s="47"/>
      <c r="M196" s="47"/>
      <c r="N196" s="47"/>
      <c r="O196" s="47"/>
      <c r="P196" s="47"/>
      <c r="Q196" s="47"/>
      <c r="R196" s="50"/>
      <c r="S196" s="50"/>
      <c r="T196" s="47"/>
      <c r="U196" s="47"/>
      <c r="V196" s="47"/>
      <c r="W196" s="47"/>
      <c r="X196" s="47"/>
      <c r="Y196" s="47"/>
      <c r="Z196" s="47"/>
      <c r="AA196" s="47"/>
      <c r="AB196" s="47"/>
      <c r="AC196" s="47"/>
      <c r="AD196" s="47"/>
      <c r="AE196" s="47"/>
      <c r="AF196" s="47"/>
      <c r="AG196" s="47"/>
      <c r="AH196" s="47"/>
      <c r="AI196" s="47"/>
    </row>
    <row r="197" spans="1:35" ht="60" customHeight="1" x14ac:dyDescent="0.2">
      <c r="A197" s="57"/>
      <c r="B197" s="47"/>
      <c r="C197" s="47"/>
      <c r="D197" s="47"/>
      <c r="E197" s="47"/>
      <c r="F197" s="47"/>
      <c r="G197" s="47"/>
      <c r="H197" s="47"/>
      <c r="I197" s="47"/>
      <c r="J197" s="47"/>
      <c r="K197" s="47"/>
      <c r="L197" s="47"/>
      <c r="M197" s="47"/>
      <c r="N197" s="47"/>
      <c r="O197" s="47"/>
      <c r="P197" s="47"/>
      <c r="Q197" s="47"/>
      <c r="R197" s="50"/>
      <c r="S197" s="47"/>
      <c r="T197" s="47"/>
      <c r="U197" s="47"/>
      <c r="V197" s="47"/>
      <c r="W197" s="47"/>
      <c r="X197" s="47"/>
      <c r="Y197" s="47"/>
      <c r="Z197" s="47"/>
      <c r="AA197" s="47"/>
      <c r="AB197" s="47"/>
      <c r="AC197" s="47"/>
      <c r="AD197" s="47"/>
      <c r="AE197" s="47"/>
      <c r="AF197" s="47"/>
      <c r="AG197" s="47"/>
      <c r="AH197" s="47"/>
      <c r="AI197" s="47"/>
    </row>
    <row r="198" spans="1:35" ht="60" customHeight="1" x14ac:dyDescent="0.2">
      <c r="A198" s="57"/>
      <c r="B198" s="47"/>
      <c r="C198" s="47"/>
      <c r="D198" s="47"/>
      <c r="E198" s="47"/>
      <c r="F198" s="47"/>
      <c r="G198" s="47"/>
      <c r="H198" s="47"/>
      <c r="I198" s="47"/>
      <c r="J198" s="47"/>
      <c r="K198" s="47"/>
      <c r="L198" s="47"/>
      <c r="M198" s="47"/>
      <c r="N198" s="47"/>
      <c r="O198" s="47"/>
      <c r="P198" s="47"/>
      <c r="Q198" s="47"/>
      <c r="R198" s="50"/>
      <c r="S198" s="47"/>
      <c r="T198" s="47"/>
      <c r="U198" s="47"/>
      <c r="V198" s="47"/>
      <c r="W198" s="47"/>
      <c r="X198" s="47"/>
      <c r="Y198" s="47"/>
      <c r="Z198" s="47"/>
      <c r="AA198" s="47"/>
      <c r="AB198" s="47"/>
      <c r="AC198" s="47"/>
      <c r="AD198" s="47"/>
      <c r="AE198" s="47"/>
      <c r="AF198" s="47"/>
      <c r="AG198" s="47"/>
      <c r="AH198" s="47"/>
      <c r="AI198" s="47"/>
    </row>
    <row r="199" spans="1:35" ht="60" customHeight="1" x14ac:dyDescent="0.2">
      <c r="A199" s="57"/>
      <c r="B199" s="47"/>
      <c r="C199" s="47"/>
      <c r="D199" s="47"/>
      <c r="E199" s="47"/>
      <c r="F199" s="47"/>
      <c r="G199" s="47"/>
      <c r="H199" s="47"/>
      <c r="I199" s="47"/>
      <c r="J199" s="47"/>
      <c r="K199" s="47"/>
      <c r="L199" s="47"/>
      <c r="M199" s="47"/>
      <c r="N199" s="47"/>
      <c r="O199" s="47"/>
      <c r="P199" s="47"/>
      <c r="Q199" s="47"/>
      <c r="R199" s="50"/>
      <c r="S199" s="47"/>
      <c r="T199" s="47"/>
      <c r="U199" s="47"/>
      <c r="V199" s="47"/>
      <c r="W199" s="47"/>
      <c r="X199" s="47"/>
      <c r="Y199" s="47"/>
      <c r="Z199" s="47"/>
      <c r="AA199" s="47"/>
      <c r="AB199" s="47"/>
      <c r="AC199" s="47"/>
      <c r="AD199" s="47"/>
      <c r="AE199" s="47"/>
      <c r="AF199" s="47"/>
      <c r="AG199" s="47"/>
      <c r="AH199" s="47"/>
      <c r="AI199" s="47"/>
    </row>
    <row r="200" spans="1:35" ht="60" customHeight="1" x14ac:dyDescent="0.2">
      <c r="A200" s="57"/>
      <c r="B200" s="47"/>
      <c r="C200" s="47"/>
      <c r="D200" s="47"/>
      <c r="E200" s="47"/>
      <c r="F200" s="47"/>
      <c r="G200" s="47"/>
      <c r="H200" s="47"/>
      <c r="I200" s="47"/>
      <c r="J200" s="47"/>
      <c r="K200" s="47"/>
      <c r="L200" s="47"/>
      <c r="M200" s="47"/>
      <c r="N200" s="47"/>
      <c r="O200" s="47"/>
      <c r="P200" s="47"/>
      <c r="Q200" s="47"/>
      <c r="R200" s="20"/>
      <c r="S200" s="47"/>
      <c r="T200" s="47"/>
      <c r="U200" s="47"/>
      <c r="V200" s="47"/>
      <c r="W200" s="47"/>
      <c r="X200" s="47"/>
      <c r="Y200" s="47"/>
      <c r="Z200" s="47"/>
      <c r="AA200" s="47"/>
      <c r="AB200" s="47"/>
      <c r="AC200" s="47"/>
      <c r="AD200" s="47"/>
      <c r="AE200" s="47"/>
      <c r="AF200" s="47"/>
      <c r="AG200" s="47"/>
      <c r="AH200" s="47"/>
      <c r="AI200" s="47"/>
    </row>
    <row r="201" spans="1:35" ht="60" customHeight="1" x14ac:dyDescent="0.2">
      <c r="A201" s="57"/>
      <c r="B201" s="47"/>
      <c r="C201" s="47"/>
      <c r="D201" s="47"/>
      <c r="E201" s="47"/>
      <c r="F201" s="47"/>
      <c r="G201" s="47"/>
      <c r="H201" s="47"/>
      <c r="I201" s="47"/>
      <c r="J201" s="47"/>
      <c r="K201" s="47"/>
      <c r="L201" s="47"/>
      <c r="M201" s="47"/>
      <c r="N201" s="47"/>
      <c r="O201" s="47"/>
      <c r="P201" s="47"/>
      <c r="Q201" s="47"/>
      <c r="R201" s="20"/>
      <c r="S201" s="20"/>
      <c r="T201" s="20"/>
      <c r="U201" s="47"/>
      <c r="V201" s="47"/>
      <c r="W201" s="47"/>
      <c r="X201" s="47"/>
      <c r="Y201" s="47"/>
      <c r="Z201" s="47"/>
      <c r="AA201" s="47"/>
      <c r="AB201" s="47"/>
      <c r="AC201" s="47"/>
      <c r="AD201" s="47"/>
      <c r="AE201" s="47"/>
      <c r="AF201" s="47"/>
      <c r="AG201" s="47"/>
      <c r="AH201" s="47"/>
      <c r="AI201" s="47"/>
    </row>
    <row r="202" spans="1:35" ht="60" customHeight="1" x14ac:dyDescent="0.2">
      <c r="A202" s="57"/>
      <c r="B202" s="47"/>
      <c r="C202" s="47"/>
      <c r="D202" s="47"/>
      <c r="E202" s="47"/>
      <c r="F202" s="47"/>
      <c r="G202" s="47"/>
      <c r="H202" s="47"/>
      <c r="I202" s="47"/>
      <c r="J202" s="47"/>
      <c r="K202" s="47"/>
      <c r="L202" s="47"/>
      <c r="M202" s="47"/>
      <c r="N202" s="47"/>
      <c r="O202" s="47"/>
      <c r="P202" s="47"/>
      <c r="Q202" s="47"/>
      <c r="R202" s="50"/>
      <c r="S202" s="50"/>
      <c r="T202" s="47"/>
      <c r="U202" s="47"/>
      <c r="V202" s="47"/>
      <c r="W202" s="47"/>
      <c r="X202" s="47"/>
      <c r="Y202" s="47"/>
      <c r="Z202" s="47"/>
      <c r="AA202" s="47"/>
      <c r="AB202" s="47"/>
      <c r="AC202" s="47"/>
      <c r="AD202" s="47"/>
      <c r="AE202" s="47"/>
      <c r="AF202" s="47"/>
      <c r="AG202" s="47"/>
      <c r="AH202" s="47"/>
      <c r="AI202" s="47"/>
    </row>
    <row r="203" spans="1:35" ht="60" customHeight="1" x14ac:dyDescent="0.2">
      <c r="A203" s="57"/>
      <c r="B203" s="47"/>
      <c r="C203" s="47"/>
      <c r="D203" s="47"/>
      <c r="E203" s="47"/>
      <c r="F203" s="47"/>
      <c r="G203" s="47"/>
      <c r="H203" s="47"/>
      <c r="I203" s="47"/>
      <c r="J203" s="47"/>
      <c r="K203" s="47"/>
      <c r="L203" s="47"/>
      <c r="M203" s="47"/>
      <c r="N203" s="47"/>
      <c r="O203" s="47"/>
      <c r="P203" s="47"/>
      <c r="Q203" s="47"/>
      <c r="R203" s="20"/>
      <c r="S203" s="50"/>
      <c r="T203" s="47"/>
      <c r="U203" s="47"/>
      <c r="V203" s="47"/>
      <c r="W203" s="47"/>
      <c r="X203" s="47"/>
      <c r="Y203" s="47"/>
      <c r="Z203" s="47"/>
      <c r="AA203" s="47"/>
      <c r="AB203" s="47"/>
      <c r="AC203" s="47"/>
      <c r="AD203" s="47"/>
      <c r="AE203" s="47"/>
      <c r="AF203" s="47"/>
      <c r="AG203" s="47"/>
      <c r="AH203" s="47"/>
      <c r="AI203" s="47"/>
    </row>
    <row r="204" spans="1:35" ht="60" customHeight="1" x14ac:dyDescent="0.2">
      <c r="A204" s="57"/>
      <c r="B204" s="47"/>
      <c r="C204" s="47"/>
      <c r="D204" s="47"/>
      <c r="E204" s="47"/>
      <c r="F204" s="47"/>
      <c r="G204" s="47"/>
      <c r="H204" s="47"/>
      <c r="I204" s="47"/>
      <c r="J204" s="47"/>
      <c r="K204" s="47"/>
      <c r="L204" s="47"/>
      <c r="M204" s="47"/>
      <c r="N204" s="47"/>
      <c r="O204" s="47"/>
      <c r="P204" s="47"/>
      <c r="Q204" s="47"/>
      <c r="R204" s="50"/>
      <c r="S204" s="47"/>
      <c r="T204" s="47"/>
      <c r="U204" s="47"/>
      <c r="V204" s="47"/>
      <c r="W204" s="47"/>
      <c r="X204" s="47"/>
      <c r="Y204" s="47"/>
      <c r="Z204" s="47"/>
      <c r="AA204" s="47"/>
      <c r="AB204" s="47"/>
      <c r="AC204" s="47"/>
      <c r="AD204" s="47"/>
      <c r="AE204" s="47"/>
      <c r="AF204" s="47"/>
      <c r="AG204" s="47"/>
      <c r="AH204" s="47"/>
      <c r="AI204" s="47"/>
    </row>
    <row r="205" spans="1:35" ht="60" customHeight="1" x14ac:dyDescent="0.2">
      <c r="A205" s="57"/>
      <c r="B205" s="47"/>
      <c r="C205" s="47"/>
      <c r="D205" s="47"/>
      <c r="E205" s="47"/>
      <c r="F205" s="47"/>
      <c r="G205" s="47"/>
      <c r="H205" s="47"/>
      <c r="I205" s="47"/>
      <c r="J205" s="47"/>
      <c r="K205" s="47"/>
      <c r="L205" s="47"/>
      <c r="M205" s="47"/>
      <c r="N205" s="47"/>
      <c r="O205" s="47"/>
      <c r="P205" s="47"/>
      <c r="Q205" s="47"/>
      <c r="R205" s="50"/>
      <c r="S205" s="47"/>
      <c r="T205" s="47"/>
      <c r="U205" s="47"/>
      <c r="V205" s="47"/>
      <c r="W205" s="47"/>
      <c r="X205" s="47"/>
      <c r="Y205" s="47"/>
      <c r="Z205" s="47"/>
      <c r="AA205" s="47"/>
      <c r="AB205" s="47"/>
      <c r="AC205" s="47"/>
      <c r="AD205" s="47"/>
      <c r="AE205" s="47"/>
      <c r="AF205" s="47"/>
      <c r="AG205" s="47"/>
      <c r="AH205" s="47"/>
      <c r="AI205" s="47"/>
    </row>
    <row r="206" spans="1:35" ht="60" customHeight="1" x14ac:dyDescent="0.2">
      <c r="A206" s="57"/>
      <c r="B206" s="47"/>
      <c r="C206" s="47"/>
      <c r="D206" s="47"/>
      <c r="E206" s="47"/>
      <c r="F206" s="47"/>
      <c r="G206" s="47"/>
      <c r="H206" s="47"/>
      <c r="I206" s="47"/>
      <c r="J206" s="47"/>
      <c r="K206" s="47"/>
      <c r="L206" s="47"/>
      <c r="M206" s="47"/>
      <c r="N206" s="47"/>
      <c r="O206" s="47"/>
      <c r="P206" s="47"/>
      <c r="Q206" s="47"/>
      <c r="R206" s="50"/>
      <c r="S206" s="47"/>
      <c r="T206" s="47"/>
      <c r="U206" s="47"/>
      <c r="V206" s="47"/>
      <c r="W206" s="47"/>
      <c r="X206" s="47"/>
      <c r="Y206" s="47"/>
      <c r="Z206" s="47"/>
      <c r="AA206" s="47"/>
      <c r="AB206" s="47"/>
      <c r="AC206" s="47"/>
      <c r="AD206" s="47"/>
      <c r="AE206" s="47"/>
      <c r="AF206" s="47"/>
      <c r="AG206" s="47"/>
      <c r="AH206" s="47"/>
      <c r="AI206" s="47"/>
    </row>
    <row r="207" spans="1:35" ht="60" customHeight="1" x14ac:dyDescent="0.2">
      <c r="A207" s="57"/>
      <c r="B207" s="47"/>
      <c r="C207" s="47"/>
      <c r="D207" s="47"/>
      <c r="E207" s="47"/>
      <c r="F207" s="47"/>
      <c r="G207" s="47"/>
      <c r="H207" s="47"/>
      <c r="I207" s="47"/>
      <c r="J207" s="47"/>
      <c r="K207" s="47"/>
      <c r="L207" s="47"/>
      <c r="M207" s="47"/>
      <c r="N207" s="47"/>
      <c r="O207" s="47"/>
      <c r="P207" s="47"/>
      <c r="Q207" s="47"/>
      <c r="R207" s="50"/>
      <c r="S207" s="47"/>
      <c r="T207" s="47"/>
      <c r="U207" s="47"/>
      <c r="V207" s="47"/>
      <c r="W207" s="47"/>
      <c r="X207" s="47"/>
      <c r="Y207" s="47"/>
      <c r="Z207" s="47"/>
      <c r="AA207" s="47"/>
      <c r="AB207" s="47"/>
      <c r="AC207" s="47"/>
      <c r="AD207" s="47"/>
      <c r="AE207" s="47"/>
      <c r="AF207" s="47"/>
      <c r="AG207" s="47"/>
      <c r="AH207" s="47"/>
      <c r="AI207" s="47"/>
    </row>
    <row r="208" spans="1:35" ht="60" customHeight="1" x14ac:dyDescent="0.2">
      <c r="A208" s="57"/>
      <c r="B208" s="47"/>
      <c r="C208" s="47"/>
      <c r="D208" s="47"/>
      <c r="E208" s="47"/>
      <c r="F208" s="47"/>
      <c r="G208" s="47"/>
      <c r="H208" s="47"/>
      <c r="I208" s="47"/>
      <c r="J208" s="47"/>
      <c r="K208" s="47"/>
      <c r="L208" s="47"/>
      <c r="M208" s="47"/>
      <c r="N208" s="47"/>
      <c r="O208" s="47"/>
      <c r="P208" s="47"/>
      <c r="Q208" s="47"/>
      <c r="R208" s="50"/>
      <c r="S208" s="50"/>
      <c r="T208" s="47"/>
      <c r="U208" s="47"/>
      <c r="V208" s="47"/>
      <c r="W208" s="47"/>
      <c r="X208" s="47"/>
      <c r="Y208" s="47"/>
      <c r="Z208" s="47"/>
      <c r="AA208" s="47"/>
      <c r="AB208" s="47"/>
      <c r="AC208" s="47"/>
      <c r="AD208" s="47"/>
      <c r="AE208" s="47"/>
      <c r="AF208" s="47"/>
      <c r="AG208" s="47"/>
      <c r="AH208" s="47"/>
      <c r="AI208" s="47"/>
    </row>
    <row r="209" spans="1:35" ht="60" customHeight="1" x14ac:dyDescent="0.2">
      <c r="A209" s="57"/>
      <c r="B209" s="47"/>
      <c r="C209" s="47"/>
      <c r="D209" s="47"/>
      <c r="E209" s="47"/>
      <c r="F209" s="47"/>
      <c r="G209" s="47"/>
      <c r="H209" s="47"/>
      <c r="I209" s="47"/>
      <c r="J209" s="47"/>
      <c r="K209" s="47"/>
      <c r="L209" s="47"/>
      <c r="M209" s="47"/>
      <c r="N209" s="47"/>
      <c r="O209" s="47"/>
      <c r="P209" s="47"/>
      <c r="Q209" s="47"/>
      <c r="R209" s="50"/>
      <c r="S209" s="50"/>
      <c r="T209" s="47"/>
      <c r="U209" s="47"/>
      <c r="V209" s="47"/>
      <c r="W209" s="47"/>
      <c r="X209" s="47"/>
      <c r="Y209" s="47"/>
      <c r="Z209" s="47"/>
      <c r="AA209" s="47"/>
      <c r="AB209" s="47"/>
      <c r="AC209" s="47"/>
      <c r="AD209" s="47"/>
      <c r="AE209" s="47"/>
      <c r="AF209" s="47"/>
      <c r="AG209" s="47"/>
      <c r="AH209" s="47"/>
      <c r="AI209" s="47"/>
    </row>
    <row r="210" spans="1:35" ht="60" customHeight="1" x14ac:dyDescent="0.2">
      <c r="A210" s="57"/>
      <c r="B210" s="47"/>
      <c r="C210" s="47"/>
      <c r="D210" s="47"/>
      <c r="E210" s="47"/>
      <c r="F210" s="47"/>
      <c r="G210" s="47"/>
      <c r="H210" s="47"/>
      <c r="I210" s="47"/>
      <c r="J210" s="47"/>
      <c r="K210" s="47"/>
      <c r="L210" s="47"/>
      <c r="M210" s="47"/>
      <c r="N210" s="47"/>
      <c r="O210" s="47"/>
      <c r="P210" s="47"/>
      <c r="Q210" s="47"/>
      <c r="R210" s="50"/>
      <c r="S210" s="47"/>
      <c r="T210" s="47"/>
      <c r="U210" s="47"/>
      <c r="V210" s="47"/>
      <c r="W210" s="47"/>
      <c r="X210" s="47"/>
      <c r="Y210" s="47"/>
      <c r="Z210" s="47"/>
      <c r="AA210" s="47"/>
      <c r="AB210" s="47"/>
      <c r="AC210" s="47"/>
      <c r="AD210" s="47"/>
      <c r="AE210" s="47"/>
      <c r="AF210" s="47"/>
      <c r="AG210" s="47"/>
      <c r="AH210" s="47"/>
      <c r="AI210" s="47"/>
    </row>
    <row r="211" spans="1:35" ht="60" customHeight="1" x14ac:dyDescent="0.2">
      <c r="A211" s="57"/>
      <c r="B211" s="47"/>
      <c r="C211" s="47"/>
      <c r="D211" s="47"/>
      <c r="E211" s="47"/>
      <c r="F211" s="47"/>
      <c r="G211" s="47"/>
      <c r="H211" s="47"/>
      <c r="I211" s="47"/>
      <c r="J211" s="47"/>
      <c r="K211" s="47"/>
      <c r="L211" s="47"/>
      <c r="M211" s="47"/>
      <c r="N211" s="47"/>
      <c r="O211" s="47"/>
      <c r="P211" s="67"/>
      <c r="Q211" s="47"/>
      <c r="R211" s="50"/>
      <c r="S211" s="50"/>
      <c r="T211" s="47"/>
      <c r="U211" s="47"/>
      <c r="V211" s="47"/>
      <c r="W211" s="47"/>
      <c r="X211" s="47"/>
      <c r="Y211" s="47"/>
      <c r="Z211" s="47"/>
      <c r="AA211" s="47"/>
      <c r="AB211" s="47"/>
      <c r="AC211" s="47"/>
      <c r="AD211" s="47"/>
      <c r="AE211" s="47"/>
      <c r="AF211" s="47"/>
      <c r="AG211" s="47"/>
      <c r="AH211" s="47"/>
      <c r="AI211" s="47"/>
    </row>
    <row r="212" spans="1:35" ht="60" customHeight="1" x14ac:dyDescent="0.2">
      <c r="A212" s="57"/>
      <c r="B212" s="47"/>
      <c r="C212" s="47"/>
      <c r="D212" s="47"/>
      <c r="E212" s="47"/>
      <c r="F212" s="47"/>
      <c r="G212" s="47"/>
      <c r="H212" s="47"/>
      <c r="I212" s="47"/>
      <c r="J212" s="47"/>
      <c r="K212" s="47"/>
      <c r="L212" s="47"/>
      <c r="M212" s="47"/>
      <c r="N212" s="47"/>
      <c r="O212" s="47"/>
      <c r="P212" s="47"/>
      <c r="Q212" s="47"/>
      <c r="R212" s="50"/>
      <c r="S212" s="50"/>
      <c r="T212" s="47"/>
      <c r="U212" s="47"/>
      <c r="V212" s="47"/>
      <c r="W212" s="47"/>
      <c r="X212" s="47"/>
      <c r="Y212" s="47"/>
      <c r="Z212" s="47"/>
      <c r="AA212" s="47"/>
      <c r="AB212" s="47"/>
      <c r="AC212" s="47"/>
      <c r="AD212" s="47"/>
      <c r="AE212" s="47"/>
      <c r="AF212" s="47"/>
      <c r="AG212" s="47"/>
      <c r="AH212" s="47"/>
      <c r="AI212" s="47"/>
    </row>
    <row r="213" spans="1:35" ht="60" customHeight="1" x14ac:dyDescent="0.2">
      <c r="A213" s="57"/>
      <c r="B213" s="47"/>
      <c r="C213" s="47"/>
      <c r="D213" s="47"/>
      <c r="E213" s="47"/>
      <c r="F213" s="47"/>
      <c r="G213" s="47"/>
      <c r="H213" s="47"/>
      <c r="I213" s="47"/>
      <c r="J213" s="47"/>
      <c r="K213" s="47"/>
      <c r="L213" s="47"/>
      <c r="M213" s="47"/>
      <c r="N213" s="47"/>
      <c r="O213" s="47"/>
      <c r="P213" s="47"/>
      <c r="Q213" s="47"/>
      <c r="R213" s="50"/>
      <c r="S213" s="50"/>
      <c r="T213" s="47"/>
      <c r="U213" s="47"/>
      <c r="V213" s="47"/>
      <c r="W213" s="47"/>
      <c r="X213" s="47"/>
      <c r="Y213" s="47"/>
      <c r="Z213" s="47"/>
      <c r="AA213" s="47"/>
      <c r="AB213" s="47"/>
      <c r="AC213" s="47"/>
      <c r="AD213" s="47"/>
      <c r="AE213" s="47"/>
      <c r="AF213" s="47"/>
      <c r="AG213" s="47"/>
      <c r="AH213" s="47"/>
      <c r="AI213" s="47"/>
    </row>
    <row r="214" spans="1:35" ht="60" customHeight="1" x14ac:dyDescent="0.2">
      <c r="A214" s="57"/>
      <c r="B214" s="47"/>
      <c r="C214" s="47"/>
      <c r="D214" s="47"/>
      <c r="E214" s="47"/>
      <c r="F214" s="47"/>
      <c r="G214" s="47"/>
      <c r="H214" s="47"/>
      <c r="I214" s="47"/>
      <c r="J214" s="47"/>
      <c r="K214" s="47"/>
      <c r="L214" s="47"/>
      <c r="M214" s="47"/>
      <c r="N214" s="47"/>
      <c r="O214" s="47"/>
      <c r="P214" s="47"/>
      <c r="Q214" s="47"/>
      <c r="R214" s="50"/>
      <c r="S214" s="47"/>
      <c r="T214" s="47"/>
      <c r="U214" s="47"/>
      <c r="V214" s="47"/>
      <c r="W214" s="47"/>
      <c r="X214" s="47"/>
      <c r="Y214" s="47"/>
      <c r="Z214" s="47"/>
      <c r="AA214" s="47"/>
      <c r="AB214" s="47"/>
      <c r="AC214" s="47"/>
      <c r="AD214" s="47"/>
      <c r="AE214" s="47"/>
      <c r="AF214" s="47"/>
      <c r="AG214" s="47"/>
      <c r="AH214" s="47"/>
      <c r="AI214" s="47"/>
    </row>
    <row r="215" spans="1:35" ht="60" customHeight="1" x14ac:dyDescent="0.2">
      <c r="A215" s="57"/>
      <c r="B215" s="47"/>
      <c r="C215" s="47"/>
      <c r="D215" s="47"/>
      <c r="E215" s="47"/>
      <c r="F215" s="47"/>
      <c r="G215" s="47"/>
      <c r="H215" s="47"/>
      <c r="I215" s="47"/>
      <c r="J215" s="47"/>
      <c r="K215" s="47"/>
      <c r="L215" s="47"/>
      <c r="M215" s="47"/>
      <c r="N215" s="47"/>
      <c r="O215" s="47"/>
      <c r="P215" s="47"/>
      <c r="Q215" s="47"/>
      <c r="R215" s="50"/>
      <c r="S215" s="50"/>
      <c r="T215" s="50"/>
      <c r="U215" s="47"/>
      <c r="V215" s="47"/>
      <c r="W215" s="47"/>
      <c r="X215" s="47"/>
      <c r="Y215" s="47"/>
      <c r="Z215" s="47"/>
      <c r="AA215" s="47"/>
      <c r="AB215" s="47"/>
      <c r="AC215" s="47"/>
      <c r="AD215" s="47"/>
      <c r="AE215" s="47"/>
      <c r="AF215" s="47"/>
      <c r="AG215" s="47"/>
      <c r="AH215" s="47"/>
      <c r="AI215" s="47"/>
    </row>
    <row r="216" spans="1:35" ht="60" customHeight="1" x14ac:dyDescent="0.2">
      <c r="A216" s="57"/>
      <c r="B216" s="47"/>
      <c r="C216" s="47"/>
      <c r="D216" s="47"/>
      <c r="E216" s="47"/>
      <c r="F216" s="47"/>
      <c r="G216" s="47"/>
      <c r="H216" s="47"/>
      <c r="I216" s="47"/>
      <c r="J216" s="47"/>
      <c r="K216" s="47"/>
      <c r="L216" s="47"/>
      <c r="M216" s="47"/>
      <c r="N216" s="47"/>
      <c r="O216" s="47"/>
      <c r="P216" s="67"/>
      <c r="Q216" s="47"/>
      <c r="R216" s="20"/>
      <c r="S216" s="47"/>
      <c r="T216" s="47"/>
      <c r="U216" s="47"/>
      <c r="V216" s="47"/>
      <c r="W216" s="47"/>
      <c r="X216" s="47"/>
      <c r="Y216" s="47"/>
      <c r="Z216" s="47"/>
      <c r="AA216" s="47"/>
      <c r="AB216" s="47"/>
      <c r="AC216" s="47"/>
      <c r="AD216" s="47"/>
      <c r="AE216" s="47"/>
      <c r="AF216" s="47"/>
      <c r="AG216" s="47"/>
      <c r="AH216" s="47"/>
      <c r="AI216" s="47"/>
    </row>
    <row r="217" spans="1:35" ht="60" customHeight="1" x14ac:dyDescent="0.2">
      <c r="A217" s="57"/>
      <c r="B217" s="47"/>
      <c r="C217" s="47"/>
      <c r="D217" s="47"/>
      <c r="E217" s="47"/>
      <c r="F217" s="47"/>
      <c r="G217" s="47"/>
      <c r="H217" s="47"/>
      <c r="I217" s="47"/>
      <c r="J217" s="47"/>
      <c r="K217" s="47"/>
      <c r="L217" s="47"/>
      <c r="M217" s="47"/>
      <c r="N217" s="47"/>
      <c r="O217" s="47"/>
      <c r="P217" s="47"/>
      <c r="Q217" s="47"/>
      <c r="R217" s="50"/>
      <c r="S217" s="47"/>
      <c r="T217" s="47"/>
      <c r="U217" s="47"/>
      <c r="V217" s="47"/>
      <c r="W217" s="47"/>
      <c r="X217" s="47"/>
      <c r="Y217" s="47"/>
      <c r="Z217" s="47"/>
      <c r="AA217" s="47"/>
      <c r="AB217" s="47"/>
      <c r="AC217" s="47"/>
      <c r="AD217" s="47"/>
      <c r="AE217" s="47"/>
      <c r="AF217" s="47"/>
      <c r="AG217" s="47"/>
      <c r="AH217" s="47"/>
      <c r="AI217" s="47"/>
    </row>
    <row r="218" spans="1:35" ht="60" customHeight="1" x14ac:dyDescent="0.2">
      <c r="A218" s="57"/>
      <c r="B218" s="47"/>
      <c r="C218" s="47"/>
      <c r="D218" s="47"/>
      <c r="E218" s="47"/>
      <c r="F218" s="47"/>
      <c r="G218" s="47"/>
      <c r="H218" s="47"/>
      <c r="I218" s="47"/>
      <c r="J218" s="47"/>
      <c r="K218" s="47"/>
      <c r="L218" s="47"/>
      <c r="M218" s="47"/>
      <c r="N218" s="47"/>
      <c r="O218" s="47"/>
      <c r="P218" s="47"/>
      <c r="Q218" s="47"/>
      <c r="R218" s="50"/>
      <c r="S218" s="47"/>
      <c r="T218" s="47"/>
      <c r="U218" s="47"/>
      <c r="V218" s="47"/>
      <c r="W218" s="47"/>
      <c r="X218" s="47"/>
      <c r="Y218" s="47"/>
      <c r="Z218" s="47"/>
      <c r="AA218" s="47"/>
      <c r="AB218" s="47"/>
      <c r="AC218" s="47"/>
      <c r="AD218" s="47"/>
      <c r="AE218" s="47"/>
      <c r="AF218" s="47"/>
      <c r="AG218" s="47"/>
      <c r="AH218" s="47"/>
      <c r="AI218" s="47"/>
    </row>
    <row r="219" spans="1:35" ht="60" customHeight="1" x14ac:dyDescent="0.2">
      <c r="A219" s="57"/>
      <c r="B219" s="47"/>
      <c r="C219" s="47"/>
      <c r="D219" s="47"/>
      <c r="E219" s="47"/>
      <c r="F219" s="47"/>
      <c r="G219" s="47"/>
      <c r="H219" s="47"/>
      <c r="I219" s="47"/>
      <c r="J219" s="47"/>
      <c r="K219" s="47"/>
      <c r="L219" s="47"/>
      <c r="M219" s="47"/>
      <c r="N219" s="47"/>
      <c r="O219" s="47"/>
      <c r="P219" s="47"/>
      <c r="Q219" s="47"/>
      <c r="R219" s="50"/>
      <c r="S219" s="47"/>
      <c r="T219" s="47"/>
      <c r="U219" s="47"/>
      <c r="V219" s="47"/>
      <c r="W219" s="47"/>
      <c r="X219" s="47"/>
      <c r="Y219" s="47"/>
      <c r="Z219" s="47"/>
      <c r="AA219" s="47"/>
      <c r="AB219" s="47"/>
      <c r="AC219" s="47"/>
      <c r="AD219" s="47"/>
      <c r="AE219" s="47"/>
      <c r="AF219" s="47"/>
      <c r="AG219" s="47"/>
      <c r="AH219" s="47"/>
      <c r="AI219" s="47"/>
    </row>
    <row r="220" spans="1:35" ht="60" customHeight="1" x14ac:dyDescent="0.2">
      <c r="A220" s="57"/>
      <c r="B220" s="47"/>
      <c r="C220" s="63"/>
      <c r="D220" s="63"/>
      <c r="E220" s="47"/>
      <c r="F220" s="47"/>
      <c r="G220" s="47"/>
      <c r="H220" s="47"/>
      <c r="I220" s="47"/>
      <c r="J220" s="47"/>
      <c r="K220" s="47"/>
      <c r="L220" s="47"/>
      <c r="M220" s="47"/>
      <c r="N220" s="47"/>
      <c r="O220" s="47"/>
      <c r="P220" s="47"/>
      <c r="Q220" s="47"/>
      <c r="R220" s="50"/>
      <c r="S220" s="47"/>
      <c r="T220" s="47"/>
      <c r="U220" s="47"/>
      <c r="V220" s="47"/>
      <c r="W220" s="47"/>
      <c r="X220" s="47"/>
      <c r="Y220" s="47"/>
      <c r="Z220" s="47"/>
      <c r="AA220" s="47"/>
      <c r="AB220" s="47"/>
      <c r="AC220" s="47"/>
      <c r="AD220" s="47"/>
      <c r="AE220" s="47"/>
      <c r="AF220" s="47"/>
      <c r="AG220" s="47"/>
      <c r="AH220" s="47"/>
      <c r="AI220" s="47"/>
    </row>
    <row r="221" spans="1:35" ht="15.75" customHeight="1" x14ac:dyDescent="0.2">
      <c r="A221" s="41"/>
      <c r="B221" s="41"/>
      <c r="C221" s="41"/>
      <c r="D221" s="72"/>
      <c r="E221" s="41"/>
      <c r="F221" s="41"/>
      <c r="G221" s="41"/>
      <c r="H221" s="41"/>
      <c r="I221" s="41"/>
      <c r="J221" s="41"/>
      <c r="K221" s="41"/>
      <c r="L221" s="41"/>
      <c r="M221" s="41"/>
      <c r="N221" s="41"/>
      <c r="O221" s="41"/>
      <c r="P221" s="41"/>
      <c r="Q221" s="41"/>
      <c r="R221" s="41"/>
      <c r="S221" s="41"/>
      <c r="T221" s="41"/>
      <c r="U221" s="41"/>
      <c r="V221" s="41"/>
      <c r="W221" s="41"/>
      <c r="X221" s="41"/>
      <c r="Y221" s="41"/>
      <c r="Z221" s="41"/>
      <c r="AA221" s="41"/>
      <c r="AB221" s="41"/>
      <c r="AC221" s="41"/>
      <c r="AD221" s="41"/>
      <c r="AE221" s="41"/>
      <c r="AF221" s="41"/>
      <c r="AG221" s="41"/>
      <c r="AH221" s="41"/>
      <c r="AI221" s="41"/>
    </row>
    <row r="222" spans="1:35" ht="15.75" customHeight="1" x14ac:dyDescent="0.2">
      <c r="A222" s="41"/>
      <c r="B222" s="41"/>
      <c r="C222" s="41"/>
      <c r="D222" s="72"/>
      <c r="E222" s="41"/>
      <c r="F222" s="41"/>
      <c r="G222" s="41"/>
      <c r="H222" s="41"/>
      <c r="I222" s="41"/>
      <c r="J222" s="41"/>
      <c r="K222" s="41"/>
      <c r="L222" s="41"/>
      <c r="M222" s="41"/>
      <c r="N222" s="41"/>
      <c r="O222" s="41"/>
      <c r="P222" s="41"/>
      <c r="Q222" s="41"/>
      <c r="R222" s="41"/>
      <c r="S222" s="41"/>
      <c r="T222" s="41"/>
      <c r="U222" s="41"/>
      <c r="V222" s="41"/>
      <c r="W222" s="41"/>
      <c r="X222" s="41"/>
      <c r="Y222" s="41"/>
      <c r="Z222" s="41"/>
      <c r="AA222" s="41"/>
      <c r="AB222" s="41"/>
      <c r="AC222" s="41"/>
      <c r="AD222" s="41"/>
      <c r="AE222" s="41"/>
      <c r="AF222" s="41"/>
      <c r="AG222" s="41"/>
      <c r="AH222" s="41"/>
      <c r="AI222" s="41"/>
    </row>
    <row r="223" spans="1:35" ht="15.75" customHeight="1" x14ac:dyDescent="0.2">
      <c r="A223" s="41"/>
      <c r="B223" s="41"/>
      <c r="C223" s="41"/>
      <c r="D223" s="72"/>
      <c r="E223" s="41"/>
      <c r="F223" s="41"/>
      <c r="G223" s="41"/>
      <c r="H223" s="41"/>
      <c r="I223" s="41"/>
      <c r="J223" s="41"/>
      <c r="K223" s="41"/>
      <c r="L223" s="41"/>
      <c r="M223" s="41"/>
      <c r="N223" s="41"/>
      <c r="O223" s="41"/>
      <c r="P223" s="41"/>
      <c r="Q223" s="41"/>
      <c r="R223" s="41"/>
      <c r="S223" s="41"/>
      <c r="T223" s="41"/>
      <c r="U223" s="41"/>
      <c r="V223" s="41"/>
      <c r="W223" s="41"/>
      <c r="X223" s="41"/>
      <c r="Y223" s="41"/>
      <c r="Z223" s="41"/>
      <c r="AA223" s="41"/>
      <c r="AB223" s="41"/>
      <c r="AC223" s="41"/>
      <c r="AD223" s="41"/>
      <c r="AE223" s="41"/>
      <c r="AF223" s="41"/>
      <c r="AG223" s="41"/>
      <c r="AH223" s="41"/>
      <c r="AI223" s="41"/>
    </row>
    <row r="224" spans="1:35" ht="15.75" customHeight="1" x14ac:dyDescent="0.2">
      <c r="A224" s="41"/>
      <c r="B224" s="41"/>
      <c r="C224" s="41"/>
      <c r="D224" s="72"/>
      <c r="E224" s="41"/>
      <c r="F224" s="41"/>
      <c r="G224" s="41"/>
      <c r="H224" s="41"/>
      <c r="I224" s="41"/>
      <c r="J224" s="41"/>
      <c r="K224" s="41"/>
      <c r="L224" s="41"/>
      <c r="M224" s="41"/>
      <c r="N224" s="41"/>
      <c r="O224" s="41"/>
      <c r="P224" s="41"/>
      <c r="Q224" s="41"/>
      <c r="R224" s="41"/>
      <c r="S224" s="41"/>
      <c r="T224" s="41"/>
      <c r="U224" s="41"/>
      <c r="V224" s="41"/>
      <c r="W224" s="41"/>
      <c r="X224" s="41"/>
      <c r="Y224" s="41"/>
      <c r="Z224" s="41"/>
      <c r="AA224" s="41"/>
      <c r="AB224" s="41"/>
      <c r="AC224" s="41"/>
      <c r="AD224" s="41"/>
      <c r="AE224" s="41"/>
      <c r="AF224" s="41"/>
      <c r="AG224" s="41"/>
      <c r="AH224" s="41"/>
      <c r="AI224" s="41"/>
    </row>
    <row r="225" spans="1:35" ht="15.75" customHeight="1" x14ac:dyDescent="0.2">
      <c r="A225" s="41"/>
      <c r="B225" s="41"/>
      <c r="C225" s="41"/>
      <c r="D225" s="72"/>
      <c r="E225" s="41"/>
      <c r="F225" s="41"/>
      <c r="G225" s="41"/>
      <c r="H225" s="41"/>
      <c r="I225" s="41"/>
      <c r="J225" s="41"/>
      <c r="K225" s="41"/>
      <c r="L225" s="41"/>
      <c r="M225" s="41"/>
      <c r="N225" s="41"/>
      <c r="O225" s="41"/>
      <c r="P225" s="41"/>
      <c r="Q225" s="41"/>
      <c r="R225" s="41"/>
      <c r="S225" s="41"/>
      <c r="T225" s="41"/>
      <c r="U225" s="41"/>
      <c r="V225" s="41"/>
      <c r="W225" s="41"/>
      <c r="X225" s="41"/>
      <c r="Y225" s="41"/>
      <c r="Z225" s="41"/>
      <c r="AA225" s="41"/>
      <c r="AB225" s="41"/>
      <c r="AC225" s="41"/>
      <c r="AD225" s="41"/>
      <c r="AE225" s="41"/>
      <c r="AF225" s="41"/>
      <c r="AG225" s="41"/>
      <c r="AH225" s="41"/>
      <c r="AI225" s="41"/>
    </row>
    <row r="226" spans="1:35" ht="15.75" customHeight="1" x14ac:dyDescent="0.2">
      <c r="A226" s="41"/>
      <c r="B226" s="41"/>
      <c r="C226" s="41"/>
      <c r="D226" s="72"/>
      <c r="E226" s="41"/>
      <c r="F226" s="41"/>
      <c r="G226" s="41"/>
      <c r="H226" s="41"/>
      <c r="I226" s="41"/>
      <c r="J226" s="41"/>
      <c r="K226" s="41"/>
      <c r="L226" s="41"/>
      <c r="M226" s="41"/>
      <c r="N226" s="41"/>
      <c r="O226" s="41"/>
      <c r="P226" s="41"/>
      <c r="Q226" s="41"/>
      <c r="R226" s="41"/>
      <c r="S226" s="41"/>
      <c r="T226" s="41"/>
      <c r="U226" s="41"/>
      <c r="V226" s="41"/>
      <c r="W226" s="41"/>
      <c r="X226" s="41"/>
      <c r="Y226" s="41"/>
      <c r="Z226" s="41"/>
      <c r="AA226" s="41"/>
      <c r="AB226" s="41"/>
      <c r="AC226" s="41"/>
      <c r="AD226" s="41"/>
      <c r="AE226" s="41"/>
      <c r="AF226" s="41"/>
      <c r="AG226" s="41"/>
      <c r="AH226" s="41"/>
      <c r="AI226" s="41"/>
    </row>
    <row r="227" spans="1:35" ht="15.75" customHeight="1" x14ac:dyDescent="0.2">
      <c r="A227" s="41"/>
      <c r="B227" s="41"/>
      <c r="C227" s="41"/>
      <c r="D227" s="72"/>
      <c r="E227" s="41"/>
      <c r="F227" s="41"/>
      <c r="G227" s="41"/>
      <c r="H227" s="41"/>
      <c r="I227" s="41"/>
      <c r="J227" s="41"/>
      <c r="K227" s="41"/>
      <c r="L227" s="41"/>
      <c r="M227" s="41"/>
      <c r="N227" s="41"/>
      <c r="O227" s="41"/>
      <c r="P227" s="41"/>
      <c r="Q227" s="41"/>
      <c r="R227" s="41"/>
      <c r="S227" s="41"/>
      <c r="T227" s="41"/>
      <c r="U227" s="41"/>
      <c r="V227" s="41"/>
      <c r="W227" s="41"/>
      <c r="X227" s="41"/>
      <c r="Y227" s="41"/>
      <c r="Z227" s="41"/>
      <c r="AA227" s="41"/>
      <c r="AB227" s="41"/>
      <c r="AC227" s="41"/>
      <c r="AD227" s="41"/>
      <c r="AE227" s="41"/>
      <c r="AF227" s="41"/>
      <c r="AG227" s="41"/>
      <c r="AH227" s="41"/>
      <c r="AI227" s="41"/>
    </row>
    <row r="228" spans="1:35" ht="15.75" customHeight="1" x14ac:dyDescent="0.2">
      <c r="A228" s="41"/>
      <c r="B228" s="41"/>
      <c r="C228" s="41"/>
      <c r="D228" s="72"/>
      <c r="E228" s="41"/>
      <c r="F228" s="41"/>
      <c r="G228" s="41"/>
      <c r="H228" s="41"/>
      <c r="I228" s="41"/>
      <c r="J228" s="41"/>
      <c r="K228" s="41"/>
      <c r="L228" s="41"/>
      <c r="M228" s="41"/>
      <c r="N228" s="41"/>
      <c r="O228" s="41"/>
      <c r="P228" s="41"/>
      <c r="Q228" s="41"/>
      <c r="R228" s="41"/>
      <c r="S228" s="41"/>
      <c r="T228" s="41"/>
      <c r="U228" s="41"/>
      <c r="V228" s="41"/>
      <c r="W228" s="41"/>
      <c r="X228" s="41"/>
      <c r="Y228" s="41"/>
      <c r="Z228" s="41"/>
      <c r="AA228" s="41"/>
      <c r="AB228" s="41"/>
      <c r="AC228" s="41"/>
      <c r="AD228" s="41"/>
      <c r="AE228" s="41"/>
      <c r="AF228" s="41"/>
      <c r="AG228" s="41"/>
      <c r="AH228" s="41"/>
      <c r="AI228" s="41"/>
    </row>
    <row r="229" spans="1:35" ht="15.75" customHeight="1" x14ac:dyDescent="0.2">
      <c r="A229" s="41"/>
      <c r="B229" s="41"/>
      <c r="C229" s="41"/>
      <c r="D229" s="72"/>
      <c r="E229" s="41"/>
      <c r="F229" s="41"/>
      <c r="G229" s="41"/>
      <c r="H229" s="41"/>
      <c r="I229" s="41"/>
      <c r="J229" s="41"/>
      <c r="K229" s="41"/>
      <c r="L229" s="41"/>
      <c r="M229" s="41"/>
      <c r="N229" s="41"/>
      <c r="O229" s="41"/>
      <c r="P229" s="41"/>
      <c r="Q229" s="41"/>
      <c r="R229" s="41"/>
      <c r="S229" s="41"/>
      <c r="T229" s="41"/>
      <c r="U229" s="41"/>
      <c r="V229" s="41"/>
      <c r="W229" s="41"/>
      <c r="X229" s="41"/>
      <c r="Y229" s="41"/>
      <c r="Z229" s="41"/>
      <c r="AA229" s="41"/>
      <c r="AB229" s="41"/>
      <c r="AC229" s="41"/>
      <c r="AD229" s="41"/>
      <c r="AE229" s="41"/>
      <c r="AF229" s="41"/>
      <c r="AG229" s="41"/>
      <c r="AH229" s="41"/>
      <c r="AI229" s="41"/>
    </row>
    <row r="230" spans="1:35" ht="15.75" customHeight="1" x14ac:dyDescent="0.2">
      <c r="A230" s="41"/>
      <c r="B230" s="41"/>
      <c r="C230" s="41"/>
      <c r="D230" s="72"/>
      <c r="E230" s="41"/>
      <c r="F230" s="41"/>
      <c r="G230" s="41"/>
      <c r="H230" s="41"/>
      <c r="I230" s="41"/>
      <c r="J230" s="41"/>
      <c r="K230" s="41"/>
      <c r="L230" s="41"/>
      <c r="M230" s="41"/>
      <c r="N230" s="41"/>
      <c r="O230" s="41"/>
      <c r="P230" s="41"/>
      <c r="Q230" s="41"/>
      <c r="R230" s="41"/>
      <c r="S230" s="41"/>
      <c r="T230" s="41"/>
      <c r="U230" s="41"/>
      <c r="V230" s="41"/>
      <c r="W230" s="41"/>
      <c r="X230" s="41"/>
      <c r="Y230" s="41"/>
      <c r="Z230" s="41"/>
      <c r="AA230" s="41"/>
      <c r="AB230" s="41"/>
      <c r="AC230" s="41"/>
      <c r="AD230" s="41"/>
      <c r="AE230" s="41"/>
      <c r="AF230" s="41"/>
      <c r="AG230" s="41"/>
      <c r="AH230" s="41"/>
      <c r="AI230" s="41"/>
    </row>
    <row r="231" spans="1:35" ht="15.75" customHeight="1" x14ac:dyDescent="0.2">
      <c r="A231" s="41"/>
      <c r="B231" s="41"/>
      <c r="C231" s="41"/>
      <c r="D231" s="72"/>
      <c r="E231" s="41"/>
      <c r="F231" s="41"/>
      <c r="G231" s="41"/>
      <c r="H231" s="41"/>
      <c r="I231" s="41"/>
      <c r="J231" s="41"/>
      <c r="K231" s="41"/>
      <c r="L231" s="41"/>
      <c r="M231" s="41"/>
      <c r="N231" s="41"/>
      <c r="O231" s="41"/>
      <c r="P231" s="41"/>
      <c r="Q231" s="41"/>
      <c r="R231" s="41"/>
      <c r="S231" s="41"/>
      <c r="T231" s="41"/>
      <c r="U231" s="41"/>
      <c r="V231" s="41"/>
      <c r="W231" s="41"/>
      <c r="X231" s="41"/>
      <c r="Y231" s="41"/>
      <c r="Z231" s="41"/>
      <c r="AA231" s="41"/>
      <c r="AB231" s="41"/>
      <c r="AC231" s="41"/>
      <c r="AD231" s="41"/>
      <c r="AE231" s="41"/>
      <c r="AF231" s="41"/>
      <c r="AG231" s="41"/>
      <c r="AH231" s="41"/>
      <c r="AI231" s="41"/>
    </row>
    <row r="232" spans="1:35" ht="15.75" customHeight="1" x14ac:dyDescent="0.2">
      <c r="A232" s="41"/>
      <c r="B232" s="41"/>
      <c r="C232" s="41"/>
      <c r="D232" s="72"/>
      <c r="E232" s="41"/>
      <c r="F232" s="41"/>
      <c r="G232" s="41"/>
      <c r="H232" s="41"/>
      <c r="I232" s="41"/>
      <c r="J232" s="41"/>
      <c r="K232" s="41"/>
      <c r="L232" s="41"/>
      <c r="M232" s="41"/>
      <c r="N232" s="41"/>
      <c r="O232" s="41"/>
      <c r="P232" s="41"/>
      <c r="Q232" s="41"/>
      <c r="R232" s="41"/>
      <c r="S232" s="41"/>
      <c r="T232" s="41"/>
      <c r="U232" s="41"/>
      <c r="V232" s="41"/>
      <c r="W232" s="41"/>
      <c r="X232" s="41"/>
      <c r="Y232" s="41"/>
      <c r="Z232" s="41"/>
      <c r="AA232" s="41"/>
      <c r="AB232" s="41"/>
      <c r="AC232" s="41"/>
      <c r="AD232" s="41"/>
      <c r="AE232" s="41"/>
      <c r="AF232" s="41"/>
      <c r="AG232" s="41"/>
      <c r="AH232" s="41"/>
      <c r="AI232" s="41"/>
    </row>
    <row r="233" spans="1:35" ht="15.75" customHeight="1" x14ac:dyDescent="0.2">
      <c r="A233" s="41"/>
      <c r="B233" s="41"/>
      <c r="C233" s="41"/>
      <c r="D233" s="72"/>
      <c r="E233" s="41"/>
      <c r="F233" s="41"/>
      <c r="G233" s="41"/>
      <c r="H233" s="41"/>
      <c r="I233" s="41"/>
      <c r="J233" s="41"/>
      <c r="K233" s="41"/>
      <c r="L233" s="41"/>
      <c r="M233" s="41"/>
      <c r="N233" s="41"/>
      <c r="O233" s="41"/>
      <c r="P233" s="41"/>
      <c r="Q233" s="41"/>
      <c r="R233" s="41"/>
      <c r="S233" s="41"/>
      <c r="T233" s="41"/>
      <c r="U233" s="41"/>
      <c r="V233" s="41"/>
      <c r="W233" s="41"/>
      <c r="X233" s="41"/>
      <c r="Y233" s="41"/>
      <c r="Z233" s="41"/>
      <c r="AA233" s="41"/>
      <c r="AB233" s="41"/>
      <c r="AC233" s="41"/>
      <c r="AD233" s="41"/>
      <c r="AE233" s="41"/>
      <c r="AF233" s="41"/>
      <c r="AG233" s="41"/>
      <c r="AH233" s="41"/>
      <c r="AI233" s="41"/>
    </row>
    <row r="234" spans="1:35" ht="15.75" customHeight="1" x14ac:dyDescent="0.2">
      <c r="A234" s="41"/>
      <c r="B234" s="41"/>
      <c r="C234" s="41"/>
      <c r="D234" s="72"/>
      <c r="E234" s="41"/>
      <c r="F234" s="41"/>
      <c r="G234" s="41"/>
      <c r="H234" s="41"/>
      <c r="I234" s="41"/>
      <c r="J234" s="41"/>
      <c r="K234" s="41"/>
      <c r="L234" s="41"/>
      <c r="M234" s="41"/>
      <c r="N234" s="41"/>
      <c r="O234" s="41"/>
      <c r="P234" s="41"/>
      <c r="Q234" s="41"/>
      <c r="R234" s="41"/>
      <c r="S234" s="41"/>
      <c r="T234" s="41"/>
      <c r="U234" s="41"/>
      <c r="V234" s="41"/>
      <c r="W234" s="41"/>
      <c r="X234" s="41"/>
      <c r="Y234" s="41"/>
      <c r="Z234" s="41"/>
      <c r="AA234" s="41"/>
      <c r="AB234" s="41"/>
      <c r="AC234" s="41"/>
      <c r="AD234" s="41"/>
      <c r="AE234" s="41"/>
      <c r="AF234" s="41"/>
      <c r="AG234" s="41"/>
      <c r="AH234" s="41"/>
      <c r="AI234" s="41"/>
    </row>
    <row r="235" spans="1:35" ht="15.75" customHeight="1" x14ac:dyDescent="0.2">
      <c r="A235" s="41"/>
      <c r="B235" s="41"/>
      <c r="C235" s="41"/>
      <c r="D235" s="72"/>
      <c r="E235" s="41"/>
      <c r="F235" s="41"/>
      <c r="G235" s="41"/>
      <c r="H235" s="41"/>
      <c r="I235" s="41"/>
      <c r="J235" s="41"/>
      <c r="K235" s="41"/>
      <c r="L235" s="41"/>
      <c r="M235" s="41"/>
      <c r="N235" s="41"/>
      <c r="O235" s="41"/>
      <c r="P235" s="41"/>
      <c r="Q235" s="41"/>
      <c r="R235" s="41"/>
      <c r="S235" s="41"/>
      <c r="T235" s="41"/>
      <c r="U235" s="41"/>
      <c r="V235" s="41"/>
      <c r="W235" s="41"/>
      <c r="X235" s="41"/>
      <c r="Y235" s="41"/>
      <c r="Z235" s="41"/>
      <c r="AA235" s="41"/>
      <c r="AB235" s="41"/>
      <c r="AC235" s="41"/>
      <c r="AD235" s="41"/>
      <c r="AE235" s="41"/>
      <c r="AF235" s="41"/>
      <c r="AG235" s="41"/>
      <c r="AH235" s="41"/>
      <c r="AI235" s="41"/>
    </row>
    <row r="236" spans="1:35" ht="15.75" customHeight="1" x14ac:dyDescent="0.2">
      <c r="A236" s="41"/>
      <c r="B236" s="41"/>
      <c r="C236" s="41"/>
      <c r="D236" s="72"/>
      <c r="E236" s="41"/>
      <c r="F236" s="41"/>
      <c r="G236" s="41"/>
      <c r="H236" s="41"/>
      <c r="I236" s="41"/>
      <c r="J236" s="41"/>
      <c r="K236" s="41"/>
      <c r="L236" s="41"/>
      <c r="M236" s="41"/>
      <c r="N236" s="41"/>
      <c r="O236" s="41"/>
      <c r="P236" s="41"/>
      <c r="Q236" s="41"/>
      <c r="R236" s="41"/>
      <c r="S236" s="41"/>
      <c r="T236" s="41"/>
      <c r="U236" s="41"/>
      <c r="V236" s="41"/>
      <c r="W236" s="41"/>
      <c r="X236" s="41"/>
      <c r="Y236" s="41"/>
      <c r="Z236" s="41"/>
      <c r="AA236" s="41"/>
      <c r="AB236" s="41"/>
      <c r="AC236" s="41"/>
      <c r="AD236" s="41"/>
      <c r="AE236" s="41"/>
      <c r="AF236" s="41"/>
      <c r="AG236" s="41"/>
      <c r="AH236" s="41"/>
      <c r="AI236" s="41"/>
    </row>
    <row r="237" spans="1:35" ht="15.75" customHeight="1" x14ac:dyDescent="0.2">
      <c r="A237" s="41"/>
      <c r="B237" s="41"/>
      <c r="C237" s="41"/>
      <c r="D237" s="72"/>
      <c r="E237" s="41"/>
      <c r="F237" s="41"/>
      <c r="G237" s="41"/>
      <c r="H237" s="41"/>
      <c r="I237" s="41"/>
      <c r="J237" s="41"/>
      <c r="K237" s="41"/>
      <c r="L237" s="41"/>
      <c r="M237" s="41"/>
      <c r="N237" s="41"/>
      <c r="O237" s="41"/>
      <c r="P237" s="41"/>
      <c r="Q237" s="41"/>
      <c r="R237" s="41"/>
      <c r="S237" s="41"/>
      <c r="T237" s="41"/>
      <c r="U237" s="41"/>
      <c r="V237" s="41"/>
      <c r="W237" s="41"/>
      <c r="X237" s="41"/>
      <c r="Y237" s="41"/>
      <c r="Z237" s="41"/>
      <c r="AA237" s="41"/>
      <c r="AB237" s="41"/>
      <c r="AC237" s="41"/>
      <c r="AD237" s="41"/>
      <c r="AE237" s="41"/>
      <c r="AF237" s="41"/>
      <c r="AG237" s="41"/>
      <c r="AH237" s="41"/>
      <c r="AI237" s="41"/>
    </row>
    <row r="238" spans="1:35" ht="15.75" customHeight="1" x14ac:dyDescent="0.2">
      <c r="A238" s="41"/>
      <c r="B238" s="41"/>
      <c r="C238" s="41"/>
      <c r="D238" s="72"/>
      <c r="E238" s="41"/>
      <c r="F238" s="41"/>
      <c r="G238" s="41"/>
      <c r="H238" s="41"/>
      <c r="I238" s="41"/>
      <c r="J238" s="41"/>
      <c r="K238" s="41"/>
      <c r="L238" s="41"/>
      <c r="M238" s="41"/>
      <c r="N238" s="41"/>
      <c r="O238" s="41"/>
      <c r="P238" s="41"/>
      <c r="Q238" s="41"/>
      <c r="R238" s="41"/>
      <c r="S238" s="41"/>
      <c r="T238" s="41"/>
      <c r="U238" s="41"/>
      <c r="V238" s="41"/>
      <c r="W238" s="41"/>
      <c r="X238" s="41"/>
      <c r="Y238" s="41"/>
      <c r="Z238" s="41"/>
      <c r="AA238" s="41"/>
      <c r="AB238" s="41"/>
      <c r="AC238" s="41"/>
      <c r="AD238" s="41"/>
      <c r="AE238" s="41"/>
      <c r="AF238" s="41"/>
      <c r="AG238" s="41"/>
      <c r="AH238" s="41"/>
      <c r="AI238" s="41"/>
    </row>
    <row r="239" spans="1:35" ht="15.75" customHeight="1" x14ac:dyDescent="0.2">
      <c r="A239" s="41"/>
      <c r="B239" s="41"/>
      <c r="C239" s="41"/>
      <c r="D239" s="72"/>
      <c r="E239" s="41"/>
      <c r="F239" s="41"/>
      <c r="G239" s="41"/>
      <c r="H239" s="41"/>
      <c r="I239" s="41"/>
      <c r="J239" s="41"/>
      <c r="K239" s="41"/>
      <c r="L239" s="41"/>
      <c r="M239" s="41"/>
      <c r="N239" s="41"/>
      <c r="O239" s="41"/>
      <c r="P239" s="41"/>
      <c r="Q239" s="41"/>
      <c r="R239" s="41"/>
      <c r="S239" s="41"/>
      <c r="T239" s="41"/>
      <c r="U239" s="41"/>
      <c r="V239" s="41"/>
      <c r="W239" s="41"/>
      <c r="X239" s="41"/>
      <c r="Y239" s="41"/>
      <c r="Z239" s="41"/>
      <c r="AA239" s="41"/>
      <c r="AB239" s="41"/>
      <c r="AC239" s="41"/>
      <c r="AD239" s="41"/>
      <c r="AE239" s="41"/>
      <c r="AF239" s="41"/>
      <c r="AG239" s="41"/>
      <c r="AH239" s="41"/>
      <c r="AI239" s="41"/>
    </row>
    <row r="240" spans="1:35" ht="15.75" customHeight="1" x14ac:dyDescent="0.2">
      <c r="A240" s="41"/>
      <c r="B240" s="41"/>
      <c r="C240" s="41"/>
      <c r="D240" s="72"/>
      <c r="E240" s="41"/>
      <c r="F240" s="41"/>
      <c r="G240" s="41"/>
      <c r="H240" s="41"/>
      <c r="I240" s="41"/>
      <c r="J240" s="41"/>
      <c r="K240" s="41"/>
      <c r="L240" s="41"/>
      <c r="M240" s="41"/>
      <c r="N240" s="41"/>
      <c r="O240" s="41"/>
      <c r="P240" s="41"/>
      <c r="Q240" s="41"/>
      <c r="R240" s="41"/>
      <c r="S240" s="41"/>
      <c r="T240" s="41"/>
      <c r="U240" s="41"/>
      <c r="V240" s="41"/>
      <c r="W240" s="41"/>
      <c r="X240" s="41"/>
      <c r="Y240" s="41"/>
      <c r="Z240" s="41"/>
      <c r="AA240" s="41"/>
      <c r="AB240" s="41"/>
      <c r="AC240" s="41"/>
      <c r="AD240" s="41"/>
      <c r="AE240" s="41"/>
      <c r="AF240" s="41"/>
      <c r="AG240" s="41"/>
      <c r="AH240" s="41"/>
      <c r="AI240" s="41"/>
    </row>
    <row r="241" spans="1:35" ht="15.75" customHeight="1" x14ac:dyDescent="0.2">
      <c r="A241" s="41"/>
      <c r="B241" s="41"/>
      <c r="C241" s="41"/>
      <c r="D241" s="72"/>
      <c r="E241" s="41"/>
      <c r="F241" s="41"/>
      <c r="G241" s="41"/>
      <c r="H241" s="41"/>
      <c r="I241" s="41"/>
      <c r="J241" s="41"/>
      <c r="K241" s="41"/>
      <c r="L241" s="41"/>
      <c r="M241" s="41"/>
      <c r="N241" s="41"/>
      <c r="O241" s="41"/>
      <c r="P241" s="41"/>
      <c r="Q241" s="41"/>
      <c r="R241" s="41"/>
      <c r="S241" s="41"/>
      <c r="T241" s="41"/>
      <c r="U241" s="41"/>
      <c r="V241" s="41"/>
      <c r="W241" s="41"/>
      <c r="X241" s="41"/>
      <c r="Y241" s="41"/>
      <c r="Z241" s="41"/>
      <c r="AA241" s="41"/>
      <c r="AB241" s="41"/>
      <c r="AC241" s="41"/>
      <c r="AD241" s="41"/>
      <c r="AE241" s="41"/>
      <c r="AF241" s="41"/>
      <c r="AG241" s="41"/>
      <c r="AH241" s="41"/>
      <c r="AI241" s="41"/>
    </row>
    <row r="242" spans="1:35" ht="15.75" customHeight="1" x14ac:dyDescent="0.2">
      <c r="A242" s="41"/>
      <c r="B242" s="41"/>
      <c r="C242" s="41"/>
      <c r="D242" s="72"/>
      <c r="E242" s="41"/>
      <c r="F242" s="41"/>
      <c r="G242" s="41"/>
      <c r="H242" s="41"/>
      <c r="I242" s="41"/>
      <c r="J242" s="41"/>
      <c r="K242" s="41"/>
      <c r="L242" s="41"/>
      <c r="M242" s="41"/>
      <c r="N242" s="41"/>
      <c r="O242" s="41"/>
      <c r="P242" s="41"/>
      <c r="Q242" s="41"/>
      <c r="R242" s="41"/>
      <c r="S242" s="41"/>
      <c r="T242" s="41"/>
      <c r="U242" s="41"/>
      <c r="V242" s="41"/>
      <c r="W242" s="41"/>
      <c r="X242" s="41"/>
      <c r="Y242" s="41"/>
      <c r="Z242" s="41"/>
      <c r="AA242" s="41"/>
      <c r="AB242" s="41"/>
      <c r="AC242" s="41"/>
      <c r="AD242" s="41"/>
      <c r="AE242" s="41"/>
      <c r="AF242" s="41"/>
      <c r="AG242" s="41"/>
      <c r="AH242" s="41"/>
      <c r="AI242" s="41"/>
    </row>
    <row r="243" spans="1:35" ht="15.75" customHeight="1" x14ac:dyDescent="0.2">
      <c r="A243" s="41"/>
      <c r="B243" s="41"/>
      <c r="C243" s="41"/>
      <c r="D243" s="72"/>
      <c r="E243" s="41"/>
      <c r="F243" s="41"/>
      <c r="G243" s="41"/>
      <c r="H243" s="41"/>
      <c r="I243" s="41"/>
      <c r="J243" s="41"/>
      <c r="K243" s="41"/>
      <c r="L243" s="41"/>
      <c r="M243" s="41"/>
      <c r="N243" s="41"/>
      <c r="O243" s="41"/>
      <c r="P243" s="41"/>
      <c r="Q243" s="41"/>
      <c r="R243" s="41"/>
      <c r="S243" s="41"/>
      <c r="T243" s="41"/>
      <c r="U243" s="41"/>
      <c r="V243" s="41"/>
      <c r="W243" s="41"/>
      <c r="X243" s="41"/>
      <c r="Y243" s="41"/>
      <c r="Z243" s="41"/>
      <c r="AA243" s="41"/>
      <c r="AB243" s="41"/>
      <c r="AC243" s="41"/>
      <c r="AD243" s="41"/>
      <c r="AE243" s="41"/>
      <c r="AF243" s="41"/>
      <c r="AG243" s="41"/>
      <c r="AH243" s="41"/>
      <c r="AI243" s="41"/>
    </row>
    <row r="244" spans="1:35" ht="15.75" customHeight="1" x14ac:dyDescent="0.2">
      <c r="A244" s="41"/>
      <c r="B244" s="41"/>
      <c r="C244" s="41"/>
      <c r="D244" s="72"/>
      <c r="E244" s="41"/>
      <c r="F244" s="41"/>
      <c r="G244" s="41"/>
      <c r="H244" s="41"/>
      <c r="I244" s="41"/>
      <c r="J244" s="41"/>
      <c r="K244" s="41"/>
      <c r="L244" s="41"/>
      <c r="M244" s="41"/>
      <c r="N244" s="41"/>
      <c r="O244" s="41"/>
      <c r="P244" s="41"/>
      <c r="Q244" s="41"/>
      <c r="R244" s="41"/>
      <c r="S244" s="41"/>
      <c r="T244" s="41"/>
      <c r="U244" s="41"/>
      <c r="V244" s="41"/>
      <c r="W244" s="41"/>
      <c r="X244" s="41"/>
      <c r="Y244" s="41"/>
      <c r="Z244" s="41"/>
      <c r="AA244" s="41"/>
      <c r="AB244" s="41"/>
      <c r="AC244" s="41"/>
      <c r="AD244" s="41"/>
      <c r="AE244" s="41"/>
      <c r="AF244" s="41"/>
      <c r="AG244" s="41"/>
      <c r="AH244" s="41"/>
      <c r="AI244" s="41"/>
    </row>
    <row r="245" spans="1:35" ht="15.75" customHeight="1" x14ac:dyDescent="0.2">
      <c r="A245" s="41"/>
      <c r="B245" s="41"/>
      <c r="C245" s="41"/>
      <c r="D245" s="72"/>
      <c r="E245" s="41"/>
      <c r="F245" s="41"/>
      <c r="G245" s="41"/>
      <c r="H245" s="41"/>
      <c r="I245" s="41"/>
      <c r="J245" s="41"/>
      <c r="K245" s="41"/>
      <c r="L245" s="41"/>
      <c r="M245" s="41"/>
      <c r="N245" s="41"/>
      <c r="O245" s="41"/>
      <c r="P245" s="41"/>
      <c r="Q245" s="41"/>
      <c r="R245" s="41"/>
      <c r="S245" s="41"/>
      <c r="T245" s="41"/>
      <c r="U245" s="41"/>
      <c r="V245" s="41"/>
      <c r="W245" s="41"/>
      <c r="X245" s="41"/>
      <c r="Y245" s="41"/>
      <c r="Z245" s="41"/>
      <c r="AA245" s="41"/>
      <c r="AB245" s="41"/>
      <c r="AC245" s="41"/>
      <c r="AD245" s="41"/>
      <c r="AE245" s="41"/>
      <c r="AF245" s="41"/>
      <c r="AG245" s="41"/>
      <c r="AH245" s="41"/>
      <c r="AI245" s="41"/>
    </row>
    <row r="246" spans="1:35" ht="15.75" customHeight="1" x14ac:dyDescent="0.2">
      <c r="A246" s="41"/>
      <c r="B246" s="41"/>
      <c r="C246" s="41"/>
      <c r="D246" s="72"/>
      <c r="E246" s="41"/>
      <c r="F246" s="41"/>
      <c r="G246" s="41"/>
      <c r="H246" s="41"/>
      <c r="I246" s="41"/>
      <c r="J246" s="41"/>
      <c r="K246" s="41"/>
      <c r="L246" s="41"/>
      <c r="M246" s="41"/>
      <c r="N246" s="41"/>
      <c r="O246" s="41"/>
      <c r="P246" s="41"/>
      <c r="Q246" s="41"/>
      <c r="R246" s="41"/>
      <c r="S246" s="41"/>
      <c r="T246" s="41"/>
      <c r="U246" s="41"/>
      <c r="V246" s="41"/>
      <c r="W246" s="41"/>
      <c r="X246" s="41"/>
      <c r="Y246" s="41"/>
      <c r="Z246" s="41"/>
      <c r="AA246" s="41"/>
      <c r="AB246" s="41"/>
      <c r="AC246" s="41"/>
      <c r="AD246" s="41"/>
      <c r="AE246" s="41"/>
      <c r="AF246" s="41"/>
      <c r="AG246" s="41"/>
      <c r="AH246" s="41"/>
      <c r="AI246" s="41"/>
    </row>
    <row r="247" spans="1:35" ht="15.75" customHeight="1" x14ac:dyDescent="0.2">
      <c r="A247" s="41"/>
      <c r="B247" s="41"/>
      <c r="C247" s="41"/>
      <c r="D247" s="72"/>
      <c r="E247" s="41"/>
      <c r="F247" s="41"/>
      <c r="G247" s="41"/>
      <c r="H247" s="41"/>
      <c r="I247" s="41"/>
      <c r="J247" s="41"/>
      <c r="K247" s="41"/>
      <c r="L247" s="41"/>
      <c r="M247" s="41"/>
      <c r="N247" s="41"/>
      <c r="O247" s="41"/>
      <c r="P247" s="41"/>
      <c r="Q247" s="41"/>
      <c r="R247" s="41"/>
      <c r="S247" s="41"/>
      <c r="T247" s="41"/>
      <c r="U247" s="41"/>
      <c r="V247" s="41"/>
      <c r="W247" s="41"/>
      <c r="X247" s="41"/>
      <c r="Y247" s="41"/>
      <c r="Z247" s="41"/>
      <c r="AA247" s="41"/>
      <c r="AB247" s="41"/>
      <c r="AC247" s="41"/>
      <c r="AD247" s="41"/>
      <c r="AE247" s="41"/>
      <c r="AF247" s="41"/>
      <c r="AG247" s="41"/>
      <c r="AH247" s="41"/>
      <c r="AI247" s="41"/>
    </row>
    <row r="248" spans="1:35" ht="15.75" customHeight="1" x14ac:dyDescent="0.2">
      <c r="A248" s="41"/>
      <c r="B248" s="41"/>
      <c r="C248" s="41"/>
      <c r="D248" s="72"/>
      <c r="E248" s="41"/>
      <c r="F248" s="41"/>
      <c r="G248" s="41"/>
      <c r="H248" s="41"/>
      <c r="I248" s="41"/>
      <c r="J248" s="41"/>
      <c r="K248" s="41"/>
      <c r="L248" s="41"/>
      <c r="M248" s="41"/>
      <c r="N248" s="41"/>
      <c r="O248" s="41"/>
      <c r="P248" s="41"/>
      <c r="Q248" s="41"/>
      <c r="R248" s="41"/>
      <c r="S248" s="41"/>
      <c r="T248" s="41"/>
      <c r="U248" s="41"/>
      <c r="V248" s="41"/>
      <c r="W248" s="41"/>
      <c r="X248" s="41"/>
      <c r="Y248" s="41"/>
      <c r="Z248" s="41"/>
      <c r="AA248" s="41"/>
      <c r="AB248" s="41"/>
      <c r="AC248" s="41"/>
      <c r="AD248" s="41"/>
      <c r="AE248" s="41"/>
      <c r="AF248" s="41"/>
      <c r="AG248" s="41"/>
      <c r="AH248" s="41"/>
      <c r="AI248" s="41"/>
    </row>
    <row r="249" spans="1:35" ht="15.75" customHeight="1" x14ac:dyDescent="0.2">
      <c r="A249" s="41"/>
      <c r="B249" s="41"/>
      <c r="C249" s="41"/>
      <c r="D249" s="72"/>
      <c r="E249" s="41"/>
      <c r="F249" s="41"/>
      <c r="G249" s="41"/>
      <c r="H249" s="41"/>
      <c r="I249" s="41"/>
      <c r="J249" s="41"/>
      <c r="K249" s="41"/>
      <c r="L249" s="41"/>
      <c r="M249" s="41"/>
      <c r="N249" s="41"/>
      <c r="O249" s="41"/>
      <c r="P249" s="41"/>
      <c r="Q249" s="41"/>
      <c r="R249" s="41"/>
      <c r="S249" s="41"/>
      <c r="T249" s="41"/>
      <c r="U249" s="41"/>
      <c r="V249" s="41"/>
      <c r="W249" s="41"/>
      <c r="X249" s="41"/>
      <c r="Y249" s="41"/>
      <c r="Z249" s="41"/>
      <c r="AA249" s="41"/>
      <c r="AB249" s="41"/>
      <c r="AC249" s="41"/>
      <c r="AD249" s="41"/>
      <c r="AE249" s="41"/>
      <c r="AF249" s="41"/>
      <c r="AG249" s="41"/>
      <c r="AH249" s="41"/>
      <c r="AI249" s="41"/>
    </row>
    <row r="250" spans="1:35" ht="15.75" customHeight="1" x14ac:dyDescent="0.2">
      <c r="A250" s="41"/>
      <c r="B250" s="41"/>
      <c r="C250" s="41"/>
      <c r="D250" s="72"/>
      <c r="E250" s="41"/>
      <c r="F250" s="41"/>
      <c r="G250" s="41"/>
      <c r="H250" s="41"/>
      <c r="I250" s="41"/>
      <c r="J250" s="41"/>
      <c r="K250" s="41"/>
      <c r="L250" s="41"/>
      <c r="M250" s="41"/>
      <c r="N250" s="41"/>
      <c r="O250" s="41"/>
      <c r="P250" s="41"/>
      <c r="Q250" s="41"/>
      <c r="R250" s="41"/>
      <c r="S250" s="41"/>
      <c r="T250" s="41"/>
      <c r="U250" s="41"/>
      <c r="V250" s="41"/>
      <c r="W250" s="41"/>
      <c r="X250" s="41"/>
      <c r="Y250" s="41"/>
      <c r="Z250" s="41"/>
      <c r="AA250" s="41"/>
      <c r="AB250" s="41"/>
      <c r="AC250" s="41"/>
      <c r="AD250" s="41"/>
      <c r="AE250" s="41"/>
      <c r="AF250" s="41"/>
      <c r="AG250" s="41"/>
      <c r="AH250" s="41"/>
      <c r="AI250" s="41"/>
    </row>
    <row r="251" spans="1:35" ht="15.75" customHeight="1" x14ac:dyDescent="0.2">
      <c r="A251" s="41"/>
      <c r="B251" s="41"/>
      <c r="C251" s="41"/>
      <c r="D251" s="72"/>
      <c r="E251" s="41"/>
      <c r="F251" s="41"/>
      <c r="G251" s="41"/>
      <c r="H251" s="41"/>
      <c r="I251" s="41"/>
      <c r="J251" s="41"/>
      <c r="K251" s="41"/>
      <c r="L251" s="41"/>
      <c r="M251" s="41"/>
      <c r="N251" s="41"/>
      <c r="O251" s="41"/>
      <c r="P251" s="41"/>
      <c r="Q251" s="41"/>
      <c r="R251" s="41"/>
      <c r="S251" s="41"/>
      <c r="T251" s="41"/>
      <c r="U251" s="41"/>
      <c r="V251" s="41"/>
      <c r="W251" s="41"/>
      <c r="X251" s="41"/>
      <c r="Y251" s="41"/>
      <c r="Z251" s="41"/>
      <c r="AA251" s="41"/>
      <c r="AB251" s="41"/>
      <c r="AC251" s="41"/>
      <c r="AD251" s="41"/>
      <c r="AE251" s="41"/>
      <c r="AF251" s="41"/>
      <c r="AG251" s="41"/>
      <c r="AH251" s="41"/>
      <c r="AI251" s="41"/>
    </row>
    <row r="252" spans="1:35" ht="15.75" customHeight="1" x14ac:dyDescent="0.2">
      <c r="A252" s="41"/>
      <c r="B252" s="41"/>
      <c r="C252" s="41"/>
      <c r="D252" s="72"/>
      <c r="E252" s="41"/>
      <c r="F252" s="41"/>
      <c r="G252" s="41"/>
      <c r="H252" s="41"/>
      <c r="I252" s="41"/>
      <c r="J252" s="41"/>
      <c r="K252" s="41"/>
      <c r="L252" s="41"/>
      <c r="M252" s="41"/>
      <c r="N252" s="41"/>
      <c r="O252" s="41"/>
      <c r="P252" s="41"/>
      <c r="Q252" s="41"/>
      <c r="R252" s="41"/>
      <c r="S252" s="41"/>
      <c r="T252" s="41"/>
      <c r="U252" s="41"/>
      <c r="V252" s="41"/>
      <c r="W252" s="41"/>
      <c r="X252" s="41"/>
      <c r="Y252" s="41"/>
      <c r="Z252" s="41"/>
      <c r="AA252" s="41"/>
      <c r="AB252" s="41"/>
      <c r="AC252" s="41"/>
      <c r="AD252" s="41"/>
      <c r="AE252" s="41"/>
      <c r="AF252" s="41"/>
      <c r="AG252" s="41"/>
      <c r="AH252" s="41"/>
      <c r="AI252" s="41"/>
    </row>
    <row r="253" spans="1:35" ht="15.75" customHeight="1" x14ac:dyDescent="0.2">
      <c r="A253" s="41"/>
      <c r="B253" s="41"/>
      <c r="C253" s="41"/>
      <c r="D253" s="72"/>
      <c r="E253" s="41"/>
      <c r="F253" s="41"/>
      <c r="G253" s="41"/>
      <c r="H253" s="41"/>
      <c r="I253" s="41"/>
      <c r="J253" s="41"/>
      <c r="K253" s="41"/>
      <c r="L253" s="41"/>
      <c r="M253" s="41"/>
      <c r="N253" s="41"/>
      <c r="O253" s="41"/>
      <c r="P253" s="41"/>
      <c r="Q253" s="41"/>
      <c r="R253" s="41"/>
      <c r="S253" s="41"/>
      <c r="T253" s="41"/>
      <c r="U253" s="41"/>
      <c r="V253" s="41"/>
      <c r="W253" s="41"/>
      <c r="X253" s="41"/>
      <c r="Y253" s="41"/>
      <c r="Z253" s="41"/>
      <c r="AA253" s="41"/>
      <c r="AB253" s="41"/>
      <c r="AC253" s="41"/>
      <c r="AD253" s="41"/>
      <c r="AE253" s="41"/>
      <c r="AF253" s="41"/>
      <c r="AG253" s="41"/>
      <c r="AH253" s="41"/>
      <c r="AI253" s="41"/>
    </row>
    <row r="254" spans="1:35" ht="15.75" customHeight="1" x14ac:dyDescent="0.2">
      <c r="A254" s="41"/>
      <c r="B254" s="41"/>
      <c r="C254" s="41"/>
      <c r="D254" s="72"/>
      <c r="E254" s="41"/>
      <c r="F254" s="41"/>
      <c r="G254" s="41"/>
      <c r="H254" s="41"/>
      <c r="I254" s="41"/>
      <c r="J254" s="41"/>
      <c r="K254" s="41"/>
      <c r="L254" s="41"/>
      <c r="M254" s="41"/>
      <c r="N254" s="41"/>
      <c r="O254" s="41"/>
      <c r="P254" s="41"/>
      <c r="Q254" s="41"/>
      <c r="R254" s="41"/>
      <c r="S254" s="41"/>
      <c r="T254" s="41"/>
      <c r="U254" s="41"/>
      <c r="V254" s="41"/>
      <c r="W254" s="41"/>
      <c r="X254" s="41"/>
      <c r="Y254" s="41"/>
      <c r="Z254" s="41"/>
      <c r="AA254" s="41"/>
      <c r="AB254" s="41"/>
      <c r="AC254" s="41"/>
      <c r="AD254" s="41"/>
      <c r="AE254" s="41"/>
      <c r="AF254" s="41"/>
      <c r="AG254" s="41"/>
      <c r="AH254" s="41"/>
      <c r="AI254" s="41"/>
    </row>
    <row r="255" spans="1:35" ht="15.75" customHeight="1" x14ac:dyDescent="0.2">
      <c r="A255" s="41"/>
      <c r="B255" s="41"/>
      <c r="C255" s="41"/>
      <c r="D255" s="72"/>
      <c r="E255" s="41"/>
      <c r="F255" s="41"/>
      <c r="G255" s="41"/>
      <c r="H255" s="41"/>
      <c r="I255" s="41"/>
      <c r="J255" s="41"/>
      <c r="K255" s="41"/>
      <c r="L255" s="41"/>
      <c r="M255" s="41"/>
      <c r="N255" s="41"/>
      <c r="O255" s="41"/>
      <c r="P255" s="41"/>
      <c r="Q255" s="41"/>
      <c r="R255" s="41"/>
      <c r="S255" s="41"/>
      <c r="T255" s="41"/>
      <c r="U255" s="41"/>
      <c r="V255" s="41"/>
      <c r="W255" s="41"/>
      <c r="X255" s="41"/>
      <c r="Y255" s="41"/>
      <c r="Z255" s="41"/>
      <c r="AA255" s="41"/>
      <c r="AB255" s="41"/>
      <c r="AC255" s="41"/>
      <c r="AD255" s="41"/>
      <c r="AE255" s="41"/>
      <c r="AF255" s="41"/>
      <c r="AG255" s="41"/>
      <c r="AH255" s="41"/>
      <c r="AI255" s="41"/>
    </row>
    <row r="256" spans="1:35" ht="15.75" customHeight="1" x14ac:dyDescent="0.2">
      <c r="A256" s="41"/>
      <c r="B256" s="41"/>
      <c r="C256" s="41"/>
      <c r="D256" s="72"/>
      <c r="E256" s="41"/>
      <c r="F256" s="41"/>
      <c r="G256" s="41"/>
      <c r="H256" s="41"/>
      <c r="I256" s="41"/>
      <c r="J256" s="41"/>
      <c r="K256" s="41"/>
      <c r="L256" s="41"/>
      <c r="M256" s="41"/>
      <c r="N256" s="41"/>
      <c r="O256" s="41"/>
      <c r="P256" s="41"/>
      <c r="Q256" s="41"/>
      <c r="R256" s="41"/>
      <c r="S256" s="41"/>
      <c r="T256" s="41"/>
      <c r="U256" s="41"/>
      <c r="V256" s="41"/>
      <c r="W256" s="41"/>
      <c r="X256" s="41"/>
      <c r="Y256" s="41"/>
      <c r="Z256" s="41"/>
      <c r="AA256" s="41"/>
      <c r="AB256" s="41"/>
      <c r="AC256" s="41"/>
      <c r="AD256" s="41"/>
      <c r="AE256" s="41"/>
      <c r="AF256" s="41"/>
      <c r="AG256" s="41"/>
      <c r="AH256" s="41"/>
      <c r="AI256" s="41"/>
    </row>
    <row r="257" spans="1:35" ht="15.75" customHeight="1" x14ac:dyDescent="0.2">
      <c r="A257" s="41"/>
      <c r="B257" s="41"/>
      <c r="C257" s="41"/>
      <c r="D257" s="72"/>
      <c r="E257" s="41"/>
      <c r="F257" s="41"/>
      <c r="G257" s="41"/>
      <c r="H257" s="41"/>
      <c r="I257" s="41"/>
      <c r="J257" s="41"/>
      <c r="K257" s="41"/>
      <c r="L257" s="41"/>
      <c r="M257" s="41"/>
      <c r="N257" s="41"/>
      <c r="O257" s="41"/>
      <c r="P257" s="41"/>
      <c r="Q257" s="41"/>
      <c r="R257" s="41"/>
      <c r="S257" s="41"/>
      <c r="T257" s="41"/>
      <c r="U257" s="41"/>
      <c r="V257" s="41"/>
      <c r="W257" s="41"/>
      <c r="X257" s="41"/>
      <c r="Y257" s="41"/>
      <c r="Z257" s="41"/>
      <c r="AA257" s="41"/>
      <c r="AB257" s="41"/>
      <c r="AC257" s="41"/>
      <c r="AD257" s="41"/>
      <c r="AE257" s="41"/>
      <c r="AF257" s="41"/>
      <c r="AG257" s="41"/>
      <c r="AH257" s="41"/>
      <c r="AI257" s="41"/>
    </row>
    <row r="258" spans="1:35" ht="15.75" customHeight="1" x14ac:dyDescent="0.2">
      <c r="A258" s="41"/>
      <c r="B258" s="41"/>
      <c r="C258" s="41"/>
      <c r="D258" s="72"/>
      <c r="E258" s="41"/>
      <c r="F258" s="41"/>
      <c r="G258" s="41"/>
      <c r="H258" s="41"/>
      <c r="I258" s="41"/>
      <c r="J258" s="41"/>
      <c r="K258" s="41"/>
      <c r="L258" s="41"/>
      <c r="M258" s="41"/>
      <c r="N258" s="41"/>
      <c r="O258" s="41"/>
      <c r="P258" s="41"/>
      <c r="Q258" s="41"/>
      <c r="R258" s="41"/>
      <c r="S258" s="41"/>
      <c r="T258" s="41"/>
      <c r="U258" s="41"/>
      <c r="V258" s="41"/>
      <c r="W258" s="41"/>
      <c r="X258" s="41"/>
      <c r="Y258" s="41"/>
      <c r="Z258" s="41"/>
      <c r="AA258" s="41"/>
      <c r="AB258" s="41"/>
      <c r="AC258" s="41"/>
      <c r="AD258" s="41"/>
      <c r="AE258" s="41"/>
      <c r="AF258" s="41"/>
      <c r="AG258" s="41"/>
      <c r="AH258" s="41"/>
      <c r="AI258" s="41"/>
    </row>
    <row r="259" spans="1:35" ht="15.75" customHeight="1" x14ac:dyDescent="0.2">
      <c r="A259" s="41"/>
      <c r="B259" s="41"/>
      <c r="C259" s="41"/>
      <c r="D259" s="72"/>
      <c r="E259" s="41"/>
      <c r="F259" s="41"/>
      <c r="G259" s="41"/>
      <c r="H259" s="41"/>
      <c r="I259" s="41"/>
      <c r="J259" s="41"/>
      <c r="K259" s="41"/>
      <c r="L259" s="41"/>
      <c r="M259" s="41"/>
      <c r="N259" s="41"/>
      <c r="O259" s="41"/>
      <c r="P259" s="41"/>
      <c r="Q259" s="41"/>
      <c r="R259" s="41"/>
      <c r="S259" s="41"/>
      <c r="T259" s="41"/>
      <c r="U259" s="41"/>
      <c r="V259" s="41"/>
      <c r="W259" s="41"/>
      <c r="X259" s="41"/>
      <c r="Y259" s="41"/>
      <c r="Z259" s="41"/>
      <c r="AA259" s="41"/>
      <c r="AB259" s="41"/>
      <c r="AC259" s="41"/>
      <c r="AD259" s="41"/>
      <c r="AE259" s="41"/>
      <c r="AF259" s="41"/>
      <c r="AG259" s="41"/>
      <c r="AH259" s="41"/>
      <c r="AI259" s="41"/>
    </row>
    <row r="260" spans="1:35" ht="15.75" customHeight="1" x14ac:dyDescent="0.2">
      <c r="A260" s="41"/>
      <c r="B260" s="41"/>
      <c r="C260" s="41"/>
      <c r="D260" s="72"/>
      <c r="E260" s="41"/>
      <c r="F260" s="41"/>
      <c r="G260" s="41"/>
      <c r="H260" s="41"/>
      <c r="I260" s="41"/>
      <c r="J260" s="41"/>
      <c r="K260" s="41"/>
      <c r="L260" s="41"/>
      <c r="M260" s="41"/>
      <c r="N260" s="41"/>
      <c r="O260" s="41"/>
      <c r="P260" s="41"/>
      <c r="Q260" s="41"/>
      <c r="R260" s="41"/>
      <c r="S260" s="41"/>
      <c r="T260" s="41"/>
      <c r="U260" s="41"/>
      <c r="V260" s="41"/>
      <c r="W260" s="41"/>
      <c r="X260" s="41"/>
      <c r="Y260" s="41"/>
      <c r="Z260" s="41"/>
      <c r="AA260" s="41"/>
      <c r="AB260" s="41"/>
      <c r="AC260" s="41"/>
      <c r="AD260" s="41"/>
      <c r="AE260" s="41"/>
      <c r="AF260" s="41"/>
      <c r="AG260" s="41"/>
      <c r="AH260" s="41"/>
      <c r="AI260" s="41"/>
    </row>
    <row r="261" spans="1:35" ht="15.75" customHeight="1" x14ac:dyDescent="0.2">
      <c r="A261" s="41"/>
      <c r="B261" s="41"/>
      <c r="C261" s="41"/>
      <c r="D261" s="72"/>
      <c r="E261" s="41"/>
      <c r="F261" s="41"/>
      <c r="G261" s="41"/>
      <c r="H261" s="41"/>
      <c r="I261" s="41"/>
      <c r="J261" s="41"/>
      <c r="K261" s="41"/>
      <c r="L261" s="41"/>
      <c r="M261" s="41"/>
      <c r="N261" s="41"/>
      <c r="O261" s="41"/>
      <c r="P261" s="41"/>
      <c r="Q261" s="41"/>
      <c r="R261" s="41"/>
      <c r="S261" s="41"/>
      <c r="T261" s="41"/>
      <c r="U261" s="41"/>
      <c r="V261" s="41"/>
      <c r="W261" s="41"/>
      <c r="X261" s="41"/>
      <c r="Y261" s="41"/>
      <c r="Z261" s="41"/>
      <c r="AA261" s="41"/>
      <c r="AB261" s="41"/>
      <c r="AC261" s="41"/>
      <c r="AD261" s="41"/>
      <c r="AE261" s="41"/>
      <c r="AF261" s="41"/>
      <c r="AG261" s="41"/>
      <c r="AH261" s="41"/>
      <c r="AI261" s="41"/>
    </row>
    <row r="262" spans="1:35" ht="15.75" customHeight="1" x14ac:dyDescent="0.2">
      <c r="A262" s="41"/>
      <c r="B262" s="41"/>
      <c r="C262" s="41"/>
      <c r="D262" s="72"/>
      <c r="E262" s="41"/>
      <c r="F262" s="41"/>
      <c r="G262" s="41"/>
      <c r="H262" s="41"/>
      <c r="I262" s="41"/>
      <c r="J262" s="41"/>
      <c r="K262" s="41"/>
      <c r="L262" s="41"/>
      <c r="M262" s="41"/>
      <c r="N262" s="41"/>
      <c r="O262" s="41"/>
      <c r="P262" s="41"/>
      <c r="Q262" s="41"/>
      <c r="R262" s="41"/>
      <c r="S262" s="41"/>
      <c r="T262" s="41"/>
      <c r="U262" s="41"/>
      <c r="V262" s="41"/>
      <c r="W262" s="41"/>
      <c r="X262" s="41"/>
      <c r="Y262" s="41"/>
      <c r="Z262" s="41"/>
      <c r="AA262" s="41"/>
      <c r="AB262" s="41"/>
      <c r="AC262" s="41"/>
      <c r="AD262" s="41"/>
      <c r="AE262" s="41"/>
      <c r="AF262" s="41"/>
      <c r="AG262" s="41"/>
      <c r="AH262" s="41"/>
      <c r="AI262" s="41"/>
    </row>
    <row r="263" spans="1:35" ht="15.75" customHeight="1" x14ac:dyDescent="0.2">
      <c r="A263" s="41"/>
      <c r="B263" s="41"/>
      <c r="C263" s="41"/>
      <c r="D263" s="72"/>
      <c r="E263" s="41"/>
      <c r="F263" s="41"/>
      <c r="G263" s="41"/>
      <c r="H263" s="41"/>
      <c r="I263" s="41"/>
      <c r="J263" s="41"/>
      <c r="K263" s="41"/>
      <c r="L263" s="41"/>
      <c r="M263" s="41"/>
      <c r="N263" s="41"/>
      <c r="O263" s="41"/>
      <c r="P263" s="41"/>
      <c r="Q263" s="41"/>
      <c r="R263" s="41"/>
      <c r="S263" s="41"/>
      <c r="T263" s="41"/>
      <c r="U263" s="41"/>
      <c r="V263" s="41"/>
      <c r="W263" s="41"/>
      <c r="X263" s="41"/>
      <c r="Y263" s="41"/>
      <c r="Z263" s="41"/>
      <c r="AA263" s="41"/>
      <c r="AB263" s="41"/>
      <c r="AC263" s="41"/>
      <c r="AD263" s="41"/>
      <c r="AE263" s="41"/>
      <c r="AF263" s="41"/>
      <c r="AG263" s="41"/>
      <c r="AH263" s="41"/>
      <c r="AI263" s="41"/>
    </row>
    <row r="264" spans="1:35" ht="15.75" customHeight="1" x14ac:dyDescent="0.2">
      <c r="A264" s="41"/>
      <c r="B264" s="41"/>
      <c r="C264" s="41"/>
      <c r="D264" s="72"/>
      <c r="E264" s="41"/>
      <c r="F264" s="41"/>
      <c r="G264" s="41"/>
      <c r="H264" s="41"/>
      <c r="I264" s="41"/>
      <c r="J264" s="41"/>
      <c r="K264" s="41"/>
      <c r="L264" s="41"/>
      <c r="M264" s="41"/>
      <c r="N264" s="41"/>
      <c r="O264" s="41"/>
      <c r="P264" s="41"/>
      <c r="Q264" s="41"/>
      <c r="R264" s="41"/>
      <c r="S264" s="41"/>
      <c r="T264" s="41"/>
      <c r="U264" s="41"/>
      <c r="V264" s="41"/>
      <c r="W264" s="41"/>
      <c r="X264" s="41"/>
      <c r="Y264" s="41"/>
      <c r="Z264" s="41"/>
      <c r="AA264" s="41"/>
      <c r="AB264" s="41"/>
      <c r="AC264" s="41"/>
      <c r="AD264" s="41"/>
      <c r="AE264" s="41"/>
      <c r="AF264" s="41"/>
      <c r="AG264" s="41"/>
      <c r="AH264" s="41"/>
      <c r="AI264" s="41"/>
    </row>
    <row r="265" spans="1:35" ht="15.75" customHeight="1" x14ac:dyDescent="0.2">
      <c r="A265" s="41"/>
      <c r="B265" s="41"/>
      <c r="C265" s="41"/>
      <c r="D265" s="72"/>
      <c r="E265" s="41"/>
      <c r="F265" s="41"/>
      <c r="G265" s="41"/>
      <c r="H265" s="41"/>
      <c r="I265" s="41"/>
      <c r="J265" s="41"/>
      <c r="K265" s="41"/>
      <c r="L265" s="41"/>
      <c r="M265" s="41"/>
      <c r="N265" s="41"/>
      <c r="O265" s="41"/>
      <c r="P265" s="41"/>
      <c r="Q265" s="41"/>
      <c r="R265" s="41"/>
      <c r="S265" s="41"/>
      <c r="T265" s="41"/>
      <c r="U265" s="41"/>
      <c r="V265" s="41"/>
      <c r="W265" s="41"/>
      <c r="X265" s="41"/>
      <c r="Y265" s="41"/>
      <c r="Z265" s="41"/>
      <c r="AA265" s="41"/>
      <c r="AB265" s="41"/>
      <c r="AC265" s="41"/>
      <c r="AD265" s="41"/>
      <c r="AE265" s="41"/>
      <c r="AF265" s="41"/>
      <c r="AG265" s="41"/>
      <c r="AH265" s="41"/>
      <c r="AI265" s="41"/>
    </row>
    <row r="266" spans="1:35" ht="15.75" customHeight="1" x14ac:dyDescent="0.2">
      <c r="A266" s="41"/>
      <c r="B266" s="41"/>
      <c r="C266" s="41"/>
      <c r="D266" s="72"/>
      <c r="E266" s="41"/>
      <c r="F266" s="41"/>
      <c r="G266" s="41"/>
      <c r="H266" s="41"/>
      <c r="I266" s="41"/>
      <c r="J266" s="41"/>
      <c r="K266" s="41"/>
      <c r="L266" s="41"/>
      <c r="M266" s="41"/>
      <c r="N266" s="41"/>
      <c r="O266" s="41"/>
      <c r="P266" s="41"/>
      <c r="Q266" s="41"/>
      <c r="R266" s="41"/>
      <c r="S266" s="41"/>
      <c r="T266" s="41"/>
      <c r="U266" s="41"/>
      <c r="V266" s="41"/>
      <c r="W266" s="41"/>
      <c r="X266" s="41"/>
      <c r="Y266" s="41"/>
      <c r="Z266" s="41"/>
      <c r="AA266" s="41"/>
      <c r="AB266" s="41"/>
      <c r="AC266" s="41"/>
      <c r="AD266" s="41"/>
      <c r="AE266" s="41"/>
      <c r="AF266" s="41"/>
      <c r="AG266" s="41"/>
      <c r="AH266" s="41"/>
      <c r="AI266" s="41"/>
    </row>
    <row r="267" spans="1:35" ht="15.75" customHeight="1" x14ac:dyDescent="0.2">
      <c r="A267" s="41"/>
      <c r="B267" s="41"/>
      <c r="C267" s="41"/>
      <c r="D267" s="72"/>
      <c r="E267" s="41"/>
      <c r="F267" s="41"/>
      <c r="G267" s="41"/>
      <c r="H267" s="41"/>
      <c r="I267" s="41"/>
      <c r="J267" s="41"/>
      <c r="K267" s="41"/>
      <c r="L267" s="41"/>
      <c r="M267" s="41"/>
      <c r="N267" s="41"/>
      <c r="O267" s="41"/>
      <c r="P267" s="41"/>
      <c r="Q267" s="41"/>
      <c r="R267" s="41"/>
      <c r="S267" s="41"/>
      <c r="T267" s="41"/>
      <c r="U267" s="41"/>
      <c r="V267" s="41"/>
      <c r="W267" s="41"/>
      <c r="X267" s="41"/>
      <c r="Y267" s="41"/>
      <c r="Z267" s="41"/>
      <c r="AA267" s="41"/>
      <c r="AB267" s="41"/>
      <c r="AC267" s="41"/>
      <c r="AD267" s="41"/>
      <c r="AE267" s="41"/>
      <c r="AF267" s="41"/>
      <c r="AG267" s="41"/>
      <c r="AH267" s="41"/>
      <c r="AI267" s="41"/>
    </row>
    <row r="268" spans="1:35" ht="15.75" customHeight="1" x14ac:dyDescent="0.2">
      <c r="A268" s="41"/>
      <c r="B268" s="41"/>
      <c r="C268" s="41"/>
      <c r="D268" s="72"/>
      <c r="E268" s="41"/>
      <c r="F268" s="41"/>
      <c r="G268" s="41"/>
      <c r="H268" s="41"/>
      <c r="I268" s="41"/>
      <c r="J268" s="41"/>
      <c r="K268" s="41"/>
      <c r="L268" s="41"/>
      <c r="M268" s="41"/>
      <c r="N268" s="41"/>
      <c r="O268" s="41"/>
      <c r="P268" s="41"/>
      <c r="Q268" s="41"/>
      <c r="R268" s="41"/>
      <c r="S268" s="41"/>
      <c r="T268" s="41"/>
      <c r="U268" s="41"/>
      <c r="V268" s="41"/>
      <c r="W268" s="41"/>
      <c r="X268" s="41"/>
      <c r="Y268" s="41"/>
      <c r="Z268" s="41"/>
      <c r="AA268" s="41"/>
      <c r="AB268" s="41"/>
      <c r="AC268" s="41"/>
      <c r="AD268" s="41"/>
      <c r="AE268" s="41"/>
      <c r="AF268" s="41"/>
      <c r="AG268" s="41"/>
      <c r="AH268" s="41"/>
      <c r="AI268" s="41"/>
    </row>
    <row r="269" spans="1:35" ht="15.75" customHeight="1" x14ac:dyDescent="0.2">
      <c r="A269" s="41"/>
      <c r="B269" s="41"/>
      <c r="C269" s="41"/>
      <c r="D269" s="72"/>
      <c r="E269" s="41"/>
      <c r="F269" s="41"/>
      <c r="G269" s="41"/>
      <c r="H269" s="41"/>
      <c r="I269" s="41"/>
      <c r="J269" s="41"/>
      <c r="K269" s="41"/>
      <c r="L269" s="41"/>
      <c r="M269" s="41"/>
      <c r="N269" s="41"/>
      <c r="O269" s="41"/>
      <c r="P269" s="41"/>
      <c r="Q269" s="41"/>
      <c r="R269" s="41"/>
      <c r="S269" s="41"/>
      <c r="T269" s="41"/>
      <c r="U269" s="41"/>
      <c r="V269" s="41"/>
      <c r="W269" s="41"/>
      <c r="X269" s="41"/>
      <c r="Y269" s="41"/>
      <c r="Z269" s="41"/>
      <c r="AA269" s="41"/>
      <c r="AB269" s="41"/>
      <c r="AC269" s="41"/>
      <c r="AD269" s="41"/>
      <c r="AE269" s="41"/>
      <c r="AF269" s="41"/>
      <c r="AG269" s="41"/>
      <c r="AH269" s="41"/>
      <c r="AI269" s="41"/>
    </row>
    <row r="270" spans="1:35" ht="15.75" customHeight="1" x14ac:dyDescent="0.2">
      <c r="A270" s="41"/>
      <c r="B270" s="41"/>
      <c r="C270" s="41"/>
      <c r="D270" s="72"/>
      <c r="E270" s="41"/>
      <c r="F270" s="41"/>
      <c r="G270" s="41"/>
      <c r="H270" s="41"/>
      <c r="I270" s="41"/>
      <c r="J270" s="41"/>
      <c r="K270" s="41"/>
      <c r="L270" s="41"/>
      <c r="M270" s="41"/>
      <c r="N270" s="41"/>
      <c r="O270" s="41"/>
      <c r="P270" s="41"/>
      <c r="Q270" s="41"/>
      <c r="R270" s="41"/>
      <c r="S270" s="41"/>
      <c r="T270" s="41"/>
      <c r="U270" s="41"/>
      <c r="V270" s="41"/>
      <c r="W270" s="41"/>
      <c r="X270" s="41"/>
      <c r="Y270" s="41"/>
      <c r="Z270" s="41"/>
      <c r="AA270" s="41"/>
      <c r="AB270" s="41"/>
      <c r="AC270" s="41"/>
      <c r="AD270" s="41"/>
      <c r="AE270" s="41"/>
      <c r="AF270" s="41"/>
      <c r="AG270" s="41"/>
      <c r="AH270" s="41"/>
      <c r="AI270" s="41"/>
    </row>
    <row r="271" spans="1:35" ht="15.75" customHeight="1" x14ac:dyDescent="0.2">
      <c r="A271" s="41"/>
      <c r="B271" s="41"/>
      <c r="C271" s="41"/>
      <c r="D271" s="72"/>
      <c r="E271" s="41"/>
      <c r="F271" s="41"/>
      <c r="G271" s="41"/>
      <c r="H271" s="41"/>
      <c r="I271" s="41"/>
      <c r="J271" s="41"/>
      <c r="K271" s="41"/>
      <c r="L271" s="41"/>
      <c r="M271" s="41"/>
      <c r="N271" s="41"/>
      <c r="O271" s="41"/>
      <c r="P271" s="41"/>
      <c r="Q271" s="41"/>
      <c r="R271" s="41"/>
      <c r="S271" s="41"/>
      <c r="T271" s="41"/>
      <c r="U271" s="41"/>
      <c r="V271" s="41"/>
      <c r="W271" s="41"/>
      <c r="X271" s="41"/>
      <c r="Y271" s="41"/>
      <c r="Z271" s="41"/>
      <c r="AA271" s="41"/>
      <c r="AB271" s="41"/>
      <c r="AC271" s="41"/>
      <c r="AD271" s="41"/>
      <c r="AE271" s="41"/>
      <c r="AF271" s="41"/>
      <c r="AG271" s="41"/>
      <c r="AH271" s="41"/>
      <c r="AI271" s="41"/>
    </row>
    <row r="272" spans="1:35" ht="15.75" customHeight="1" x14ac:dyDescent="0.2">
      <c r="A272" s="41"/>
      <c r="B272" s="41"/>
      <c r="C272" s="41"/>
      <c r="D272" s="72"/>
      <c r="E272" s="41"/>
      <c r="F272" s="41"/>
      <c r="G272" s="41"/>
      <c r="H272" s="41"/>
      <c r="I272" s="41"/>
      <c r="J272" s="41"/>
      <c r="K272" s="41"/>
      <c r="L272" s="41"/>
      <c r="M272" s="41"/>
      <c r="N272" s="41"/>
      <c r="O272" s="41"/>
      <c r="P272" s="41"/>
      <c r="Q272" s="41"/>
      <c r="R272" s="41"/>
      <c r="S272" s="41"/>
      <c r="T272" s="41"/>
      <c r="U272" s="41"/>
      <c r="V272" s="41"/>
      <c r="W272" s="41"/>
      <c r="X272" s="41"/>
      <c r="Y272" s="41"/>
      <c r="Z272" s="41"/>
      <c r="AA272" s="41"/>
      <c r="AB272" s="41"/>
      <c r="AC272" s="41"/>
      <c r="AD272" s="41"/>
      <c r="AE272" s="41"/>
      <c r="AF272" s="41"/>
      <c r="AG272" s="41"/>
      <c r="AH272" s="41"/>
      <c r="AI272" s="41"/>
    </row>
    <row r="273" spans="1:35" ht="15.75" customHeight="1" x14ac:dyDescent="0.2">
      <c r="A273" s="41"/>
      <c r="B273" s="41"/>
      <c r="C273" s="41"/>
      <c r="D273" s="72"/>
      <c r="E273" s="41"/>
      <c r="F273" s="41"/>
      <c r="G273" s="41"/>
      <c r="H273" s="41"/>
      <c r="I273" s="41"/>
      <c r="J273" s="41"/>
      <c r="K273" s="41"/>
      <c r="L273" s="41"/>
      <c r="M273" s="41"/>
      <c r="N273" s="41"/>
      <c r="O273" s="41"/>
      <c r="P273" s="41"/>
      <c r="Q273" s="41"/>
      <c r="R273" s="41"/>
      <c r="S273" s="41"/>
      <c r="T273" s="41"/>
      <c r="U273" s="41"/>
      <c r="V273" s="41"/>
      <c r="W273" s="41"/>
      <c r="X273" s="41"/>
      <c r="Y273" s="41"/>
      <c r="Z273" s="41"/>
      <c r="AA273" s="41"/>
      <c r="AB273" s="41"/>
      <c r="AC273" s="41"/>
      <c r="AD273" s="41"/>
      <c r="AE273" s="41"/>
      <c r="AF273" s="41"/>
      <c r="AG273" s="41"/>
      <c r="AH273" s="41"/>
      <c r="AI273" s="41"/>
    </row>
    <row r="274" spans="1:35" ht="15.75" customHeight="1" x14ac:dyDescent="0.2">
      <c r="A274" s="41"/>
      <c r="B274" s="41"/>
      <c r="C274" s="41"/>
      <c r="D274" s="72"/>
      <c r="E274" s="41"/>
      <c r="F274" s="41"/>
      <c r="G274" s="41"/>
      <c r="H274" s="41"/>
      <c r="I274" s="41"/>
      <c r="J274" s="41"/>
      <c r="K274" s="41"/>
      <c r="L274" s="41"/>
      <c r="M274" s="41"/>
      <c r="N274" s="41"/>
      <c r="O274" s="41"/>
      <c r="P274" s="41"/>
      <c r="Q274" s="41"/>
      <c r="R274" s="41"/>
      <c r="S274" s="41"/>
      <c r="T274" s="41"/>
      <c r="U274" s="41"/>
      <c r="V274" s="41"/>
      <c r="W274" s="41"/>
      <c r="X274" s="41"/>
      <c r="Y274" s="41"/>
      <c r="Z274" s="41"/>
      <c r="AA274" s="41"/>
      <c r="AB274" s="41"/>
      <c r="AC274" s="41"/>
      <c r="AD274" s="41"/>
      <c r="AE274" s="41"/>
      <c r="AF274" s="41"/>
      <c r="AG274" s="41"/>
      <c r="AH274" s="41"/>
      <c r="AI274" s="41"/>
    </row>
    <row r="275" spans="1:35" ht="15.75" customHeight="1" x14ac:dyDescent="0.2">
      <c r="A275" s="41"/>
      <c r="B275" s="41"/>
      <c r="C275" s="41"/>
      <c r="D275" s="72"/>
      <c r="E275" s="41"/>
      <c r="F275" s="41"/>
      <c r="G275" s="41"/>
      <c r="H275" s="41"/>
      <c r="I275" s="41"/>
      <c r="J275" s="41"/>
      <c r="K275" s="41"/>
      <c r="L275" s="41"/>
      <c r="M275" s="41"/>
      <c r="N275" s="41"/>
      <c r="O275" s="41"/>
      <c r="P275" s="41"/>
      <c r="Q275" s="41"/>
      <c r="R275" s="41"/>
      <c r="S275" s="41"/>
      <c r="T275" s="41"/>
      <c r="U275" s="41"/>
      <c r="V275" s="41"/>
      <c r="W275" s="41"/>
      <c r="X275" s="41"/>
      <c r="Y275" s="41"/>
      <c r="Z275" s="41"/>
      <c r="AA275" s="41"/>
      <c r="AB275" s="41"/>
      <c r="AC275" s="41"/>
      <c r="AD275" s="41"/>
      <c r="AE275" s="41"/>
      <c r="AF275" s="41"/>
      <c r="AG275" s="41"/>
      <c r="AH275" s="41"/>
      <c r="AI275" s="41"/>
    </row>
    <row r="276" spans="1:35" ht="15.75" customHeight="1" x14ac:dyDescent="0.2">
      <c r="A276" s="41"/>
      <c r="B276" s="41"/>
      <c r="C276" s="41"/>
      <c r="D276" s="72"/>
      <c r="E276" s="41"/>
      <c r="F276" s="41"/>
      <c r="G276" s="41"/>
      <c r="H276" s="41"/>
      <c r="I276" s="41"/>
      <c r="J276" s="41"/>
      <c r="K276" s="41"/>
      <c r="L276" s="41"/>
      <c r="M276" s="41"/>
      <c r="N276" s="41"/>
      <c r="O276" s="41"/>
      <c r="P276" s="41"/>
      <c r="Q276" s="41"/>
      <c r="R276" s="41"/>
      <c r="S276" s="41"/>
      <c r="T276" s="41"/>
      <c r="U276" s="41"/>
      <c r="V276" s="41"/>
      <c r="W276" s="41"/>
      <c r="X276" s="41"/>
      <c r="Y276" s="41"/>
      <c r="Z276" s="41"/>
      <c r="AA276" s="41"/>
      <c r="AB276" s="41"/>
      <c r="AC276" s="41"/>
      <c r="AD276" s="41"/>
      <c r="AE276" s="41"/>
      <c r="AF276" s="41"/>
      <c r="AG276" s="41"/>
      <c r="AH276" s="41"/>
      <c r="AI276" s="41"/>
    </row>
    <row r="277" spans="1:35" ht="15.75" customHeight="1" x14ac:dyDescent="0.2">
      <c r="A277" s="41"/>
      <c r="B277" s="41"/>
      <c r="C277" s="41"/>
      <c r="D277" s="72"/>
      <c r="E277" s="41"/>
      <c r="F277" s="41"/>
      <c r="G277" s="41"/>
      <c r="H277" s="41"/>
      <c r="I277" s="41"/>
      <c r="J277" s="41"/>
      <c r="K277" s="41"/>
      <c r="L277" s="41"/>
      <c r="M277" s="41"/>
      <c r="N277" s="41"/>
      <c r="O277" s="41"/>
      <c r="P277" s="41"/>
      <c r="Q277" s="41"/>
      <c r="R277" s="41"/>
      <c r="S277" s="41"/>
      <c r="T277" s="41"/>
      <c r="U277" s="41"/>
      <c r="V277" s="41"/>
      <c r="W277" s="41"/>
      <c r="X277" s="41"/>
      <c r="Y277" s="41"/>
      <c r="Z277" s="41"/>
      <c r="AA277" s="41"/>
      <c r="AB277" s="41"/>
      <c r="AC277" s="41"/>
      <c r="AD277" s="41"/>
      <c r="AE277" s="41"/>
      <c r="AF277" s="41"/>
      <c r="AG277" s="41"/>
      <c r="AH277" s="41"/>
      <c r="AI277" s="41"/>
    </row>
    <row r="278" spans="1:35" ht="15.75" customHeight="1" x14ac:dyDescent="0.2">
      <c r="A278" s="41"/>
      <c r="B278" s="41"/>
      <c r="C278" s="41"/>
      <c r="D278" s="72"/>
      <c r="E278" s="41"/>
      <c r="F278" s="41"/>
      <c r="G278" s="41"/>
      <c r="H278" s="41"/>
      <c r="I278" s="41"/>
      <c r="J278" s="41"/>
      <c r="K278" s="41"/>
      <c r="L278" s="41"/>
      <c r="M278" s="41"/>
      <c r="N278" s="41"/>
      <c r="O278" s="41"/>
      <c r="P278" s="41"/>
      <c r="Q278" s="41"/>
      <c r="R278" s="41"/>
      <c r="S278" s="41"/>
      <c r="T278" s="41"/>
      <c r="U278" s="41"/>
      <c r="V278" s="41"/>
      <c r="W278" s="41"/>
      <c r="X278" s="41"/>
      <c r="Y278" s="41"/>
      <c r="Z278" s="41"/>
      <c r="AA278" s="41"/>
      <c r="AB278" s="41"/>
      <c r="AC278" s="41"/>
      <c r="AD278" s="41"/>
      <c r="AE278" s="41"/>
      <c r="AF278" s="41"/>
      <c r="AG278" s="41"/>
      <c r="AH278" s="41"/>
      <c r="AI278" s="41"/>
    </row>
    <row r="279" spans="1:35" ht="15.75" customHeight="1" x14ac:dyDescent="0.2">
      <c r="A279" s="41"/>
      <c r="B279" s="41"/>
      <c r="C279" s="41"/>
      <c r="D279" s="72"/>
      <c r="E279" s="41"/>
      <c r="F279" s="41"/>
      <c r="G279" s="41"/>
      <c r="H279" s="41"/>
      <c r="I279" s="41"/>
      <c r="J279" s="41"/>
      <c r="K279" s="41"/>
      <c r="L279" s="41"/>
      <c r="M279" s="41"/>
      <c r="N279" s="41"/>
      <c r="O279" s="41"/>
      <c r="P279" s="41"/>
      <c r="Q279" s="41"/>
      <c r="R279" s="41"/>
      <c r="S279" s="41"/>
      <c r="T279" s="41"/>
      <c r="U279" s="41"/>
      <c r="V279" s="41"/>
      <c r="W279" s="41"/>
      <c r="X279" s="41"/>
      <c r="Y279" s="41"/>
      <c r="Z279" s="41"/>
      <c r="AA279" s="41"/>
      <c r="AB279" s="41"/>
      <c r="AC279" s="41"/>
      <c r="AD279" s="41"/>
      <c r="AE279" s="41"/>
      <c r="AF279" s="41"/>
      <c r="AG279" s="41"/>
      <c r="AH279" s="41"/>
      <c r="AI279" s="41"/>
    </row>
    <row r="280" spans="1:35" ht="15.75" customHeight="1" x14ac:dyDescent="0.2">
      <c r="A280" s="41"/>
      <c r="B280" s="41"/>
      <c r="C280" s="41"/>
      <c r="D280" s="72"/>
      <c r="E280" s="41"/>
      <c r="F280" s="41"/>
      <c r="G280" s="41"/>
      <c r="H280" s="41"/>
      <c r="I280" s="41"/>
      <c r="J280" s="41"/>
      <c r="K280" s="41"/>
      <c r="L280" s="41"/>
      <c r="M280" s="41"/>
      <c r="N280" s="41"/>
      <c r="O280" s="41"/>
      <c r="P280" s="41"/>
      <c r="Q280" s="41"/>
      <c r="R280" s="41"/>
      <c r="S280" s="41"/>
      <c r="T280" s="41"/>
      <c r="U280" s="41"/>
      <c r="V280" s="41"/>
      <c r="W280" s="41"/>
      <c r="X280" s="41"/>
      <c r="Y280" s="41"/>
      <c r="Z280" s="41"/>
      <c r="AA280" s="41"/>
      <c r="AB280" s="41"/>
      <c r="AC280" s="41"/>
      <c r="AD280" s="41"/>
      <c r="AE280" s="41"/>
      <c r="AF280" s="41"/>
      <c r="AG280" s="41"/>
      <c r="AH280" s="41"/>
      <c r="AI280" s="41"/>
    </row>
    <row r="281" spans="1:35" ht="15.75" customHeight="1" x14ac:dyDescent="0.2">
      <c r="A281" s="41"/>
      <c r="B281" s="41"/>
      <c r="C281" s="41"/>
      <c r="D281" s="72"/>
      <c r="E281" s="41"/>
      <c r="F281" s="41"/>
      <c r="G281" s="41"/>
      <c r="H281" s="41"/>
      <c r="I281" s="41"/>
      <c r="J281" s="41"/>
      <c r="K281" s="41"/>
      <c r="L281" s="41"/>
      <c r="M281" s="41"/>
      <c r="N281" s="41"/>
      <c r="O281" s="41"/>
      <c r="P281" s="41"/>
      <c r="Q281" s="41"/>
      <c r="R281" s="41"/>
      <c r="S281" s="41"/>
      <c r="T281" s="41"/>
      <c r="U281" s="41"/>
      <c r="V281" s="41"/>
      <c r="W281" s="41"/>
      <c r="X281" s="41"/>
      <c r="Y281" s="41"/>
      <c r="Z281" s="41"/>
      <c r="AA281" s="41"/>
      <c r="AB281" s="41"/>
      <c r="AC281" s="41"/>
      <c r="AD281" s="41"/>
      <c r="AE281" s="41"/>
      <c r="AF281" s="41"/>
      <c r="AG281" s="41"/>
      <c r="AH281" s="41"/>
      <c r="AI281" s="41"/>
    </row>
    <row r="282" spans="1:35" ht="15.75" customHeight="1" x14ac:dyDescent="0.2">
      <c r="A282" s="41"/>
      <c r="B282" s="41"/>
      <c r="C282" s="41"/>
      <c r="D282" s="72"/>
      <c r="E282" s="41"/>
      <c r="F282" s="41"/>
      <c r="G282" s="41"/>
      <c r="H282" s="41"/>
      <c r="I282" s="41"/>
      <c r="J282" s="41"/>
      <c r="K282" s="41"/>
      <c r="L282" s="41"/>
      <c r="M282" s="41"/>
      <c r="N282" s="41"/>
      <c r="O282" s="41"/>
      <c r="P282" s="41"/>
      <c r="Q282" s="41"/>
      <c r="R282" s="41"/>
      <c r="S282" s="41"/>
      <c r="T282" s="41"/>
      <c r="U282" s="41"/>
      <c r="V282" s="41"/>
      <c r="W282" s="41"/>
      <c r="X282" s="41"/>
      <c r="Y282" s="41"/>
      <c r="Z282" s="41"/>
      <c r="AA282" s="41"/>
      <c r="AB282" s="41"/>
      <c r="AC282" s="41"/>
      <c r="AD282" s="41"/>
      <c r="AE282" s="41"/>
      <c r="AF282" s="41"/>
      <c r="AG282" s="41"/>
      <c r="AH282" s="41"/>
      <c r="AI282" s="41"/>
    </row>
    <row r="283" spans="1:35" ht="15.75" customHeight="1" x14ac:dyDescent="0.2">
      <c r="A283" s="41"/>
      <c r="B283" s="41"/>
      <c r="C283" s="41"/>
      <c r="D283" s="72"/>
      <c r="E283" s="41"/>
      <c r="F283" s="41"/>
      <c r="G283" s="41"/>
      <c r="H283" s="41"/>
      <c r="I283" s="41"/>
      <c r="J283" s="41"/>
      <c r="K283" s="41"/>
      <c r="L283" s="41"/>
      <c r="M283" s="41"/>
      <c r="N283" s="41"/>
      <c r="O283" s="41"/>
      <c r="P283" s="41"/>
      <c r="Q283" s="41"/>
      <c r="R283" s="41"/>
      <c r="S283" s="41"/>
      <c r="T283" s="41"/>
      <c r="U283" s="41"/>
      <c r="V283" s="41"/>
      <c r="W283" s="41"/>
      <c r="X283" s="41"/>
      <c r="Y283" s="41"/>
      <c r="Z283" s="41"/>
      <c r="AA283" s="41"/>
      <c r="AB283" s="41"/>
      <c r="AC283" s="41"/>
      <c r="AD283" s="41"/>
      <c r="AE283" s="41"/>
      <c r="AF283" s="41"/>
      <c r="AG283" s="41"/>
      <c r="AH283" s="41"/>
      <c r="AI283" s="41"/>
    </row>
    <row r="284" spans="1:35" ht="15.75" customHeight="1" x14ac:dyDescent="0.2">
      <c r="A284" s="41"/>
      <c r="B284" s="41"/>
      <c r="C284" s="41"/>
      <c r="D284" s="72"/>
      <c r="E284" s="41"/>
      <c r="F284" s="41"/>
      <c r="G284" s="41"/>
      <c r="H284" s="41"/>
      <c r="I284" s="41"/>
      <c r="J284" s="41"/>
      <c r="K284" s="41"/>
      <c r="L284" s="41"/>
      <c r="M284" s="41"/>
      <c r="N284" s="41"/>
      <c r="O284" s="41"/>
      <c r="P284" s="41"/>
      <c r="Q284" s="41"/>
      <c r="R284" s="41"/>
      <c r="S284" s="41"/>
      <c r="T284" s="41"/>
      <c r="U284" s="41"/>
      <c r="V284" s="41"/>
      <c r="W284" s="41"/>
      <c r="X284" s="41"/>
      <c r="Y284" s="41"/>
      <c r="Z284" s="41"/>
      <c r="AA284" s="41"/>
      <c r="AB284" s="41"/>
      <c r="AC284" s="41"/>
      <c r="AD284" s="41"/>
      <c r="AE284" s="41"/>
      <c r="AF284" s="41"/>
      <c r="AG284" s="41"/>
      <c r="AH284" s="41"/>
      <c r="AI284" s="41"/>
    </row>
    <row r="285" spans="1:35" ht="15.75" customHeight="1" x14ac:dyDescent="0.2">
      <c r="A285" s="41"/>
      <c r="B285" s="41"/>
      <c r="C285" s="41"/>
      <c r="D285" s="72"/>
      <c r="E285" s="41"/>
      <c r="F285" s="41"/>
      <c r="G285" s="41"/>
      <c r="H285" s="41"/>
      <c r="I285" s="41"/>
      <c r="J285" s="41"/>
      <c r="K285" s="41"/>
      <c r="L285" s="41"/>
      <c r="M285" s="41"/>
      <c r="N285" s="41"/>
      <c r="O285" s="41"/>
      <c r="P285" s="41"/>
      <c r="Q285" s="41"/>
      <c r="R285" s="41"/>
      <c r="S285" s="41"/>
      <c r="T285" s="41"/>
      <c r="U285" s="41"/>
      <c r="V285" s="41"/>
      <c r="W285" s="41"/>
      <c r="X285" s="41"/>
      <c r="Y285" s="41"/>
      <c r="Z285" s="41"/>
      <c r="AA285" s="41"/>
      <c r="AB285" s="41"/>
      <c r="AC285" s="41"/>
      <c r="AD285" s="41"/>
      <c r="AE285" s="41"/>
      <c r="AF285" s="41"/>
      <c r="AG285" s="41"/>
      <c r="AH285" s="41"/>
      <c r="AI285" s="41"/>
    </row>
    <row r="286" spans="1:35" ht="15.75" customHeight="1" x14ac:dyDescent="0.2">
      <c r="A286" s="41"/>
      <c r="B286" s="41"/>
      <c r="C286" s="41"/>
      <c r="D286" s="72"/>
      <c r="E286" s="41"/>
      <c r="F286" s="41"/>
      <c r="G286" s="41"/>
      <c r="H286" s="41"/>
      <c r="I286" s="41"/>
      <c r="J286" s="41"/>
      <c r="K286" s="41"/>
      <c r="L286" s="41"/>
      <c r="M286" s="41"/>
      <c r="N286" s="41"/>
      <c r="O286" s="41"/>
      <c r="P286" s="41"/>
      <c r="Q286" s="41"/>
      <c r="R286" s="41"/>
      <c r="S286" s="41"/>
      <c r="T286" s="41"/>
      <c r="U286" s="41"/>
      <c r="V286" s="41"/>
      <c r="W286" s="41"/>
      <c r="X286" s="41"/>
      <c r="Y286" s="41"/>
      <c r="Z286" s="41"/>
      <c r="AA286" s="41"/>
      <c r="AB286" s="41"/>
      <c r="AC286" s="41"/>
      <c r="AD286" s="41"/>
      <c r="AE286" s="41"/>
      <c r="AF286" s="41"/>
      <c r="AG286" s="41"/>
      <c r="AH286" s="41"/>
      <c r="AI286" s="41"/>
    </row>
    <row r="287" spans="1:35" ht="15.75" customHeight="1" x14ac:dyDescent="0.2">
      <c r="A287" s="41"/>
      <c r="B287" s="41"/>
      <c r="C287" s="41"/>
      <c r="D287" s="72"/>
      <c r="E287" s="41"/>
      <c r="F287" s="41"/>
      <c r="G287" s="41"/>
      <c r="H287" s="41"/>
      <c r="I287" s="41"/>
      <c r="J287" s="41"/>
      <c r="K287" s="41"/>
      <c r="L287" s="41"/>
      <c r="M287" s="41"/>
      <c r="N287" s="41"/>
      <c r="O287" s="41"/>
      <c r="P287" s="41"/>
      <c r="Q287" s="41"/>
      <c r="R287" s="41"/>
      <c r="S287" s="41"/>
      <c r="T287" s="41"/>
      <c r="U287" s="41"/>
      <c r="V287" s="41"/>
      <c r="W287" s="41"/>
      <c r="X287" s="41"/>
      <c r="Y287" s="41"/>
      <c r="Z287" s="41"/>
      <c r="AA287" s="41"/>
      <c r="AB287" s="41"/>
      <c r="AC287" s="41"/>
      <c r="AD287" s="41"/>
      <c r="AE287" s="41"/>
      <c r="AF287" s="41"/>
      <c r="AG287" s="41"/>
      <c r="AH287" s="41"/>
      <c r="AI287" s="41"/>
    </row>
    <row r="288" spans="1:35" ht="15.75" customHeight="1" x14ac:dyDescent="0.2">
      <c r="A288" s="41"/>
      <c r="B288" s="41"/>
      <c r="C288" s="41"/>
      <c r="D288" s="72"/>
      <c r="E288" s="41"/>
      <c r="F288" s="41"/>
      <c r="G288" s="41"/>
      <c r="H288" s="41"/>
      <c r="I288" s="41"/>
      <c r="J288" s="41"/>
      <c r="K288" s="41"/>
      <c r="L288" s="41"/>
      <c r="M288" s="41"/>
      <c r="N288" s="41"/>
      <c r="O288" s="41"/>
      <c r="P288" s="41"/>
      <c r="Q288" s="41"/>
      <c r="R288" s="41"/>
      <c r="S288" s="41"/>
      <c r="T288" s="41"/>
      <c r="U288" s="41"/>
      <c r="V288" s="41"/>
      <c r="W288" s="41"/>
      <c r="X288" s="41"/>
      <c r="Y288" s="41"/>
      <c r="Z288" s="41"/>
      <c r="AA288" s="41"/>
      <c r="AB288" s="41"/>
      <c r="AC288" s="41"/>
      <c r="AD288" s="41"/>
      <c r="AE288" s="41"/>
      <c r="AF288" s="41"/>
      <c r="AG288" s="41"/>
      <c r="AH288" s="41"/>
      <c r="AI288" s="41"/>
    </row>
    <row r="289" spans="1:35" ht="15.75" customHeight="1" x14ac:dyDescent="0.2">
      <c r="A289" s="41"/>
      <c r="B289" s="41"/>
      <c r="C289" s="41"/>
      <c r="D289" s="72"/>
      <c r="E289" s="41"/>
      <c r="F289" s="41"/>
      <c r="G289" s="41"/>
      <c r="H289" s="41"/>
      <c r="I289" s="41"/>
      <c r="J289" s="41"/>
      <c r="K289" s="41"/>
      <c r="L289" s="41"/>
      <c r="M289" s="41"/>
      <c r="N289" s="41"/>
      <c r="O289" s="41"/>
      <c r="P289" s="41"/>
      <c r="Q289" s="41"/>
      <c r="R289" s="41"/>
      <c r="S289" s="41"/>
      <c r="T289" s="41"/>
      <c r="U289" s="41"/>
      <c r="V289" s="41"/>
      <c r="W289" s="41"/>
      <c r="X289" s="41"/>
      <c r="Y289" s="41"/>
      <c r="Z289" s="41"/>
      <c r="AA289" s="41"/>
      <c r="AB289" s="41"/>
      <c r="AC289" s="41"/>
      <c r="AD289" s="41"/>
      <c r="AE289" s="41"/>
      <c r="AF289" s="41"/>
      <c r="AG289" s="41"/>
      <c r="AH289" s="41"/>
      <c r="AI289" s="41"/>
    </row>
    <row r="290" spans="1:35" ht="15.75" customHeight="1" x14ac:dyDescent="0.2">
      <c r="A290" s="41"/>
      <c r="B290" s="41"/>
      <c r="C290" s="41"/>
      <c r="D290" s="72"/>
      <c r="E290" s="41"/>
      <c r="F290" s="41"/>
      <c r="G290" s="41"/>
      <c r="H290" s="41"/>
      <c r="I290" s="41"/>
      <c r="J290" s="41"/>
      <c r="K290" s="41"/>
      <c r="L290" s="41"/>
      <c r="M290" s="41"/>
      <c r="N290" s="41"/>
      <c r="O290" s="41"/>
      <c r="P290" s="41"/>
      <c r="Q290" s="41"/>
      <c r="R290" s="41"/>
      <c r="S290" s="41"/>
      <c r="T290" s="41"/>
      <c r="U290" s="41"/>
      <c r="V290" s="41"/>
      <c r="W290" s="41"/>
      <c r="X290" s="41"/>
      <c r="Y290" s="41"/>
      <c r="Z290" s="41"/>
      <c r="AA290" s="41"/>
      <c r="AB290" s="41"/>
      <c r="AC290" s="41"/>
      <c r="AD290" s="41"/>
      <c r="AE290" s="41"/>
      <c r="AF290" s="41"/>
      <c r="AG290" s="41"/>
      <c r="AH290" s="41"/>
      <c r="AI290" s="41"/>
    </row>
    <row r="291" spans="1:35" ht="15.75" customHeight="1" x14ac:dyDescent="0.2">
      <c r="A291" s="41"/>
      <c r="B291" s="41"/>
      <c r="C291" s="41"/>
      <c r="D291" s="72"/>
      <c r="E291" s="41"/>
      <c r="F291" s="41"/>
      <c r="G291" s="41"/>
      <c r="H291" s="41"/>
      <c r="I291" s="41"/>
      <c r="J291" s="41"/>
      <c r="K291" s="41"/>
      <c r="L291" s="41"/>
      <c r="M291" s="41"/>
      <c r="N291" s="41"/>
      <c r="O291" s="41"/>
      <c r="P291" s="41"/>
      <c r="Q291" s="41"/>
      <c r="R291" s="41"/>
      <c r="S291" s="41"/>
      <c r="T291" s="41"/>
      <c r="U291" s="41"/>
      <c r="V291" s="41"/>
      <c r="W291" s="41"/>
      <c r="X291" s="41"/>
      <c r="Y291" s="41"/>
      <c r="Z291" s="41"/>
      <c r="AA291" s="41"/>
      <c r="AB291" s="41"/>
      <c r="AC291" s="41"/>
      <c r="AD291" s="41"/>
      <c r="AE291" s="41"/>
      <c r="AF291" s="41"/>
      <c r="AG291" s="41"/>
      <c r="AH291" s="41"/>
      <c r="AI291" s="41"/>
    </row>
    <row r="292" spans="1:35" ht="15.75" customHeight="1" x14ac:dyDescent="0.2">
      <c r="A292" s="41"/>
      <c r="B292" s="41"/>
      <c r="C292" s="41"/>
      <c r="D292" s="72"/>
      <c r="E292" s="41"/>
      <c r="F292" s="41"/>
      <c r="G292" s="41"/>
      <c r="H292" s="41"/>
      <c r="I292" s="41"/>
      <c r="J292" s="41"/>
      <c r="K292" s="41"/>
      <c r="L292" s="41"/>
      <c r="M292" s="41"/>
      <c r="N292" s="41"/>
      <c r="O292" s="41"/>
      <c r="P292" s="41"/>
      <c r="Q292" s="41"/>
      <c r="R292" s="41"/>
      <c r="S292" s="41"/>
      <c r="T292" s="41"/>
      <c r="U292" s="41"/>
      <c r="V292" s="41"/>
      <c r="W292" s="41"/>
      <c r="X292" s="41"/>
      <c r="Y292" s="41"/>
      <c r="Z292" s="41"/>
      <c r="AA292" s="41"/>
      <c r="AB292" s="41"/>
      <c r="AC292" s="41"/>
      <c r="AD292" s="41"/>
      <c r="AE292" s="41"/>
      <c r="AF292" s="41"/>
      <c r="AG292" s="41"/>
      <c r="AH292" s="41"/>
      <c r="AI292" s="41"/>
    </row>
    <row r="293" spans="1:35" ht="15.75" customHeight="1" x14ac:dyDescent="0.2">
      <c r="A293" s="41"/>
      <c r="B293" s="41"/>
      <c r="C293" s="41"/>
      <c r="D293" s="72"/>
      <c r="E293" s="41"/>
      <c r="F293" s="41"/>
      <c r="G293" s="41"/>
      <c r="H293" s="41"/>
      <c r="I293" s="41"/>
      <c r="J293" s="41"/>
      <c r="K293" s="41"/>
      <c r="L293" s="41"/>
      <c r="M293" s="41"/>
      <c r="N293" s="41"/>
      <c r="O293" s="41"/>
      <c r="P293" s="41"/>
      <c r="Q293" s="41"/>
      <c r="R293" s="41"/>
      <c r="S293" s="41"/>
      <c r="T293" s="41"/>
      <c r="U293" s="41"/>
      <c r="V293" s="41"/>
      <c r="W293" s="41"/>
      <c r="X293" s="41"/>
      <c r="Y293" s="41"/>
      <c r="Z293" s="41"/>
      <c r="AA293" s="41"/>
      <c r="AB293" s="41"/>
      <c r="AC293" s="41"/>
      <c r="AD293" s="41"/>
      <c r="AE293" s="41"/>
      <c r="AF293" s="41"/>
      <c r="AG293" s="41"/>
      <c r="AH293" s="41"/>
      <c r="AI293" s="41"/>
    </row>
    <row r="294" spans="1:35" ht="15.75" customHeight="1" x14ac:dyDescent="0.2">
      <c r="A294" s="41"/>
      <c r="B294" s="41"/>
      <c r="C294" s="41"/>
      <c r="D294" s="72"/>
      <c r="E294" s="41"/>
      <c r="F294" s="41"/>
      <c r="G294" s="41"/>
      <c r="H294" s="41"/>
      <c r="I294" s="41"/>
      <c r="J294" s="41"/>
      <c r="K294" s="41"/>
      <c r="L294" s="41"/>
      <c r="M294" s="41"/>
      <c r="N294" s="41"/>
      <c r="O294" s="41"/>
      <c r="P294" s="41"/>
      <c r="Q294" s="41"/>
      <c r="R294" s="41"/>
      <c r="S294" s="41"/>
      <c r="T294" s="41"/>
      <c r="U294" s="41"/>
      <c r="V294" s="41"/>
      <c r="W294" s="41"/>
      <c r="X294" s="41"/>
      <c r="Y294" s="41"/>
      <c r="Z294" s="41"/>
      <c r="AA294" s="41"/>
      <c r="AB294" s="41"/>
      <c r="AC294" s="41"/>
      <c r="AD294" s="41"/>
      <c r="AE294" s="41"/>
      <c r="AF294" s="41"/>
      <c r="AG294" s="41"/>
      <c r="AH294" s="41"/>
      <c r="AI294" s="41"/>
    </row>
    <row r="295" spans="1:35" ht="15.75" customHeight="1" x14ac:dyDescent="0.2">
      <c r="A295" s="41"/>
      <c r="B295" s="41"/>
      <c r="C295" s="41"/>
      <c r="D295" s="72"/>
      <c r="E295" s="41"/>
      <c r="F295" s="41"/>
      <c r="G295" s="41"/>
      <c r="H295" s="41"/>
      <c r="I295" s="41"/>
      <c r="J295" s="41"/>
      <c r="K295" s="41"/>
      <c r="L295" s="41"/>
      <c r="M295" s="41"/>
      <c r="N295" s="41"/>
      <c r="O295" s="41"/>
      <c r="P295" s="41"/>
      <c r="Q295" s="41"/>
      <c r="R295" s="41"/>
      <c r="S295" s="41"/>
      <c r="T295" s="41"/>
      <c r="U295" s="41"/>
      <c r="V295" s="41"/>
      <c r="W295" s="41"/>
      <c r="X295" s="41"/>
      <c r="Y295" s="41"/>
      <c r="Z295" s="41"/>
      <c r="AA295" s="41"/>
      <c r="AB295" s="41"/>
      <c r="AC295" s="41"/>
      <c r="AD295" s="41"/>
      <c r="AE295" s="41"/>
      <c r="AF295" s="41"/>
      <c r="AG295" s="41"/>
      <c r="AH295" s="41"/>
      <c r="AI295" s="41"/>
    </row>
    <row r="296" spans="1:35" ht="15.75" customHeight="1" x14ac:dyDescent="0.2">
      <c r="A296" s="41"/>
      <c r="B296" s="41"/>
      <c r="C296" s="41"/>
      <c r="D296" s="72"/>
      <c r="E296" s="41"/>
      <c r="F296" s="41"/>
      <c r="G296" s="41"/>
      <c r="H296" s="41"/>
      <c r="I296" s="41"/>
      <c r="J296" s="41"/>
      <c r="K296" s="41"/>
      <c r="L296" s="41"/>
      <c r="M296" s="41"/>
      <c r="N296" s="41"/>
      <c r="O296" s="41"/>
      <c r="P296" s="41"/>
      <c r="Q296" s="41"/>
      <c r="R296" s="41"/>
      <c r="S296" s="41"/>
      <c r="T296" s="41"/>
      <c r="U296" s="41"/>
      <c r="V296" s="41"/>
      <c r="W296" s="41"/>
      <c r="X296" s="41"/>
      <c r="Y296" s="41"/>
      <c r="Z296" s="41"/>
      <c r="AA296" s="41"/>
      <c r="AB296" s="41"/>
      <c r="AC296" s="41"/>
      <c r="AD296" s="41"/>
      <c r="AE296" s="41"/>
      <c r="AF296" s="41"/>
      <c r="AG296" s="41"/>
      <c r="AH296" s="41"/>
      <c r="AI296" s="41"/>
    </row>
    <row r="297" spans="1:35" ht="15.75" customHeight="1" x14ac:dyDescent="0.2">
      <c r="A297" s="41"/>
      <c r="B297" s="41"/>
      <c r="C297" s="41"/>
      <c r="D297" s="72"/>
      <c r="E297" s="41"/>
      <c r="F297" s="41"/>
      <c r="G297" s="41"/>
      <c r="H297" s="41"/>
      <c r="I297" s="41"/>
      <c r="J297" s="41"/>
      <c r="K297" s="41"/>
      <c r="L297" s="41"/>
      <c r="M297" s="41"/>
      <c r="N297" s="41"/>
      <c r="O297" s="41"/>
      <c r="P297" s="41"/>
      <c r="Q297" s="41"/>
      <c r="R297" s="41"/>
      <c r="S297" s="41"/>
      <c r="T297" s="41"/>
      <c r="U297" s="41"/>
      <c r="V297" s="41"/>
      <c r="W297" s="41"/>
      <c r="X297" s="41"/>
      <c r="Y297" s="41"/>
      <c r="Z297" s="41"/>
      <c r="AA297" s="41"/>
      <c r="AB297" s="41"/>
      <c r="AC297" s="41"/>
      <c r="AD297" s="41"/>
      <c r="AE297" s="41"/>
      <c r="AF297" s="41"/>
      <c r="AG297" s="41"/>
      <c r="AH297" s="41"/>
      <c r="AI297" s="41"/>
    </row>
    <row r="298" spans="1:35" ht="15.75" customHeight="1" x14ac:dyDescent="0.2">
      <c r="A298" s="41"/>
      <c r="B298" s="41"/>
      <c r="C298" s="41"/>
      <c r="D298" s="72"/>
      <c r="E298" s="41"/>
      <c r="F298" s="41"/>
      <c r="G298" s="41"/>
      <c r="H298" s="41"/>
      <c r="I298" s="41"/>
      <c r="J298" s="41"/>
      <c r="K298" s="41"/>
      <c r="L298" s="41"/>
      <c r="M298" s="41"/>
      <c r="N298" s="41"/>
      <c r="O298" s="41"/>
      <c r="P298" s="41"/>
      <c r="Q298" s="41"/>
      <c r="R298" s="41"/>
      <c r="S298" s="41"/>
      <c r="T298" s="41"/>
      <c r="U298" s="41"/>
      <c r="V298" s="41"/>
      <c r="W298" s="41"/>
      <c r="X298" s="41"/>
      <c r="Y298" s="41"/>
      <c r="Z298" s="41"/>
      <c r="AA298" s="41"/>
      <c r="AB298" s="41"/>
      <c r="AC298" s="41"/>
      <c r="AD298" s="41"/>
      <c r="AE298" s="41"/>
      <c r="AF298" s="41"/>
      <c r="AG298" s="41"/>
      <c r="AH298" s="41"/>
      <c r="AI298" s="41"/>
    </row>
    <row r="299" spans="1:35" ht="15.75" customHeight="1" x14ac:dyDescent="0.2">
      <c r="A299" s="41"/>
      <c r="B299" s="41"/>
      <c r="C299" s="41"/>
      <c r="D299" s="72"/>
      <c r="E299" s="41"/>
      <c r="F299" s="41"/>
      <c r="G299" s="41"/>
      <c r="H299" s="41"/>
      <c r="I299" s="41"/>
      <c r="J299" s="41"/>
      <c r="K299" s="41"/>
      <c r="L299" s="41"/>
      <c r="M299" s="41"/>
      <c r="N299" s="41"/>
      <c r="O299" s="41"/>
      <c r="P299" s="41"/>
      <c r="Q299" s="41"/>
      <c r="R299" s="41"/>
      <c r="S299" s="41"/>
      <c r="T299" s="41"/>
      <c r="U299" s="41"/>
      <c r="V299" s="41"/>
      <c r="W299" s="41"/>
      <c r="X299" s="41"/>
      <c r="Y299" s="41"/>
      <c r="Z299" s="41"/>
      <c r="AA299" s="41"/>
      <c r="AB299" s="41"/>
      <c r="AC299" s="41"/>
      <c r="AD299" s="41"/>
      <c r="AE299" s="41"/>
      <c r="AF299" s="41"/>
      <c r="AG299" s="41"/>
      <c r="AH299" s="41"/>
      <c r="AI299" s="41"/>
    </row>
    <row r="300" spans="1:35" ht="15.75" customHeight="1" x14ac:dyDescent="0.2">
      <c r="A300" s="41"/>
      <c r="B300" s="41"/>
      <c r="C300" s="41"/>
      <c r="D300" s="72"/>
      <c r="E300" s="41"/>
      <c r="F300" s="41"/>
      <c r="G300" s="41"/>
      <c r="H300" s="41"/>
      <c r="I300" s="41"/>
      <c r="J300" s="41"/>
      <c r="K300" s="41"/>
      <c r="L300" s="41"/>
      <c r="M300" s="41"/>
      <c r="N300" s="41"/>
      <c r="O300" s="41"/>
      <c r="P300" s="41"/>
      <c r="Q300" s="41"/>
      <c r="R300" s="41"/>
      <c r="S300" s="41"/>
      <c r="T300" s="41"/>
      <c r="U300" s="41"/>
      <c r="V300" s="41"/>
      <c r="W300" s="41"/>
      <c r="X300" s="41"/>
      <c r="Y300" s="41"/>
      <c r="Z300" s="41"/>
      <c r="AA300" s="41"/>
      <c r="AB300" s="41"/>
      <c r="AC300" s="41"/>
      <c r="AD300" s="41"/>
      <c r="AE300" s="41"/>
      <c r="AF300" s="41"/>
      <c r="AG300" s="41"/>
      <c r="AH300" s="41"/>
      <c r="AI300" s="41"/>
    </row>
    <row r="301" spans="1:35" ht="15.75" customHeight="1" x14ac:dyDescent="0.2">
      <c r="A301" s="41"/>
      <c r="B301" s="41"/>
      <c r="C301" s="41"/>
      <c r="D301" s="72"/>
      <c r="E301" s="41"/>
      <c r="F301" s="41"/>
      <c r="G301" s="41"/>
      <c r="H301" s="41"/>
      <c r="I301" s="41"/>
      <c r="J301" s="41"/>
      <c r="K301" s="41"/>
      <c r="L301" s="41"/>
      <c r="M301" s="41"/>
      <c r="N301" s="41"/>
      <c r="O301" s="41"/>
      <c r="P301" s="41"/>
      <c r="Q301" s="41"/>
      <c r="R301" s="41"/>
      <c r="S301" s="41"/>
      <c r="T301" s="41"/>
      <c r="U301" s="41"/>
      <c r="V301" s="41"/>
      <c r="W301" s="41"/>
      <c r="X301" s="41"/>
      <c r="Y301" s="41"/>
      <c r="Z301" s="41"/>
      <c r="AA301" s="41"/>
      <c r="AB301" s="41"/>
      <c r="AC301" s="41"/>
      <c r="AD301" s="41"/>
      <c r="AE301" s="41"/>
      <c r="AF301" s="41"/>
      <c r="AG301" s="41"/>
      <c r="AH301" s="41"/>
      <c r="AI301" s="41"/>
    </row>
    <row r="302" spans="1:35" ht="15.75" customHeight="1" x14ac:dyDescent="0.2">
      <c r="A302" s="41"/>
      <c r="B302" s="41"/>
      <c r="C302" s="41"/>
      <c r="D302" s="72"/>
      <c r="E302" s="41"/>
      <c r="F302" s="41"/>
      <c r="G302" s="41"/>
      <c r="H302" s="41"/>
      <c r="I302" s="41"/>
      <c r="J302" s="41"/>
      <c r="K302" s="41"/>
      <c r="L302" s="41"/>
      <c r="M302" s="41"/>
      <c r="N302" s="41"/>
      <c r="O302" s="41"/>
      <c r="P302" s="41"/>
      <c r="Q302" s="41"/>
      <c r="R302" s="41"/>
      <c r="S302" s="41"/>
      <c r="T302" s="41"/>
      <c r="U302" s="41"/>
      <c r="V302" s="41"/>
      <c r="W302" s="41"/>
      <c r="X302" s="41"/>
      <c r="Y302" s="41"/>
      <c r="Z302" s="41"/>
      <c r="AA302" s="41"/>
      <c r="AB302" s="41"/>
      <c r="AC302" s="41"/>
      <c r="AD302" s="41"/>
      <c r="AE302" s="41"/>
      <c r="AF302" s="41"/>
      <c r="AG302" s="41"/>
      <c r="AH302" s="41"/>
      <c r="AI302" s="41"/>
    </row>
    <row r="303" spans="1:35" ht="15.75" customHeight="1" x14ac:dyDescent="0.2">
      <c r="A303" s="41"/>
      <c r="B303" s="41"/>
      <c r="C303" s="41"/>
      <c r="D303" s="72"/>
      <c r="E303" s="41"/>
      <c r="F303" s="41"/>
      <c r="G303" s="41"/>
      <c r="H303" s="41"/>
      <c r="I303" s="41"/>
      <c r="J303" s="41"/>
      <c r="K303" s="41"/>
      <c r="L303" s="41"/>
      <c r="M303" s="41"/>
      <c r="N303" s="41"/>
      <c r="O303" s="41"/>
      <c r="P303" s="41"/>
      <c r="Q303" s="41"/>
      <c r="R303" s="41"/>
      <c r="S303" s="41"/>
      <c r="T303" s="41"/>
      <c r="U303" s="41"/>
      <c r="V303" s="41"/>
      <c r="W303" s="41"/>
      <c r="X303" s="41"/>
      <c r="Y303" s="41"/>
      <c r="Z303" s="41"/>
      <c r="AA303" s="41"/>
      <c r="AB303" s="41"/>
      <c r="AC303" s="41"/>
      <c r="AD303" s="41"/>
      <c r="AE303" s="41"/>
      <c r="AF303" s="41"/>
      <c r="AG303" s="41"/>
      <c r="AH303" s="41"/>
      <c r="AI303" s="41"/>
    </row>
    <row r="304" spans="1:35" ht="15.75" customHeight="1" x14ac:dyDescent="0.2">
      <c r="A304" s="41"/>
      <c r="B304" s="41"/>
      <c r="C304" s="41"/>
      <c r="D304" s="72"/>
      <c r="E304" s="41"/>
      <c r="F304" s="41"/>
      <c r="G304" s="41"/>
      <c r="H304" s="41"/>
      <c r="I304" s="41"/>
      <c r="J304" s="41"/>
      <c r="K304" s="41"/>
      <c r="L304" s="41"/>
      <c r="M304" s="41"/>
      <c r="N304" s="41"/>
      <c r="O304" s="41"/>
      <c r="P304" s="41"/>
      <c r="Q304" s="41"/>
      <c r="R304" s="41"/>
      <c r="S304" s="41"/>
      <c r="T304" s="41"/>
      <c r="U304" s="41"/>
      <c r="V304" s="41"/>
      <c r="W304" s="41"/>
      <c r="X304" s="41"/>
      <c r="Y304" s="41"/>
      <c r="Z304" s="41"/>
      <c r="AA304" s="41"/>
      <c r="AB304" s="41"/>
      <c r="AC304" s="41"/>
      <c r="AD304" s="41"/>
      <c r="AE304" s="41"/>
      <c r="AF304" s="41"/>
      <c r="AG304" s="41"/>
      <c r="AH304" s="41"/>
      <c r="AI304" s="41"/>
    </row>
    <row r="305" spans="1:35" ht="15.75" customHeight="1" x14ac:dyDescent="0.2">
      <c r="A305" s="41"/>
      <c r="B305" s="41"/>
      <c r="C305" s="41"/>
      <c r="D305" s="72"/>
      <c r="E305" s="41"/>
      <c r="F305" s="41"/>
      <c r="G305" s="41"/>
      <c r="H305" s="41"/>
      <c r="I305" s="41"/>
      <c r="J305" s="41"/>
      <c r="K305" s="41"/>
      <c r="L305" s="41"/>
      <c r="M305" s="41"/>
      <c r="N305" s="41"/>
      <c r="O305" s="41"/>
      <c r="P305" s="41"/>
      <c r="Q305" s="41"/>
      <c r="R305" s="41"/>
      <c r="S305" s="41"/>
      <c r="T305" s="41"/>
      <c r="U305" s="41"/>
      <c r="V305" s="41"/>
      <c r="W305" s="41"/>
      <c r="X305" s="41"/>
      <c r="Y305" s="41"/>
      <c r="Z305" s="41"/>
      <c r="AA305" s="41"/>
      <c r="AB305" s="41"/>
      <c r="AC305" s="41"/>
      <c r="AD305" s="41"/>
      <c r="AE305" s="41"/>
      <c r="AF305" s="41"/>
      <c r="AG305" s="41"/>
      <c r="AH305" s="41"/>
      <c r="AI305" s="41"/>
    </row>
    <row r="306" spans="1:35" ht="15.75" customHeight="1" x14ac:dyDescent="0.2">
      <c r="A306" s="41"/>
      <c r="B306" s="41"/>
      <c r="C306" s="41"/>
      <c r="D306" s="72"/>
      <c r="E306" s="41"/>
      <c r="F306" s="41"/>
      <c r="G306" s="41"/>
      <c r="H306" s="41"/>
      <c r="I306" s="41"/>
      <c r="J306" s="41"/>
      <c r="K306" s="41"/>
      <c r="L306" s="41"/>
      <c r="M306" s="41"/>
      <c r="N306" s="41"/>
      <c r="O306" s="41"/>
      <c r="P306" s="41"/>
      <c r="Q306" s="41"/>
      <c r="R306" s="41"/>
      <c r="S306" s="41"/>
      <c r="T306" s="41"/>
      <c r="U306" s="41"/>
      <c r="V306" s="41"/>
      <c r="W306" s="41"/>
      <c r="X306" s="41"/>
      <c r="Y306" s="41"/>
      <c r="Z306" s="41"/>
      <c r="AA306" s="41"/>
      <c r="AB306" s="41"/>
      <c r="AC306" s="41"/>
      <c r="AD306" s="41"/>
      <c r="AE306" s="41"/>
      <c r="AF306" s="41"/>
      <c r="AG306" s="41"/>
      <c r="AH306" s="41"/>
      <c r="AI306" s="41"/>
    </row>
    <row r="307" spans="1:35" ht="15.75" customHeight="1" x14ac:dyDescent="0.2">
      <c r="A307" s="41"/>
      <c r="B307" s="41"/>
      <c r="C307" s="41"/>
      <c r="D307" s="72"/>
      <c r="E307" s="41"/>
      <c r="F307" s="41"/>
      <c r="G307" s="41"/>
      <c r="H307" s="41"/>
      <c r="I307" s="41"/>
      <c r="J307" s="41"/>
      <c r="K307" s="41"/>
      <c r="L307" s="41"/>
      <c r="M307" s="41"/>
      <c r="N307" s="41"/>
      <c r="O307" s="41"/>
      <c r="P307" s="41"/>
      <c r="Q307" s="41"/>
      <c r="R307" s="41"/>
      <c r="S307" s="41"/>
      <c r="T307" s="41"/>
      <c r="U307" s="41"/>
      <c r="V307" s="41"/>
      <c r="W307" s="41"/>
      <c r="X307" s="41"/>
      <c r="Y307" s="41"/>
      <c r="Z307" s="41"/>
      <c r="AA307" s="41"/>
      <c r="AB307" s="41"/>
      <c r="AC307" s="41"/>
      <c r="AD307" s="41"/>
      <c r="AE307" s="41"/>
      <c r="AF307" s="41"/>
      <c r="AG307" s="41"/>
      <c r="AH307" s="41"/>
      <c r="AI307" s="41"/>
    </row>
    <row r="308" spans="1:35" ht="15.75" customHeight="1" x14ac:dyDescent="0.2">
      <c r="A308" s="41"/>
      <c r="B308" s="41"/>
      <c r="C308" s="41"/>
      <c r="D308" s="72"/>
      <c r="E308" s="41"/>
      <c r="F308" s="41"/>
      <c r="G308" s="41"/>
      <c r="H308" s="41"/>
      <c r="I308" s="41"/>
      <c r="J308" s="41"/>
      <c r="K308" s="41"/>
      <c r="L308" s="41"/>
      <c r="M308" s="41"/>
      <c r="N308" s="41"/>
      <c r="O308" s="41"/>
      <c r="P308" s="41"/>
      <c r="Q308" s="41"/>
      <c r="R308" s="41"/>
      <c r="S308" s="41"/>
      <c r="T308" s="41"/>
      <c r="U308" s="41"/>
      <c r="V308" s="41"/>
      <c r="W308" s="41"/>
      <c r="X308" s="41"/>
      <c r="Y308" s="41"/>
      <c r="Z308" s="41"/>
      <c r="AA308" s="41"/>
      <c r="AB308" s="41"/>
      <c r="AC308" s="41"/>
      <c r="AD308" s="41"/>
      <c r="AE308" s="41"/>
      <c r="AF308" s="41"/>
      <c r="AG308" s="41"/>
      <c r="AH308" s="41"/>
      <c r="AI308" s="41"/>
    </row>
    <row r="309" spans="1:35" ht="15.75" customHeight="1" x14ac:dyDescent="0.2">
      <c r="A309" s="41"/>
      <c r="B309" s="41"/>
      <c r="C309" s="41"/>
      <c r="D309" s="72"/>
      <c r="E309" s="41"/>
      <c r="F309" s="41"/>
      <c r="G309" s="41"/>
      <c r="H309" s="41"/>
      <c r="I309" s="41"/>
      <c r="J309" s="41"/>
      <c r="K309" s="41"/>
      <c r="L309" s="41"/>
      <c r="M309" s="41"/>
      <c r="N309" s="41"/>
      <c r="O309" s="41"/>
      <c r="P309" s="41"/>
      <c r="Q309" s="41"/>
      <c r="R309" s="41"/>
      <c r="S309" s="41"/>
      <c r="T309" s="41"/>
      <c r="U309" s="41"/>
      <c r="V309" s="41"/>
      <c r="W309" s="41"/>
      <c r="X309" s="41"/>
      <c r="Y309" s="41"/>
      <c r="Z309" s="41"/>
      <c r="AA309" s="41"/>
      <c r="AB309" s="41"/>
      <c r="AC309" s="41"/>
      <c r="AD309" s="41"/>
      <c r="AE309" s="41"/>
      <c r="AF309" s="41"/>
      <c r="AG309" s="41"/>
      <c r="AH309" s="41"/>
      <c r="AI309" s="41"/>
    </row>
    <row r="310" spans="1:35" ht="15.75" customHeight="1" x14ac:dyDescent="0.2">
      <c r="A310" s="41"/>
      <c r="B310" s="41"/>
      <c r="C310" s="41"/>
      <c r="D310" s="72"/>
      <c r="E310" s="41"/>
      <c r="F310" s="41"/>
      <c r="G310" s="41"/>
      <c r="H310" s="41"/>
      <c r="I310" s="41"/>
      <c r="J310" s="41"/>
      <c r="K310" s="41"/>
      <c r="L310" s="41"/>
      <c r="M310" s="41"/>
      <c r="N310" s="41"/>
      <c r="O310" s="41"/>
      <c r="P310" s="41"/>
      <c r="Q310" s="41"/>
      <c r="R310" s="41"/>
      <c r="S310" s="41"/>
      <c r="T310" s="41"/>
      <c r="U310" s="41"/>
      <c r="V310" s="41"/>
      <c r="W310" s="41"/>
      <c r="X310" s="41"/>
      <c r="Y310" s="41"/>
      <c r="Z310" s="41"/>
      <c r="AA310" s="41"/>
      <c r="AB310" s="41"/>
      <c r="AC310" s="41"/>
      <c r="AD310" s="41"/>
      <c r="AE310" s="41"/>
      <c r="AF310" s="41"/>
      <c r="AG310" s="41"/>
      <c r="AH310" s="41"/>
      <c r="AI310" s="41"/>
    </row>
    <row r="311" spans="1:35" ht="15.75" customHeight="1" x14ac:dyDescent="0.2">
      <c r="A311" s="41"/>
      <c r="B311" s="41"/>
      <c r="C311" s="41"/>
      <c r="D311" s="72"/>
      <c r="E311" s="41"/>
      <c r="F311" s="41"/>
      <c r="G311" s="41"/>
      <c r="H311" s="41"/>
      <c r="I311" s="41"/>
      <c r="J311" s="41"/>
      <c r="K311" s="41"/>
      <c r="L311" s="41"/>
      <c r="M311" s="41"/>
      <c r="N311" s="41"/>
      <c r="O311" s="41"/>
      <c r="P311" s="41"/>
      <c r="Q311" s="41"/>
      <c r="R311" s="41"/>
      <c r="S311" s="41"/>
      <c r="T311" s="41"/>
      <c r="U311" s="41"/>
      <c r="V311" s="41"/>
      <c r="W311" s="41"/>
      <c r="X311" s="41"/>
      <c r="Y311" s="41"/>
      <c r="Z311" s="41"/>
      <c r="AA311" s="41"/>
      <c r="AB311" s="41"/>
      <c r="AC311" s="41"/>
      <c r="AD311" s="41"/>
      <c r="AE311" s="41"/>
      <c r="AF311" s="41"/>
      <c r="AG311" s="41"/>
      <c r="AH311" s="41"/>
      <c r="AI311" s="41"/>
    </row>
    <row r="312" spans="1:35" ht="15.75" customHeight="1" x14ac:dyDescent="0.2">
      <c r="A312" s="41"/>
      <c r="B312" s="41"/>
      <c r="C312" s="41"/>
      <c r="D312" s="72"/>
      <c r="E312" s="41"/>
      <c r="F312" s="41"/>
      <c r="G312" s="41"/>
      <c r="H312" s="41"/>
      <c r="I312" s="41"/>
      <c r="J312" s="41"/>
      <c r="K312" s="41"/>
      <c r="L312" s="41"/>
      <c r="M312" s="41"/>
      <c r="N312" s="41"/>
      <c r="O312" s="41"/>
      <c r="P312" s="41"/>
      <c r="Q312" s="41"/>
      <c r="R312" s="41"/>
      <c r="S312" s="41"/>
      <c r="T312" s="41"/>
      <c r="U312" s="41"/>
      <c r="V312" s="41"/>
      <c r="W312" s="41"/>
      <c r="X312" s="41"/>
      <c r="Y312" s="41"/>
      <c r="Z312" s="41"/>
      <c r="AA312" s="41"/>
      <c r="AB312" s="41"/>
      <c r="AC312" s="41"/>
      <c r="AD312" s="41"/>
      <c r="AE312" s="41"/>
      <c r="AF312" s="41"/>
      <c r="AG312" s="41"/>
      <c r="AH312" s="41"/>
      <c r="AI312" s="41"/>
    </row>
    <row r="313" spans="1:35" ht="15.75" customHeight="1" x14ac:dyDescent="0.2">
      <c r="A313" s="41"/>
      <c r="B313" s="41"/>
      <c r="C313" s="41"/>
      <c r="D313" s="72"/>
      <c r="E313" s="41"/>
      <c r="F313" s="41"/>
      <c r="G313" s="41"/>
      <c r="H313" s="41"/>
      <c r="I313" s="41"/>
      <c r="J313" s="41"/>
      <c r="K313" s="41"/>
      <c r="L313" s="41"/>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row>
    <row r="314" spans="1:35" ht="15.75" customHeight="1" x14ac:dyDescent="0.2">
      <c r="A314" s="41"/>
      <c r="B314" s="41"/>
      <c r="C314" s="41"/>
      <c r="D314" s="72"/>
      <c r="E314" s="41"/>
      <c r="F314" s="41"/>
      <c r="G314" s="41"/>
      <c r="H314" s="41"/>
      <c r="I314" s="41"/>
      <c r="J314" s="41"/>
      <c r="K314" s="41"/>
      <c r="L314" s="41"/>
      <c r="M314" s="41"/>
      <c r="N314" s="41"/>
      <c r="O314" s="41"/>
      <c r="P314" s="41"/>
      <c r="Q314" s="41"/>
      <c r="R314" s="41"/>
      <c r="S314" s="41"/>
      <c r="T314" s="41"/>
      <c r="U314" s="41"/>
      <c r="V314" s="41"/>
      <c r="W314" s="41"/>
      <c r="X314" s="41"/>
      <c r="Y314" s="41"/>
      <c r="Z314" s="41"/>
      <c r="AA314" s="41"/>
      <c r="AB314" s="41"/>
      <c r="AC314" s="41"/>
      <c r="AD314" s="41"/>
      <c r="AE314" s="41"/>
      <c r="AF314" s="41"/>
      <c r="AG314" s="41"/>
      <c r="AH314" s="41"/>
      <c r="AI314" s="41"/>
    </row>
    <row r="315" spans="1:35" ht="15.75" customHeight="1" x14ac:dyDescent="0.2">
      <c r="A315" s="41"/>
      <c r="B315" s="41"/>
      <c r="C315" s="41"/>
      <c r="D315" s="72"/>
      <c r="E315" s="41"/>
      <c r="F315" s="41"/>
      <c r="G315" s="41"/>
      <c r="H315" s="41"/>
      <c r="I315" s="41"/>
      <c r="J315" s="41"/>
      <c r="K315" s="41"/>
      <c r="L315" s="41"/>
      <c r="M315" s="41"/>
      <c r="N315" s="41"/>
      <c r="O315" s="41"/>
      <c r="P315" s="41"/>
      <c r="Q315" s="41"/>
      <c r="R315" s="41"/>
      <c r="S315" s="41"/>
      <c r="T315" s="41"/>
      <c r="U315" s="41"/>
      <c r="V315" s="41"/>
      <c r="W315" s="41"/>
      <c r="X315" s="41"/>
      <c r="Y315" s="41"/>
      <c r="Z315" s="41"/>
      <c r="AA315" s="41"/>
      <c r="AB315" s="41"/>
      <c r="AC315" s="41"/>
      <c r="AD315" s="41"/>
      <c r="AE315" s="41"/>
      <c r="AF315" s="41"/>
      <c r="AG315" s="41"/>
      <c r="AH315" s="41"/>
      <c r="AI315" s="41"/>
    </row>
    <row r="316" spans="1:35" ht="15.75" customHeight="1" x14ac:dyDescent="0.2">
      <c r="A316" s="41"/>
      <c r="B316" s="41"/>
      <c r="C316" s="41"/>
      <c r="D316" s="72"/>
      <c r="E316" s="41"/>
      <c r="F316" s="41"/>
      <c r="G316" s="41"/>
      <c r="H316" s="41"/>
      <c r="I316" s="41"/>
      <c r="J316" s="41"/>
      <c r="K316" s="41"/>
      <c r="L316" s="41"/>
      <c r="M316" s="41"/>
      <c r="N316" s="41"/>
      <c r="O316" s="41"/>
      <c r="P316" s="41"/>
      <c r="Q316" s="41"/>
      <c r="R316" s="41"/>
      <c r="S316" s="41"/>
      <c r="T316" s="41"/>
      <c r="U316" s="41"/>
      <c r="V316" s="41"/>
      <c r="W316" s="41"/>
      <c r="X316" s="41"/>
      <c r="Y316" s="41"/>
      <c r="Z316" s="41"/>
      <c r="AA316" s="41"/>
      <c r="AB316" s="41"/>
      <c r="AC316" s="41"/>
      <c r="AD316" s="41"/>
      <c r="AE316" s="41"/>
      <c r="AF316" s="41"/>
      <c r="AG316" s="41"/>
      <c r="AH316" s="41"/>
      <c r="AI316" s="41"/>
    </row>
    <row r="317" spans="1:35" ht="15.75" customHeight="1" x14ac:dyDescent="0.2">
      <c r="A317" s="41"/>
      <c r="B317" s="41"/>
      <c r="C317" s="41"/>
      <c r="D317" s="72"/>
      <c r="E317" s="41"/>
      <c r="F317" s="41"/>
      <c r="G317" s="41"/>
      <c r="H317" s="41"/>
      <c r="I317" s="41"/>
      <c r="J317" s="41"/>
      <c r="K317" s="41"/>
      <c r="L317" s="41"/>
      <c r="M317" s="41"/>
      <c r="N317" s="41"/>
      <c r="O317" s="41"/>
      <c r="P317" s="41"/>
      <c r="Q317" s="41"/>
      <c r="R317" s="41"/>
      <c r="S317" s="41"/>
      <c r="T317" s="41"/>
      <c r="U317" s="41"/>
      <c r="V317" s="41"/>
      <c r="W317" s="41"/>
      <c r="X317" s="41"/>
      <c r="Y317" s="41"/>
      <c r="Z317" s="41"/>
      <c r="AA317" s="41"/>
      <c r="AB317" s="41"/>
      <c r="AC317" s="41"/>
      <c r="AD317" s="41"/>
      <c r="AE317" s="41"/>
      <c r="AF317" s="41"/>
      <c r="AG317" s="41"/>
      <c r="AH317" s="41"/>
      <c r="AI317" s="41"/>
    </row>
    <row r="318" spans="1:35" ht="15.75" customHeight="1" x14ac:dyDescent="0.2">
      <c r="A318" s="41"/>
      <c r="B318" s="41"/>
      <c r="C318" s="41"/>
      <c r="D318" s="72"/>
      <c r="E318" s="41"/>
      <c r="F318" s="41"/>
      <c r="G318" s="41"/>
      <c r="H318" s="41"/>
      <c r="I318" s="41"/>
      <c r="J318" s="41"/>
      <c r="K318" s="41"/>
      <c r="L318" s="41"/>
      <c r="M318" s="41"/>
      <c r="N318" s="41"/>
      <c r="O318" s="41"/>
      <c r="P318" s="41"/>
      <c r="Q318" s="41"/>
      <c r="R318" s="41"/>
      <c r="S318" s="41"/>
      <c r="T318" s="41"/>
      <c r="U318" s="41"/>
      <c r="V318" s="41"/>
      <c r="W318" s="41"/>
      <c r="X318" s="41"/>
      <c r="Y318" s="41"/>
      <c r="Z318" s="41"/>
      <c r="AA318" s="41"/>
      <c r="AB318" s="41"/>
      <c r="AC318" s="41"/>
      <c r="AD318" s="41"/>
      <c r="AE318" s="41"/>
      <c r="AF318" s="41"/>
      <c r="AG318" s="41"/>
      <c r="AH318" s="41"/>
      <c r="AI318" s="41"/>
    </row>
    <row r="319" spans="1:35" ht="15.75" customHeight="1" x14ac:dyDescent="0.2">
      <c r="A319" s="41"/>
      <c r="B319" s="41"/>
      <c r="C319" s="41"/>
      <c r="D319" s="72"/>
      <c r="E319" s="41"/>
      <c r="F319" s="41"/>
      <c r="G319" s="41"/>
      <c r="H319" s="41"/>
      <c r="I319" s="41"/>
      <c r="J319" s="41"/>
      <c r="K319" s="41"/>
      <c r="L319" s="41"/>
      <c r="M319" s="41"/>
      <c r="N319" s="41"/>
      <c r="O319" s="41"/>
      <c r="P319" s="41"/>
      <c r="Q319" s="41"/>
      <c r="R319" s="41"/>
      <c r="S319" s="41"/>
      <c r="T319" s="41"/>
      <c r="U319" s="41"/>
      <c r="V319" s="41"/>
      <c r="W319" s="41"/>
      <c r="X319" s="41"/>
      <c r="Y319" s="41"/>
      <c r="Z319" s="41"/>
      <c r="AA319" s="41"/>
      <c r="AB319" s="41"/>
      <c r="AC319" s="41"/>
      <c r="AD319" s="41"/>
      <c r="AE319" s="41"/>
      <c r="AF319" s="41"/>
      <c r="AG319" s="41"/>
      <c r="AH319" s="41"/>
      <c r="AI319" s="41"/>
    </row>
    <row r="320" spans="1:35" ht="15.75" customHeight="1" x14ac:dyDescent="0.2">
      <c r="A320" s="41"/>
      <c r="B320" s="41"/>
      <c r="C320" s="41"/>
      <c r="D320" s="72"/>
      <c r="E320" s="41"/>
      <c r="F320" s="41"/>
      <c r="G320" s="41"/>
      <c r="H320" s="41"/>
      <c r="I320" s="41"/>
      <c r="J320" s="41"/>
      <c r="K320" s="41"/>
      <c r="L320" s="41"/>
      <c r="M320" s="41"/>
      <c r="N320" s="41"/>
      <c r="O320" s="41"/>
      <c r="P320" s="41"/>
      <c r="Q320" s="41"/>
      <c r="R320" s="41"/>
      <c r="S320" s="41"/>
      <c r="T320" s="41"/>
      <c r="U320" s="41"/>
      <c r="V320" s="41"/>
      <c r="W320" s="41"/>
      <c r="X320" s="41"/>
      <c r="Y320" s="41"/>
      <c r="Z320" s="41"/>
      <c r="AA320" s="41"/>
      <c r="AB320" s="41"/>
      <c r="AC320" s="41"/>
      <c r="AD320" s="41"/>
      <c r="AE320" s="41"/>
      <c r="AF320" s="41"/>
      <c r="AG320" s="41"/>
      <c r="AH320" s="41"/>
      <c r="AI320" s="41"/>
    </row>
    <row r="321" spans="1:35" ht="15.75" customHeight="1" x14ac:dyDescent="0.2">
      <c r="A321" s="41"/>
      <c r="B321" s="41"/>
      <c r="C321" s="41"/>
      <c r="D321" s="72"/>
      <c r="E321" s="41"/>
      <c r="F321" s="41"/>
      <c r="G321" s="41"/>
      <c r="H321" s="41"/>
      <c r="I321" s="41"/>
      <c r="J321" s="41"/>
      <c r="K321" s="41"/>
      <c r="L321" s="41"/>
      <c r="M321" s="41"/>
      <c r="N321" s="41"/>
      <c r="O321" s="41"/>
      <c r="P321" s="41"/>
      <c r="Q321" s="41"/>
      <c r="R321" s="41"/>
      <c r="S321" s="41"/>
      <c r="T321" s="41"/>
      <c r="U321" s="41"/>
      <c r="V321" s="41"/>
      <c r="W321" s="41"/>
      <c r="X321" s="41"/>
      <c r="Y321" s="41"/>
      <c r="Z321" s="41"/>
      <c r="AA321" s="41"/>
      <c r="AB321" s="41"/>
      <c r="AC321" s="41"/>
      <c r="AD321" s="41"/>
      <c r="AE321" s="41"/>
      <c r="AF321" s="41"/>
      <c r="AG321" s="41"/>
      <c r="AH321" s="41"/>
      <c r="AI321" s="41"/>
    </row>
    <row r="322" spans="1:35" ht="15.75" customHeight="1" x14ac:dyDescent="0.2">
      <c r="A322" s="41"/>
      <c r="B322" s="41"/>
      <c r="C322" s="41"/>
      <c r="D322" s="72"/>
      <c r="E322" s="41"/>
      <c r="F322" s="41"/>
      <c r="G322" s="41"/>
      <c r="H322" s="41"/>
      <c r="I322" s="41"/>
      <c r="J322" s="41"/>
      <c r="K322" s="41"/>
      <c r="L322" s="41"/>
      <c r="M322" s="41"/>
      <c r="N322" s="41"/>
      <c r="O322" s="41"/>
      <c r="P322" s="41"/>
      <c r="Q322" s="41"/>
      <c r="R322" s="41"/>
      <c r="S322" s="41"/>
      <c r="T322" s="41"/>
      <c r="U322" s="41"/>
      <c r="V322" s="41"/>
      <c r="W322" s="41"/>
      <c r="X322" s="41"/>
      <c r="Y322" s="41"/>
      <c r="Z322" s="41"/>
      <c r="AA322" s="41"/>
      <c r="AB322" s="41"/>
      <c r="AC322" s="41"/>
      <c r="AD322" s="41"/>
      <c r="AE322" s="41"/>
      <c r="AF322" s="41"/>
      <c r="AG322" s="41"/>
      <c r="AH322" s="41"/>
      <c r="AI322" s="41"/>
    </row>
    <row r="323" spans="1:35" ht="15.75" customHeight="1" x14ac:dyDescent="0.2">
      <c r="A323" s="41"/>
      <c r="B323" s="41"/>
      <c r="C323" s="41"/>
      <c r="D323" s="72"/>
      <c r="E323" s="41"/>
      <c r="F323" s="41"/>
      <c r="G323" s="41"/>
      <c r="H323" s="41"/>
      <c r="I323" s="41"/>
      <c r="J323" s="41"/>
      <c r="K323" s="41"/>
      <c r="L323" s="41"/>
      <c r="M323" s="41"/>
      <c r="N323" s="41"/>
      <c r="O323" s="41"/>
      <c r="P323" s="41"/>
      <c r="Q323" s="41"/>
      <c r="R323" s="41"/>
      <c r="S323" s="41"/>
      <c r="T323" s="41"/>
      <c r="U323" s="41"/>
      <c r="V323" s="41"/>
      <c r="W323" s="41"/>
      <c r="X323" s="41"/>
      <c r="Y323" s="41"/>
      <c r="Z323" s="41"/>
      <c r="AA323" s="41"/>
      <c r="AB323" s="41"/>
      <c r="AC323" s="41"/>
      <c r="AD323" s="41"/>
      <c r="AE323" s="41"/>
      <c r="AF323" s="41"/>
      <c r="AG323" s="41"/>
      <c r="AH323" s="41"/>
      <c r="AI323" s="41"/>
    </row>
    <row r="324" spans="1:35" ht="15.75" customHeight="1" x14ac:dyDescent="0.2">
      <c r="A324" s="41"/>
      <c r="B324" s="41"/>
      <c r="C324" s="41"/>
      <c r="D324" s="72"/>
      <c r="E324" s="41"/>
      <c r="F324" s="41"/>
      <c r="G324" s="41"/>
      <c r="H324" s="41"/>
      <c r="I324" s="41"/>
      <c r="J324" s="41"/>
      <c r="K324" s="41"/>
      <c r="L324" s="41"/>
      <c r="M324" s="41"/>
      <c r="N324" s="41"/>
      <c r="O324" s="41"/>
      <c r="P324" s="41"/>
      <c r="Q324" s="41"/>
      <c r="R324" s="41"/>
      <c r="S324" s="41"/>
      <c r="T324" s="41"/>
      <c r="U324" s="41"/>
      <c r="V324" s="41"/>
      <c r="W324" s="41"/>
      <c r="X324" s="41"/>
      <c r="Y324" s="41"/>
      <c r="Z324" s="41"/>
      <c r="AA324" s="41"/>
      <c r="AB324" s="41"/>
      <c r="AC324" s="41"/>
      <c r="AD324" s="41"/>
      <c r="AE324" s="41"/>
      <c r="AF324" s="41"/>
      <c r="AG324" s="41"/>
      <c r="AH324" s="41"/>
      <c r="AI324" s="41"/>
    </row>
    <row r="325" spans="1:35" ht="15.75" customHeight="1" x14ac:dyDescent="0.2">
      <c r="A325" s="41"/>
      <c r="B325" s="41"/>
      <c r="C325" s="41"/>
      <c r="D325" s="72"/>
      <c r="E325" s="41"/>
      <c r="F325" s="41"/>
      <c r="G325" s="41"/>
      <c r="H325" s="41"/>
      <c r="I325" s="41"/>
      <c r="J325" s="41"/>
      <c r="K325" s="41"/>
      <c r="L325" s="41"/>
      <c r="M325" s="41"/>
      <c r="N325" s="41"/>
      <c r="O325" s="41"/>
      <c r="P325" s="41"/>
      <c r="Q325" s="41"/>
      <c r="R325" s="41"/>
      <c r="S325" s="41"/>
      <c r="T325" s="41"/>
      <c r="U325" s="41"/>
      <c r="V325" s="41"/>
      <c r="W325" s="41"/>
      <c r="X325" s="41"/>
      <c r="Y325" s="41"/>
      <c r="Z325" s="41"/>
      <c r="AA325" s="41"/>
      <c r="AB325" s="41"/>
      <c r="AC325" s="41"/>
      <c r="AD325" s="41"/>
      <c r="AE325" s="41"/>
      <c r="AF325" s="41"/>
      <c r="AG325" s="41"/>
      <c r="AH325" s="41"/>
      <c r="AI325" s="41"/>
    </row>
    <row r="326" spans="1:35" ht="15.75" customHeight="1" x14ac:dyDescent="0.2">
      <c r="A326" s="41"/>
      <c r="B326" s="41"/>
      <c r="C326" s="41"/>
      <c r="D326" s="72"/>
      <c r="E326" s="41"/>
      <c r="F326" s="41"/>
      <c r="G326" s="41"/>
      <c r="H326" s="41"/>
      <c r="I326" s="41"/>
      <c r="J326" s="41"/>
      <c r="K326" s="41"/>
      <c r="L326" s="41"/>
      <c r="M326" s="41"/>
      <c r="N326" s="41"/>
      <c r="O326" s="41"/>
      <c r="P326" s="41"/>
      <c r="Q326" s="41"/>
      <c r="R326" s="41"/>
      <c r="S326" s="41"/>
      <c r="T326" s="41"/>
      <c r="U326" s="41"/>
      <c r="V326" s="41"/>
      <c r="W326" s="41"/>
      <c r="X326" s="41"/>
      <c r="Y326" s="41"/>
      <c r="Z326" s="41"/>
      <c r="AA326" s="41"/>
      <c r="AB326" s="41"/>
      <c r="AC326" s="41"/>
      <c r="AD326" s="41"/>
      <c r="AE326" s="41"/>
      <c r="AF326" s="41"/>
      <c r="AG326" s="41"/>
      <c r="AH326" s="41"/>
      <c r="AI326" s="41"/>
    </row>
    <row r="327" spans="1:35" ht="15.75" customHeight="1" x14ac:dyDescent="0.2">
      <c r="A327" s="41"/>
      <c r="B327" s="41"/>
      <c r="C327" s="41"/>
      <c r="D327" s="72"/>
      <c r="E327" s="41"/>
      <c r="F327" s="41"/>
      <c r="G327" s="41"/>
      <c r="H327" s="41"/>
      <c r="I327" s="41"/>
      <c r="J327" s="41"/>
      <c r="K327" s="41"/>
      <c r="L327" s="41"/>
      <c r="M327" s="41"/>
      <c r="N327" s="41"/>
      <c r="O327" s="41"/>
      <c r="P327" s="41"/>
      <c r="Q327" s="41"/>
      <c r="R327" s="41"/>
      <c r="S327" s="41"/>
      <c r="T327" s="41"/>
      <c r="U327" s="41"/>
      <c r="V327" s="41"/>
      <c r="W327" s="41"/>
      <c r="X327" s="41"/>
      <c r="Y327" s="41"/>
      <c r="Z327" s="41"/>
      <c r="AA327" s="41"/>
      <c r="AB327" s="41"/>
      <c r="AC327" s="41"/>
      <c r="AD327" s="41"/>
      <c r="AE327" s="41"/>
      <c r="AF327" s="41"/>
      <c r="AG327" s="41"/>
      <c r="AH327" s="41"/>
      <c r="AI327" s="41"/>
    </row>
    <row r="328" spans="1:35" ht="15.75" customHeight="1" x14ac:dyDescent="0.2">
      <c r="A328" s="41"/>
      <c r="B328" s="41"/>
      <c r="C328" s="41"/>
      <c r="D328" s="72"/>
      <c r="E328" s="41"/>
      <c r="F328" s="41"/>
      <c r="G328" s="41"/>
      <c r="H328" s="41"/>
      <c r="I328" s="41"/>
      <c r="J328" s="41"/>
      <c r="K328" s="41"/>
      <c r="L328" s="41"/>
      <c r="M328" s="41"/>
      <c r="N328" s="41"/>
      <c r="O328" s="41"/>
      <c r="P328" s="41"/>
      <c r="Q328" s="41"/>
      <c r="R328" s="41"/>
      <c r="S328" s="41"/>
      <c r="T328" s="41"/>
      <c r="U328" s="41"/>
      <c r="V328" s="41"/>
      <c r="W328" s="41"/>
      <c r="X328" s="41"/>
      <c r="Y328" s="41"/>
      <c r="Z328" s="41"/>
      <c r="AA328" s="41"/>
      <c r="AB328" s="41"/>
      <c r="AC328" s="41"/>
      <c r="AD328" s="41"/>
      <c r="AE328" s="41"/>
      <c r="AF328" s="41"/>
      <c r="AG328" s="41"/>
      <c r="AH328" s="41"/>
      <c r="AI328" s="41"/>
    </row>
    <row r="329" spans="1:35" ht="15.75" customHeight="1" x14ac:dyDescent="0.2">
      <c r="A329" s="41"/>
      <c r="B329" s="41"/>
      <c r="C329" s="41"/>
      <c r="D329" s="72"/>
      <c r="E329" s="41"/>
      <c r="F329" s="41"/>
      <c r="G329" s="41"/>
      <c r="H329" s="41"/>
      <c r="I329" s="41"/>
      <c r="J329" s="41"/>
      <c r="K329" s="41"/>
      <c r="L329" s="41"/>
      <c r="M329" s="41"/>
      <c r="N329" s="41"/>
      <c r="O329" s="41"/>
      <c r="P329" s="41"/>
      <c r="Q329" s="41"/>
      <c r="R329" s="41"/>
      <c r="S329" s="41"/>
      <c r="T329" s="41"/>
      <c r="U329" s="41"/>
      <c r="V329" s="41"/>
      <c r="W329" s="41"/>
      <c r="X329" s="41"/>
      <c r="Y329" s="41"/>
      <c r="Z329" s="41"/>
      <c r="AA329" s="41"/>
      <c r="AB329" s="41"/>
      <c r="AC329" s="41"/>
      <c r="AD329" s="41"/>
      <c r="AE329" s="41"/>
      <c r="AF329" s="41"/>
      <c r="AG329" s="41"/>
      <c r="AH329" s="41"/>
      <c r="AI329" s="41"/>
    </row>
    <row r="330" spans="1:35" ht="15.75" customHeight="1" x14ac:dyDescent="0.2">
      <c r="A330" s="41"/>
      <c r="B330" s="41"/>
      <c r="C330" s="41"/>
      <c r="D330" s="72"/>
      <c r="E330" s="41"/>
      <c r="F330" s="41"/>
      <c r="G330" s="41"/>
      <c r="H330" s="41"/>
      <c r="I330" s="41"/>
      <c r="J330" s="41"/>
      <c r="K330" s="41"/>
      <c r="L330" s="41"/>
      <c r="M330" s="41"/>
      <c r="N330" s="41"/>
      <c r="O330" s="41"/>
      <c r="P330" s="41"/>
      <c r="Q330" s="41"/>
      <c r="R330" s="41"/>
      <c r="S330" s="41"/>
      <c r="T330" s="41"/>
      <c r="U330" s="41"/>
      <c r="V330" s="41"/>
      <c r="W330" s="41"/>
      <c r="X330" s="41"/>
      <c r="Y330" s="41"/>
      <c r="Z330" s="41"/>
      <c r="AA330" s="41"/>
      <c r="AB330" s="41"/>
      <c r="AC330" s="41"/>
      <c r="AD330" s="41"/>
      <c r="AE330" s="41"/>
      <c r="AF330" s="41"/>
      <c r="AG330" s="41"/>
      <c r="AH330" s="41"/>
      <c r="AI330" s="41"/>
    </row>
    <row r="331" spans="1:35" ht="15.75" customHeight="1" x14ac:dyDescent="0.2">
      <c r="A331" s="41"/>
      <c r="B331" s="41"/>
      <c r="C331" s="41"/>
      <c r="D331" s="72"/>
      <c r="E331" s="41"/>
      <c r="F331" s="41"/>
      <c r="G331" s="41"/>
      <c r="H331" s="41"/>
      <c r="I331" s="41"/>
      <c r="J331" s="41"/>
      <c r="K331" s="41"/>
      <c r="L331" s="41"/>
      <c r="M331" s="41"/>
      <c r="N331" s="41"/>
      <c r="O331" s="41"/>
      <c r="P331" s="41"/>
      <c r="Q331" s="41"/>
      <c r="R331" s="41"/>
      <c r="S331" s="41"/>
      <c r="T331" s="41"/>
      <c r="U331" s="41"/>
      <c r="V331" s="41"/>
      <c r="W331" s="41"/>
      <c r="X331" s="41"/>
      <c r="Y331" s="41"/>
      <c r="Z331" s="41"/>
      <c r="AA331" s="41"/>
      <c r="AB331" s="41"/>
      <c r="AC331" s="41"/>
      <c r="AD331" s="41"/>
      <c r="AE331" s="41"/>
      <c r="AF331" s="41"/>
      <c r="AG331" s="41"/>
      <c r="AH331" s="41"/>
      <c r="AI331" s="41"/>
    </row>
    <row r="332" spans="1:35" ht="15.75" customHeight="1" x14ac:dyDescent="0.2">
      <c r="A332" s="41"/>
      <c r="B332" s="41"/>
      <c r="C332" s="41"/>
      <c r="D332" s="72"/>
      <c r="E332" s="41"/>
      <c r="F332" s="41"/>
      <c r="G332" s="41"/>
      <c r="H332" s="41"/>
      <c r="I332" s="41"/>
      <c r="J332" s="41"/>
      <c r="K332" s="41"/>
      <c r="L332" s="41"/>
      <c r="M332" s="41"/>
      <c r="N332" s="41"/>
      <c r="O332" s="41"/>
      <c r="P332" s="41"/>
      <c r="Q332" s="41"/>
      <c r="R332" s="41"/>
      <c r="S332" s="41"/>
      <c r="T332" s="41"/>
      <c r="U332" s="41"/>
      <c r="V332" s="41"/>
      <c r="W332" s="41"/>
      <c r="X332" s="41"/>
      <c r="Y332" s="41"/>
      <c r="Z332" s="41"/>
      <c r="AA332" s="41"/>
      <c r="AB332" s="41"/>
      <c r="AC332" s="41"/>
      <c r="AD332" s="41"/>
      <c r="AE332" s="41"/>
      <c r="AF332" s="41"/>
      <c r="AG332" s="41"/>
      <c r="AH332" s="41"/>
      <c r="AI332" s="41"/>
    </row>
    <row r="333" spans="1:35" ht="15.75" customHeight="1" x14ac:dyDescent="0.2">
      <c r="A333" s="41"/>
      <c r="B333" s="41"/>
      <c r="C333" s="41"/>
      <c r="D333" s="72"/>
      <c r="E333" s="41"/>
      <c r="F333" s="41"/>
      <c r="G333" s="41"/>
      <c r="H333" s="41"/>
      <c r="I333" s="41"/>
      <c r="J333" s="41"/>
      <c r="K333" s="41"/>
      <c r="L333" s="41"/>
      <c r="M333" s="41"/>
      <c r="N333" s="41"/>
      <c r="O333" s="41"/>
      <c r="P333" s="41"/>
      <c r="Q333" s="41"/>
      <c r="R333" s="41"/>
      <c r="S333" s="41"/>
      <c r="T333" s="41"/>
      <c r="U333" s="41"/>
      <c r="V333" s="41"/>
      <c r="W333" s="41"/>
      <c r="X333" s="41"/>
      <c r="Y333" s="41"/>
      <c r="Z333" s="41"/>
      <c r="AA333" s="41"/>
      <c r="AB333" s="41"/>
      <c r="AC333" s="41"/>
      <c r="AD333" s="41"/>
      <c r="AE333" s="41"/>
      <c r="AF333" s="41"/>
      <c r="AG333" s="41"/>
      <c r="AH333" s="41"/>
      <c r="AI333" s="41"/>
    </row>
    <row r="334" spans="1:35" ht="15.75" customHeight="1" x14ac:dyDescent="0.2">
      <c r="A334" s="41"/>
      <c r="B334" s="41"/>
      <c r="C334" s="41"/>
      <c r="D334" s="72"/>
      <c r="E334" s="41"/>
      <c r="F334" s="41"/>
      <c r="G334" s="41"/>
      <c r="H334" s="41"/>
      <c r="I334" s="41"/>
      <c r="J334" s="41"/>
      <c r="K334" s="41"/>
      <c r="L334" s="41"/>
      <c r="M334" s="41"/>
      <c r="N334" s="41"/>
      <c r="O334" s="41"/>
      <c r="P334" s="41"/>
      <c r="Q334" s="41"/>
      <c r="R334" s="41"/>
      <c r="S334" s="41"/>
      <c r="T334" s="41"/>
      <c r="U334" s="41"/>
      <c r="V334" s="41"/>
      <c r="W334" s="41"/>
      <c r="X334" s="41"/>
      <c r="Y334" s="41"/>
      <c r="Z334" s="41"/>
      <c r="AA334" s="41"/>
      <c r="AB334" s="41"/>
      <c r="AC334" s="41"/>
      <c r="AD334" s="41"/>
      <c r="AE334" s="41"/>
      <c r="AF334" s="41"/>
      <c r="AG334" s="41"/>
      <c r="AH334" s="41"/>
      <c r="AI334" s="41"/>
    </row>
    <row r="335" spans="1:35" ht="15.75" customHeight="1" x14ac:dyDescent="0.2">
      <c r="A335" s="41"/>
      <c r="B335" s="41"/>
      <c r="C335" s="41"/>
      <c r="D335" s="72"/>
      <c r="E335" s="41"/>
      <c r="F335" s="41"/>
      <c r="G335" s="41"/>
      <c r="H335" s="41"/>
      <c r="I335" s="41"/>
      <c r="J335" s="41"/>
      <c r="K335" s="41"/>
      <c r="L335" s="41"/>
      <c r="M335" s="41"/>
      <c r="N335" s="41"/>
      <c r="O335" s="41"/>
      <c r="P335" s="41"/>
      <c r="Q335" s="41"/>
      <c r="R335" s="41"/>
      <c r="S335" s="41"/>
      <c r="T335" s="41"/>
      <c r="U335" s="41"/>
      <c r="V335" s="41"/>
      <c r="W335" s="41"/>
      <c r="X335" s="41"/>
      <c r="Y335" s="41"/>
      <c r="Z335" s="41"/>
      <c r="AA335" s="41"/>
      <c r="AB335" s="41"/>
      <c r="AC335" s="41"/>
      <c r="AD335" s="41"/>
      <c r="AE335" s="41"/>
      <c r="AF335" s="41"/>
      <c r="AG335" s="41"/>
      <c r="AH335" s="41"/>
      <c r="AI335" s="41"/>
    </row>
    <row r="336" spans="1:35" ht="15.75" customHeight="1" x14ac:dyDescent="0.2">
      <c r="A336" s="41"/>
      <c r="B336" s="41"/>
      <c r="C336" s="41"/>
      <c r="D336" s="72"/>
      <c r="E336" s="41"/>
      <c r="F336" s="41"/>
      <c r="G336" s="41"/>
      <c r="H336" s="41"/>
      <c r="I336" s="41"/>
      <c r="J336" s="41"/>
      <c r="K336" s="41"/>
      <c r="L336" s="41"/>
      <c r="M336" s="41"/>
      <c r="N336" s="41"/>
      <c r="O336" s="41"/>
      <c r="P336" s="41"/>
      <c r="Q336" s="41"/>
      <c r="R336" s="41"/>
      <c r="S336" s="41"/>
      <c r="T336" s="41"/>
      <c r="U336" s="41"/>
      <c r="V336" s="41"/>
      <c r="W336" s="41"/>
      <c r="X336" s="41"/>
      <c r="Y336" s="41"/>
      <c r="Z336" s="41"/>
      <c r="AA336" s="41"/>
      <c r="AB336" s="41"/>
      <c r="AC336" s="41"/>
      <c r="AD336" s="41"/>
      <c r="AE336" s="41"/>
      <c r="AF336" s="41"/>
      <c r="AG336" s="41"/>
      <c r="AH336" s="41"/>
      <c r="AI336" s="41"/>
    </row>
    <row r="337" spans="1:35" ht="15.75" customHeight="1" x14ac:dyDescent="0.2">
      <c r="A337" s="41"/>
      <c r="B337" s="41"/>
      <c r="C337" s="41"/>
      <c r="D337" s="72"/>
      <c r="E337" s="41"/>
      <c r="F337" s="41"/>
      <c r="G337" s="41"/>
      <c r="H337" s="41"/>
      <c r="I337" s="41"/>
      <c r="J337" s="41"/>
      <c r="K337" s="41"/>
      <c r="L337" s="41"/>
      <c r="M337" s="41"/>
      <c r="N337" s="41"/>
      <c r="O337" s="41"/>
      <c r="P337" s="41"/>
      <c r="Q337" s="41"/>
      <c r="R337" s="41"/>
      <c r="S337" s="41"/>
      <c r="T337" s="41"/>
      <c r="U337" s="41"/>
      <c r="V337" s="41"/>
      <c r="W337" s="41"/>
      <c r="X337" s="41"/>
      <c r="Y337" s="41"/>
      <c r="Z337" s="41"/>
      <c r="AA337" s="41"/>
      <c r="AB337" s="41"/>
      <c r="AC337" s="41"/>
      <c r="AD337" s="41"/>
      <c r="AE337" s="41"/>
      <c r="AF337" s="41"/>
      <c r="AG337" s="41"/>
      <c r="AH337" s="41"/>
      <c r="AI337" s="41"/>
    </row>
    <row r="338" spans="1:35" ht="15.75" customHeight="1" x14ac:dyDescent="0.2">
      <c r="A338" s="41"/>
      <c r="B338" s="41"/>
      <c r="C338" s="41"/>
      <c r="D338" s="72"/>
      <c r="E338" s="41"/>
      <c r="F338" s="41"/>
      <c r="G338" s="41"/>
      <c r="H338" s="41"/>
      <c r="I338" s="41"/>
      <c r="J338" s="41"/>
      <c r="K338" s="41"/>
      <c r="L338" s="41"/>
      <c r="M338" s="41"/>
      <c r="N338" s="41"/>
      <c r="O338" s="41"/>
      <c r="P338" s="41"/>
      <c r="Q338" s="41"/>
      <c r="R338" s="41"/>
      <c r="S338" s="41"/>
      <c r="T338" s="41"/>
      <c r="U338" s="41"/>
      <c r="V338" s="41"/>
      <c r="W338" s="41"/>
      <c r="X338" s="41"/>
      <c r="Y338" s="41"/>
      <c r="Z338" s="41"/>
      <c r="AA338" s="41"/>
      <c r="AB338" s="41"/>
      <c r="AC338" s="41"/>
      <c r="AD338" s="41"/>
      <c r="AE338" s="41"/>
      <c r="AF338" s="41"/>
      <c r="AG338" s="41"/>
      <c r="AH338" s="41"/>
      <c r="AI338" s="41"/>
    </row>
    <row r="339" spans="1:35" ht="15.75" customHeight="1" x14ac:dyDescent="0.2">
      <c r="A339" s="41"/>
      <c r="B339" s="41"/>
      <c r="C339" s="41"/>
      <c r="D339" s="72"/>
      <c r="E339" s="41"/>
      <c r="F339" s="41"/>
      <c r="G339" s="41"/>
      <c r="H339" s="41"/>
      <c r="I339" s="41"/>
      <c r="J339" s="41"/>
      <c r="K339" s="41"/>
      <c r="L339" s="41"/>
      <c r="M339" s="41"/>
      <c r="N339" s="41"/>
      <c r="O339" s="41"/>
      <c r="P339" s="41"/>
      <c r="Q339" s="41"/>
      <c r="R339" s="41"/>
      <c r="S339" s="41"/>
      <c r="T339" s="41"/>
      <c r="U339" s="41"/>
      <c r="V339" s="41"/>
      <c r="W339" s="41"/>
      <c r="X339" s="41"/>
      <c r="Y339" s="41"/>
      <c r="Z339" s="41"/>
      <c r="AA339" s="41"/>
      <c r="AB339" s="41"/>
      <c r="AC339" s="41"/>
      <c r="AD339" s="41"/>
      <c r="AE339" s="41"/>
      <c r="AF339" s="41"/>
      <c r="AG339" s="41"/>
      <c r="AH339" s="41"/>
      <c r="AI339" s="41"/>
    </row>
    <row r="340" spans="1:35" ht="15.75" customHeight="1" x14ac:dyDescent="0.2">
      <c r="A340" s="41"/>
      <c r="B340" s="41"/>
      <c r="C340" s="41"/>
      <c r="D340" s="72"/>
      <c r="E340" s="41"/>
      <c r="F340" s="41"/>
      <c r="G340" s="41"/>
      <c r="H340" s="41"/>
      <c r="I340" s="41"/>
      <c r="J340" s="41"/>
      <c r="K340" s="41"/>
      <c r="L340" s="41"/>
      <c r="M340" s="41"/>
      <c r="N340" s="41"/>
      <c r="O340" s="41"/>
      <c r="P340" s="41"/>
      <c r="Q340" s="41"/>
      <c r="R340" s="41"/>
      <c r="S340" s="41"/>
      <c r="T340" s="41"/>
      <c r="U340" s="41"/>
      <c r="V340" s="41"/>
      <c r="W340" s="41"/>
      <c r="X340" s="41"/>
      <c r="Y340" s="41"/>
      <c r="Z340" s="41"/>
      <c r="AA340" s="41"/>
      <c r="AB340" s="41"/>
      <c r="AC340" s="41"/>
      <c r="AD340" s="41"/>
      <c r="AE340" s="41"/>
      <c r="AF340" s="41"/>
      <c r="AG340" s="41"/>
      <c r="AH340" s="41"/>
      <c r="AI340" s="41"/>
    </row>
    <row r="341" spans="1:35" ht="15.75" customHeight="1" x14ac:dyDescent="0.2">
      <c r="A341" s="41"/>
      <c r="B341" s="41"/>
      <c r="C341" s="41"/>
      <c r="D341" s="72"/>
      <c r="E341" s="41"/>
      <c r="F341" s="41"/>
      <c r="G341" s="41"/>
      <c r="H341" s="41"/>
      <c r="I341" s="41"/>
      <c r="J341" s="41"/>
      <c r="K341" s="41"/>
      <c r="L341" s="41"/>
      <c r="M341" s="41"/>
      <c r="N341" s="41"/>
      <c r="O341" s="41"/>
      <c r="P341" s="41"/>
      <c r="Q341" s="41"/>
      <c r="R341" s="41"/>
      <c r="S341" s="41"/>
      <c r="T341" s="41"/>
      <c r="U341" s="41"/>
      <c r="V341" s="41"/>
      <c r="W341" s="41"/>
      <c r="X341" s="41"/>
      <c r="Y341" s="41"/>
      <c r="Z341" s="41"/>
      <c r="AA341" s="41"/>
      <c r="AB341" s="41"/>
      <c r="AC341" s="41"/>
      <c r="AD341" s="41"/>
      <c r="AE341" s="41"/>
      <c r="AF341" s="41"/>
      <c r="AG341" s="41"/>
      <c r="AH341" s="41"/>
      <c r="AI341" s="41"/>
    </row>
    <row r="342" spans="1:35" ht="15.75" customHeight="1" x14ac:dyDescent="0.2">
      <c r="A342" s="41"/>
      <c r="B342" s="41"/>
      <c r="C342" s="41"/>
      <c r="D342" s="72"/>
      <c r="E342" s="41"/>
      <c r="F342" s="41"/>
      <c r="G342" s="41"/>
      <c r="H342" s="41"/>
      <c r="I342" s="41"/>
      <c r="J342" s="41"/>
      <c r="K342" s="41"/>
      <c r="L342" s="41"/>
      <c r="M342" s="41"/>
      <c r="N342" s="41"/>
      <c r="O342" s="41"/>
      <c r="P342" s="41"/>
      <c r="Q342" s="41"/>
      <c r="R342" s="41"/>
      <c r="S342" s="41"/>
      <c r="T342" s="41"/>
      <c r="U342" s="41"/>
      <c r="V342" s="41"/>
      <c r="W342" s="41"/>
      <c r="X342" s="41"/>
      <c r="Y342" s="41"/>
      <c r="Z342" s="41"/>
      <c r="AA342" s="41"/>
      <c r="AB342" s="41"/>
      <c r="AC342" s="41"/>
      <c r="AD342" s="41"/>
      <c r="AE342" s="41"/>
      <c r="AF342" s="41"/>
      <c r="AG342" s="41"/>
      <c r="AH342" s="41"/>
      <c r="AI342" s="41"/>
    </row>
    <row r="343" spans="1:35" ht="15.75" customHeight="1" x14ac:dyDescent="0.2">
      <c r="A343" s="41"/>
      <c r="B343" s="41"/>
      <c r="C343" s="41"/>
      <c r="D343" s="72"/>
      <c r="E343" s="41"/>
      <c r="F343" s="41"/>
      <c r="G343" s="41"/>
      <c r="H343" s="41"/>
      <c r="I343" s="41"/>
      <c r="J343" s="41"/>
      <c r="K343" s="41"/>
      <c r="L343" s="41"/>
      <c r="M343" s="41"/>
      <c r="N343" s="41"/>
      <c r="O343" s="41"/>
      <c r="P343" s="41"/>
      <c r="Q343" s="41"/>
      <c r="R343" s="41"/>
      <c r="S343" s="41"/>
      <c r="T343" s="41"/>
      <c r="U343" s="41"/>
      <c r="V343" s="41"/>
      <c r="W343" s="41"/>
      <c r="X343" s="41"/>
      <c r="Y343" s="41"/>
      <c r="Z343" s="41"/>
      <c r="AA343" s="41"/>
      <c r="AB343" s="41"/>
      <c r="AC343" s="41"/>
      <c r="AD343" s="41"/>
      <c r="AE343" s="41"/>
      <c r="AF343" s="41"/>
      <c r="AG343" s="41"/>
      <c r="AH343" s="41"/>
      <c r="AI343" s="41"/>
    </row>
    <row r="344" spans="1:35" ht="15.75" customHeight="1" x14ac:dyDescent="0.2">
      <c r="A344" s="41"/>
      <c r="B344" s="41"/>
      <c r="C344" s="41"/>
      <c r="D344" s="72"/>
      <c r="E344" s="41"/>
      <c r="F344" s="41"/>
      <c r="G344" s="41"/>
      <c r="H344" s="41"/>
      <c r="I344" s="41"/>
      <c r="J344" s="41"/>
      <c r="K344" s="41"/>
      <c r="L344" s="41"/>
      <c r="M344" s="41"/>
      <c r="N344" s="41"/>
      <c r="O344" s="41"/>
      <c r="P344" s="41"/>
      <c r="Q344" s="41"/>
      <c r="R344" s="41"/>
      <c r="S344" s="41"/>
      <c r="T344" s="41"/>
      <c r="U344" s="41"/>
      <c r="V344" s="41"/>
      <c r="W344" s="41"/>
      <c r="X344" s="41"/>
      <c r="Y344" s="41"/>
      <c r="Z344" s="41"/>
      <c r="AA344" s="41"/>
      <c r="AB344" s="41"/>
      <c r="AC344" s="41"/>
      <c r="AD344" s="41"/>
      <c r="AE344" s="41"/>
      <c r="AF344" s="41"/>
      <c r="AG344" s="41"/>
      <c r="AH344" s="41"/>
      <c r="AI344" s="41"/>
    </row>
    <row r="345" spans="1:35" ht="15.75" customHeight="1" x14ac:dyDescent="0.2">
      <c r="A345" s="41"/>
      <c r="B345" s="41"/>
      <c r="C345" s="41"/>
      <c r="D345" s="72"/>
      <c r="E345" s="41"/>
      <c r="F345" s="41"/>
      <c r="G345" s="41"/>
      <c r="H345" s="41"/>
      <c r="I345" s="41"/>
      <c r="J345" s="41"/>
      <c r="K345" s="41"/>
      <c r="L345" s="41"/>
      <c r="M345" s="41"/>
      <c r="N345" s="41"/>
      <c r="O345" s="41"/>
      <c r="P345" s="41"/>
      <c r="Q345" s="41"/>
      <c r="R345" s="41"/>
      <c r="S345" s="41"/>
      <c r="T345" s="41"/>
      <c r="U345" s="41"/>
      <c r="V345" s="41"/>
      <c r="W345" s="41"/>
      <c r="X345" s="41"/>
      <c r="Y345" s="41"/>
      <c r="Z345" s="41"/>
      <c r="AA345" s="41"/>
      <c r="AB345" s="41"/>
      <c r="AC345" s="41"/>
      <c r="AD345" s="41"/>
      <c r="AE345" s="41"/>
      <c r="AF345" s="41"/>
      <c r="AG345" s="41"/>
      <c r="AH345" s="41"/>
      <c r="AI345" s="41"/>
    </row>
    <row r="346" spans="1:35" ht="15.75" customHeight="1" x14ac:dyDescent="0.2">
      <c r="A346" s="41"/>
      <c r="B346" s="41"/>
      <c r="C346" s="41"/>
      <c r="D346" s="72"/>
      <c r="E346" s="41"/>
      <c r="F346" s="41"/>
      <c r="G346" s="41"/>
      <c r="H346" s="41"/>
      <c r="I346" s="41"/>
      <c r="J346" s="41"/>
      <c r="K346" s="41"/>
      <c r="L346" s="41"/>
      <c r="M346" s="41"/>
      <c r="N346" s="41"/>
      <c r="O346" s="41"/>
      <c r="P346" s="41"/>
      <c r="Q346" s="41"/>
      <c r="R346" s="41"/>
      <c r="S346" s="41"/>
      <c r="T346" s="41"/>
      <c r="U346" s="41"/>
      <c r="V346" s="41"/>
      <c r="W346" s="41"/>
      <c r="X346" s="41"/>
      <c r="Y346" s="41"/>
      <c r="Z346" s="41"/>
      <c r="AA346" s="41"/>
      <c r="AB346" s="41"/>
      <c r="AC346" s="41"/>
      <c r="AD346" s="41"/>
      <c r="AE346" s="41"/>
      <c r="AF346" s="41"/>
      <c r="AG346" s="41"/>
      <c r="AH346" s="41"/>
      <c r="AI346" s="41"/>
    </row>
    <row r="347" spans="1:35" ht="15.75" customHeight="1" x14ac:dyDescent="0.2">
      <c r="A347" s="41"/>
      <c r="B347" s="41"/>
      <c r="C347" s="41"/>
      <c r="D347" s="72"/>
      <c r="E347" s="41"/>
      <c r="F347" s="41"/>
      <c r="G347" s="41"/>
      <c r="H347" s="41"/>
      <c r="I347" s="41"/>
      <c r="J347" s="41"/>
      <c r="K347" s="41"/>
      <c r="L347" s="41"/>
      <c r="M347" s="41"/>
      <c r="N347" s="41"/>
      <c r="O347" s="41"/>
      <c r="P347" s="41"/>
      <c r="Q347" s="41"/>
      <c r="R347" s="41"/>
      <c r="S347" s="41"/>
      <c r="T347" s="41"/>
      <c r="U347" s="41"/>
      <c r="V347" s="41"/>
      <c r="W347" s="41"/>
      <c r="X347" s="41"/>
      <c r="Y347" s="41"/>
      <c r="Z347" s="41"/>
      <c r="AA347" s="41"/>
      <c r="AB347" s="41"/>
      <c r="AC347" s="41"/>
      <c r="AD347" s="41"/>
      <c r="AE347" s="41"/>
      <c r="AF347" s="41"/>
      <c r="AG347" s="41"/>
      <c r="AH347" s="41"/>
      <c r="AI347" s="41"/>
    </row>
    <row r="348" spans="1:35" ht="15.75" customHeight="1" x14ac:dyDescent="0.2">
      <c r="A348" s="41"/>
      <c r="B348" s="41"/>
      <c r="C348" s="41"/>
      <c r="D348" s="72"/>
      <c r="E348" s="41"/>
      <c r="F348" s="41"/>
      <c r="G348" s="41"/>
      <c r="H348" s="41"/>
      <c r="I348" s="41"/>
      <c r="J348" s="41"/>
      <c r="K348" s="41"/>
      <c r="L348" s="41"/>
      <c r="M348" s="41"/>
      <c r="N348" s="41"/>
      <c r="O348" s="41"/>
      <c r="P348" s="41"/>
      <c r="Q348" s="41"/>
      <c r="R348" s="41"/>
      <c r="S348" s="41"/>
      <c r="T348" s="41"/>
      <c r="U348" s="41"/>
      <c r="V348" s="41"/>
      <c r="W348" s="41"/>
      <c r="X348" s="41"/>
      <c r="Y348" s="41"/>
      <c r="Z348" s="41"/>
      <c r="AA348" s="41"/>
      <c r="AB348" s="41"/>
      <c r="AC348" s="41"/>
      <c r="AD348" s="41"/>
      <c r="AE348" s="41"/>
      <c r="AF348" s="41"/>
      <c r="AG348" s="41"/>
      <c r="AH348" s="41"/>
      <c r="AI348" s="41"/>
    </row>
    <row r="349" spans="1:35" ht="15.75" customHeight="1" x14ac:dyDescent="0.2">
      <c r="A349" s="41"/>
      <c r="B349" s="41"/>
      <c r="C349" s="41"/>
      <c r="D349" s="72"/>
      <c r="E349" s="41"/>
      <c r="F349" s="41"/>
      <c r="G349" s="41"/>
      <c r="H349" s="41"/>
      <c r="I349" s="41"/>
      <c r="J349" s="41"/>
      <c r="K349" s="41"/>
      <c r="L349" s="41"/>
      <c r="M349" s="41"/>
      <c r="N349" s="41"/>
      <c r="O349" s="41"/>
      <c r="P349" s="41"/>
      <c r="Q349" s="41"/>
      <c r="R349" s="41"/>
      <c r="S349" s="41"/>
      <c r="T349" s="41"/>
      <c r="U349" s="41"/>
      <c r="V349" s="41"/>
      <c r="W349" s="41"/>
      <c r="X349" s="41"/>
      <c r="Y349" s="41"/>
      <c r="Z349" s="41"/>
      <c r="AA349" s="41"/>
      <c r="AB349" s="41"/>
      <c r="AC349" s="41"/>
      <c r="AD349" s="41"/>
      <c r="AE349" s="41"/>
      <c r="AF349" s="41"/>
      <c r="AG349" s="41"/>
      <c r="AH349" s="41"/>
      <c r="AI349" s="41"/>
    </row>
    <row r="350" spans="1:35" ht="15.75" customHeight="1" x14ac:dyDescent="0.2">
      <c r="A350" s="41"/>
      <c r="B350" s="41"/>
      <c r="C350" s="41"/>
      <c r="D350" s="72"/>
      <c r="E350" s="41"/>
      <c r="F350" s="41"/>
      <c r="G350" s="41"/>
      <c r="H350" s="41"/>
      <c r="I350" s="41"/>
      <c r="J350" s="41"/>
      <c r="K350" s="41"/>
      <c r="L350" s="41"/>
      <c r="M350" s="41"/>
      <c r="N350" s="41"/>
      <c r="O350" s="41"/>
      <c r="P350" s="41"/>
      <c r="Q350" s="41"/>
      <c r="R350" s="41"/>
      <c r="S350" s="41"/>
      <c r="T350" s="41"/>
      <c r="U350" s="41"/>
      <c r="V350" s="41"/>
      <c r="W350" s="41"/>
      <c r="X350" s="41"/>
      <c r="Y350" s="41"/>
      <c r="Z350" s="41"/>
      <c r="AA350" s="41"/>
      <c r="AB350" s="41"/>
      <c r="AC350" s="41"/>
      <c r="AD350" s="41"/>
      <c r="AE350" s="41"/>
      <c r="AF350" s="41"/>
      <c r="AG350" s="41"/>
      <c r="AH350" s="41"/>
      <c r="AI350" s="41"/>
    </row>
    <row r="351" spans="1:35" ht="15.75" customHeight="1" x14ac:dyDescent="0.2">
      <c r="A351" s="41"/>
      <c r="B351" s="41"/>
      <c r="C351" s="41"/>
      <c r="D351" s="72"/>
      <c r="E351" s="41"/>
      <c r="F351" s="41"/>
      <c r="G351" s="41"/>
      <c r="H351" s="41"/>
      <c r="I351" s="41"/>
      <c r="J351" s="41"/>
      <c r="K351" s="41"/>
      <c r="L351" s="41"/>
      <c r="M351" s="41"/>
      <c r="N351" s="41"/>
      <c r="O351" s="41"/>
      <c r="P351" s="41"/>
      <c r="Q351" s="41"/>
      <c r="R351" s="41"/>
      <c r="S351" s="41"/>
      <c r="T351" s="41"/>
      <c r="U351" s="41"/>
      <c r="V351" s="41"/>
      <c r="W351" s="41"/>
      <c r="X351" s="41"/>
      <c r="Y351" s="41"/>
      <c r="Z351" s="41"/>
      <c r="AA351" s="41"/>
      <c r="AB351" s="41"/>
      <c r="AC351" s="41"/>
      <c r="AD351" s="41"/>
      <c r="AE351" s="41"/>
      <c r="AF351" s="41"/>
      <c r="AG351" s="41"/>
      <c r="AH351" s="41"/>
      <c r="AI351" s="41"/>
    </row>
    <row r="352" spans="1:35" ht="15.75" customHeight="1" x14ac:dyDescent="0.2">
      <c r="A352" s="41"/>
      <c r="B352" s="41"/>
      <c r="C352" s="41"/>
      <c r="D352" s="72"/>
      <c r="E352" s="41"/>
      <c r="F352" s="41"/>
      <c r="G352" s="41"/>
      <c r="H352" s="41"/>
      <c r="I352" s="41"/>
      <c r="J352" s="41"/>
      <c r="K352" s="41"/>
      <c r="L352" s="41"/>
      <c r="M352" s="41"/>
      <c r="N352" s="41"/>
      <c r="O352" s="41"/>
      <c r="P352" s="41"/>
      <c r="Q352" s="41"/>
      <c r="R352" s="41"/>
      <c r="S352" s="41"/>
      <c r="T352" s="41"/>
      <c r="U352" s="41"/>
      <c r="V352" s="41"/>
      <c r="W352" s="41"/>
      <c r="X352" s="41"/>
      <c r="Y352" s="41"/>
      <c r="Z352" s="41"/>
      <c r="AA352" s="41"/>
      <c r="AB352" s="41"/>
      <c r="AC352" s="41"/>
      <c r="AD352" s="41"/>
      <c r="AE352" s="41"/>
      <c r="AF352" s="41"/>
      <c r="AG352" s="41"/>
      <c r="AH352" s="41"/>
      <c r="AI352" s="41"/>
    </row>
    <row r="353" spans="1:35" ht="15.75" customHeight="1" x14ac:dyDescent="0.2">
      <c r="A353" s="41"/>
      <c r="B353" s="41"/>
      <c r="C353" s="41"/>
      <c r="D353" s="72"/>
      <c r="E353" s="41"/>
      <c r="F353" s="41"/>
      <c r="G353" s="41"/>
      <c r="H353" s="41"/>
      <c r="I353" s="41"/>
      <c r="J353" s="41"/>
      <c r="K353" s="41"/>
      <c r="L353" s="41"/>
      <c r="M353" s="41"/>
      <c r="N353" s="41"/>
      <c r="O353" s="41"/>
      <c r="P353" s="41"/>
      <c r="Q353" s="41"/>
      <c r="R353" s="41"/>
      <c r="S353" s="41"/>
      <c r="T353" s="41"/>
      <c r="U353" s="41"/>
      <c r="V353" s="41"/>
      <c r="W353" s="41"/>
      <c r="X353" s="41"/>
      <c r="Y353" s="41"/>
      <c r="Z353" s="41"/>
      <c r="AA353" s="41"/>
      <c r="AB353" s="41"/>
      <c r="AC353" s="41"/>
      <c r="AD353" s="41"/>
      <c r="AE353" s="41"/>
      <c r="AF353" s="41"/>
      <c r="AG353" s="41"/>
      <c r="AH353" s="41"/>
      <c r="AI353" s="41"/>
    </row>
    <row r="354" spans="1:35" ht="15.75" customHeight="1" x14ac:dyDescent="0.2">
      <c r="A354" s="41"/>
      <c r="B354" s="41"/>
      <c r="C354" s="41"/>
      <c r="D354" s="72"/>
      <c r="E354" s="41"/>
      <c r="F354" s="41"/>
      <c r="G354" s="41"/>
      <c r="H354" s="41"/>
      <c r="I354" s="41"/>
      <c r="J354" s="41"/>
      <c r="K354" s="41"/>
      <c r="L354" s="41"/>
      <c r="M354" s="41"/>
      <c r="N354" s="41"/>
      <c r="O354" s="41"/>
      <c r="P354" s="41"/>
      <c r="Q354" s="41"/>
      <c r="R354" s="41"/>
      <c r="S354" s="41"/>
      <c r="T354" s="41"/>
      <c r="U354" s="41"/>
      <c r="V354" s="41"/>
      <c r="W354" s="41"/>
      <c r="X354" s="41"/>
      <c r="Y354" s="41"/>
      <c r="Z354" s="41"/>
      <c r="AA354" s="41"/>
      <c r="AB354" s="41"/>
      <c r="AC354" s="41"/>
      <c r="AD354" s="41"/>
      <c r="AE354" s="41"/>
      <c r="AF354" s="41"/>
      <c r="AG354" s="41"/>
      <c r="AH354" s="41"/>
      <c r="AI354" s="41"/>
    </row>
    <row r="355" spans="1:35" ht="15.75" customHeight="1" x14ac:dyDescent="0.2">
      <c r="A355" s="41"/>
      <c r="B355" s="41"/>
      <c r="C355" s="41"/>
      <c r="D355" s="72"/>
      <c r="E355" s="41"/>
      <c r="F355" s="41"/>
      <c r="G355" s="41"/>
      <c r="H355" s="41"/>
      <c r="I355" s="41"/>
      <c r="J355" s="41"/>
      <c r="K355" s="41"/>
      <c r="L355" s="41"/>
      <c r="M355" s="41"/>
      <c r="N355" s="41"/>
      <c r="O355" s="41"/>
      <c r="P355" s="41"/>
      <c r="Q355" s="41"/>
      <c r="R355" s="41"/>
      <c r="S355" s="41"/>
      <c r="T355" s="41"/>
      <c r="U355" s="41"/>
      <c r="V355" s="41"/>
      <c r="W355" s="41"/>
      <c r="X355" s="41"/>
      <c r="Y355" s="41"/>
      <c r="Z355" s="41"/>
      <c r="AA355" s="41"/>
      <c r="AB355" s="41"/>
      <c r="AC355" s="41"/>
      <c r="AD355" s="41"/>
      <c r="AE355" s="41"/>
      <c r="AF355" s="41"/>
      <c r="AG355" s="41"/>
      <c r="AH355" s="41"/>
      <c r="AI355" s="41"/>
    </row>
    <row r="356" spans="1:35" ht="15.75" customHeight="1" x14ac:dyDescent="0.2">
      <c r="A356" s="41"/>
      <c r="B356" s="41"/>
      <c r="C356" s="41"/>
      <c r="D356" s="72"/>
      <c r="E356" s="41"/>
      <c r="F356" s="41"/>
      <c r="G356" s="41"/>
      <c r="H356" s="41"/>
      <c r="I356" s="41"/>
      <c r="J356" s="41"/>
      <c r="K356" s="41"/>
      <c r="L356" s="41"/>
      <c r="M356" s="41"/>
      <c r="N356" s="41"/>
      <c r="O356" s="41"/>
      <c r="P356" s="41"/>
      <c r="Q356" s="41"/>
      <c r="R356" s="41"/>
      <c r="S356" s="41"/>
      <c r="T356" s="41"/>
      <c r="U356" s="41"/>
      <c r="V356" s="41"/>
      <c r="W356" s="41"/>
      <c r="X356" s="41"/>
      <c r="Y356" s="41"/>
      <c r="Z356" s="41"/>
      <c r="AA356" s="41"/>
      <c r="AB356" s="41"/>
      <c r="AC356" s="41"/>
      <c r="AD356" s="41"/>
      <c r="AE356" s="41"/>
      <c r="AF356" s="41"/>
      <c r="AG356" s="41"/>
      <c r="AH356" s="41"/>
      <c r="AI356" s="41"/>
    </row>
    <row r="357" spans="1:35" ht="15.75" customHeight="1" x14ac:dyDescent="0.2">
      <c r="A357" s="41"/>
      <c r="B357" s="41"/>
      <c r="C357" s="41"/>
      <c r="D357" s="72"/>
      <c r="E357" s="41"/>
      <c r="F357" s="41"/>
      <c r="G357" s="41"/>
      <c r="H357" s="41"/>
      <c r="I357" s="41"/>
      <c r="J357" s="41"/>
      <c r="K357" s="41"/>
      <c r="L357" s="41"/>
      <c r="M357" s="41"/>
      <c r="N357" s="41"/>
      <c r="O357" s="41"/>
      <c r="P357" s="41"/>
      <c r="Q357" s="41"/>
      <c r="R357" s="41"/>
      <c r="S357" s="41"/>
      <c r="T357" s="41"/>
      <c r="U357" s="41"/>
      <c r="V357" s="41"/>
      <c r="W357" s="41"/>
      <c r="X357" s="41"/>
      <c r="Y357" s="41"/>
      <c r="Z357" s="41"/>
      <c r="AA357" s="41"/>
      <c r="AB357" s="41"/>
      <c r="AC357" s="41"/>
      <c r="AD357" s="41"/>
      <c r="AE357" s="41"/>
      <c r="AF357" s="41"/>
      <c r="AG357" s="41"/>
      <c r="AH357" s="41"/>
      <c r="AI357" s="41"/>
    </row>
    <row r="358" spans="1:35" ht="15.75" customHeight="1" x14ac:dyDescent="0.2">
      <c r="A358" s="41"/>
      <c r="B358" s="41"/>
      <c r="C358" s="41"/>
      <c r="D358" s="72"/>
      <c r="E358" s="41"/>
      <c r="F358" s="41"/>
      <c r="G358" s="41"/>
      <c r="H358" s="41"/>
      <c r="I358" s="41"/>
      <c r="J358" s="41"/>
      <c r="K358" s="41"/>
      <c r="L358" s="41"/>
      <c r="M358" s="41"/>
      <c r="N358" s="41"/>
      <c r="O358" s="41"/>
      <c r="P358" s="41"/>
      <c r="Q358" s="41"/>
      <c r="R358" s="41"/>
      <c r="S358" s="41"/>
      <c r="T358" s="41"/>
      <c r="U358" s="41"/>
      <c r="V358" s="41"/>
      <c r="W358" s="41"/>
      <c r="X358" s="41"/>
      <c r="Y358" s="41"/>
      <c r="Z358" s="41"/>
      <c r="AA358" s="41"/>
      <c r="AB358" s="41"/>
      <c r="AC358" s="41"/>
      <c r="AD358" s="41"/>
      <c r="AE358" s="41"/>
      <c r="AF358" s="41"/>
      <c r="AG358" s="41"/>
      <c r="AH358" s="41"/>
      <c r="AI358" s="41"/>
    </row>
    <row r="359" spans="1:35" ht="15.75" customHeight="1" x14ac:dyDescent="0.2">
      <c r="A359" s="41"/>
      <c r="B359" s="41"/>
      <c r="C359" s="41"/>
      <c r="D359" s="72"/>
      <c r="E359" s="41"/>
      <c r="F359" s="41"/>
      <c r="G359" s="41"/>
      <c r="H359" s="41"/>
      <c r="I359" s="41"/>
      <c r="J359" s="41"/>
      <c r="K359" s="41"/>
      <c r="L359" s="41"/>
      <c r="M359" s="41"/>
      <c r="N359" s="41"/>
      <c r="O359" s="41"/>
      <c r="P359" s="41"/>
      <c r="Q359" s="41"/>
      <c r="R359" s="41"/>
      <c r="S359" s="41"/>
      <c r="T359" s="41"/>
      <c r="U359" s="41"/>
      <c r="V359" s="41"/>
      <c r="W359" s="41"/>
      <c r="X359" s="41"/>
      <c r="Y359" s="41"/>
      <c r="Z359" s="41"/>
      <c r="AA359" s="41"/>
      <c r="AB359" s="41"/>
      <c r="AC359" s="41"/>
      <c r="AD359" s="41"/>
      <c r="AE359" s="41"/>
      <c r="AF359" s="41"/>
      <c r="AG359" s="41"/>
      <c r="AH359" s="41"/>
      <c r="AI359" s="41"/>
    </row>
    <row r="360" spans="1:35" ht="15.75" customHeight="1" x14ac:dyDescent="0.2">
      <c r="A360" s="41"/>
      <c r="B360" s="41"/>
      <c r="C360" s="41"/>
      <c r="D360" s="72"/>
      <c r="E360" s="41"/>
      <c r="F360" s="41"/>
      <c r="G360" s="41"/>
      <c r="H360" s="41"/>
      <c r="I360" s="41"/>
      <c r="J360" s="41"/>
      <c r="K360" s="41"/>
      <c r="L360" s="41"/>
      <c r="M360" s="41"/>
      <c r="N360" s="41"/>
      <c r="O360" s="41"/>
      <c r="P360" s="41"/>
      <c r="Q360" s="41"/>
      <c r="R360" s="41"/>
      <c r="S360" s="41"/>
      <c r="T360" s="41"/>
      <c r="U360" s="41"/>
      <c r="V360" s="41"/>
      <c r="W360" s="41"/>
      <c r="X360" s="41"/>
      <c r="Y360" s="41"/>
      <c r="Z360" s="41"/>
      <c r="AA360" s="41"/>
      <c r="AB360" s="41"/>
      <c r="AC360" s="41"/>
      <c r="AD360" s="41"/>
      <c r="AE360" s="41"/>
      <c r="AF360" s="41"/>
      <c r="AG360" s="41"/>
      <c r="AH360" s="41"/>
      <c r="AI360" s="41"/>
    </row>
    <row r="361" spans="1:35" ht="15.75" customHeight="1" x14ac:dyDescent="0.2">
      <c r="A361" s="41"/>
      <c r="B361" s="41"/>
      <c r="C361" s="41"/>
      <c r="D361" s="72"/>
      <c r="E361" s="41"/>
      <c r="F361" s="41"/>
      <c r="G361" s="41"/>
      <c r="H361" s="41"/>
      <c r="I361" s="41"/>
      <c r="J361" s="41"/>
      <c r="K361" s="41"/>
      <c r="L361" s="41"/>
      <c r="M361" s="41"/>
      <c r="N361" s="41"/>
      <c r="O361" s="41"/>
      <c r="P361" s="41"/>
      <c r="Q361" s="41"/>
      <c r="R361" s="41"/>
      <c r="S361" s="41"/>
      <c r="T361" s="41"/>
      <c r="U361" s="41"/>
      <c r="V361" s="41"/>
      <c r="W361" s="41"/>
      <c r="X361" s="41"/>
      <c r="Y361" s="41"/>
      <c r="Z361" s="41"/>
      <c r="AA361" s="41"/>
      <c r="AB361" s="41"/>
      <c r="AC361" s="41"/>
      <c r="AD361" s="41"/>
      <c r="AE361" s="41"/>
      <c r="AF361" s="41"/>
      <c r="AG361" s="41"/>
      <c r="AH361" s="41"/>
      <c r="AI361" s="41"/>
    </row>
    <row r="362" spans="1:35" ht="15.75" customHeight="1" x14ac:dyDescent="0.2">
      <c r="A362" s="41"/>
      <c r="B362" s="41"/>
      <c r="C362" s="41"/>
      <c r="D362" s="72"/>
      <c r="E362" s="41"/>
      <c r="F362" s="41"/>
      <c r="G362" s="41"/>
      <c r="H362" s="41"/>
      <c r="I362" s="41"/>
      <c r="J362" s="41"/>
      <c r="K362" s="41"/>
      <c r="L362" s="41"/>
      <c r="M362" s="41"/>
      <c r="N362" s="41"/>
      <c r="O362" s="41"/>
      <c r="P362" s="41"/>
      <c r="Q362" s="41"/>
      <c r="R362" s="41"/>
      <c r="S362" s="41"/>
      <c r="T362" s="41"/>
      <c r="U362" s="41"/>
      <c r="V362" s="41"/>
      <c r="W362" s="41"/>
      <c r="X362" s="41"/>
      <c r="Y362" s="41"/>
      <c r="Z362" s="41"/>
      <c r="AA362" s="41"/>
      <c r="AB362" s="41"/>
      <c r="AC362" s="41"/>
      <c r="AD362" s="41"/>
      <c r="AE362" s="41"/>
      <c r="AF362" s="41"/>
      <c r="AG362" s="41"/>
      <c r="AH362" s="41"/>
      <c r="AI362" s="41"/>
    </row>
    <row r="363" spans="1:35" ht="15.75" customHeight="1" x14ac:dyDescent="0.2">
      <c r="A363" s="41"/>
      <c r="B363" s="41"/>
      <c r="C363" s="41"/>
      <c r="D363" s="72"/>
      <c r="E363" s="41"/>
      <c r="F363" s="41"/>
      <c r="G363" s="41"/>
      <c r="H363" s="41"/>
      <c r="I363" s="41"/>
      <c r="J363" s="41"/>
      <c r="K363" s="41"/>
      <c r="L363" s="41"/>
      <c r="M363" s="41"/>
      <c r="N363" s="41"/>
      <c r="O363" s="41"/>
      <c r="P363" s="41"/>
      <c r="Q363" s="41"/>
      <c r="R363" s="41"/>
      <c r="S363" s="41"/>
      <c r="T363" s="41"/>
      <c r="U363" s="41"/>
      <c r="V363" s="41"/>
      <c r="W363" s="41"/>
      <c r="X363" s="41"/>
      <c r="Y363" s="41"/>
      <c r="Z363" s="41"/>
      <c r="AA363" s="41"/>
      <c r="AB363" s="41"/>
      <c r="AC363" s="41"/>
      <c r="AD363" s="41"/>
      <c r="AE363" s="41"/>
      <c r="AF363" s="41"/>
      <c r="AG363" s="41"/>
      <c r="AH363" s="41"/>
      <c r="AI363" s="41"/>
    </row>
    <row r="364" spans="1:35" ht="15.75" customHeight="1" x14ac:dyDescent="0.2">
      <c r="A364" s="41"/>
      <c r="B364" s="41"/>
      <c r="C364" s="41"/>
      <c r="D364" s="72"/>
      <c r="E364" s="41"/>
      <c r="F364" s="41"/>
      <c r="G364" s="41"/>
      <c r="H364" s="41"/>
      <c r="I364" s="41"/>
      <c r="J364" s="41"/>
      <c r="K364" s="41"/>
      <c r="L364" s="41"/>
      <c r="M364" s="41"/>
      <c r="N364" s="41"/>
      <c r="O364" s="41"/>
      <c r="P364" s="41"/>
      <c r="Q364" s="41"/>
      <c r="R364" s="41"/>
      <c r="S364" s="41"/>
      <c r="T364" s="41"/>
      <c r="U364" s="41"/>
      <c r="V364" s="41"/>
      <c r="W364" s="41"/>
      <c r="X364" s="41"/>
      <c r="Y364" s="41"/>
      <c r="Z364" s="41"/>
      <c r="AA364" s="41"/>
      <c r="AB364" s="41"/>
      <c r="AC364" s="41"/>
      <c r="AD364" s="41"/>
      <c r="AE364" s="41"/>
      <c r="AF364" s="41"/>
      <c r="AG364" s="41"/>
      <c r="AH364" s="41"/>
      <c r="AI364" s="41"/>
    </row>
    <row r="365" spans="1:35" ht="15.75" customHeight="1" x14ac:dyDescent="0.2">
      <c r="A365" s="41"/>
      <c r="B365" s="41"/>
      <c r="C365" s="41"/>
      <c r="D365" s="72"/>
      <c r="E365" s="41"/>
      <c r="F365" s="41"/>
      <c r="G365" s="41"/>
      <c r="H365" s="41"/>
      <c r="I365" s="41"/>
      <c r="J365" s="41"/>
      <c r="K365" s="41"/>
      <c r="L365" s="41"/>
      <c r="M365" s="41"/>
      <c r="N365" s="41"/>
      <c r="O365" s="41"/>
      <c r="P365" s="41"/>
      <c r="Q365" s="41"/>
      <c r="R365" s="41"/>
      <c r="S365" s="41"/>
      <c r="T365" s="41"/>
      <c r="U365" s="41"/>
      <c r="V365" s="41"/>
      <c r="W365" s="41"/>
      <c r="X365" s="41"/>
      <c r="Y365" s="41"/>
      <c r="Z365" s="41"/>
      <c r="AA365" s="41"/>
      <c r="AB365" s="41"/>
      <c r="AC365" s="41"/>
      <c r="AD365" s="41"/>
      <c r="AE365" s="41"/>
      <c r="AF365" s="41"/>
      <c r="AG365" s="41"/>
      <c r="AH365" s="41"/>
      <c r="AI365" s="41"/>
    </row>
    <row r="366" spans="1:35" ht="15.75" customHeight="1" x14ac:dyDescent="0.2">
      <c r="A366" s="41"/>
      <c r="B366" s="41"/>
      <c r="C366" s="41"/>
      <c r="D366" s="72"/>
      <c r="E366" s="41"/>
      <c r="F366" s="41"/>
      <c r="G366" s="41"/>
      <c r="H366" s="41"/>
      <c r="I366" s="41"/>
      <c r="J366" s="41"/>
      <c r="K366" s="41"/>
      <c r="L366" s="41"/>
      <c r="M366" s="41"/>
      <c r="N366" s="41"/>
      <c r="O366" s="41"/>
      <c r="P366" s="41"/>
      <c r="Q366" s="41"/>
      <c r="R366" s="41"/>
      <c r="S366" s="41"/>
      <c r="T366" s="41"/>
      <c r="U366" s="41"/>
      <c r="V366" s="41"/>
      <c r="W366" s="41"/>
      <c r="X366" s="41"/>
      <c r="Y366" s="41"/>
      <c r="Z366" s="41"/>
      <c r="AA366" s="41"/>
      <c r="AB366" s="41"/>
      <c r="AC366" s="41"/>
      <c r="AD366" s="41"/>
      <c r="AE366" s="41"/>
      <c r="AF366" s="41"/>
      <c r="AG366" s="41"/>
      <c r="AH366" s="41"/>
      <c r="AI366" s="41"/>
    </row>
    <row r="367" spans="1:35" ht="15.75" customHeight="1" x14ac:dyDescent="0.2">
      <c r="A367" s="41"/>
      <c r="B367" s="41"/>
      <c r="C367" s="41"/>
      <c r="D367" s="72"/>
      <c r="E367" s="41"/>
      <c r="F367" s="41"/>
      <c r="G367" s="41"/>
      <c r="H367" s="41"/>
      <c r="I367" s="41"/>
      <c r="J367" s="41"/>
      <c r="K367" s="41"/>
      <c r="L367" s="41"/>
      <c r="M367" s="41"/>
      <c r="N367" s="41"/>
      <c r="O367" s="41"/>
      <c r="P367" s="41"/>
      <c r="Q367" s="41"/>
      <c r="R367" s="41"/>
      <c r="S367" s="41"/>
      <c r="T367" s="41"/>
      <c r="U367" s="41"/>
      <c r="V367" s="41"/>
      <c r="W367" s="41"/>
      <c r="X367" s="41"/>
      <c r="Y367" s="41"/>
      <c r="Z367" s="41"/>
      <c r="AA367" s="41"/>
      <c r="AB367" s="41"/>
      <c r="AC367" s="41"/>
      <c r="AD367" s="41"/>
      <c r="AE367" s="41"/>
      <c r="AF367" s="41"/>
      <c r="AG367" s="41"/>
      <c r="AH367" s="41"/>
      <c r="AI367" s="41"/>
    </row>
    <row r="368" spans="1:35" ht="15.75" customHeight="1" x14ac:dyDescent="0.2">
      <c r="A368" s="41"/>
      <c r="B368" s="41"/>
      <c r="C368" s="41"/>
      <c r="D368" s="72"/>
      <c r="E368" s="41"/>
      <c r="F368" s="41"/>
      <c r="G368" s="41"/>
      <c r="H368" s="41"/>
      <c r="I368" s="41"/>
      <c r="J368" s="41"/>
      <c r="K368" s="41"/>
      <c r="L368" s="41"/>
      <c r="M368" s="41"/>
      <c r="N368" s="41"/>
      <c r="O368" s="41"/>
      <c r="P368" s="41"/>
      <c r="Q368" s="41"/>
      <c r="R368" s="41"/>
      <c r="S368" s="41"/>
      <c r="T368" s="41"/>
      <c r="U368" s="41"/>
      <c r="V368" s="41"/>
      <c r="W368" s="41"/>
      <c r="X368" s="41"/>
      <c r="Y368" s="41"/>
      <c r="Z368" s="41"/>
      <c r="AA368" s="41"/>
      <c r="AB368" s="41"/>
      <c r="AC368" s="41"/>
      <c r="AD368" s="41"/>
      <c r="AE368" s="41"/>
      <c r="AF368" s="41"/>
      <c r="AG368" s="41"/>
      <c r="AH368" s="41"/>
      <c r="AI368" s="41"/>
    </row>
    <row r="369" spans="1:35" ht="15.75" customHeight="1" x14ac:dyDescent="0.2">
      <c r="A369" s="41"/>
      <c r="B369" s="41"/>
      <c r="C369" s="41"/>
      <c r="D369" s="72"/>
      <c r="E369" s="41"/>
      <c r="F369" s="41"/>
      <c r="G369" s="41"/>
      <c r="H369" s="41"/>
      <c r="I369" s="41"/>
      <c r="J369" s="41"/>
      <c r="K369" s="41"/>
      <c r="L369" s="41"/>
      <c r="M369" s="41"/>
      <c r="N369" s="41"/>
      <c r="O369" s="41"/>
      <c r="P369" s="41"/>
      <c r="Q369" s="41"/>
      <c r="R369" s="41"/>
      <c r="S369" s="41"/>
      <c r="T369" s="41"/>
      <c r="U369" s="41"/>
      <c r="V369" s="41"/>
      <c r="W369" s="41"/>
      <c r="X369" s="41"/>
      <c r="Y369" s="41"/>
      <c r="Z369" s="41"/>
      <c r="AA369" s="41"/>
      <c r="AB369" s="41"/>
      <c r="AC369" s="41"/>
      <c r="AD369" s="41"/>
      <c r="AE369" s="41"/>
      <c r="AF369" s="41"/>
      <c r="AG369" s="41"/>
      <c r="AH369" s="41"/>
      <c r="AI369" s="41"/>
    </row>
    <row r="370" spans="1:35" ht="15.75" customHeight="1" x14ac:dyDescent="0.2">
      <c r="A370" s="41"/>
      <c r="B370" s="41"/>
      <c r="C370" s="41"/>
      <c r="D370" s="72"/>
      <c r="E370" s="41"/>
      <c r="F370" s="41"/>
      <c r="G370" s="41"/>
      <c r="H370" s="41"/>
      <c r="I370" s="41"/>
      <c r="J370" s="41"/>
      <c r="K370" s="41"/>
      <c r="L370" s="41"/>
      <c r="M370" s="41"/>
      <c r="N370" s="41"/>
      <c r="O370" s="41"/>
      <c r="P370" s="41"/>
      <c r="Q370" s="41"/>
      <c r="R370" s="41"/>
      <c r="S370" s="41"/>
      <c r="T370" s="41"/>
      <c r="U370" s="41"/>
      <c r="V370" s="41"/>
      <c r="W370" s="41"/>
      <c r="X370" s="41"/>
      <c r="Y370" s="41"/>
      <c r="Z370" s="41"/>
      <c r="AA370" s="41"/>
      <c r="AB370" s="41"/>
      <c r="AC370" s="41"/>
      <c r="AD370" s="41"/>
      <c r="AE370" s="41"/>
      <c r="AF370" s="41"/>
      <c r="AG370" s="41"/>
      <c r="AH370" s="41"/>
      <c r="AI370" s="41"/>
    </row>
    <row r="371" spans="1:35" ht="15.75" customHeight="1" x14ac:dyDescent="0.2">
      <c r="A371" s="41"/>
      <c r="B371" s="41"/>
      <c r="C371" s="41"/>
      <c r="D371" s="72"/>
      <c r="E371" s="41"/>
      <c r="F371" s="41"/>
      <c r="G371" s="41"/>
      <c r="H371" s="41"/>
      <c r="I371" s="41"/>
      <c r="J371" s="41"/>
      <c r="K371" s="41"/>
      <c r="L371" s="41"/>
      <c r="M371" s="41"/>
      <c r="N371" s="41"/>
      <c r="O371" s="41"/>
      <c r="P371" s="41"/>
      <c r="Q371" s="41"/>
      <c r="R371" s="41"/>
      <c r="S371" s="41"/>
      <c r="T371" s="41"/>
      <c r="U371" s="41"/>
      <c r="V371" s="41"/>
      <c r="W371" s="41"/>
      <c r="X371" s="41"/>
      <c r="Y371" s="41"/>
      <c r="Z371" s="41"/>
      <c r="AA371" s="41"/>
      <c r="AB371" s="41"/>
      <c r="AC371" s="41"/>
      <c r="AD371" s="41"/>
      <c r="AE371" s="41"/>
      <c r="AF371" s="41"/>
      <c r="AG371" s="41"/>
      <c r="AH371" s="41"/>
      <c r="AI371" s="41"/>
    </row>
    <row r="372" spans="1:35" ht="15.75" customHeight="1" x14ac:dyDescent="0.2">
      <c r="A372" s="41"/>
      <c r="B372" s="41"/>
      <c r="C372" s="41"/>
      <c r="D372" s="72"/>
      <c r="E372" s="41"/>
      <c r="F372" s="41"/>
      <c r="G372" s="41"/>
      <c r="H372" s="41"/>
      <c r="I372" s="41"/>
      <c r="J372" s="41"/>
      <c r="K372" s="41"/>
      <c r="L372" s="41"/>
      <c r="M372" s="41"/>
      <c r="N372" s="41"/>
      <c r="O372" s="41"/>
      <c r="P372" s="41"/>
      <c r="Q372" s="41"/>
      <c r="R372" s="41"/>
      <c r="S372" s="41"/>
      <c r="T372" s="41"/>
      <c r="U372" s="41"/>
      <c r="V372" s="41"/>
      <c r="W372" s="41"/>
      <c r="X372" s="41"/>
      <c r="Y372" s="41"/>
      <c r="Z372" s="41"/>
      <c r="AA372" s="41"/>
      <c r="AB372" s="41"/>
      <c r="AC372" s="41"/>
      <c r="AD372" s="41"/>
      <c r="AE372" s="41"/>
      <c r="AF372" s="41"/>
      <c r="AG372" s="41"/>
      <c r="AH372" s="41"/>
      <c r="AI372" s="41"/>
    </row>
    <row r="373" spans="1:35" ht="15.75" customHeight="1" x14ac:dyDescent="0.2">
      <c r="A373" s="41"/>
      <c r="B373" s="41"/>
      <c r="C373" s="41"/>
      <c r="D373" s="72"/>
      <c r="E373" s="41"/>
      <c r="F373" s="41"/>
      <c r="G373" s="41"/>
      <c r="H373" s="41"/>
      <c r="I373" s="41"/>
      <c r="J373" s="41"/>
      <c r="K373" s="41"/>
      <c r="L373" s="41"/>
      <c r="M373" s="41"/>
      <c r="N373" s="41"/>
      <c r="O373" s="41"/>
      <c r="P373" s="41"/>
      <c r="Q373" s="41"/>
      <c r="R373" s="41"/>
      <c r="S373" s="41"/>
      <c r="T373" s="41"/>
      <c r="U373" s="41"/>
      <c r="V373" s="41"/>
      <c r="W373" s="41"/>
      <c r="X373" s="41"/>
      <c r="Y373" s="41"/>
      <c r="Z373" s="41"/>
      <c r="AA373" s="41"/>
      <c r="AB373" s="41"/>
      <c r="AC373" s="41"/>
      <c r="AD373" s="41"/>
      <c r="AE373" s="41"/>
      <c r="AF373" s="41"/>
      <c r="AG373" s="41"/>
      <c r="AH373" s="41"/>
      <c r="AI373" s="41"/>
    </row>
    <row r="374" spans="1:35" ht="15.75" customHeight="1" x14ac:dyDescent="0.2">
      <c r="A374" s="41"/>
      <c r="B374" s="41"/>
      <c r="C374" s="41"/>
      <c r="D374" s="72"/>
      <c r="E374" s="41"/>
      <c r="F374" s="41"/>
      <c r="G374" s="41"/>
      <c r="H374" s="41"/>
      <c r="I374" s="41"/>
      <c r="J374" s="41"/>
      <c r="K374" s="41"/>
      <c r="L374" s="41"/>
      <c r="M374" s="41"/>
      <c r="N374" s="41"/>
      <c r="O374" s="41"/>
      <c r="P374" s="41"/>
      <c r="Q374" s="41"/>
      <c r="R374" s="41"/>
      <c r="S374" s="41"/>
      <c r="T374" s="41"/>
      <c r="U374" s="41"/>
      <c r="V374" s="41"/>
      <c r="W374" s="41"/>
      <c r="X374" s="41"/>
      <c r="Y374" s="41"/>
      <c r="Z374" s="41"/>
      <c r="AA374" s="41"/>
      <c r="AB374" s="41"/>
      <c r="AC374" s="41"/>
      <c r="AD374" s="41"/>
      <c r="AE374" s="41"/>
      <c r="AF374" s="41"/>
      <c r="AG374" s="41"/>
      <c r="AH374" s="41"/>
      <c r="AI374" s="41"/>
    </row>
    <row r="375" spans="1:35" ht="15.75" customHeight="1" x14ac:dyDescent="0.2">
      <c r="A375" s="41"/>
      <c r="B375" s="41"/>
      <c r="C375" s="41"/>
      <c r="D375" s="72"/>
      <c r="E375" s="41"/>
      <c r="F375" s="41"/>
      <c r="G375" s="41"/>
      <c r="H375" s="41"/>
      <c r="I375" s="41"/>
      <c r="J375" s="41"/>
      <c r="K375" s="41"/>
      <c r="L375" s="41"/>
      <c r="M375" s="41"/>
      <c r="N375" s="41"/>
      <c r="O375" s="41"/>
      <c r="P375" s="41"/>
      <c r="Q375" s="41"/>
      <c r="R375" s="41"/>
      <c r="S375" s="41"/>
      <c r="T375" s="41"/>
      <c r="U375" s="41"/>
      <c r="V375" s="41"/>
      <c r="W375" s="41"/>
      <c r="X375" s="41"/>
      <c r="Y375" s="41"/>
      <c r="Z375" s="41"/>
      <c r="AA375" s="41"/>
      <c r="AB375" s="41"/>
      <c r="AC375" s="41"/>
      <c r="AD375" s="41"/>
      <c r="AE375" s="41"/>
      <c r="AF375" s="41"/>
      <c r="AG375" s="41"/>
      <c r="AH375" s="41"/>
      <c r="AI375" s="41"/>
    </row>
    <row r="376" spans="1:35" ht="15.75" customHeight="1" x14ac:dyDescent="0.2">
      <c r="A376" s="41"/>
      <c r="B376" s="41"/>
      <c r="C376" s="41"/>
      <c r="D376" s="72"/>
      <c r="E376" s="41"/>
      <c r="F376" s="41"/>
      <c r="G376" s="41"/>
      <c r="H376" s="41"/>
      <c r="I376" s="41"/>
      <c r="J376" s="41"/>
      <c r="K376" s="41"/>
      <c r="L376" s="41"/>
      <c r="M376" s="41"/>
      <c r="N376" s="41"/>
      <c r="O376" s="41"/>
      <c r="P376" s="41"/>
      <c r="Q376" s="41"/>
      <c r="R376" s="41"/>
      <c r="S376" s="41"/>
      <c r="T376" s="41"/>
      <c r="U376" s="41"/>
      <c r="V376" s="41"/>
      <c r="W376" s="41"/>
      <c r="X376" s="41"/>
      <c r="Y376" s="41"/>
      <c r="Z376" s="41"/>
      <c r="AA376" s="41"/>
      <c r="AB376" s="41"/>
      <c r="AC376" s="41"/>
      <c r="AD376" s="41"/>
      <c r="AE376" s="41"/>
      <c r="AF376" s="41"/>
      <c r="AG376" s="41"/>
      <c r="AH376" s="41"/>
      <c r="AI376" s="41"/>
    </row>
    <row r="377" spans="1:35" ht="15.75" customHeight="1" x14ac:dyDescent="0.2">
      <c r="A377" s="41"/>
      <c r="B377" s="41"/>
      <c r="C377" s="41"/>
      <c r="D377" s="72"/>
      <c r="E377" s="41"/>
      <c r="F377" s="41"/>
      <c r="G377" s="41"/>
      <c r="H377" s="41"/>
      <c r="I377" s="41"/>
      <c r="J377" s="41"/>
      <c r="K377" s="41"/>
      <c r="L377" s="41"/>
      <c r="M377" s="41"/>
      <c r="N377" s="41"/>
      <c r="O377" s="41"/>
      <c r="P377" s="41"/>
      <c r="Q377" s="41"/>
      <c r="R377" s="41"/>
      <c r="S377" s="41"/>
      <c r="T377" s="41"/>
      <c r="U377" s="41"/>
      <c r="V377" s="41"/>
      <c r="W377" s="41"/>
      <c r="X377" s="41"/>
      <c r="Y377" s="41"/>
      <c r="Z377" s="41"/>
      <c r="AA377" s="41"/>
      <c r="AB377" s="41"/>
      <c r="AC377" s="41"/>
      <c r="AD377" s="41"/>
      <c r="AE377" s="41"/>
      <c r="AF377" s="41"/>
      <c r="AG377" s="41"/>
      <c r="AH377" s="41"/>
      <c r="AI377" s="41"/>
    </row>
    <row r="378" spans="1:35" ht="15.75" customHeight="1" x14ac:dyDescent="0.2">
      <c r="A378" s="41"/>
      <c r="B378" s="41"/>
      <c r="C378" s="41"/>
      <c r="D378" s="72"/>
      <c r="E378" s="41"/>
      <c r="F378" s="41"/>
      <c r="G378" s="41"/>
      <c r="H378" s="41"/>
      <c r="I378" s="41"/>
      <c r="J378" s="41"/>
      <c r="K378" s="41"/>
      <c r="L378" s="41"/>
      <c r="M378" s="41"/>
      <c r="N378" s="41"/>
      <c r="O378" s="41"/>
      <c r="P378" s="41"/>
      <c r="Q378" s="41"/>
      <c r="R378" s="41"/>
      <c r="S378" s="41"/>
      <c r="T378" s="41"/>
      <c r="U378" s="41"/>
      <c r="V378" s="41"/>
      <c r="W378" s="41"/>
      <c r="X378" s="41"/>
      <c r="Y378" s="41"/>
      <c r="Z378" s="41"/>
      <c r="AA378" s="41"/>
      <c r="AB378" s="41"/>
      <c r="AC378" s="41"/>
      <c r="AD378" s="41"/>
      <c r="AE378" s="41"/>
      <c r="AF378" s="41"/>
      <c r="AG378" s="41"/>
      <c r="AH378" s="41"/>
      <c r="AI378" s="41"/>
    </row>
    <row r="379" spans="1:35" ht="15.75" customHeight="1" x14ac:dyDescent="0.2">
      <c r="A379" s="41"/>
      <c r="B379" s="41"/>
      <c r="C379" s="41"/>
      <c r="D379" s="72"/>
      <c r="E379" s="41"/>
      <c r="F379" s="41"/>
      <c r="G379" s="41"/>
      <c r="H379" s="41"/>
      <c r="I379" s="41"/>
      <c r="J379" s="41"/>
      <c r="K379" s="41"/>
      <c r="L379" s="41"/>
      <c r="M379" s="41"/>
      <c r="N379" s="41"/>
      <c r="O379" s="41"/>
      <c r="P379" s="41"/>
      <c r="Q379" s="41"/>
      <c r="R379" s="41"/>
      <c r="S379" s="41"/>
      <c r="T379" s="41"/>
      <c r="U379" s="41"/>
      <c r="V379" s="41"/>
      <c r="W379" s="41"/>
      <c r="X379" s="41"/>
      <c r="Y379" s="41"/>
      <c r="Z379" s="41"/>
      <c r="AA379" s="41"/>
      <c r="AB379" s="41"/>
      <c r="AC379" s="41"/>
      <c r="AD379" s="41"/>
      <c r="AE379" s="41"/>
      <c r="AF379" s="41"/>
      <c r="AG379" s="41"/>
      <c r="AH379" s="41"/>
      <c r="AI379" s="41"/>
    </row>
    <row r="380" spans="1:35" ht="15.75" customHeight="1" x14ac:dyDescent="0.2">
      <c r="A380" s="41"/>
      <c r="B380" s="41"/>
      <c r="C380" s="41"/>
      <c r="D380" s="72"/>
      <c r="E380" s="41"/>
      <c r="F380" s="41"/>
      <c r="G380" s="41"/>
      <c r="H380" s="41"/>
      <c r="I380" s="41"/>
      <c r="J380" s="41"/>
      <c r="K380" s="41"/>
      <c r="L380" s="41"/>
      <c r="M380" s="41"/>
      <c r="N380" s="41"/>
      <c r="O380" s="41"/>
      <c r="P380" s="41"/>
      <c r="Q380" s="41"/>
      <c r="R380" s="41"/>
      <c r="S380" s="41"/>
      <c r="T380" s="41"/>
      <c r="U380" s="41"/>
      <c r="V380" s="41"/>
      <c r="W380" s="41"/>
      <c r="X380" s="41"/>
      <c r="Y380" s="41"/>
      <c r="Z380" s="41"/>
      <c r="AA380" s="41"/>
      <c r="AB380" s="41"/>
      <c r="AC380" s="41"/>
      <c r="AD380" s="41"/>
      <c r="AE380" s="41"/>
      <c r="AF380" s="41"/>
      <c r="AG380" s="41"/>
      <c r="AH380" s="41"/>
      <c r="AI380" s="41"/>
    </row>
    <row r="381" spans="1:35" ht="15.75" customHeight="1" x14ac:dyDescent="0.2">
      <c r="A381" s="41"/>
      <c r="B381" s="41"/>
      <c r="C381" s="41"/>
      <c r="D381" s="72"/>
      <c r="E381" s="41"/>
      <c r="F381" s="41"/>
      <c r="G381" s="41"/>
      <c r="H381" s="41"/>
      <c r="I381" s="41"/>
      <c r="J381" s="41"/>
      <c r="K381" s="41"/>
      <c r="L381" s="41"/>
      <c r="M381" s="41"/>
      <c r="N381" s="41"/>
      <c r="O381" s="41"/>
      <c r="P381" s="41"/>
      <c r="Q381" s="41"/>
      <c r="R381" s="41"/>
      <c r="S381" s="41"/>
      <c r="T381" s="41"/>
      <c r="U381" s="41"/>
      <c r="V381" s="41"/>
      <c r="W381" s="41"/>
      <c r="X381" s="41"/>
      <c r="Y381" s="41"/>
      <c r="Z381" s="41"/>
      <c r="AA381" s="41"/>
      <c r="AB381" s="41"/>
      <c r="AC381" s="41"/>
      <c r="AD381" s="41"/>
      <c r="AE381" s="41"/>
      <c r="AF381" s="41"/>
      <c r="AG381" s="41"/>
      <c r="AH381" s="41"/>
      <c r="AI381" s="41"/>
    </row>
    <row r="382" spans="1:35" ht="15.75" customHeight="1" x14ac:dyDescent="0.2">
      <c r="A382" s="41"/>
      <c r="B382" s="41"/>
      <c r="C382" s="41"/>
      <c r="D382" s="72"/>
      <c r="E382" s="41"/>
      <c r="F382" s="41"/>
      <c r="G382" s="41"/>
      <c r="H382" s="41"/>
      <c r="I382" s="41"/>
      <c r="J382" s="41"/>
      <c r="K382" s="41"/>
      <c r="L382" s="41"/>
      <c r="M382" s="41"/>
      <c r="N382" s="41"/>
      <c r="O382" s="41"/>
      <c r="P382" s="41"/>
      <c r="Q382" s="41"/>
      <c r="R382" s="41"/>
      <c r="S382" s="41"/>
      <c r="T382" s="41"/>
      <c r="U382" s="41"/>
      <c r="V382" s="41"/>
      <c r="W382" s="41"/>
      <c r="X382" s="41"/>
      <c r="Y382" s="41"/>
      <c r="Z382" s="41"/>
      <c r="AA382" s="41"/>
      <c r="AB382" s="41"/>
      <c r="AC382" s="41"/>
      <c r="AD382" s="41"/>
      <c r="AE382" s="41"/>
      <c r="AF382" s="41"/>
      <c r="AG382" s="41"/>
      <c r="AH382" s="41"/>
      <c r="AI382" s="41"/>
    </row>
    <row r="383" spans="1:35" ht="15.75" customHeight="1" x14ac:dyDescent="0.2">
      <c r="A383" s="41"/>
      <c r="B383" s="41"/>
      <c r="C383" s="41"/>
      <c r="D383" s="72"/>
      <c r="E383" s="41"/>
      <c r="F383" s="41"/>
      <c r="G383" s="41"/>
      <c r="H383" s="41"/>
      <c r="I383" s="41"/>
      <c r="J383" s="41"/>
      <c r="K383" s="41"/>
      <c r="L383" s="41"/>
      <c r="M383" s="41"/>
      <c r="N383" s="41"/>
      <c r="O383" s="41"/>
      <c r="P383" s="41"/>
      <c r="Q383" s="41"/>
      <c r="R383" s="41"/>
      <c r="S383" s="41"/>
      <c r="T383" s="41"/>
      <c r="U383" s="41"/>
      <c r="V383" s="41"/>
      <c r="W383" s="41"/>
      <c r="X383" s="41"/>
      <c r="Y383" s="41"/>
      <c r="Z383" s="41"/>
      <c r="AA383" s="41"/>
      <c r="AB383" s="41"/>
      <c r="AC383" s="41"/>
      <c r="AD383" s="41"/>
      <c r="AE383" s="41"/>
      <c r="AF383" s="41"/>
      <c r="AG383" s="41"/>
      <c r="AH383" s="41"/>
      <c r="AI383" s="41"/>
    </row>
    <row r="384" spans="1:35" ht="15.75" customHeight="1" x14ac:dyDescent="0.2">
      <c r="A384" s="41"/>
      <c r="B384" s="41"/>
      <c r="C384" s="41"/>
      <c r="D384" s="72"/>
      <c r="E384" s="41"/>
      <c r="F384" s="41"/>
      <c r="G384" s="41"/>
      <c r="H384" s="41"/>
      <c r="I384" s="41"/>
      <c r="J384" s="41"/>
      <c r="K384" s="41"/>
      <c r="L384" s="41"/>
      <c r="M384" s="41"/>
      <c r="N384" s="41"/>
      <c r="O384" s="41"/>
      <c r="P384" s="41"/>
      <c r="Q384" s="41"/>
      <c r="R384" s="41"/>
      <c r="S384" s="41"/>
      <c r="T384" s="41"/>
      <c r="U384" s="41"/>
      <c r="V384" s="41"/>
      <c r="W384" s="41"/>
      <c r="X384" s="41"/>
      <c r="Y384" s="41"/>
      <c r="Z384" s="41"/>
      <c r="AA384" s="41"/>
      <c r="AB384" s="41"/>
      <c r="AC384" s="41"/>
      <c r="AD384" s="41"/>
      <c r="AE384" s="41"/>
      <c r="AF384" s="41"/>
      <c r="AG384" s="41"/>
      <c r="AH384" s="41"/>
      <c r="AI384" s="41"/>
    </row>
    <row r="385" spans="1:35" ht="15.75" customHeight="1" x14ac:dyDescent="0.2">
      <c r="A385" s="41"/>
      <c r="B385" s="41"/>
      <c r="C385" s="41"/>
      <c r="D385" s="72"/>
      <c r="E385" s="41"/>
      <c r="F385" s="41"/>
      <c r="G385" s="41"/>
      <c r="H385" s="41"/>
      <c r="I385" s="41"/>
      <c r="J385" s="41"/>
      <c r="K385" s="41"/>
      <c r="L385" s="41"/>
      <c r="M385" s="41"/>
      <c r="N385" s="41"/>
      <c r="O385" s="41"/>
      <c r="P385" s="41"/>
      <c r="Q385" s="41"/>
      <c r="R385" s="41"/>
      <c r="S385" s="41"/>
      <c r="T385" s="41"/>
      <c r="U385" s="41"/>
      <c r="V385" s="41"/>
      <c r="W385" s="41"/>
      <c r="X385" s="41"/>
      <c r="Y385" s="41"/>
      <c r="Z385" s="41"/>
      <c r="AA385" s="41"/>
      <c r="AB385" s="41"/>
      <c r="AC385" s="41"/>
      <c r="AD385" s="41"/>
      <c r="AE385" s="41"/>
      <c r="AF385" s="41"/>
      <c r="AG385" s="41"/>
      <c r="AH385" s="41"/>
      <c r="AI385" s="41"/>
    </row>
    <row r="386" spans="1:35" ht="15.75" customHeight="1" x14ac:dyDescent="0.2">
      <c r="A386" s="41"/>
      <c r="B386" s="41"/>
      <c r="C386" s="41"/>
      <c r="D386" s="72"/>
      <c r="E386" s="41"/>
      <c r="F386" s="41"/>
      <c r="G386" s="41"/>
      <c r="H386" s="41"/>
      <c r="I386" s="41"/>
      <c r="J386" s="41"/>
      <c r="K386" s="41"/>
      <c r="L386" s="41"/>
      <c r="M386" s="41"/>
      <c r="N386" s="41"/>
      <c r="O386" s="41"/>
      <c r="P386" s="41"/>
      <c r="Q386" s="41"/>
      <c r="R386" s="41"/>
      <c r="S386" s="41"/>
      <c r="T386" s="41"/>
      <c r="U386" s="41"/>
      <c r="V386" s="41"/>
      <c r="W386" s="41"/>
      <c r="X386" s="41"/>
      <c r="Y386" s="41"/>
      <c r="Z386" s="41"/>
      <c r="AA386" s="41"/>
      <c r="AB386" s="41"/>
      <c r="AC386" s="41"/>
      <c r="AD386" s="41"/>
      <c r="AE386" s="41"/>
      <c r="AF386" s="41"/>
      <c r="AG386" s="41"/>
      <c r="AH386" s="41"/>
      <c r="AI386" s="41"/>
    </row>
    <row r="387" spans="1:35" ht="15.75" customHeight="1" x14ac:dyDescent="0.2">
      <c r="A387" s="41"/>
      <c r="B387" s="41"/>
      <c r="C387" s="41"/>
      <c r="D387" s="72"/>
      <c r="E387" s="41"/>
      <c r="F387" s="41"/>
      <c r="G387" s="41"/>
      <c r="H387" s="41"/>
      <c r="I387" s="41"/>
      <c r="J387" s="41"/>
      <c r="K387" s="41"/>
      <c r="L387" s="41"/>
      <c r="M387" s="41"/>
      <c r="N387" s="41"/>
      <c r="O387" s="41"/>
      <c r="P387" s="41"/>
      <c r="Q387" s="41"/>
      <c r="R387" s="41"/>
      <c r="S387" s="41"/>
      <c r="T387" s="41"/>
      <c r="U387" s="41"/>
      <c r="V387" s="41"/>
      <c r="W387" s="41"/>
      <c r="X387" s="41"/>
      <c r="Y387" s="41"/>
      <c r="Z387" s="41"/>
      <c r="AA387" s="41"/>
      <c r="AB387" s="41"/>
      <c r="AC387" s="41"/>
      <c r="AD387" s="41"/>
      <c r="AE387" s="41"/>
      <c r="AF387" s="41"/>
      <c r="AG387" s="41"/>
      <c r="AH387" s="41"/>
      <c r="AI387" s="41"/>
    </row>
    <row r="388" spans="1:35" ht="15.75" customHeight="1" x14ac:dyDescent="0.2">
      <c r="A388" s="41"/>
      <c r="B388" s="41"/>
      <c r="C388" s="41"/>
      <c r="D388" s="72"/>
      <c r="E388" s="41"/>
      <c r="F388" s="41"/>
      <c r="G388" s="41"/>
      <c r="H388" s="41"/>
      <c r="I388" s="41"/>
      <c r="J388" s="41"/>
      <c r="K388" s="41"/>
      <c r="L388" s="41"/>
      <c r="M388" s="41"/>
      <c r="N388" s="41"/>
      <c r="O388" s="41"/>
      <c r="P388" s="41"/>
      <c r="Q388" s="41"/>
      <c r="R388" s="41"/>
      <c r="S388" s="41"/>
      <c r="T388" s="41"/>
      <c r="U388" s="41"/>
      <c r="V388" s="41"/>
      <c r="W388" s="41"/>
      <c r="X388" s="41"/>
      <c r="Y388" s="41"/>
      <c r="Z388" s="41"/>
      <c r="AA388" s="41"/>
      <c r="AB388" s="41"/>
      <c r="AC388" s="41"/>
      <c r="AD388" s="41"/>
      <c r="AE388" s="41"/>
      <c r="AF388" s="41"/>
      <c r="AG388" s="41"/>
      <c r="AH388" s="41"/>
      <c r="AI388" s="41"/>
    </row>
    <row r="389" spans="1:35" ht="15.75" customHeight="1" x14ac:dyDescent="0.2">
      <c r="A389" s="41"/>
      <c r="B389" s="41"/>
      <c r="C389" s="41"/>
      <c r="D389" s="72"/>
      <c r="E389" s="41"/>
      <c r="F389" s="41"/>
      <c r="G389" s="41"/>
      <c r="H389" s="41"/>
      <c r="I389" s="41"/>
      <c r="J389" s="41"/>
      <c r="K389" s="41"/>
      <c r="L389" s="41"/>
      <c r="M389" s="41"/>
      <c r="N389" s="41"/>
      <c r="O389" s="41"/>
      <c r="P389" s="41"/>
      <c r="Q389" s="41"/>
      <c r="R389" s="41"/>
      <c r="S389" s="41"/>
      <c r="T389" s="41"/>
      <c r="U389" s="41"/>
      <c r="V389" s="41"/>
      <c r="W389" s="41"/>
      <c r="X389" s="41"/>
      <c r="Y389" s="41"/>
      <c r="Z389" s="41"/>
      <c r="AA389" s="41"/>
      <c r="AB389" s="41"/>
      <c r="AC389" s="41"/>
      <c r="AD389" s="41"/>
      <c r="AE389" s="41"/>
      <c r="AF389" s="41"/>
      <c r="AG389" s="41"/>
      <c r="AH389" s="41"/>
      <c r="AI389" s="41"/>
    </row>
    <row r="390" spans="1:35" ht="15.75" customHeight="1" x14ac:dyDescent="0.2">
      <c r="A390" s="41"/>
      <c r="B390" s="41"/>
      <c r="C390" s="41"/>
      <c r="D390" s="72"/>
      <c r="E390" s="41"/>
      <c r="F390" s="41"/>
      <c r="G390" s="41"/>
      <c r="H390" s="41"/>
      <c r="I390" s="41"/>
      <c r="J390" s="41"/>
      <c r="K390" s="41"/>
      <c r="L390" s="41"/>
      <c r="M390" s="41"/>
      <c r="N390" s="41"/>
      <c r="O390" s="41"/>
      <c r="P390" s="41"/>
      <c r="Q390" s="41"/>
      <c r="R390" s="41"/>
      <c r="S390" s="41"/>
      <c r="T390" s="41"/>
      <c r="U390" s="41"/>
      <c r="V390" s="41"/>
      <c r="W390" s="41"/>
      <c r="X390" s="41"/>
      <c r="Y390" s="41"/>
      <c r="Z390" s="41"/>
      <c r="AA390" s="41"/>
      <c r="AB390" s="41"/>
      <c r="AC390" s="41"/>
      <c r="AD390" s="41"/>
      <c r="AE390" s="41"/>
      <c r="AF390" s="41"/>
      <c r="AG390" s="41"/>
      <c r="AH390" s="41"/>
      <c r="AI390" s="41"/>
    </row>
    <row r="391" spans="1:35" ht="15.75" customHeight="1" x14ac:dyDescent="0.2">
      <c r="A391" s="41"/>
      <c r="B391" s="41"/>
      <c r="C391" s="41"/>
      <c r="D391" s="72"/>
      <c r="E391" s="41"/>
      <c r="F391" s="41"/>
      <c r="G391" s="41"/>
      <c r="H391" s="41"/>
      <c r="I391" s="41"/>
      <c r="J391" s="41"/>
      <c r="K391" s="41"/>
      <c r="L391" s="41"/>
      <c r="M391" s="41"/>
      <c r="N391" s="41"/>
      <c r="O391" s="41"/>
      <c r="P391" s="41"/>
      <c r="Q391" s="41"/>
      <c r="R391" s="41"/>
      <c r="S391" s="41"/>
      <c r="T391" s="41"/>
      <c r="U391" s="41"/>
      <c r="V391" s="41"/>
      <c r="W391" s="41"/>
      <c r="X391" s="41"/>
      <c r="Y391" s="41"/>
      <c r="Z391" s="41"/>
      <c r="AA391" s="41"/>
      <c r="AB391" s="41"/>
      <c r="AC391" s="41"/>
      <c r="AD391" s="41"/>
      <c r="AE391" s="41"/>
      <c r="AF391" s="41"/>
      <c r="AG391" s="41"/>
      <c r="AH391" s="41"/>
      <c r="AI391" s="41"/>
    </row>
    <row r="392" spans="1:35" ht="15.75" customHeight="1" x14ac:dyDescent="0.2">
      <c r="A392" s="41"/>
      <c r="B392" s="41"/>
      <c r="C392" s="41"/>
      <c r="D392" s="72"/>
      <c r="E392" s="41"/>
      <c r="F392" s="41"/>
      <c r="G392" s="41"/>
      <c r="H392" s="41"/>
      <c r="I392" s="41"/>
      <c r="J392" s="41"/>
      <c r="K392" s="41"/>
      <c r="L392" s="41"/>
      <c r="M392" s="41"/>
      <c r="N392" s="41"/>
      <c r="O392" s="41"/>
      <c r="P392" s="41"/>
      <c r="Q392" s="41"/>
      <c r="R392" s="41"/>
      <c r="S392" s="41"/>
      <c r="T392" s="41"/>
      <c r="U392" s="41"/>
      <c r="V392" s="41"/>
      <c r="W392" s="41"/>
      <c r="X392" s="41"/>
      <c r="Y392" s="41"/>
      <c r="Z392" s="41"/>
      <c r="AA392" s="41"/>
      <c r="AB392" s="41"/>
      <c r="AC392" s="41"/>
      <c r="AD392" s="41"/>
      <c r="AE392" s="41"/>
      <c r="AF392" s="41"/>
      <c r="AG392" s="41"/>
      <c r="AH392" s="41"/>
      <c r="AI392" s="41"/>
    </row>
    <row r="393" spans="1:35" ht="15.75" customHeight="1" x14ac:dyDescent="0.2">
      <c r="A393" s="41"/>
      <c r="B393" s="41"/>
      <c r="C393" s="41"/>
      <c r="D393" s="72"/>
      <c r="E393" s="41"/>
      <c r="F393" s="41"/>
      <c r="G393" s="41"/>
      <c r="H393" s="41"/>
      <c r="I393" s="41"/>
      <c r="J393" s="41"/>
      <c r="K393" s="41"/>
      <c r="L393" s="41"/>
      <c r="M393" s="41"/>
      <c r="N393" s="41"/>
      <c r="O393" s="41"/>
      <c r="P393" s="41"/>
      <c r="Q393" s="41"/>
      <c r="R393" s="41"/>
      <c r="S393" s="41"/>
      <c r="T393" s="41"/>
      <c r="U393" s="41"/>
      <c r="V393" s="41"/>
      <c r="W393" s="41"/>
      <c r="X393" s="41"/>
      <c r="Y393" s="41"/>
      <c r="Z393" s="41"/>
      <c r="AA393" s="41"/>
      <c r="AB393" s="41"/>
      <c r="AC393" s="41"/>
      <c r="AD393" s="41"/>
      <c r="AE393" s="41"/>
      <c r="AF393" s="41"/>
      <c r="AG393" s="41"/>
      <c r="AH393" s="41"/>
      <c r="AI393" s="41"/>
    </row>
    <row r="394" spans="1:35" ht="15.75" customHeight="1" x14ac:dyDescent="0.2">
      <c r="A394" s="41"/>
      <c r="B394" s="41"/>
      <c r="C394" s="41"/>
      <c r="D394" s="72"/>
      <c r="E394" s="41"/>
      <c r="F394" s="41"/>
      <c r="G394" s="41"/>
      <c r="H394" s="41"/>
      <c r="I394" s="41"/>
      <c r="J394" s="41"/>
      <c r="K394" s="41"/>
      <c r="L394" s="41"/>
      <c r="M394" s="41"/>
      <c r="N394" s="41"/>
      <c r="O394" s="41"/>
      <c r="P394" s="41"/>
      <c r="Q394" s="41"/>
      <c r="R394" s="41"/>
      <c r="S394" s="41"/>
      <c r="T394" s="41"/>
      <c r="U394" s="41"/>
      <c r="V394" s="41"/>
      <c r="W394" s="41"/>
      <c r="X394" s="41"/>
      <c r="Y394" s="41"/>
      <c r="Z394" s="41"/>
      <c r="AA394" s="41"/>
      <c r="AB394" s="41"/>
      <c r="AC394" s="41"/>
      <c r="AD394" s="41"/>
      <c r="AE394" s="41"/>
      <c r="AF394" s="41"/>
      <c r="AG394" s="41"/>
      <c r="AH394" s="41"/>
      <c r="AI394" s="41"/>
    </row>
    <row r="395" spans="1:35" ht="15.75" customHeight="1" x14ac:dyDescent="0.2">
      <c r="A395" s="41"/>
      <c r="B395" s="41"/>
      <c r="C395" s="41"/>
      <c r="D395" s="72"/>
      <c r="E395" s="41"/>
      <c r="F395" s="41"/>
      <c r="G395" s="41"/>
      <c r="H395" s="41"/>
      <c r="I395" s="41"/>
      <c r="J395" s="41"/>
      <c r="K395" s="41"/>
      <c r="L395" s="41"/>
      <c r="M395" s="41"/>
      <c r="N395" s="41"/>
      <c r="O395" s="41"/>
      <c r="P395" s="41"/>
      <c r="Q395" s="41"/>
      <c r="R395" s="41"/>
      <c r="S395" s="41"/>
      <c r="T395" s="41"/>
      <c r="U395" s="41"/>
      <c r="V395" s="41"/>
      <c r="W395" s="41"/>
      <c r="X395" s="41"/>
      <c r="Y395" s="41"/>
      <c r="Z395" s="41"/>
      <c r="AA395" s="41"/>
      <c r="AB395" s="41"/>
      <c r="AC395" s="41"/>
      <c r="AD395" s="41"/>
      <c r="AE395" s="41"/>
      <c r="AF395" s="41"/>
      <c r="AG395" s="41"/>
      <c r="AH395" s="41"/>
      <c r="AI395" s="41"/>
    </row>
    <row r="396" spans="1:35" ht="15.75" customHeight="1" x14ac:dyDescent="0.2">
      <c r="A396" s="41"/>
      <c r="B396" s="41"/>
      <c r="C396" s="41"/>
      <c r="D396" s="72"/>
      <c r="E396" s="41"/>
      <c r="F396" s="41"/>
      <c r="G396" s="41"/>
      <c r="H396" s="41"/>
      <c r="I396" s="41"/>
      <c r="J396" s="41"/>
      <c r="K396" s="41"/>
      <c r="L396" s="41"/>
      <c r="M396" s="41"/>
      <c r="N396" s="41"/>
      <c r="O396" s="41"/>
      <c r="P396" s="41"/>
      <c r="Q396" s="41"/>
      <c r="R396" s="41"/>
      <c r="S396" s="41"/>
      <c r="T396" s="41"/>
      <c r="U396" s="41"/>
      <c r="V396" s="41"/>
      <c r="W396" s="41"/>
      <c r="X396" s="41"/>
      <c r="Y396" s="41"/>
      <c r="Z396" s="41"/>
      <c r="AA396" s="41"/>
      <c r="AB396" s="41"/>
      <c r="AC396" s="41"/>
      <c r="AD396" s="41"/>
      <c r="AE396" s="41"/>
      <c r="AF396" s="41"/>
      <c r="AG396" s="41"/>
      <c r="AH396" s="41"/>
      <c r="AI396" s="41"/>
    </row>
    <row r="397" spans="1:35" ht="15.75" customHeight="1" x14ac:dyDescent="0.2">
      <c r="A397" s="41"/>
      <c r="B397" s="41"/>
      <c r="C397" s="41"/>
      <c r="D397" s="72"/>
      <c r="E397" s="41"/>
      <c r="F397" s="41"/>
      <c r="G397" s="41"/>
      <c r="H397" s="41"/>
      <c r="I397" s="41"/>
      <c r="J397" s="41"/>
      <c r="K397" s="41"/>
      <c r="L397" s="41"/>
      <c r="M397" s="41"/>
      <c r="N397" s="41"/>
      <c r="O397" s="41"/>
      <c r="P397" s="41"/>
      <c r="Q397" s="41"/>
      <c r="R397" s="41"/>
      <c r="S397" s="41"/>
      <c r="T397" s="41"/>
      <c r="U397" s="41"/>
      <c r="V397" s="41"/>
      <c r="W397" s="41"/>
      <c r="X397" s="41"/>
      <c r="Y397" s="41"/>
      <c r="Z397" s="41"/>
      <c r="AA397" s="41"/>
      <c r="AB397" s="41"/>
      <c r="AC397" s="41"/>
      <c r="AD397" s="41"/>
      <c r="AE397" s="41"/>
      <c r="AF397" s="41"/>
      <c r="AG397" s="41"/>
      <c r="AH397" s="41"/>
      <c r="AI397" s="41"/>
    </row>
    <row r="398" spans="1:35" ht="15.75" customHeight="1" x14ac:dyDescent="0.2">
      <c r="A398" s="41"/>
      <c r="B398" s="41"/>
      <c r="C398" s="41"/>
      <c r="D398" s="72"/>
      <c r="E398" s="41"/>
      <c r="F398" s="41"/>
      <c r="G398" s="41"/>
      <c r="H398" s="41"/>
      <c r="I398" s="41"/>
      <c r="J398" s="41"/>
      <c r="K398" s="41"/>
      <c r="L398" s="41"/>
      <c r="M398" s="41"/>
      <c r="N398" s="41"/>
      <c r="O398" s="41"/>
      <c r="P398" s="41"/>
      <c r="Q398" s="41"/>
      <c r="R398" s="41"/>
      <c r="S398" s="41"/>
      <c r="T398" s="41"/>
      <c r="U398" s="41"/>
      <c r="V398" s="41"/>
      <c r="W398" s="41"/>
      <c r="X398" s="41"/>
      <c r="Y398" s="41"/>
      <c r="Z398" s="41"/>
      <c r="AA398" s="41"/>
      <c r="AB398" s="41"/>
      <c r="AC398" s="41"/>
      <c r="AD398" s="41"/>
      <c r="AE398" s="41"/>
      <c r="AF398" s="41"/>
      <c r="AG398" s="41"/>
      <c r="AH398" s="41"/>
      <c r="AI398" s="41"/>
    </row>
    <row r="399" spans="1:35" ht="15.75" customHeight="1" x14ac:dyDescent="0.2">
      <c r="A399" s="41"/>
      <c r="B399" s="41"/>
      <c r="C399" s="41"/>
      <c r="D399" s="72"/>
      <c r="E399" s="41"/>
      <c r="F399" s="41"/>
      <c r="G399" s="41"/>
      <c r="H399" s="41"/>
      <c r="I399" s="41"/>
      <c r="J399" s="41"/>
      <c r="K399" s="41"/>
      <c r="L399" s="41"/>
      <c r="M399" s="41"/>
      <c r="N399" s="41"/>
      <c r="O399" s="41"/>
      <c r="P399" s="41"/>
      <c r="Q399" s="41"/>
      <c r="R399" s="41"/>
      <c r="S399" s="41"/>
      <c r="T399" s="41"/>
      <c r="U399" s="41"/>
      <c r="V399" s="41"/>
      <c r="W399" s="41"/>
      <c r="X399" s="41"/>
      <c r="Y399" s="41"/>
      <c r="Z399" s="41"/>
      <c r="AA399" s="41"/>
      <c r="AB399" s="41"/>
      <c r="AC399" s="41"/>
      <c r="AD399" s="41"/>
      <c r="AE399" s="41"/>
      <c r="AF399" s="41"/>
      <c r="AG399" s="41"/>
      <c r="AH399" s="41"/>
      <c r="AI399" s="41"/>
    </row>
    <row r="400" spans="1:35" ht="15.75" customHeight="1" x14ac:dyDescent="0.2">
      <c r="A400" s="41"/>
      <c r="B400" s="41"/>
      <c r="C400" s="41"/>
      <c r="D400" s="72"/>
      <c r="E400" s="41"/>
      <c r="F400" s="41"/>
      <c r="G400" s="41"/>
      <c r="H400" s="41"/>
      <c r="I400" s="41"/>
      <c r="J400" s="41"/>
      <c r="K400" s="41"/>
      <c r="L400" s="41"/>
      <c r="M400" s="41"/>
      <c r="N400" s="41"/>
      <c r="O400" s="41"/>
      <c r="P400" s="41"/>
      <c r="Q400" s="41"/>
      <c r="R400" s="41"/>
      <c r="S400" s="41"/>
      <c r="T400" s="41"/>
      <c r="U400" s="41"/>
      <c r="V400" s="41"/>
      <c r="W400" s="41"/>
      <c r="X400" s="41"/>
      <c r="Y400" s="41"/>
      <c r="Z400" s="41"/>
      <c r="AA400" s="41"/>
      <c r="AB400" s="41"/>
      <c r="AC400" s="41"/>
      <c r="AD400" s="41"/>
      <c r="AE400" s="41"/>
      <c r="AF400" s="41"/>
      <c r="AG400" s="41"/>
      <c r="AH400" s="41"/>
      <c r="AI400" s="41"/>
    </row>
    <row r="401" spans="1:35" ht="15.75" customHeight="1" x14ac:dyDescent="0.2">
      <c r="A401" s="41"/>
      <c r="B401" s="41"/>
      <c r="C401" s="41"/>
      <c r="D401" s="72"/>
      <c r="E401" s="41"/>
      <c r="F401" s="41"/>
      <c r="G401" s="41"/>
      <c r="H401" s="41"/>
      <c r="I401" s="41"/>
      <c r="J401" s="41"/>
      <c r="K401" s="41"/>
      <c r="L401" s="41"/>
      <c r="M401" s="41"/>
      <c r="N401" s="41"/>
      <c r="O401" s="41"/>
      <c r="P401" s="41"/>
      <c r="Q401" s="41"/>
      <c r="R401" s="41"/>
      <c r="S401" s="41"/>
      <c r="T401" s="41"/>
      <c r="U401" s="41"/>
      <c r="V401" s="41"/>
      <c r="W401" s="41"/>
      <c r="X401" s="41"/>
      <c r="Y401" s="41"/>
      <c r="Z401" s="41"/>
      <c r="AA401" s="41"/>
      <c r="AB401" s="41"/>
      <c r="AC401" s="41"/>
      <c r="AD401" s="41"/>
      <c r="AE401" s="41"/>
      <c r="AF401" s="41"/>
      <c r="AG401" s="41"/>
      <c r="AH401" s="41"/>
      <c r="AI401" s="41"/>
    </row>
    <row r="402" spans="1:35" ht="15.75" customHeight="1" x14ac:dyDescent="0.2">
      <c r="A402" s="41"/>
      <c r="B402" s="41"/>
      <c r="C402" s="41"/>
      <c r="D402" s="72"/>
      <c r="E402" s="41"/>
      <c r="F402" s="41"/>
      <c r="G402" s="41"/>
      <c r="H402" s="41"/>
      <c r="I402" s="41"/>
      <c r="J402" s="41"/>
      <c r="K402" s="41"/>
      <c r="L402" s="41"/>
      <c r="M402" s="41"/>
      <c r="N402" s="41"/>
      <c r="O402" s="41"/>
      <c r="P402" s="41"/>
      <c r="Q402" s="41"/>
      <c r="R402" s="41"/>
      <c r="S402" s="41"/>
      <c r="T402" s="41"/>
      <c r="U402" s="41"/>
      <c r="V402" s="41"/>
      <c r="W402" s="41"/>
      <c r="X402" s="41"/>
      <c r="Y402" s="41"/>
      <c r="Z402" s="41"/>
      <c r="AA402" s="41"/>
      <c r="AB402" s="41"/>
      <c r="AC402" s="41"/>
      <c r="AD402" s="41"/>
      <c r="AE402" s="41"/>
      <c r="AF402" s="41"/>
      <c r="AG402" s="41"/>
      <c r="AH402" s="41"/>
      <c r="AI402" s="41"/>
    </row>
    <row r="403" spans="1:35" ht="15.75" customHeight="1" x14ac:dyDescent="0.2">
      <c r="A403" s="41"/>
      <c r="B403" s="41"/>
      <c r="C403" s="41"/>
      <c r="D403" s="72"/>
      <c r="E403" s="41"/>
      <c r="F403" s="41"/>
      <c r="G403" s="41"/>
      <c r="H403" s="41"/>
      <c r="I403" s="41"/>
      <c r="J403" s="41"/>
      <c r="K403" s="41"/>
      <c r="L403" s="41"/>
      <c r="M403" s="41"/>
      <c r="N403" s="41"/>
      <c r="O403" s="41"/>
      <c r="P403" s="41"/>
      <c r="Q403" s="41"/>
      <c r="R403" s="41"/>
      <c r="S403" s="41"/>
      <c r="T403" s="41"/>
      <c r="U403" s="41"/>
      <c r="V403" s="41"/>
      <c r="W403" s="41"/>
      <c r="X403" s="41"/>
      <c r="Y403" s="41"/>
      <c r="Z403" s="41"/>
      <c r="AA403" s="41"/>
      <c r="AB403" s="41"/>
      <c r="AC403" s="41"/>
      <c r="AD403" s="41"/>
      <c r="AE403" s="41"/>
      <c r="AF403" s="41"/>
      <c r="AG403" s="41"/>
      <c r="AH403" s="41"/>
      <c r="AI403" s="41"/>
    </row>
    <row r="404" spans="1:35" ht="15.75" customHeight="1" x14ac:dyDescent="0.2">
      <c r="A404" s="41"/>
      <c r="B404" s="41"/>
      <c r="C404" s="41"/>
      <c r="D404" s="72"/>
      <c r="E404" s="41"/>
      <c r="F404" s="41"/>
      <c r="G404" s="41"/>
      <c r="H404" s="41"/>
      <c r="I404" s="41"/>
      <c r="J404" s="41"/>
      <c r="K404" s="41"/>
      <c r="L404" s="41"/>
      <c r="M404" s="41"/>
      <c r="N404" s="41"/>
      <c r="O404" s="41"/>
      <c r="P404" s="41"/>
      <c r="Q404" s="41"/>
      <c r="R404" s="41"/>
      <c r="S404" s="41"/>
      <c r="T404" s="41"/>
      <c r="U404" s="41"/>
      <c r="V404" s="41"/>
      <c r="W404" s="41"/>
      <c r="X404" s="41"/>
      <c r="Y404" s="41"/>
      <c r="Z404" s="41"/>
      <c r="AA404" s="41"/>
      <c r="AB404" s="41"/>
      <c r="AC404" s="41"/>
      <c r="AD404" s="41"/>
      <c r="AE404" s="41"/>
      <c r="AF404" s="41"/>
      <c r="AG404" s="41"/>
      <c r="AH404" s="41"/>
      <c r="AI404" s="41"/>
    </row>
    <row r="405" spans="1:35" ht="15.75" customHeight="1" x14ac:dyDescent="0.2">
      <c r="A405" s="41"/>
      <c r="B405" s="41"/>
      <c r="C405" s="41"/>
      <c r="D405" s="72"/>
      <c r="E405" s="41"/>
      <c r="F405" s="41"/>
      <c r="G405" s="41"/>
      <c r="H405" s="41"/>
      <c r="I405" s="41"/>
      <c r="J405" s="41"/>
      <c r="K405" s="41"/>
      <c r="L405" s="41"/>
      <c r="M405" s="41"/>
      <c r="N405" s="41"/>
      <c r="O405" s="41"/>
      <c r="P405" s="41"/>
      <c r="Q405" s="41"/>
      <c r="R405" s="41"/>
      <c r="S405" s="41"/>
      <c r="T405" s="41"/>
      <c r="U405" s="41"/>
      <c r="V405" s="41"/>
      <c r="W405" s="41"/>
      <c r="X405" s="41"/>
      <c r="Y405" s="41"/>
      <c r="Z405" s="41"/>
      <c r="AA405" s="41"/>
      <c r="AB405" s="41"/>
      <c r="AC405" s="41"/>
      <c r="AD405" s="41"/>
      <c r="AE405" s="41"/>
      <c r="AF405" s="41"/>
      <c r="AG405" s="41"/>
      <c r="AH405" s="41"/>
      <c r="AI405" s="41"/>
    </row>
    <row r="406" spans="1:35" ht="15.75" customHeight="1" x14ac:dyDescent="0.2">
      <c r="A406" s="41"/>
      <c r="B406" s="41"/>
      <c r="C406" s="41"/>
      <c r="D406" s="72"/>
      <c r="E406" s="41"/>
      <c r="F406" s="41"/>
      <c r="G406" s="41"/>
      <c r="H406" s="41"/>
      <c r="I406" s="41"/>
      <c r="J406" s="41"/>
      <c r="K406" s="41"/>
      <c r="L406" s="41"/>
      <c r="M406" s="41"/>
      <c r="N406" s="41"/>
      <c r="O406" s="41"/>
      <c r="P406" s="41"/>
      <c r="Q406" s="41"/>
      <c r="R406" s="41"/>
      <c r="S406" s="41"/>
      <c r="T406" s="41"/>
      <c r="U406" s="41"/>
      <c r="V406" s="41"/>
      <c r="W406" s="41"/>
      <c r="X406" s="41"/>
      <c r="Y406" s="41"/>
      <c r="Z406" s="41"/>
      <c r="AA406" s="41"/>
      <c r="AB406" s="41"/>
      <c r="AC406" s="41"/>
      <c r="AD406" s="41"/>
      <c r="AE406" s="41"/>
      <c r="AF406" s="41"/>
      <c r="AG406" s="41"/>
      <c r="AH406" s="41"/>
      <c r="AI406" s="41"/>
    </row>
    <row r="407" spans="1:35" ht="15.75" customHeight="1" x14ac:dyDescent="0.2">
      <c r="A407" s="41"/>
      <c r="B407" s="41"/>
      <c r="C407" s="41"/>
      <c r="D407" s="72"/>
      <c r="E407" s="41"/>
      <c r="F407" s="41"/>
      <c r="G407" s="41"/>
      <c r="H407" s="41"/>
      <c r="I407" s="41"/>
      <c r="J407" s="41"/>
      <c r="K407" s="41"/>
      <c r="L407" s="41"/>
      <c r="M407" s="41"/>
      <c r="N407" s="41"/>
      <c r="O407" s="41"/>
      <c r="P407" s="41"/>
      <c r="Q407" s="41"/>
      <c r="R407" s="41"/>
      <c r="S407" s="41"/>
      <c r="T407" s="41"/>
      <c r="U407" s="41"/>
      <c r="V407" s="41"/>
      <c r="W407" s="41"/>
      <c r="X407" s="41"/>
      <c r="Y407" s="41"/>
      <c r="Z407" s="41"/>
      <c r="AA407" s="41"/>
      <c r="AB407" s="41"/>
      <c r="AC407" s="41"/>
      <c r="AD407" s="41"/>
      <c r="AE407" s="41"/>
      <c r="AF407" s="41"/>
      <c r="AG407" s="41"/>
      <c r="AH407" s="41"/>
      <c r="AI407" s="41"/>
    </row>
    <row r="408" spans="1:35" ht="15.75" customHeight="1" x14ac:dyDescent="0.2">
      <c r="A408" s="41"/>
      <c r="B408" s="41"/>
      <c r="C408" s="41"/>
      <c r="D408" s="72"/>
      <c r="E408" s="41"/>
      <c r="F408" s="41"/>
      <c r="G408" s="41"/>
      <c r="H408" s="41"/>
      <c r="I408" s="41"/>
      <c r="J408" s="41"/>
      <c r="K408" s="41"/>
      <c r="L408" s="41"/>
      <c r="M408" s="41"/>
      <c r="N408" s="41"/>
      <c r="O408" s="41"/>
      <c r="P408" s="41"/>
      <c r="Q408" s="41"/>
      <c r="R408" s="41"/>
      <c r="S408" s="41"/>
      <c r="T408" s="41"/>
      <c r="U408" s="41"/>
      <c r="V408" s="41"/>
      <c r="W408" s="41"/>
      <c r="X408" s="41"/>
      <c r="Y408" s="41"/>
      <c r="Z408" s="41"/>
      <c r="AA408" s="41"/>
      <c r="AB408" s="41"/>
      <c r="AC408" s="41"/>
      <c r="AD408" s="41"/>
      <c r="AE408" s="41"/>
      <c r="AF408" s="41"/>
      <c r="AG408" s="41"/>
      <c r="AH408" s="41"/>
      <c r="AI408" s="41"/>
    </row>
    <row r="409" spans="1:35" ht="15.75" customHeight="1" x14ac:dyDescent="0.2">
      <c r="A409" s="41"/>
      <c r="B409" s="41"/>
      <c r="C409" s="41"/>
      <c r="D409" s="72"/>
      <c r="E409" s="41"/>
      <c r="F409" s="41"/>
      <c r="G409" s="41"/>
      <c r="H409" s="41"/>
      <c r="I409" s="41"/>
      <c r="J409" s="41"/>
      <c r="K409" s="41"/>
      <c r="L409" s="41"/>
      <c r="M409" s="41"/>
      <c r="N409" s="41"/>
      <c r="O409" s="41"/>
      <c r="P409" s="41"/>
      <c r="Q409" s="41"/>
      <c r="R409" s="41"/>
      <c r="S409" s="41"/>
      <c r="T409" s="41"/>
      <c r="U409" s="41"/>
      <c r="V409" s="41"/>
      <c r="W409" s="41"/>
      <c r="X409" s="41"/>
      <c r="Y409" s="41"/>
      <c r="Z409" s="41"/>
      <c r="AA409" s="41"/>
      <c r="AB409" s="41"/>
      <c r="AC409" s="41"/>
      <c r="AD409" s="41"/>
      <c r="AE409" s="41"/>
      <c r="AF409" s="41"/>
      <c r="AG409" s="41"/>
      <c r="AH409" s="41"/>
      <c r="AI409" s="41"/>
    </row>
    <row r="410" spans="1:35" ht="15.75" customHeight="1" x14ac:dyDescent="0.2">
      <c r="A410" s="41"/>
      <c r="B410" s="41"/>
      <c r="C410" s="41"/>
      <c r="D410" s="72"/>
      <c r="E410" s="41"/>
      <c r="F410" s="41"/>
      <c r="G410" s="41"/>
      <c r="H410" s="41"/>
      <c r="I410" s="41"/>
      <c r="J410" s="41"/>
      <c r="K410" s="41"/>
      <c r="L410" s="41"/>
      <c r="M410" s="41"/>
      <c r="N410" s="41"/>
      <c r="O410" s="41"/>
      <c r="P410" s="41"/>
      <c r="Q410" s="41"/>
      <c r="R410" s="41"/>
      <c r="S410" s="41"/>
      <c r="T410" s="41"/>
      <c r="U410" s="41"/>
      <c r="V410" s="41"/>
      <c r="W410" s="41"/>
      <c r="X410" s="41"/>
      <c r="Y410" s="41"/>
      <c r="Z410" s="41"/>
      <c r="AA410" s="41"/>
      <c r="AB410" s="41"/>
      <c r="AC410" s="41"/>
      <c r="AD410" s="41"/>
      <c r="AE410" s="41"/>
      <c r="AF410" s="41"/>
      <c r="AG410" s="41"/>
      <c r="AH410" s="41"/>
      <c r="AI410" s="41"/>
    </row>
    <row r="411" spans="1:35" ht="15.75" customHeight="1" x14ac:dyDescent="0.2">
      <c r="A411" s="41"/>
      <c r="B411" s="41"/>
      <c r="C411" s="41"/>
      <c r="D411" s="72"/>
      <c r="E411" s="41"/>
      <c r="F411" s="41"/>
      <c r="G411" s="41"/>
      <c r="H411" s="41"/>
      <c r="I411" s="41"/>
      <c r="J411" s="41"/>
      <c r="K411" s="41"/>
      <c r="L411" s="41"/>
      <c r="M411" s="41"/>
      <c r="N411" s="41"/>
      <c r="O411" s="41"/>
      <c r="P411" s="41"/>
      <c r="Q411" s="41"/>
      <c r="R411" s="41"/>
      <c r="S411" s="41"/>
      <c r="T411" s="41"/>
      <c r="U411" s="41"/>
      <c r="V411" s="41"/>
      <c r="W411" s="41"/>
      <c r="X411" s="41"/>
      <c r="Y411" s="41"/>
      <c r="Z411" s="41"/>
      <c r="AA411" s="41"/>
      <c r="AB411" s="41"/>
      <c r="AC411" s="41"/>
      <c r="AD411" s="41"/>
      <c r="AE411" s="41"/>
      <c r="AF411" s="41"/>
      <c r="AG411" s="41"/>
      <c r="AH411" s="41"/>
      <c r="AI411" s="41"/>
    </row>
    <row r="412" spans="1:35" ht="15.75" customHeight="1" x14ac:dyDescent="0.2">
      <c r="A412" s="41"/>
      <c r="B412" s="41"/>
      <c r="C412" s="41"/>
      <c r="D412" s="72"/>
      <c r="E412" s="41"/>
      <c r="F412" s="41"/>
      <c r="G412" s="41"/>
      <c r="H412" s="41"/>
      <c r="I412" s="41"/>
      <c r="J412" s="41"/>
      <c r="K412" s="41"/>
      <c r="L412" s="41"/>
      <c r="M412" s="41"/>
      <c r="N412" s="41"/>
      <c r="O412" s="41"/>
      <c r="P412" s="41"/>
      <c r="Q412" s="41"/>
      <c r="R412" s="41"/>
      <c r="S412" s="41"/>
      <c r="T412" s="41"/>
      <c r="U412" s="41"/>
      <c r="V412" s="41"/>
      <c r="W412" s="41"/>
      <c r="X412" s="41"/>
      <c r="Y412" s="41"/>
      <c r="Z412" s="41"/>
      <c r="AA412" s="41"/>
      <c r="AB412" s="41"/>
      <c r="AC412" s="41"/>
      <c r="AD412" s="41"/>
      <c r="AE412" s="41"/>
      <c r="AF412" s="41"/>
      <c r="AG412" s="41"/>
      <c r="AH412" s="41"/>
      <c r="AI412" s="41"/>
    </row>
    <row r="413" spans="1:35" ht="15.75" customHeight="1" x14ac:dyDescent="0.2">
      <c r="A413" s="41"/>
      <c r="B413" s="41"/>
      <c r="C413" s="41"/>
      <c r="D413" s="72"/>
      <c r="E413" s="41"/>
      <c r="F413" s="41"/>
      <c r="G413" s="41"/>
      <c r="H413" s="41"/>
      <c r="I413" s="41"/>
      <c r="J413" s="41"/>
      <c r="K413" s="41"/>
      <c r="L413" s="41"/>
      <c r="M413" s="41"/>
      <c r="N413" s="41"/>
      <c r="O413" s="41"/>
      <c r="P413" s="41"/>
      <c r="Q413" s="41"/>
      <c r="R413" s="41"/>
      <c r="S413" s="41"/>
      <c r="T413" s="41"/>
      <c r="U413" s="41"/>
      <c r="V413" s="41"/>
      <c r="W413" s="41"/>
      <c r="X413" s="41"/>
      <c r="Y413" s="41"/>
      <c r="Z413" s="41"/>
      <c r="AA413" s="41"/>
      <c r="AB413" s="41"/>
      <c r="AC413" s="41"/>
      <c r="AD413" s="41"/>
      <c r="AE413" s="41"/>
      <c r="AF413" s="41"/>
      <c r="AG413" s="41"/>
      <c r="AH413" s="41"/>
      <c r="AI413" s="41"/>
    </row>
    <row r="414" spans="1:35" ht="15.75" customHeight="1" x14ac:dyDescent="0.2">
      <c r="A414" s="41"/>
      <c r="B414" s="41"/>
      <c r="C414" s="41"/>
      <c r="D414" s="72"/>
      <c r="E414" s="41"/>
      <c r="F414" s="41"/>
      <c r="G414" s="41"/>
      <c r="H414" s="41"/>
      <c r="I414" s="41"/>
      <c r="J414" s="41"/>
      <c r="K414" s="41"/>
      <c r="L414" s="41"/>
      <c r="M414" s="41"/>
      <c r="N414" s="41"/>
      <c r="O414" s="41"/>
      <c r="P414" s="41"/>
      <c r="Q414" s="41"/>
      <c r="R414" s="41"/>
      <c r="S414" s="41"/>
      <c r="T414" s="41"/>
      <c r="U414" s="41"/>
      <c r="V414" s="41"/>
      <c r="W414" s="41"/>
      <c r="X414" s="41"/>
      <c r="Y414" s="41"/>
      <c r="Z414" s="41"/>
      <c r="AA414" s="41"/>
      <c r="AB414" s="41"/>
      <c r="AC414" s="41"/>
      <c r="AD414" s="41"/>
      <c r="AE414" s="41"/>
      <c r="AF414" s="41"/>
      <c r="AG414" s="41"/>
      <c r="AH414" s="41"/>
      <c r="AI414" s="41"/>
    </row>
    <row r="415" spans="1:35" ht="15.75" customHeight="1" x14ac:dyDescent="0.2">
      <c r="A415" s="41"/>
      <c r="B415" s="41"/>
      <c r="C415" s="41"/>
      <c r="D415" s="72"/>
      <c r="E415" s="41"/>
      <c r="F415" s="41"/>
      <c r="G415" s="41"/>
      <c r="H415" s="41"/>
      <c r="I415" s="41"/>
      <c r="J415" s="41"/>
      <c r="K415" s="41"/>
      <c r="L415" s="41"/>
      <c r="M415" s="41"/>
      <c r="N415" s="41"/>
      <c r="O415" s="41"/>
      <c r="P415" s="41"/>
      <c r="Q415" s="41"/>
      <c r="R415" s="41"/>
      <c r="S415" s="41"/>
      <c r="T415" s="41"/>
      <c r="U415" s="41"/>
      <c r="V415" s="41"/>
      <c r="W415" s="41"/>
      <c r="X415" s="41"/>
      <c r="Y415" s="41"/>
      <c r="Z415" s="41"/>
      <c r="AA415" s="41"/>
      <c r="AB415" s="41"/>
      <c r="AC415" s="41"/>
      <c r="AD415" s="41"/>
      <c r="AE415" s="41"/>
      <c r="AF415" s="41"/>
      <c r="AG415" s="41"/>
      <c r="AH415" s="41"/>
      <c r="AI415" s="41"/>
    </row>
    <row r="416" spans="1:35" ht="15.75" customHeight="1" x14ac:dyDescent="0.2">
      <c r="A416" s="41"/>
      <c r="B416" s="41"/>
      <c r="C416" s="41"/>
      <c r="D416" s="72"/>
      <c r="E416" s="41"/>
      <c r="F416" s="41"/>
      <c r="G416" s="41"/>
      <c r="H416" s="41"/>
      <c r="I416" s="41"/>
      <c r="J416" s="41"/>
      <c r="K416" s="41"/>
      <c r="L416" s="41"/>
      <c r="M416" s="41"/>
      <c r="N416" s="41"/>
      <c r="O416" s="41"/>
      <c r="P416" s="41"/>
      <c r="Q416" s="41"/>
      <c r="R416" s="41"/>
      <c r="S416" s="41"/>
      <c r="T416" s="41"/>
      <c r="U416" s="41"/>
      <c r="V416" s="41"/>
      <c r="W416" s="41"/>
      <c r="X416" s="41"/>
      <c r="Y416" s="41"/>
      <c r="Z416" s="41"/>
      <c r="AA416" s="41"/>
      <c r="AB416" s="41"/>
      <c r="AC416" s="41"/>
      <c r="AD416" s="41"/>
      <c r="AE416" s="41"/>
      <c r="AF416" s="41"/>
      <c r="AG416" s="41"/>
      <c r="AH416" s="41"/>
      <c r="AI416" s="41"/>
    </row>
    <row r="417" spans="1:35" ht="15.75" customHeight="1" x14ac:dyDescent="0.2">
      <c r="A417" s="41"/>
      <c r="B417" s="41"/>
      <c r="C417" s="41"/>
      <c r="D417" s="72"/>
      <c r="E417" s="41"/>
      <c r="F417" s="41"/>
      <c r="G417" s="41"/>
      <c r="H417" s="41"/>
      <c r="I417" s="41"/>
      <c r="J417" s="41"/>
      <c r="K417" s="41"/>
      <c r="L417" s="41"/>
      <c r="M417" s="41"/>
      <c r="N417" s="41"/>
      <c r="O417" s="41"/>
      <c r="P417" s="41"/>
      <c r="Q417" s="41"/>
      <c r="R417" s="41"/>
      <c r="S417" s="41"/>
      <c r="T417" s="41"/>
      <c r="U417" s="41"/>
      <c r="V417" s="41"/>
      <c r="W417" s="41"/>
      <c r="X417" s="41"/>
      <c r="Y417" s="41"/>
      <c r="Z417" s="41"/>
      <c r="AA417" s="41"/>
      <c r="AB417" s="41"/>
      <c r="AC417" s="41"/>
      <c r="AD417" s="41"/>
      <c r="AE417" s="41"/>
      <c r="AF417" s="41"/>
      <c r="AG417" s="41"/>
      <c r="AH417" s="41"/>
      <c r="AI417" s="41"/>
    </row>
    <row r="418" spans="1:35" ht="15.75" customHeight="1" x14ac:dyDescent="0.2">
      <c r="A418" s="41"/>
      <c r="B418" s="41"/>
      <c r="C418" s="41"/>
      <c r="D418" s="72"/>
      <c r="E418" s="41"/>
      <c r="F418" s="41"/>
      <c r="G418" s="41"/>
      <c r="H418" s="41"/>
      <c r="I418" s="41"/>
      <c r="J418" s="41"/>
      <c r="K418" s="41"/>
      <c r="L418" s="41"/>
      <c r="M418" s="41"/>
      <c r="N418" s="41"/>
      <c r="O418" s="41"/>
      <c r="P418" s="41"/>
      <c r="Q418" s="41"/>
      <c r="R418" s="41"/>
      <c r="S418" s="41"/>
      <c r="T418" s="41"/>
      <c r="U418" s="41"/>
      <c r="V418" s="41"/>
      <c r="W418" s="41"/>
      <c r="X418" s="41"/>
      <c r="Y418" s="41"/>
      <c r="Z418" s="41"/>
      <c r="AA418" s="41"/>
      <c r="AB418" s="41"/>
      <c r="AC418" s="41"/>
      <c r="AD418" s="41"/>
      <c r="AE418" s="41"/>
      <c r="AF418" s="41"/>
      <c r="AG418" s="41"/>
      <c r="AH418" s="41"/>
      <c r="AI418" s="41"/>
    </row>
    <row r="419" spans="1:35" ht="15.75" customHeight="1" x14ac:dyDescent="0.2">
      <c r="A419" s="41"/>
      <c r="B419" s="41"/>
      <c r="C419" s="41"/>
      <c r="D419" s="72"/>
      <c r="E419" s="41"/>
      <c r="F419" s="41"/>
      <c r="G419" s="41"/>
      <c r="H419" s="41"/>
      <c r="I419" s="41"/>
      <c r="J419" s="41"/>
      <c r="K419" s="41"/>
      <c r="L419" s="41"/>
      <c r="M419" s="41"/>
      <c r="N419" s="41"/>
      <c r="O419" s="41"/>
      <c r="P419" s="41"/>
      <c r="Q419" s="41"/>
      <c r="R419" s="41"/>
      <c r="S419" s="41"/>
      <c r="T419" s="41"/>
      <c r="U419" s="41"/>
      <c r="V419" s="41"/>
      <c r="W419" s="41"/>
      <c r="X419" s="41"/>
      <c r="Y419" s="41"/>
      <c r="Z419" s="41"/>
      <c r="AA419" s="41"/>
      <c r="AB419" s="41"/>
      <c r="AC419" s="41"/>
      <c r="AD419" s="41"/>
      <c r="AE419" s="41"/>
      <c r="AF419" s="41"/>
      <c r="AG419" s="41"/>
      <c r="AH419" s="41"/>
      <c r="AI419" s="41"/>
    </row>
    <row r="420" spans="1:35" ht="15.75" customHeight="1" x14ac:dyDescent="0.2">
      <c r="A420" s="41"/>
      <c r="B420" s="41"/>
      <c r="C420" s="41"/>
      <c r="D420" s="72"/>
      <c r="E420" s="41"/>
      <c r="F420" s="41"/>
      <c r="G420" s="41"/>
      <c r="H420" s="41"/>
      <c r="I420" s="41"/>
      <c r="J420" s="41"/>
      <c r="K420" s="41"/>
      <c r="L420" s="41"/>
      <c r="M420" s="41"/>
      <c r="N420" s="41"/>
      <c r="O420" s="41"/>
      <c r="P420" s="41"/>
      <c r="Q420" s="41"/>
      <c r="R420" s="41"/>
      <c r="S420" s="41"/>
      <c r="T420" s="41"/>
      <c r="U420" s="41"/>
      <c r="V420" s="41"/>
      <c r="W420" s="41"/>
      <c r="X420" s="41"/>
      <c r="Y420" s="41"/>
      <c r="Z420" s="41"/>
      <c r="AA420" s="41"/>
      <c r="AB420" s="41"/>
      <c r="AC420" s="41"/>
      <c r="AD420" s="41"/>
      <c r="AE420" s="41"/>
      <c r="AF420" s="41"/>
      <c r="AG420" s="41"/>
      <c r="AH420" s="41"/>
      <c r="AI420" s="41"/>
    </row>
    <row r="421" spans="1:35" ht="15.75" customHeight="1" x14ac:dyDescent="0.2">
      <c r="A421" s="41"/>
      <c r="B421" s="41"/>
      <c r="C421" s="41"/>
      <c r="D421" s="72"/>
      <c r="E421" s="41"/>
      <c r="F421" s="41"/>
      <c r="G421" s="41"/>
      <c r="H421" s="41"/>
      <c r="I421" s="41"/>
      <c r="J421" s="41"/>
      <c r="K421" s="41"/>
      <c r="L421" s="41"/>
      <c r="M421" s="41"/>
      <c r="N421" s="41"/>
      <c r="O421" s="41"/>
      <c r="P421" s="41"/>
      <c r="Q421" s="41"/>
      <c r="R421" s="41"/>
      <c r="S421" s="41"/>
      <c r="T421" s="41"/>
      <c r="U421" s="41"/>
      <c r="V421" s="41"/>
      <c r="W421" s="41"/>
      <c r="X421" s="41"/>
      <c r="Y421" s="41"/>
      <c r="Z421" s="41"/>
      <c r="AA421" s="41"/>
      <c r="AB421" s="41"/>
      <c r="AC421" s="41"/>
      <c r="AD421" s="41"/>
      <c r="AE421" s="41"/>
      <c r="AF421" s="41"/>
      <c r="AG421" s="41"/>
      <c r="AH421" s="41"/>
      <c r="AI421" s="41"/>
    </row>
    <row r="422" spans="1:35" ht="15.75" customHeight="1" x14ac:dyDescent="0.2">
      <c r="A422" s="41"/>
      <c r="B422" s="41"/>
      <c r="C422" s="41"/>
      <c r="D422" s="72"/>
      <c r="E422" s="41"/>
      <c r="F422" s="41"/>
      <c r="G422" s="41"/>
      <c r="H422" s="41"/>
      <c r="I422" s="41"/>
      <c r="J422" s="41"/>
      <c r="K422" s="41"/>
      <c r="L422" s="41"/>
      <c r="M422" s="41"/>
      <c r="N422" s="41"/>
      <c r="O422" s="41"/>
      <c r="P422" s="41"/>
      <c r="Q422" s="41"/>
      <c r="R422" s="41"/>
      <c r="S422" s="41"/>
      <c r="T422" s="41"/>
      <c r="U422" s="41"/>
      <c r="V422" s="41"/>
      <c r="W422" s="41"/>
      <c r="X422" s="41"/>
      <c r="Y422" s="41"/>
      <c r="Z422" s="41"/>
      <c r="AA422" s="41"/>
      <c r="AB422" s="41"/>
      <c r="AC422" s="41"/>
      <c r="AD422" s="41"/>
      <c r="AE422" s="41"/>
      <c r="AF422" s="41"/>
      <c r="AG422" s="41"/>
      <c r="AH422" s="41"/>
      <c r="AI422" s="41"/>
    </row>
    <row r="423" spans="1:35" ht="15.75" customHeight="1" x14ac:dyDescent="0.2">
      <c r="A423" s="41"/>
      <c r="B423" s="41"/>
      <c r="C423" s="41"/>
      <c r="D423" s="72"/>
      <c r="E423" s="41"/>
      <c r="F423" s="41"/>
      <c r="G423" s="41"/>
      <c r="H423" s="41"/>
      <c r="I423" s="41"/>
      <c r="J423" s="41"/>
      <c r="K423" s="41"/>
      <c r="L423" s="41"/>
      <c r="M423" s="41"/>
      <c r="N423" s="41"/>
      <c r="O423" s="41"/>
      <c r="P423" s="41"/>
      <c r="Q423" s="41"/>
      <c r="R423" s="41"/>
      <c r="S423" s="41"/>
      <c r="T423" s="41"/>
      <c r="U423" s="41"/>
      <c r="V423" s="41"/>
      <c r="W423" s="41"/>
      <c r="X423" s="41"/>
      <c r="Y423" s="41"/>
      <c r="Z423" s="41"/>
      <c r="AA423" s="41"/>
      <c r="AB423" s="41"/>
      <c r="AC423" s="41"/>
      <c r="AD423" s="41"/>
      <c r="AE423" s="41"/>
      <c r="AF423" s="41"/>
      <c r="AG423" s="41"/>
      <c r="AH423" s="41"/>
      <c r="AI423" s="41"/>
    </row>
    <row r="424" spans="1:35" ht="15.75" customHeight="1" x14ac:dyDescent="0.2">
      <c r="A424" s="41"/>
      <c r="B424" s="41"/>
      <c r="C424" s="41"/>
      <c r="D424" s="72"/>
      <c r="E424" s="41"/>
      <c r="F424" s="41"/>
      <c r="G424" s="41"/>
      <c r="H424" s="41"/>
      <c r="I424" s="41"/>
      <c r="J424" s="41"/>
      <c r="K424" s="41"/>
      <c r="L424" s="41"/>
      <c r="M424" s="41"/>
      <c r="N424" s="41"/>
      <c r="O424" s="41"/>
      <c r="P424" s="41"/>
      <c r="Q424" s="41"/>
      <c r="R424" s="41"/>
      <c r="S424" s="41"/>
      <c r="T424" s="41"/>
      <c r="U424" s="41"/>
      <c r="V424" s="41"/>
      <c r="W424" s="41"/>
      <c r="X424" s="41"/>
      <c r="Y424" s="41"/>
      <c r="Z424" s="41"/>
      <c r="AA424" s="41"/>
      <c r="AB424" s="41"/>
      <c r="AC424" s="41"/>
      <c r="AD424" s="41"/>
      <c r="AE424" s="41"/>
      <c r="AF424" s="41"/>
      <c r="AG424" s="41"/>
      <c r="AH424" s="41"/>
      <c r="AI424" s="41"/>
    </row>
    <row r="425" spans="1:35" ht="15.75" customHeight="1" x14ac:dyDescent="0.2">
      <c r="A425" s="41"/>
      <c r="B425" s="41"/>
      <c r="C425" s="41"/>
      <c r="D425" s="72"/>
      <c r="E425" s="41"/>
      <c r="F425" s="41"/>
      <c r="G425" s="41"/>
      <c r="H425" s="41"/>
      <c r="I425" s="41"/>
      <c r="J425" s="41"/>
      <c r="K425" s="41"/>
      <c r="L425" s="41"/>
      <c r="M425" s="41"/>
      <c r="N425" s="41"/>
      <c r="O425" s="41"/>
      <c r="P425" s="41"/>
      <c r="Q425" s="41"/>
      <c r="R425" s="41"/>
      <c r="S425" s="41"/>
      <c r="T425" s="41"/>
      <c r="U425" s="41"/>
      <c r="V425" s="41"/>
      <c r="W425" s="41"/>
      <c r="X425" s="41"/>
      <c r="Y425" s="41"/>
      <c r="Z425" s="41"/>
      <c r="AA425" s="41"/>
      <c r="AB425" s="41"/>
      <c r="AC425" s="41"/>
      <c r="AD425" s="41"/>
      <c r="AE425" s="41"/>
      <c r="AF425" s="41"/>
      <c r="AG425" s="41"/>
      <c r="AH425" s="41"/>
      <c r="AI425" s="41"/>
    </row>
    <row r="426" spans="1:35" ht="15.75" customHeight="1" x14ac:dyDescent="0.2">
      <c r="A426" s="41"/>
      <c r="B426" s="41"/>
      <c r="C426" s="41"/>
      <c r="D426" s="72"/>
      <c r="E426" s="41"/>
      <c r="F426" s="41"/>
      <c r="G426" s="41"/>
      <c r="H426" s="41"/>
      <c r="I426" s="41"/>
      <c r="J426" s="41"/>
      <c r="K426" s="41"/>
      <c r="L426" s="41"/>
      <c r="M426" s="41"/>
      <c r="N426" s="41"/>
      <c r="O426" s="41"/>
      <c r="P426" s="41"/>
      <c r="Q426" s="41"/>
      <c r="R426" s="41"/>
      <c r="S426" s="41"/>
      <c r="T426" s="41"/>
      <c r="U426" s="41"/>
      <c r="V426" s="41"/>
      <c r="W426" s="41"/>
      <c r="X426" s="41"/>
      <c r="Y426" s="41"/>
      <c r="Z426" s="41"/>
      <c r="AA426" s="41"/>
      <c r="AB426" s="41"/>
      <c r="AC426" s="41"/>
      <c r="AD426" s="41"/>
      <c r="AE426" s="41"/>
      <c r="AF426" s="41"/>
      <c r="AG426" s="41"/>
      <c r="AH426" s="41"/>
      <c r="AI426" s="41"/>
    </row>
    <row r="427" spans="1:35" ht="15.75" customHeight="1" x14ac:dyDescent="0.2">
      <c r="A427" s="41"/>
      <c r="B427" s="41"/>
      <c r="C427" s="41"/>
      <c r="D427" s="72"/>
      <c r="E427" s="41"/>
      <c r="F427" s="41"/>
      <c r="G427" s="41"/>
      <c r="H427" s="41"/>
      <c r="I427" s="41"/>
      <c r="J427" s="41"/>
      <c r="K427" s="41"/>
      <c r="L427" s="41"/>
      <c r="M427" s="41"/>
      <c r="N427" s="41"/>
      <c r="O427" s="41"/>
      <c r="P427" s="41"/>
      <c r="Q427" s="41"/>
      <c r="R427" s="41"/>
      <c r="S427" s="41"/>
      <c r="T427" s="41"/>
      <c r="U427" s="41"/>
      <c r="V427" s="41"/>
      <c r="W427" s="41"/>
      <c r="X427" s="41"/>
      <c r="Y427" s="41"/>
      <c r="Z427" s="41"/>
      <c r="AA427" s="41"/>
      <c r="AB427" s="41"/>
      <c r="AC427" s="41"/>
      <c r="AD427" s="41"/>
      <c r="AE427" s="41"/>
      <c r="AF427" s="41"/>
      <c r="AG427" s="41"/>
      <c r="AH427" s="41"/>
      <c r="AI427" s="41"/>
    </row>
    <row r="428" spans="1:35" ht="15.75" customHeight="1" x14ac:dyDescent="0.2">
      <c r="A428" s="41"/>
      <c r="B428" s="41"/>
      <c r="C428" s="41"/>
      <c r="D428" s="72"/>
      <c r="E428" s="41"/>
      <c r="F428" s="41"/>
      <c r="G428" s="41"/>
      <c r="H428" s="41"/>
      <c r="I428" s="41"/>
      <c r="J428" s="41"/>
      <c r="K428" s="41"/>
      <c r="L428" s="41"/>
      <c r="M428" s="41"/>
      <c r="N428" s="41"/>
      <c r="O428" s="41"/>
      <c r="P428" s="41"/>
      <c r="Q428" s="41"/>
      <c r="R428" s="41"/>
      <c r="S428" s="41"/>
      <c r="T428" s="41"/>
      <c r="U428" s="41"/>
      <c r="V428" s="41"/>
      <c r="W428" s="41"/>
      <c r="X428" s="41"/>
      <c r="Y428" s="41"/>
      <c r="Z428" s="41"/>
      <c r="AA428" s="41"/>
      <c r="AB428" s="41"/>
      <c r="AC428" s="41"/>
      <c r="AD428" s="41"/>
      <c r="AE428" s="41"/>
      <c r="AF428" s="41"/>
      <c r="AG428" s="41"/>
      <c r="AH428" s="41"/>
      <c r="AI428" s="41"/>
    </row>
    <row r="429" spans="1:35" ht="15.75" customHeight="1" x14ac:dyDescent="0.2">
      <c r="A429" s="41"/>
      <c r="B429" s="41"/>
      <c r="C429" s="41"/>
      <c r="D429" s="72"/>
      <c r="E429" s="41"/>
      <c r="F429" s="41"/>
      <c r="G429" s="41"/>
      <c r="H429" s="41"/>
      <c r="I429" s="41"/>
      <c r="J429" s="41"/>
      <c r="K429" s="41"/>
      <c r="L429" s="41"/>
      <c r="M429" s="41"/>
      <c r="N429" s="41"/>
      <c r="O429" s="41"/>
      <c r="P429" s="41"/>
      <c r="Q429" s="41"/>
      <c r="R429" s="41"/>
      <c r="S429" s="41"/>
      <c r="T429" s="41"/>
      <c r="U429" s="41"/>
      <c r="V429" s="41"/>
      <c r="W429" s="41"/>
      <c r="X429" s="41"/>
      <c r="Y429" s="41"/>
      <c r="Z429" s="41"/>
      <c r="AA429" s="41"/>
      <c r="AB429" s="41"/>
      <c r="AC429" s="41"/>
      <c r="AD429" s="41"/>
      <c r="AE429" s="41"/>
      <c r="AF429" s="41"/>
      <c r="AG429" s="41"/>
      <c r="AH429" s="41"/>
      <c r="AI429" s="41"/>
    </row>
    <row r="430" spans="1:35" ht="15.75" customHeight="1" x14ac:dyDescent="0.2">
      <c r="A430" s="41"/>
      <c r="B430" s="41"/>
      <c r="C430" s="41"/>
      <c r="D430" s="72"/>
      <c r="E430" s="41"/>
      <c r="F430" s="41"/>
      <c r="G430" s="41"/>
      <c r="H430" s="41"/>
      <c r="I430" s="41"/>
      <c r="J430" s="41"/>
      <c r="K430" s="41"/>
      <c r="L430" s="41"/>
      <c r="M430" s="41"/>
      <c r="N430" s="41"/>
      <c r="O430" s="41"/>
      <c r="P430" s="41"/>
      <c r="Q430" s="41"/>
      <c r="R430" s="41"/>
      <c r="S430" s="41"/>
      <c r="T430" s="41"/>
      <c r="U430" s="41"/>
      <c r="V430" s="41"/>
      <c r="W430" s="41"/>
      <c r="X430" s="41"/>
      <c r="Y430" s="41"/>
      <c r="Z430" s="41"/>
      <c r="AA430" s="41"/>
      <c r="AB430" s="41"/>
      <c r="AC430" s="41"/>
      <c r="AD430" s="41"/>
      <c r="AE430" s="41"/>
      <c r="AF430" s="41"/>
      <c r="AG430" s="41"/>
      <c r="AH430" s="41"/>
      <c r="AI430" s="41"/>
    </row>
    <row r="431" spans="1:35" ht="15.75" customHeight="1" x14ac:dyDescent="0.2">
      <c r="A431" s="41"/>
      <c r="B431" s="41"/>
      <c r="C431" s="41"/>
      <c r="D431" s="72"/>
      <c r="E431" s="41"/>
      <c r="F431" s="41"/>
      <c r="G431" s="41"/>
      <c r="H431" s="41"/>
      <c r="I431" s="41"/>
      <c r="J431" s="41"/>
      <c r="K431" s="41"/>
      <c r="L431" s="41"/>
      <c r="M431" s="41"/>
      <c r="N431" s="41"/>
      <c r="O431" s="41"/>
      <c r="P431" s="41"/>
      <c r="Q431" s="41"/>
      <c r="R431" s="41"/>
      <c r="S431" s="41"/>
      <c r="T431" s="41"/>
      <c r="U431" s="41"/>
      <c r="V431" s="41"/>
      <c r="W431" s="41"/>
      <c r="X431" s="41"/>
      <c r="Y431" s="41"/>
      <c r="Z431" s="41"/>
      <c r="AA431" s="41"/>
      <c r="AB431" s="41"/>
      <c r="AC431" s="41"/>
      <c r="AD431" s="41"/>
      <c r="AE431" s="41"/>
      <c r="AF431" s="41"/>
      <c r="AG431" s="41"/>
      <c r="AH431" s="41"/>
      <c r="AI431" s="41"/>
    </row>
    <row r="432" spans="1:35" ht="15.75" customHeight="1" x14ac:dyDescent="0.2">
      <c r="A432" s="41"/>
      <c r="B432" s="41"/>
      <c r="C432" s="41"/>
      <c r="D432" s="72"/>
      <c r="E432" s="41"/>
      <c r="F432" s="41"/>
      <c r="G432" s="41"/>
      <c r="H432" s="41"/>
      <c r="I432" s="41"/>
      <c r="J432" s="41"/>
      <c r="K432" s="41"/>
      <c r="L432" s="41"/>
      <c r="M432" s="41"/>
      <c r="N432" s="41"/>
      <c r="O432" s="41"/>
      <c r="P432" s="41"/>
      <c r="Q432" s="41"/>
      <c r="R432" s="41"/>
      <c r="S432" s="41"/>
      <c r="T432" s="41"/>
      <c r="U432" s="41"/>
      <c r="V432" s="41"/>
      <c r="W432" s="41"/>
      <c r="X432" s="41"/>
      <c r="Y432" s="41"/>
      <c r="Z432" s="41"/>
      <c r="AA432" s="41"/>
      <c r="AB432" s="41"/>
      <c r="AC432" s="41"/>
      <c r="AD432" s="41"/>
      <c r="AE432" s="41"/>
      <c r="AF432" s="41"/>
      <c r="AG432" s="41"/>
      <c r="AH432" s="41"/>
      <c r="AI432" s="41"/>
    </row>
    <row r="433" spans="1:35" ht="15.75" customHeight="1" x14ac:dyDescent="0.2">
      <c r="A433" s="41"/>
      <c r="B433" s="41"/>
      <c r="C433" s="41"/>
      <c r="D433" s="72"/>
      <c r="E433" s="41"/>
      <c r="F433" s="41"/>
      <c r="G433" s="41"/>
      <c r="H433" s="41"/>
      <c r="I433" s="41"/>
      <c r="J433" s="41"/>
      <c r="K433" s="41"/>
      <c r="L433" s="41"/>
      <c r="M433" s="41"/>
      <c r="N433" s="41"/>
      <c r="O433" s="41"/>
      <c r="P433" s="41"/>
      <c r="Q433" s="41"/>
      <c r="R433" s="41"/>
      <c r="S433" s="41"/>
      <c r="T433" s="41"/>
      <c r="U433" s="41"/>
      <c r="V433" s="41"/>
      <c r="W433" s="41"/>
      <c r="X433" s="41"/>
      <c r="Y433" s="41"/>
      <c r="Z433" s="41"/>
      <c r="AA433" s="41"/>
      <c r="AB433" s="41"/>
      <c r="AC433" s="41"/>
      <c r="AD433" s="41"/>
      <c r="AE433" s="41"/>
      <c r="AF433" s="41"/>
      <c r="AG433" s="41"/>
      <c r="AH433" s="41"/>
      <c r="AI433" s="41"/>
    </row>
    <row r="434" spans="1:35" ht="15.75" customHeight="1" x14ac:dyDescent="0.2">
      <c r="A434" s="41"/>
      <c r="B434" s="41"/>
      <c r="C434" s="41"/>
      <c r="D434" s="72"/>
      <c r="E434" s="41"/>
      <c r="F434" s="41"/>
      <c r="G434" s="41"/>
      <c r="H434" s="41"/>
      <c r="I434" s="41"/>
      <c r="J434" s="41"/>
      <c r="K434" s="41"/>
      <c r="L434" s="41"/>
      <c r="M434" s="41"/>
      <c r="N434" s="41"/>
      <c r="O434" s="41"/>
      <c r="P434" s="41"/>
      <c r="Q434" s="41"/>
      <c r="R434" s="41"/>
      <c r="S434" s="41"/>
      <c r="T434" s="41"/>
      <c r="U434" s="41"/>
      <c r="V434" s="41"/>
      <c r="W434" s="41"/>
      <c r="X434" s="41"/>
      <c r="Y434" s="41"/>
      <c r="Z434" s="41"/>
      <c r="AA434" s="41"/>
      <c r="AB434" s="41"/>
      <c r="AC434" s="41"/>
      <c r="AD434" s="41"/>
      <c r="AE434" s="41"/>
      <c r="AF434" s="41"/>
      <c r="AG434" s="41"/>
      <c r="AH434" s="41"/>
      <c r="AI434" s="41"/>
    </row>
    <row r="435" spans="1:35" ht="15.75" customHeight="1" x14ac:dyDescent="0.2">
      <c r="A435" s="41"/>
      <c r="B435" s="41"/>
      <c r="C435" s="41"/>
      <c r="D435" s="72"/>
      <c r="E435" s="41"/>
      <c r="F435" s="41"/>
      <c r="G435" s="41"/>
      <c r="H435" s="41"/>
      <c r="I435" s="41"/>
      <c r="J435" s="41"/>
      <c r="K435" s="41"/>
      <c r="L435" s="41"/>
      <c r="M435" s="41"/>
      <c r="N435" s="41"/>
      <c r="O435" s="41"/>
      <c r="P435" s="41"/>
      <c r="Q435" s="41"/>
      <c r="R435" s="41"/>
      <c r="S435" s="41"/>
      <c r="T435" s="41"/>
      <c r="U435" s="41"/>
      <c r="V435" s="41"/>
      <c r="W435" s="41"/>
      <c r="X435" s="41"/>
      <c r="Y435" s="41"/>
      <c r="Z435" s="41"/>
      <c r="AA435" s="41"/>
      <c r="AB435" s="41"/>
      <c r="AC435" s="41"/>
      <c r="AD435" s="41"/>
      <c r="AE435" s="41"/>
      <c r="AF435" s="41"/>
      <c r="AG435" s="41"/>
      <c r="AH435" s="41"/>
      <c r="AI435" s="41"/>
    </row>
    <row r="436" spans="1:35" ht="15.75" customHeight="1" x14ac:dyDescent="0.2">
      <c r="A436" s="41"/>
      <c r="B436" s="41"/>
      <c r="C436" s="41"/>
      <c r="D436" s="72"/>
      <c r="E436" s="41"/>
      <c r="F436" s="41"/>
      <c r="G436" s="41"/>
      <c r="H436" s="41"/>
      <c r="I436" s="41"/>
      <c r="J436" s="41"/>
      <c r="K436" s="41"/>
      <c r="L436" s="41"/>
      <c r="M436" s="41"/>
      <c r="N436" s="41"/>
      <c r="O436" s="41"/>
      <c r="P436" s="41"/>
      <c r="Q436" s="41"/>
      <c r="R436" s="41"/>
      <c r="S436" s="41"/>
      <c r="T436" s="41"/>
      <c r="U436" s="41"/>
      <c r="V436" s="41"/>
      <c r="W436" s="41"/>
      <c r="X436" s="41"/>
      <c r="Y436" s="41"/>
      <c r="Z436" s="41"/>
      <c r="AA436" s="41"/>
      <c r="AB436" s="41"/>
      <c r="AC436" s="41"/>
      <c r="AD436" s="41"/>
      <c r="AE436" s="41"/>
      <c r="AF436" s="41"/>
      <c r="AG436" s="41"/>
      <c r="AH436" s="41"/>
      <c r="AI436" s="41"/>
    </row>
    <row r="437" spans="1:35" ht="15.75" customHeight="1" x14ac:dyDescent="0.2">
      <c r="A437" s="41"/>
      <c r="B437" s="41"/>
      <c r="C437" s="41"/>
      <c r="D437" s="72"/>
      <c r="E437" s="41"/>
      <c r="F437" s="41"/>
      <c r="G437" s="41"/>
      <c r="H437" s="41"/>
      <c r="I437" s="41"/>
      <c r="J437" s="41"/>
      <c r="K437" s="41"/>
      <c r="L437" s="41"/>
      <c r="M437" s="41"/>
      <c r="N437" s="41"/>
      <c r="O437" s="41"/>
      <c r="P437" s="41"/>
      <c r="Q437" s="41"/>
      <c r="R437" s="41"/>
      <c r="S437" s="41"/>
      <c r="T437" s="41"/>
      <c r="U437" s="41"/>
      <c r="V437" s="41"/>
      <c r="W437" s="41"/>
      <c r="X437" s="41"/>
      <c r="Y437" s="41"/>
      <c r="Z437" s="41"/>
      <c r="AA437" s="41"/>
      <c r="AB437" s="41"/>
      <c r="AC437" s="41"/>
      <c r="AD437" s="41"/>
      <c r="AE437" s="41"/>
      <c r="AF437" s="41"/>
      <c r="AG437" s="41"/>
      <c r="AH437" s="41"/>
      <c r="AI437" s="41"/>
    </row>
    <row r="438" spans="1:35" ht="15.75" customHeight="1" x14ac:dyDescent="0.2">
      <c r="A438" s="41"/>
      <c r="B438" s="41"/>
      <c r="C438" s="41"/>
      <c r="D438" s="72"/>
      <c r="E438" s="41"/>
      <c r="F438" s="41"/>
      <c r="G438" s="41"/>
      <c r="H438" s="41"/>
      <c r="I438" s="41"/>
      <c r="J438" s="41"/>
      <c r="K438" s="41"/>
      <c r="L438" s="41"/>
      <c r="M438" s="41"/>
      <c r="N438" s="41"/>
      <c r="O438" s="41"/>
      <c r="P438" s="41"/>
      <c r="Q438" s="41"/>
      <c r="R438" s="41"/>
      <c r="S438" s="41"/>
      <c r="T438" s="41"/>
      <c r="U438" s="41"/>
      <c r="V438" s="41"/>
      <c r="W438" s="41"/>
      <c r="X438" s="41"/>
      <c r="Y438" s="41"/>
      <c r="Z438" s="41"/>
      <c r="AA438" s="41"/>
      <c r="AB438" s="41"/>
      <c r="AC438" s="41"/>
      <c r="AD438" s="41"/>
      <c r="AE438" s="41"/>
      <c r="AF438" s="41"/>
      <c r="AG438" s="41"/>
      <c r="AH438" s="41"/>
      <c r="AI438" s="41"/>
    </row>
    <row r="439" spans="1:35" ht="15.75" customHeight="1" x14ac:dyDescent="0.2">
      <c r="A439" s="41"/>
      <c r="B439" s="41"/>
      <c r="C439" s="41"/>
      <c r="D439" s="72"/>
      <c r="E439" s="41"/>
      <c r="F439" s="41"/>
      <c r="G439" s="41"/>
      <c r="H439" s="41"/>
      <c r="I439" s="41"/>
      <c r="J439" s="41"/>
      <c r="K439" s="41"/>
      <c r="L439" s="41"/>
      <c r="M439" s="41"/>
      <c r="N439" s="41"/>
      <c r="O439" s="41"/>
      <c r="P439" s="41"/>
      <c r="Q439" s="41"/>
      <c r="R439" s="41"/>
      <c r="S439" s="41"/>
      <c r="T439" s="41"/>
      <c r="U439" s="41"/>
      <c r="V439" s="41"/>
      <c r="W439" s="41"/>
      <c r="X439" s="41"/>
      <c r="Y439" s="41"/>
      <c r="Z439" s="41"/>
      <c r="AA439" s="41"/>
      <c r="AB439" s="41"/>
      <c r="AC439" s="41"/>
      <c r="AD439" s="41"/>
      <c r="AE439" s="41"/>
      <c r="AF439" s="41"/>
      <c r="AG439" s="41"/>
      <c r="AH439" s="41"/>
      <c r="AI439" s="41"/>
    </row>
    <row r="440" spans="1:35" ht="15.75" customHeight="1" x14ac:dyDescent="0.2">
      <c r="A440" s="41"/>
      <c r="B440" s="41"/>
      <c r="C440" s="41"/>
      <c r="D440" s="72"/>
      <c r="E440" s="41"/>
      <c r="F440" s="41"/>
      <c r="G440" s="41"/>
      <c r="H440" s="41"/>
      <c r="I440" s="41"/>
      <c r="J440" s="41"/>
      <c r="K440" s="41"/>
      <c r="L440" s="41"/>
      <c r="M440" s="41"/>
      <c r="N440" s="41"/>
      <c r="O440" s="41"/>
      <c r="P440" s="41"/>
      <c r="Q440" s="41"/>
      <c r="R440" s="41"/>
      <c r="S440" s="41"/>
      <c r="T440" s="41"/>
      <c r="U440" s="41"/>
      <c r="V440" s="41"/>
      <c r="W440" s="41"/>
      <c r="X440" s="41"/>
      <c r="Y440" s="41"/>
      <c r="Z440" s="41"/>
      <c r="AA440" s="41"/>
      <c r="AB440" s="41"/>
      <c r="AC440" s="41"/>
      <c r="AD440" s="41"/>
      <c r="AE440" s="41"/>
      <c r="AF440" s="41"/>
      <c r="AG440" s="41"/>
      <c r="AH440" s="41"/>
      <c r="AI440" s="41"/>
    </row>
    <row r="441" spans="1:35" ht="15.75" customHeight="1" x14ac:dyDescent="0.2">
      <c r="A441" s="41"/>
      <c r="B441" s="41"/>
      <c r="C441" s="41"/>
      <c r="D441" s="72"/>
      <c r="E441" s="41"/>
      <c r="F441" s="41"/>
      <c r="G441" s="41"/>
      <c r="H441" s="41"/>
      <c r="I441" s="41"/>
      <c r="J441" s="41"/>
      <c r="K441" s="41"/>
      <c r="L441" s="41"/>
      <c r="M441" s="41"/>
      <c r="N441" s="41"/>
      <c r="O441" s="41"/>
      <c r="P441" s="41"/>
      <c r="Q441" s="41"/>
      <c r="R441" s="41"/>
      <c r="S441" s="41"/>
      <c r="T441" s="41"/>
      <c r="U441" s="41"/>
      <c r="V441" s="41"/>
      <c r="W441" s="41"/>
      <c r="X441" s="41"/>
      <c r="Y441" s="41"/>
      <c r="Z441" s="41"/>
      <c r="AA441" s="41"/>
      <c r="AB441" s="41"/>
      <c r="AC441" s="41"/>
      <c r="AD441" s="41"/>
      <c r="AE441" s="41"/>
      <c r="AF441" s="41"/>
      <c r="AG441" s="41"/>
      <c r="AH441" s="41"/>
      <c r="AI441" s="41"/>
    </row>
    <row r="442" spans="1:35" ht="15.75" customHeight="1" x14ac:dyDescent="0.2">
      <c r="A442" s="41"/>
      <c r="B442" s="41"/>
      <c r="C442" s="41"/>
      <c r="D442" s="72"/>
      <c r="E442" s="41"/>
      <c r="F442" s="41"/>
      <c r="G442" s="41"/>
      <c r="H442" s="41"/>
      <c r="I442" s="41"/>
      <c r="J442" s="41"/>
      <c r="K442" s="41"/>
      <c r="L442" s="41"/>
      <c r="M442" s="41"/>
      <c r="N442" s="41"/>
      <c r="O442" s="41"/>
      <c r="P442" s="41"/>
      <c r="Q442" s="41"/>
      <c r="R442" s="41"/>
      <c r="S442" s="41"/>
      <c r="T442" s="41"/>
      <c r="U442" s="41"/>
      <c r="V442" s="41"/>
      <c r="W442" s="41"/>
      <c r="X442" s="41"/>
      <c r="Y442" s="41"/>
      <c r="Z442" s="41"/>
      <c r="AA442" s="41"/>
      <c r="AB442" s="41"/>
      <c r="AC442" s="41"/>
      <c r="AD442" s="41"/>
      <c r="AE442" s="41"/>
      <c r="AF442" s="41"/>
      <c r="AG442" s="41"/>
      <c r="AH442" s="41"/>
      <c r="AI442" s="41"/>
    </row>
    <row r="443" spans="1:35" ht="15.75" customHeight="1" x14ac:dyDescent="0.2">
      <c r="A443" s="41"/>
      <c r="B443" s="41"/>
      <c r="C443" s="41"/>
      <c r="D443" s="72"/>
      <c r="E443" s="41"/>
      <c r="F443" s="41"/>
      <c r="G443" s="41"/>
      <c r="H443" s="41"/>
      <c r="I443" s="41"/>
      <c r="J443" s="41"/>
      <c r="K443" s="41"/>
      <c r="L443" s="41"/>
      <c r="M443" s="41"/>
      <c r="N443" s="41"/>
      <c r="O443" s="41"/>
      <c r="P443" s="41"/>
      <c r="Q443" s="41"/>
      <c r="R443" s="41"/>
      <c r="S443" s="41"/>
      <c r="T443" s="41"/>
      <c r="U443" s="41"/>
      <c r="V443" s="41"/>
      <c r="W443" s="41"/>
      <c r="X443" s="41"/>
      <c r="Y443" s="41"/>
      <c r="Z443" s="41"/>
      <c r="AA443" s="41"/>
      <c r="AB443" s="41"/>
      <c r="AC443" s="41"/>
      <c r="AD443" s="41"/>
      <c r="AE443" s="41"/>
      <c r="AF443" s="41"/>
      <c r="AG443" s="41"/>
      <c r="AH443" s="41"/>
      <c r="AI443" s="41"/>
    </row>
    <row r="444" spans="1:35" ht="15.75" customHeight="1" x14ac:dyDescent="0.2">
      <c r="A444" s="41"/>
      <c r="B444" s="41"/>
      <c r="C444" s="41"/>
      <c r="D444" s="72"/>
      <c r="E444" s="41"/>
      <c r="F444" s="41"/>
      <c r="G444" s="41"/>
      <c r="H444" s="41"/>
      <c r="I444" s="41"/>
      <c r="J444" s="41"/>
      <c r="K444" s="41"/>
      <c r="L444" s="41"/>
      <c r="M444" s="41"/>
      <c r="N444" s="41"/>
      <c r="O444" s="41"/>
      <c r="P444" s="41"/>
      <c r="Q444" s="41"/>
      <c r="R444" s="41"/>
      <c r="S444" s="41"/>
      <c r="T444" s="41"/>
      <c r="U444" s="41"/>
      <c r="V444" s="41"/>
      <c r="W444" s="41"/>
      <c r="X444" s="41"/>
      <c r="Y444" s="41"/>
      <c r="Z444" s="41"/>
      <c r="AA444" s="41"/>
      <c r="AB444" s="41"/>
      <c r="AC444" s="41"/>
      <c r="AD444" s="41"/>
      <c r="AE444" s="41"/>
      <c r="AF444" s="41"/>
      <c r="AG444" s="41"/>
      <c r="AH444" s="41"/>
      <c r="AI444" s="41"/>
    </row>
    <row r="445" spans="1:35" ht="15.75" customHeight="1" x14ac:dyDescent="0.2">
      <c r="A445" s="41"/>
      <c r="B445" s="41"/>
      <c r="C445" s="41"/>
      <c r="D445" s="72"/>
      <c r="E445" s="41"/>
      <c r="F445" s="41"/>
      <c r="G445" s="41"/>
      <c r="H445" s="41"/>
      <c r="I445" s="41"/>
      <c r="J445" s="41"/>
      <c r="K445" s="41"/>
      <c r="L445" s="41"/>
      <c r="M445" s="41"/>
      <c r="N445" s="41"/>
      <c r="O445" s="41"/>
      <c r="P445" s="41"/>
      <c r="Q445" s="41"/>
      <c r="R445" s="41"/>
      <c r="S445" s="41"/>
      <c r="T445" s="41"/>
      <c r="U445" s="41"/>
      <c r="V445" s="41"/>
      <c r="W445" s="41"/>
      <c r="X445" s="41"/>
      <c r="Y445" s="41"/>
      <c r="Z445" s="41"/>
      <c r="AA445" s="41"/>
      <c r="AB445" s="41"/>
      <c r="AC445" s="41"/>
      <c r="AD445" s="41"/>
      <c r="AE445" s="41"/>
      <c r="AF445" s="41"/>
      <c r="AG445" s="41"/>
      <c r="AH445" s="41"/>
      <c r="AI445" s="41"/>
    </row>
    <row r="446" spans="1:35" ht="15.75" customHeight="1" x14ac:dyDescent="0.2">
      <c r="A446" s="41"/>
      <c r="B446" s="41"/>
      <c r="C446" s="41"/>
      <c r="D446" s="72"/>
      <c r="E446" s="41"/>
      <c r="F446" s="41"/>
      <c r="G446" s="41"/>
      <c r="H446" s="41"/>
      <c r="I446" s="41"/>
      <c r="J446" s="41"/>
      <c r="K446" s="41"/>
      <c r="L446" s="41"/>
      <c r="M446" s="41"/>
      <c r="N446" s="41"/>
      <c r="O446" s="41"/>
      <c r="P446" s="41"/>
      <c r="Q446" s="41"/>
      <c r="R446" s="41"/>
      <c r="S446" s="41"/>
      <c r="T446" s="41"/>
      <c r="U446" s="41"/>
      <c r="V446" s="41"/>
      <c r="W446" s="41"/>
      <c r="X446" s="41"/>
      <c r="Y446" s="41"/>
      <c r="Z446" s="41"/>
      <c r="AA446" s="41"/>
      <c r="AB446" s="41"/>
      <c r="AC446" s="41"/>
      <c r="AD446" s="41"/>
      <c r="AE446" s="41"/>
      <c r="AF446" s="41"/>
      <c r="AG446" s="41"/>
      <c r="AH446" s="41"/>
      <c r="AI446" s="41"/>
    </row>
    <row r="447" spans="1:35" ht="15.75" customHeight="1" x14ac:dyDescent="0.2">
      <c r="A447" s="41"/>
      <c r="B447" s="41"/>
      <c r="C447" s="41"/>
      <c r="D447" s="72"/>
      <c r="E447" s="41"/>
      <c r="F447" s="41"/>
      <c r="G447" s="41"/>
      <c r="H447" s="41"/>
      <c r="I447" s="41"/>
      <c r="J447" s="41"/>
      <c r="K447" s="41"/>
      <c r="L447" s="41"/>
      <c r="M447" s="41"/>
      <c r="N447" s="41"/>
      <c r="O447" s="41"/>
      <c r="P447" s="41"/>
      <c r="Q447" s="41"/>
      <c r="R447" s="41"/>
      <c r="S447" s="41"/>
      <c r="T447" s="41"/>
      <c r="U447" s="41"/>
      <c r="V447" s="41"/>
      <c r="W447" s="41"/>
      <c r="X447" s="41"/>
      <c r="Y447" s="41"/>
      <c r="Z447" s="41"/>
      <c r="AA447" s="41"/>
      <c r="AB447" s="41"/>
      <c r="AC447" s="41"/>
      <c r="AD447" s="41"/>
      <c r="AE447" s="41"/>
      <c r="AF447" s="41"/>
      <c r="AG447" s="41"/>
      <c r="AH447" s="41"/>
      <c r="AI447" s="41"/>
    </row>
    <row r="448" spans="1:35" ht="15.75" customHeight="1" x14ac:dyDescent="0.2">
      <c r="A448" s="41"/>
      <c r="B448" s="41"/>
      <c r="C448" s="41"/>
      <c r="D448" s="72"/>
      <c r="E448" s="41"/>
      <c r="F448" s="41"/>
      <c r="G448" s="41"/>
      <c r="H448" s="41"/>
      <c r="I448" s="41"/>
      <c r="J448" s="41"/>
      <c r="K448" s="41"/>
      <c r="L448" s="41"/>
      <c r="M448" s="41"/>
      <c r="N448" s="41"/>
      <c r="O448" s="41"/>
      <c r="P448" s="41"/>
      <c r="Q448" s="41"/>
      <c r="R448" s="41"/>
      <c r="S448" s="41"/>
      <c r="T448" s="41"/>
      <c r="U448" s="41"/>
      <c r="V448" s="41"/>
      <c r="W448" s="41"/>
      <c r="X448" s="41"/>
      <c r="Y448" s="41"/>
      <c r="Z448" s="41"/>
      <c r="AA448" s="41"/>
      <c r="AB448" s="41"/>
      <c r="AC448" s="41"/>
      <c r="AD448" s="41"/>
      <c r="AE448" s="41"/>
      <c r="AF448" s="41"/>
      <c r="AG448" s="41"/>
      <c r="AH448" s="41"/>
      <c r="AI448" s="41"/>
    </row>
    <row r="449" spans="1:35" ht="15.75" customHeight="1" x14ac:dyDescent="0.2">
      <c r="A449" s="41"/>
      <c r="B449" s="41"/>
      <c r="C449" s="41"/>
      <c r="D449" s="72"/>
      <c r="E449" s="41"/>
      <c r="F449" s="41"/>
      <c r="G449" s="41"/>
      <c r="H449" s="41"/>
      <c r="I449" s="41"/>
      <c r="J449" s="41"/>
      <c r="K449" s="41"/>
      <c r="L449" s="41"/>
      <c r="M449" s="41"/>
      <c r="N449" s="41"/>
      <c r="O449" s="41"/>
      <c r="P449" s="41"/>
      <c r="Q449" s="41"/>
      <c r="R449" s="41"/>
      <c r="S449" s="41"/>
      <c r="T449" s="41"/>
      <c r="U449" s="41"/>
      <c r="V449" s="41"/>
      <c r="W449" s="41"/>
      <c r="X449" s="41"/>
      <c r="Y449" s="41"/>
      <c r="Z449" s="41"/>
      <c r="AA449" s="41"/>
      <c r="AB449" s="41"/>
      <c r="AC449" s="41"/>
      <c r="AD449" s="41"/>
      <c r="AE449" s="41"/>
      <c r="AF449" s="41"/>
      <c r="AG449" s="41"/>
      <c r="AH449" s="41"/>
      <c r="AI449" s="41"/>
    </row>
    <row r="450" spans="1:35" ht="15.75" customHeight="1" x14ac:dyDescent="0.2">
      <c r="A450" s="41"/>
      <c r="B450" s="41"/>
      <c r="C450" s="41"/>
      <c r="D450" s="72"/>
      <c r="E450" s="41"/>
      <c r="F450" s="41"/>
      <c r="G450" s="41"/>
      <c r="H450" s="41"/>
      <c r="I450" s="41"/>
      <c r="J450" s="41"/>
      <c r="K450" s="41"/>
      <c r="L450" s="41"/>
      <c r="M450" s="41"/>
      <c r="N450" s="41"/>
      <c r="O450" s="41"/>
      <c r="P450" s="41"/>
      <c r="Q450" s="41"/>
      <c r="R450" s="41"/>
      <c r="S450" s="41"/>
      <c r="T450" s="41"/>
      <c r="U450" s="41"/>
      <c r="V450" s="41"/>
      <c r="W450" s="41"/>
      <c r="X450" s="41"/>
      <c r="Y450" s="41"/>
      <c r="Z450" s="41"/>
      <c r="AA450" s="41"/>
      <c r="AB450" s="41"/>
      <c r="AC450" s="41"/>
      <c r="AD450" s="41"/>
      <c r="AE450" s="41"/>
      <c r="AF450" s="41"/>
      <c r="AG450" s="41"/>
      <c r="AH450" s="41"/>
      <c r="AI450" s="41"/>
    </row>
    <row r="451" spans="1:35" ht="15.75" customHeight="1" x14ac:dyDescent="0.2">
      <c r="A451" s="41"/>
      <c r="B451" s="41"/>
      <c r="C451" s="41"/>
      <c r="D451" s="72"/>
      <c r="E451" s="41"/>
      <c r="F451" s="41"/>
      <c r="G451" s="41"/>
      <c r="H451" s="41"/>
      <c r="I451" s="41"/>
      <c r="J451" s="41"/>
      <c r="K451" s="41"/>
      <c r="L451" s="41"/>
      <c r="M451" s="41"/>
      <c r="N451" s="41"/>
      <c r="O451" s="41"/>
      <c r="P451" s="41"/>
      <c r="Q451" s="41"/>
      <c r="R451" s="41"/>
      <c r="S451" s="41"/>
      <c r="T451" s="41"/>
      <c r="U451" s="41"/>
      <c r="V451" s="41"/>
      <c r="W451" s="41"/>
      <c r="X451" s="41"/>
      <c r="Y451" s="41"/>
      <c r="Z451" s="41"/>
      <c r="AA451" s="41"/>
      <c r="AB451" s="41"/>
      <c r="AC451" s="41"/>
      <c r="AD451" s="41"/>
      <c r="AE451" s="41"/>
      <c r="AF451" s="41"/>
      <c r="AG451" s="41"/>
      <c r="AH451" s="41"/>
      <c r="AI451" s="41"/>
    </row>
    <row r="452" spans="1:35" ht="15.75" customHeight="1" x14ac:dyDescent="0.2">
      <c r="A452" s="41"/>
      <c r="B452" s="41"/>
      <c r="C452" s="41"/>
      <c r="D452" s="72"/>
      <c r="E452" s="41"/>
      <c r="F452" s="41"/>
      <c r="G452" s="41"/>
      <c r="H452" s="41"/>
      <c r="I452" s="41"/>
      <c r="J452" s="41"/>
      <c r="K452" s="41"/>
      <c r="L452" s="41"/>
      <c r="M452" s="41"/>
      <c r="N452" s="41"/>
      <c r="O452" s="41"/>
      <c r="P452" s="41"/>
      <c r="Q452" s="41"/>
      <c r="R452" s="41"/>
      <c r="S452" s="41"/>
      <c r="T452" s="41"/>
      <c r="U452" s="41"/>
      <c r="V452" s="41"/>
      <c r="W452" s="41"/>
      <c r="X452" s="41"/>
      <c r="Y452" s="41"/>
      <c r="Z452" s="41"/>
      <c r="AA452" s="41"/>
      <c r="AB452" s="41"/>
      <c r="AC452" s="41"/>
      <c r="AD452" s="41"/>
      <c r="AE452" s="41"/>
      <c r="AF452" s="41"/>
      <c r="AG452" s="41"/>
      <c r="AH452" s="41"/>
      <c r="AI452" s="41"/>
    </row>
    <row r="453" spans="1:35" ht="15.75" customHeight="1" x14ac:dyDescent="0.2">
      <c r="A453" s="41"/>
      <c r="B453" s="41"/>
      <c r="C453" s="41"/>
      <c r="D453" s="72"/>
      <c r="E453" s="41"/>
      <c r="F453" s="41"/>
      <c r="G453" s="41"/>
      <c r="H453" s="41"/>
      <c r="I453" s="41"/>
      <c r="J453" s="41"/>
      <c r="K453" s="41"/>
      <c r="L453" s="41"/>
      <c r="M453" s="41"/>
      <c r="N453" s="41"/>
      <c r="O453" s="41"/>
      <c r="P453" s="41"/>
      <c r="Q453" s="41"/>
      <c r="R453" s="41"/>
      <c r="S453" s="41"/>
      <c r="T453" s="41"/>
      <c r="U453" s="41"/>
      <c r="V453" s="41"/>
      <c r="W453" s="41"/>
      <c r="X453" s="41"/>
      <c r="Y453" s="41"/>
      <c r="Z453" s="41"/>
      <c r="AA453" s="41"/>
      <c r="AB453" s="41"/>
      <c r="AC453" s="41"/>
      <c r="AD453" s="41"/>
      <c r="AE453" s="41"/>
      <c r="AF453" s="41"/>
      <c r="AG453" s="41"/>
      <c r="AH453" s="41"/>
      <c r="AI453" s="41"/>
    </row>
    <row r="454" spans="1:35" ht="15.75" customHeight="1" x14ac:dyDescent="0.2">
      <c r="A454" s="41"/>
      <c r="B454" s="41"/>
      <c r="C454" s="41"/>
      <c r="D454" s="72"/>
      <c r="E454" s="41"/>
      <c r="F454" s="41"/>
      <c r="G454" s="41"/>
      <c r="H454" s="41"/>
      <c r="I454" s="41"/>
      <c r="J454" s="41"/>
      <c r="K454" s="41"/>
      <c r="L454" s="41"/>
      <c r="M454" s="41"/>
      <c r="N454" s="41"/>
      <c r="O454" s="41"/>
      <c r="P454" s="41"/>
      <c r="Q454" s="41"/>
      <c r="R454" s="41"/>
      <c r="S454" s="41"/>
      <c r="T454" s="41"/>
      <c r="U454" s="41"/>
      <c r="V454" s="41"/>
      <c r="W454" s="41"/>
      <c r="X454" s="41"/>
      <c r="Y454" s="41"/>
      <c r="Z454" s="41"/>
      <c r="AA454" s="41"/>
      <c r="AB454" s="41"/>
      <c r="AC454" s="41"/>
      <c r="AD454" s="41"/>
      <c r="AE454" s="41"/>
      <c r="AF454" s="41"/>
      <c r="AG454" s="41"/>
      <c r="AH454" s="41"/>
      <c r="AI454" s="41"/>
    </row>
    <row r="455" spans="1:35" ht="15.75" customHeight="1" x14ac:dyDescent="0.2">
      <c r="A455" s="41"/>
      <c r="B455" s="41"/>
      <c r="C455" s="41"/>
      <c r="D455" s="72"/>
      <c r="E455" s="41"/>
      <c r="F455" s="41"/>
      <c r="G455" s="41"/>
      <c r="H455" s="41"/>
      <c r="I455" s="41"/>
      <c r="J455" s="41"/>
      <c r="K455" s="41"/>
      <c r="L455" s="41"/>
      <c r="M455" s="41"/>
      <c r="N455" s="41"/>
      <c r="O455" s="41"/>
      <c r="P455" s="41"/>
      <c r="Q455" s="41"/>
      <c r="R455" s="41"/>
      <c r="S455" s="41"/>
      <c r="T455" s="41"/>
      <c r="U455" s="41"/>
      <c r="V455" s="41"/>
      <c r="W455" s="41"/>
      <c r="X455" s="41"/>
      <c r="Y455" s="41"/>
      <c r="Z455" s="41"/>
      <c r="AA455" s="41"/>
      <c r="AB455" s="41"/>
      <c r="AC455" s="41"/>
      <c r="AD455" s="41"/>
      <c r="AE455" s="41"/>
      <c r="AF455" s="41"/>
      <c r="AG455" s="41"/>
      <c r="AH455" s="41"/>
      <c r="AI455" s="41"/>
    </row>
    <row r="456" spans="1:35" ht="15.75" customHeight="1" x14ac:dyDescent="0.2">
      <c r="A456" s="41"/>
      <c r="B456" s="41"/>
      <c r="C456" s="41"/>
      <c r="D456" s="72"/>
      <c r="E456" s="41"/>
      <c r="F456" s="41"/>
      <c r="G456" s="41"/>
      <c r="H456" s="41"/>
      <c r="I456" s="41"/>
      <c r="J456" s="41"/>
      <c r="K456" s="41"/>
      <c r="L456" s="41"/>
      <c r="M456" s="41"/>
      <c r="N456" s="41"/>
      <c r="O456" s="41"/>
      <c r="P456" s="41"/>
      <c r="Q456" s="41"/>
      <c r="R456" s="41"/>
      <c r="S456" s="41"/>
      <c r="T456" s="41"/>
      <c r="U456" s="41"/>
      <c r="V456" s="41"/>
      <c r="W456" s="41"/>
      <c r="X456" s="41"/>
      <c r="Y456" s="41"/>
      <c r="Z456" s="41"/>
      <c r="AA456" s="41"/>
      <c r="AB456" s="41"/>
      <c r="AC456" s="41"/>
      <c r="AD456" s="41"/>
      <c r="AE456" s="41"/>
      <c r="AF456" s="41"/>
      <c r="AG456" s="41"/>
      <c r="AH456" s="41"/>
      <c r="AI456" s="41"/>
    </row>
    <row r="457" spans="1:35" ht="15.75" customHeight="1" x14ac:dyDescent="0.2">
      <c r="A457" s="41"/>
      <c r="B457" s="41"/>
      <c r="C457" s="41"/>
      <c r="D457" s="72"/>
      <c r="E457" s="41"/>
      <c r="F457" s="41"/>
      <c r="G457" s="41"/>
      <c r="H457" s="41"/>
      <c r="I457" s="41"/>
      <c r="J457" s="41"/>
      <c r="K457" s="41"/>
      <c r="L457" s="41"/>
      <c r="M457" s="41"/>
      <c r="N457" s="41"/>
      <c r="O457" s="41"/>
      <c r="P457" s="41"/>
      <c r="Q457" s="41"/>
      <c r="R457" s="41"/>
      <c r="S457" s="41"/>
      <c r="T457" s="41"/>
      <c r="U457" s="41"/>
      <c r="V457" s="41"/>
      <c r="W457" s="41"/>
      <c r="X457" s="41"/>
      <c r="Y457" s="41"/>
      <c r="Z457" s="41"/>
      <c r="AA457" s="41"/>
      <c r="AB457" s="41"/>
      <c r="AC457" s="41"/>
      <c r="AD457" s="41"/>
      <c r="AE457" s="41"/>
      <c r="AF457" s="41"/>
      <c r="AG457" s="41"/>
      <c r="AH457" s="41"/>
      <c r="AI457" s="41"/>
    </row>
    <row r="458" spans="1:35" ht="15.75" customHeight="1" x14ac:dyDescent="0.2">
      <c r="A458" s="41"/>
      <c r="B458" s="41"/>
      <c r="C458" s="41"/>
      <c r="D458" s="72"/>
      <c r="E458" s="41"/>
      <c r="F458" s="41"/>
      <c r="G458" s="41"/>
      <c r="H458" s="41"/>
      <c r="I458" s="41"/>
      <c r="J458" s="41"/>
      <c r="K458" s="41"/>
      <c r="L458" s="41"/>
      <c r="M458" s="41"/>
      <c r="N458" s="41"/>
      <c r="O458" s="41"/>
      <c r="P458" s="41"/>
      <c r="Q458" s="41"/>
      <c r="R458" s="41"/>
      <c r="S458" s="41"/>
      <c r="T458" s="41"/>
      <c r="U458" s="41"/>
      <c r="V458" s="41"/>
      <c r="W458" s="41"/>
      <c r="X458" s="41"/>
      <c r="Y458" s="41"/>
      <c r="Z458" s="41"/>
      <c r="AA458" s="41"/>
      <c r="AB458" s="41"/>
      <c r="AC458" s="41"/>
      <c r="AD458" s="41"/>
      <c r="AE458" s="41"/>
      <c r="AF458" s="41"/>
      <c r="AG458" s="41"/>
      <c r="AH458" s="41"/>
      <c r="AI458" s="41"/>
    </row>
    <row r="459" spans="1:35" ht="15.75" customHeight="1" x14ac:dyDescent="0.2">
      <c r="A459" s="41"/>
      <c r="B459" s="41"/>
      <c r="C459" s="41"/>
      <c r="D459" s="72"/>
      <c r="E459" s="41"/>
      <c r="F459" s="41"/>
      <c r="G459" s="41"/>
      <c r="H459" s="41"/>
      <c r="I459" s="41"/>
      <c r="J459" s="41"/>
      <c r="K459" s="41"/>
      <c r="L459" s="41"/>
      <c r="M459" s="41"/>
      <c r="N459" s="41"/>
      <c r="O459" s="41"/>
      <c r="P459" s="41"/>
      <c r="Q459" s="41"/>
      <c r="R459" s="41"/>
      <c r="S459" s="41"/>
      <c r="T459" s="41"/>
      <c r="U459" s="41"/>
      <c r="V459" s="41"/>
      <c r="W459" s="41"/>
      <c r="X459" s="41"/>
      <c r="Y459" s="41"/>
      <c r="Z459" s="41"/>
      <c r="AA459" s="41"/>
      <c r="AB459" s="41"/>
      <c r="AC459" s="41"/>
      <c r="AD459" s="41"/>
      <c r="AE459" s="41"/>
      <c r="AF459" s="41"/>
      <c r="AG459" s="41"/>
      <c r="AH459" s="41"/>
      <c r="AI459" s="41"/>
    </row>
    <row r="460" spans="1:35" ht="15.75" customHeight="1" x14ac:dyDescent="0.2">
      <c r="A460" s="41"/>
      <c r="B460" s="41"/>
      <c r="C460" s="41"/>
      <c r="D460" s="72"/>
      <c r="E460" s="41"/>
      <c r="F460" s="41"/>
      <c r="G460" s="41"/>
      <c r="H460" s="41"/>
      <c r="I460" s="41"/>
      <c r="J460" s="41"/>
      <c r="K460" s="41"/>
      <c r="L460" s="41"/>
      <c r="M460" s="41"/>
      <c r="N460" s="41"/>
      <c r="O460" s="41"/>
      <c r="P460" s="41"/>
      <c r="Q460" s="41"/>
      <c r="R460" s="41"/>
      <c r="S460" s="41"/>
      <c r="T460" s="41"/>
      <c r="U460" s="41"/>
      <c r="V460" s="41"/>
      <c r="W460" s="41"/>
      <c r="X460" s="41"/>
      <c r="Y460" s="41"/>
      <c r="Z460" s="41"/>
      <c r="AA460" s="41"/>
      <c r="AB460" s="41"/>
      <c r="AC460" s="41"/>
      <c r="AD460" s="41"/>
      <c r="AE460" s="41"/>
      <c r="AF460" s="41"/>
      <c r="AG460" s="41"/>
      <c r="AH460" s="41"/>
      <c r="AI460" s="41"/>
    </row>
    <row r="461" spans="1:35" ht="15.75" customHeight="1" x14ac:dyDescent="0.2">
      <c r="A461" s="41"/>
      <c r="B461" s="41"/>
      <c r="C461" s="41"/>
      <c r="D461" s="72"/>
      <c r="E461" s="41"/>
      <c r="F461" s="41"/>
      <c r="G461" s="41"/>
      <c r="H461" s="41"/>
      <c r="I461" s="41"/>
      <c r="J461" s="41"/>
      <c r="K461" s="41"/>
      <c r="L461" s="41"/>
      <c r="M461" s="41"/>
      <c r="N461" s="41"/>
      <c r="O461" s="41"/>
      <c r="P461" s="41"/>
      <c r="Q461" s="41"/>
      <c r="R461" s="41"/>
      <c r="S461" s="41"/>
      <c r="T461" s="41"/>
      <c r="U461" s="41"/>
      <c r="V461" s="41"/>
      <c r="W461" s="41"/>
      <c r="X461" s="41"/>
      <c r="Y461" s="41"/>
      <c r="Z461" s="41"/>
      <c r="AA461" s="41"/>
      <c r="AB461" s="41"/>
      <c r="AC461" s="41"/>
      <c r="AD461" s="41"/>
      <c r="AE461" s="41"/>
      <c r="AF461" s="41"/>
      <c r="AG461" s="41"/>
      <c r="AH461" s="41"/>
      <c r="AI461" s="41"/>
    </row>
    <row r="462" spans="1:35" ht="15.75" customHeight="1" x14ac:dyDescent="0.2">
      <c r="A462" s="41"/>
      <c r="B462" s="41"/>
      <c r="C462" s="41"/>
      <c r="D462" s="72"/>
      <c r="E462" s="41"/>
      <c r="F462" s="41"/>
      <c r="G462" s="41"/>
      <c r="H462" s="41"/>
      <c r="I462" s="41"/>
      <c r="J462" s="41"/>
      <c r="K462" s="41"/>
      <c r="L462" s="41"/>
      <c r="M462" s="41"/>
      <c r="N462" s="41"/>
      <c r="O462" s="41"/>
      <c r="P462" s="41"/>
      <c r="Q462" s="41"/>
      <c r="R462" s="41"/>
      <c r="S462" s="41"/>
      <c r="T462" s="41"/>
      <c r="U462" s="41"/>
      <c r="V462" s="41"/>
      <c r="W462" s="41"/>
      <c r="X462" s="41"/>
      <c r="Y462" s="41"/>
      <c r="Z462" s="41"/>
      <c r="AA462" s="41"/>
      <c r="AB462" s="41"/>
      <c r="AC462" s="41"/>
      <c r="AD462" s="41"/>
      <c r="AE462" s="41"/>
      <c r="AF462" s="41"/>
      <c r="AG462" s="41"/>
      <c r="AH462" s="41"/>
      <c r="AI462" s="41"/>
    </row>
    <row r="463" spans="1:35" ht="15.75" customHeight="1" x14ac:dyDescent="0.2">
      <c r="A463" s="41"/>
      <c r="B463" s="41"/>
      <c r="C463" s="41"/>
      <c r="D463" s="72"/>
      <c r="E463" s="41"/>
      <c r="F463" s="41"/>
      <c r="G463" s="41"/>
      <c r="H463" s="41"/>
      <c r="I463" s="41"/>
      <c r="J463" s="41"/>
      <c r="K463" s="41"/>
      <c r="L463" s="41"/>
      <c r="M463" s="41"/>
      <c r="N463" s="41"/>
      <c r="O463" s="41"/>
      <c r="P463" s="41"/>
      <c r="Q463" s="41"/>
      <c r="R463" s="41"/>
      <c r="S463" s="41"/>
      <c r="T463" s="41"/>
      <c r="U463" s="41"/>
      <c r="V463" s="41"/>
      <c r="W463" s="41"/>
      <c r="X463" s="41"/>
      <c r="Y463" s="41"/>
      <c r="Z463" s="41"/>
      <c r="AA463" s="41"/>
      <c r="AB463" s="41"/>
      <c r="AC463" s="41"/>
      <c r="AD463" s="41"/>
      <c r="AE463" s="41"/>
      <c r="AF463" s="41"/>
      <c r="AG463" s="41"/>
      <c r="AH463" s="41"/>
      <c r="AI463" s="41"/>
    </row>
    <row r="464" spans="1:35" ht="15.75" customHeight="1" x14ac:dyDescent="0.2">
      <c r="A464" s="41"/>
      <c r="B464" s="41"/>
      <c r="C464" s="41"/>
      <c r="D464" s="72"/>
      <c r="E464" s="41"/>
      <c r="F464" s="41"/>
      <c r="G464" s="41"/>
      <c r="H464" s="41"/>
      <c r="I464" s="41"/>
      <c r="J464" s="41"/>
      <c r="K464" s="41"/>
      <c r="L464" s="41"/>
      <c r="M464" s="41"/>
      <c r="N464" s="41"/>
      <c r="O464" s="41"/>
      <c r="P464" s="41"/>
      <c r="Q464" s="41"/>
      <c r="R464" s="41"/>
      <c r="S464" s="41"/>
      <c r="T464" s="41"/>
      <c r="U464" s="41"/>
      <c r="V464" s="41"/>
      <c r="W464" s="41"/>
      <c r="X464" s="41"/>
      <c r="Y464" s="41"/>
      <c r="Z464" s="41"/>
      <c r="AA464" s="41"/>
      <c r="AB464" s="41"/>
      <c r="AC464" s="41"/>
      <c r="AD464" s="41"/>
      <c r="AE464" s="41"/>
      <c r="AF464" s="41"/>
      <c r="AG464" s="41"/>
      <c r="AH464" s="41"/>
      <c r="AI464" s="41"/>
    </row>
    <row r="465" spans="1:35" ht="15.75" customHeight="1" x14ac:dyDescent="0.2">
      <c r="A465" s="41"/>
      <c r="B465" s="41"/>
      <c r="C465" s="41"/>
      <c r="D465" s="72"/>
      <c r="E465" s="41"/>
      <c r="F465" s="41"/>
      <c r="G465" s="41"/>
      <c r="H465" s="41"/>
      <c r="I465" s="41"/>
      <c r="J465" s="41"/>
      <c r="K465" s="41"/>
      <c r="L465" s="41"/>
      <c r="M465" s="41"/>
      <c r="N465" s="41"/>
      <c r="O465" s="41"/>
      <c r="P465" s="41"/>
      <c r="Q465" s="41"/>
      <c r="R465" s="41"/>
      <c r="S465" s="41"/>
      <c r="T465" s="41"/>
      <c r="U465" s="41"/>
      <c r="V465" s="41"/>
      <c r="W465" s="41"/>
      <c r="X465" s="41"/>
      <c r="Y465" s="41"/>
      <c r="Z465" s="41"/>
      <c r="AA465" s="41"/>
      <c r="AB465" s="41"/>
      <c r="AC465" s="41"/>
      <c r="AD465" s="41"/>
      <c r="AE465" s="41"/>
      <c r="AF465" s="41"/>
      <c r="AG465" s="41"/>
      <c r="AH465" s="41"/>
      <c r="AI465" s="41"/>
    </row>
    <row r="466" spans="1:35" ht="15.75" customHeight="1" x14ac:dyDescent="0.2">
      <c r="A466" s="41"/>
      <c r="B466" s="41"/>
      <c r="C466" s="41"/>
      <c r="D466" s="72"/>
      <c r="E466" s="41"/>
      <c r="F466" s="41"/>
      <c r="G466" s="41"/>
      <c r="H466" s="41"/>
      <c r="I466" s="41"/>
      <c r="J466" s="41"/>
      <c r="K466" s="41"/>
      <c r="L466" s="41"/>
      <c r="M466" s="41"/>
      <c r="N466" s="41"/>
      <c r="O466" s="41"/>
      <c r="P466" s="41"/>
      <c r="Q466" s="41"/>
      <c r="R466" s="41"/>
      <c r="S466" s="41"/>
      <c r="T466" s="41"/>
      <c r="U466" s="41"/>
      <c r="V466" s="41"/>
      <c r="W466" s="41"/>
      <c r="X466" s="41"/>
      <c r="Y466" s="41"/>
      <c r="Z466" s="41"/>
      <c r="AA466" s="41"/>
      <c r="AB466" s="41"/>
      <c r="AC466" s="41"/>
      <c r="AD466" s="41"/>
      <c r="AE466" s="41"/>
      <c r="AF466" s="41"/>
      <c r="AG466" s="41"/>
      <c r="AH466" s="41"/>
      <c r="AI466" s="41"/>
    </row>
    <row r="467" spans="1:35" ht="15.75" customHeight="1" x14ac:dyDescent="0.2">
      <c r="A467" s="41"/>
      <c r="B467" s="41"/>
      <c r="C467" s="41"/>
      <c r="D467" s="72"/>
      <c r="E467" s="41"/>
      <c r="F467" s="41"/>
      <c r="G467" s="41"/>
      <c r="H467" s="41"/>
      <c r="I467" s="41"/>
      <c r="J467" s="41"/>
      <c r="K467" s="41"/>
      <c r="L467" s="41"/>
      <c r="M467" s="41"/>
      <c r="N467" s="41"/>
      <c r="O467" s="41"/>
      <c r="P467" s="41"/>
      <c r="Q467" s="41"/>
      <c r="R467" s="41"/>
      <c r="S467" s="41"/>
      <c r="T467" s="41"/>
      <c r="U467" s="41"/>
      <c r="V467" s="41"/>
      <c r="W467" s="41"/>
      <c r="X467" s="41"/>
      <c r="Y467" s="41"/>
      <c r="Z467" s="41"/>
      <c r="AA467" s="41"/>
      <c r="AB467" s="41"/>
      <c r="AC467" s="41"/>
      <c r="AD467" s="41"/>
      <c r="AE467" s="41"/>
      <c r="AF467" s="41"/>
      <c r="AG467" s="41"/>
      <c r="AH467" s="41"/>
      <c r="AI467" s="41"/>
    </row>
    <row r="468" spans="1:35" ht="15.75" customHeight="1" x14ac:dyDescent="0.2">
      <c r="A468" s="41"/>
      <c r="B468" s="41"/>
      <c r="C468" s="41"/>
      <c r="D468" s="72"/>
      <c r="E468" s="41"/>
      <c r="F468" s="41"/>
      <c r="G468" s="41"/>
      <c r="H468" s="41"/>
      <c r="I468" s="41"/>
      <c r="J468" s="41"/>
      <c r="K468" s="41"/>
      <c r="L468" s="41"/>
      <c r="M468" s="41"/>
      <c r="N468" s="41"/>
      <c r="O468" s="41"/>
      <c r="P468" s="41"/>
      <c r="Q468" s="41"/>
      <c r="R468" s="41"/>
      <c r="S468" s="41"/>
      <c r="T468" s="41"/>
      <c r="U468" s="41"/>
      <c r="V468" s="41"/>
      <c r="W468" s="41"/>
      <c r="X468" s="41"/>
      <c r="Y468" s="41"/>
      <c r="Z468" s="41"/>
      <c r="AA468" s="41"/>
      <c r="AB468" s="41"/>
      <c r="AC468" s="41"/>
      <c r="AD468" s="41"/>
      <c r="AE468" s="41"/>
      <c r="AF468" s="41"/>
      <c r="AG468" s="41"/>
      <c r="AH468" s="41"/>
      <c r="AI468" s="41"/>
    </row>
    <row r="469" spans="1:35" ht="15.75" customHeight="1" x14ac:dyDescent="0.2">
      <c r="A469" s="41"/>
      <c r="B469" s="41"/>
      <c r="C469" s="41"/>
      <c r="D469" s="72"/>
      <c r="E469" s="41"/>
      <c r="F469" s="41"/>
      <c r="G469" s="41"/>
      <c r="H469" s="41"/>
      <c r="I469" s="41"/>
      <c r="J469" s="41"/>
      <c r="K469" s="41"/>
      <c r="L469" s="41"/>
      <c r="M469" s="41"/>
      <c r="N469" s="41"/>
      <c r="O469" s="41"/>
      <c r="P469" s="41"/>
      <c r="Q469" s="41"/>
      <c r="R469" s="41"/>
      <c r="S469" s="41"/>
      <c r="T469" s="41"/>
      <c r="U469" s="41"/>
      <c r="V469" s="41"/>
      <c r="W469" s="41"/>
      <c r="X469" s="41"/>
      <c r="Y469" s="41"/>
      <c r="Z469" s="41"/>
      <c r="AA469" s="41"/>
      <c r="AB469" s="41"/>
      <c r="AC469" s="41"/>
      <c r="AD469" s="41"/>
      <c r="AE469" s="41"/>
      <c r="AF469" s="41"/>
      <c r="AG469" s="41"/>
      <c r="AH469" s="41"/>
      <c r="AI469" s="41"/>
    </row>
    <row r="470" spans="1:35" ht="15.75" customHeight="1" x14ac:dyDescent="0.2">
      <c r="A470" s="41"/>
      <c r="B470" s="41"/>
      <c r="C470" s="41"/>
      <c r="D470" s="72"/>
      <c r="E470" s="41"/>
      <c r="F470" s="41"/>
      <c r="G470" s="41"/>
      <c r="H470" s="41"/>
      <c r="I470" s="41"/>
      <c r="J470" s="41"/>
      <c r="K470" s="41"/>
      <c r="L470" s="41"/>
      <c r="M470" s="41"/>
      <c r="N470" s="41"/>
      <c r="O470" s="41"/>
      <c r="P470" s="41"/>
      <c r="Q470" s="41"/>
      <c r="R470" s="41"/>
      <c r="S470" s="41"/>
      <c r="T470" s="41"/>
      <c r="U470" s="41"/>
      <c r="V470" s="41"/>
      <c r="W470" s="41"/>
      <c r="X470" s="41"/>
      <c r="Y470" s="41"/>
      <c r="Z470" s="41"/>
      <c r="AA470" s="41"/>
      <c r="AB470" s="41"/>
      <c r="AC470" s="41"/>
      <c r="AD470" s="41"/>
      <c r="AE470" s="41"/>
      <c r="AF470" s="41"/>
      <c r="AG470" s="41"/>
      <c r="AH470" s="41"/>
      <c r="AI470" s="41"/>
    </row>
    <row r="471" spans="1:35" ht="15.75" customHeight="1" x14ac:dyDescent="0.2">
      <c r="A471" s="41"/>
      <c r="B471" s="41"/>
      <c r="C471" s="41"/>
      <c r="D471" s="72"/>
      <c r="E471" s="41"/>
      <c r="F471" s="41"/>
      <c r="G471" s="41"/>
      <c r="H471" s="41"/>
      <c r="I471" s="41"/>
      <c r="J471" s="41"/>
      <c r="K471" s="41"/>
      <c r="L471" s="41"/>
      <c r="M471" s="41"/>
      <c r="N471" s="41"/>
      <c r="O471" s="41"/>
      <c r="P471" s="41"/>
      <c r="Q471" s="41"/>
      <c r="R471" s="41"/>
      <c r="S471" s="41"/>
      <c r="T471" s="41"/>
      <c r="U471" s="41"/>
      <c r="V471" s="41"/>
      <c r="W471" s="41"/>
      <c r="X471" s="41"/>
      <c r="Y471" s="41"/>
      <c r="Z471" s="41"/>
      <c r="AA471" s="41"/>
      <c r="AB471" s="41"/>
      <c r="AC471" s="41"/>
      <c r="AD471" s="41"/>
      <c r="AE471" s="41"/>
      <c r="AF471" s="41"/>
      <c r="AG471" s="41"/>
      <c r="AH471" s="41"/>
      <c r="AI471" s="41"/>
    </row>
    <row r="472" spans="1:35" ht="15.75" customHeight="1" x14ac:dyDescent="0.2">
      <c r="A472" s="41"/>
      <c r="B472" s="41"/>
      <c r="C472" s="41"/>
      <c r="D472" s="72"/>
      <c r="E472" s="41"/>
      <c r="F472" s="41"/>
      <c r="G472" s="41"/>
      <c r="H472" s="41"/>
      <c r="I472" s="41"/>
      <c r="J472" s="41"/>
      <c r="K472" s="41"/>
      <c r="L472" s="41"/>
      <c r="M472" s="41"/>
      <c r="N472" s="41"/>
      <c r="O472" s="41"/>
      <c r="P472" s="41"/>
      <c r="Q472" s="41"/>
      <c r="R472" s="41"/>
      <c r="S472" s="41"/>
      <c r="T472" s="41"/>
      <c r="U472" s="41"/>
      <c r="V472" s="41"/>
      <c r="W472" s="41"/>
      <c r="X472" s="41"/>
      <c r="Y472" s="41"/>
      <c r="Z472" s="41"/>
      <c r="AA472" s="41"/>
      <c r="AB472" s="41"/>
      <c r="AC472" s="41"/>
      <c r="AD472" s="41"/>
      <c r="AE472" s="41"/>
      <c r="AF472" s="41"/>
      <c r="AG472" s="41"/>
      <c r="AH472" s="41"/>
      <c r="AI472" s="41"/>
    </row>
    <row r="473" spans="1:35" ht="15.75" customHeight="1" x14ac:dyDescent="0.2">
      <c r="A473" s="41"/>
      <c r="B473" s="41"/>
      <c r="C473" s="41"/>
      <c r="D473" s="72"/>
      <c r="E473" s="41"/>
      <c r="F473" s="41"/>
      <c r="G473" s="41"/>
      <c r="H473" s="41"/>
      <c r="I473" s="41"/>
      <c r="J473" s="41"/>
      <c r="K473" s="41"/>
      <c r="L473" s="41"/>
      <c r="M473" s="41"/>
      <c r="N473" s="41"/>
      <c r="O473" s="41"/>
      <c r="P473" s="41"/>
      <c r="Q473" s="41"/>
      <c r="R473" s="41"/>
      <c r="S473" s="41"/>
      <c r="T473" s="41"/>
      <c r="U473" s="41"/>
      <c r="V473" s="41"/>
      <c r="W473" s="41"/>
      <c r="X473" s="41"/>
      <c r="Y473" s="41"/>
      <c r="Z473" s="41"/>
      <c r="AA473" s="41"/>
      <c r="AB473" s="41"/>
      <c r="AC473" s="41"/>
      <c r="AD473" s="41"/>
      <c r="AE473" s="41"/>
      <c r="AF473" s="41"/>
      <c r="AG473" s="41"/>
      <c r="AH473" s="41"/>
      <c r="AI473" s="41"/>
    </row>
    <row r="474" spans="1:35" ht="15.75" customHeight="1" x14ac:dyDescent="0.2">
      <c r="A474" s="41"/>
      <c r="B474" s="41"/>
      <c r="C474" s="41"/>
      <c r="D474" s="72"/>
      <c r="E474" s="41"/>
      <c r="F474" s="41"/>
      <c r="G474" s="41"/>
      <c r="H474" s="41"/>
      <c r="I474" s="41"/>
      <c r="J474" s="41"/>
      <c r="K474" s="41"/>
      <c r="L474" s="41"/>
      <c r="M474" s="41"/>
      <c r="N474" s="41"/>
      <c r="O474" s="41"/>
      <c r="P474" s="41"/>
      <c r="Q474" s="41"/>
      <c r="R474" s="41"/>
      <c r="S474" s="41"/>
      <c r="T474" s="41"/>
      <c r="U474" s="41"/>
      <c r="V474" s="41"/>
      <c r="W474" s="41"/>
      <c r="X474" s="41"/>
      <c r="Y474" s="41"/>
      <c r="Z474" s="41"/>
      <c r="AA474" s="41"/>
      <c r="AB474" s="41"/>
      <c r="AC474" s="41"/>
      <c r="AD474" s="41"/>
      <c r="AE474" s="41"/>
      <c r="AF474" s="41"/>
      <c r="AG474" s="41"/>
      <c r="AH474" s="41"/>
      <c r="AI474" s="41"/>
    </row>
    <row r="475" spans="1:35" ht="15.75" customHeight="1" x14ac:dyDescent="0.2">
      <c r="A475" s="41"/>
      <c r="B475" s="41"/>
      <c r="C475" s="41"/>
      <c r="D475" s="72"/>
      <c r="E475" s="41"/>
      <c r="F475" s="41"/>
      <c r="G475" s="41"/>
      <c r="H475" s="41"/>
      <c r="I475" s="41"/>
      <c r="J475" s="41"/>
      <c r="K475" s="41"/>
      <c r="L475" s="41"/>
      <c r="M475" s="41"/>
      <c r="N475" s="41"/>
      <c r="O475" s="41"/>
      <c r="P475" s="41"/>
      <c r="Q475" s="41"/>
      <c r="R475" s="41"/>
      <c r="S475" s="41"/>
      <c r="T475" s="41"/>
      <c r="U475" s="41"/>
      <c r="V475" s="41"/>
      <c r="W475" s="41"/>
      <c r="X475" s="41"/>
      <c r="Y475" s="41"/>
      <c r="Z475" s="41"/>
      <c r="AA475" s="41"/>
      <c r="AB475" s="41"/>
      <c r="AC475" s="41"/>
      <c r="AD475" s="41"/>
      <c r="AE475" s="41"/>
      <c r="AF475" s="41"/>
      <c r="AG475" s="41"/>
      <c r="AH475" s="41"/>
      <c r="AI475" s="41"/>
    </row>
    <row r="476" spans="1:35" ht="15.75" customHeight="1" x14ac:dyDescent="0.2">
      <c r="A476" s="41"/>
      <c r="B476" s="41"/>
      <c r="C476" s="41"/>
      <c r="D476" s="72"/>
      <c r="E476" s="41"/>
      <c r="F476" s="41"/>
      <c r="G476" s="41"/>
      <c r="H476" s="41"/>
      <c r="I476" s="41"/>
      <c r="J476" s="41"/>
      <c r="K476" s="41"/>
      <c r="L476" s="41"/>
      <c r="M476" s="41"/>
      <c r="N476" s="41"/>
      <c r="O476" s="41"/>
      <c r="P476" s="41"/>
      <c r="Q476" s="41"/>
      <c r="R476" s="41"/>
      <c r="S476" s="41"/>
      <c r="T476" s="41"/>
      <c r="U476" s="41"/>
      <c r="V476" s="41"/>
      <c r="W476" s="41"/>
      <c r="X476" s="41"/>
      <c r="Y476" s="41"/>
      <c r="Z476" s="41"/>
      <c r="AA476" s="41"/>
      <c r="AB476" s="41"/>
      <c r="AC476" s="41"/>
      <c r="AD476" s="41"/>
      <c r="AE476" s="41"/>
      <c r="AF476" s="41"/>
      <c r="AG476" s="41"/>
      <c r="AH476" s="41"/>
      <c r="AI476" s="41"/>
    </row>
    <row r="477" spans="1:35" ht="15.75" customHeight="1" x14ac:dyDescent="0.2">
      <c r="A477" s="41"/>
      <c r="B477" s="41"/>
      <c r="C477" s="41"/>
      <c r="D477" s="72"/>
      <c r="E477" s="41"/>
      <c r="F477" s="41"/>
      <c r="G477" s="41"/>
      <c r="H477" s="41"/>
      <c r="I477" s="41"/>
      <c r="J477" s="41"/>
      <c r="K477" s="41"/>
      <c r="L477" s="41"/>
      <c r="M477" s="41"/>
      <c r="N477" s="41"/>
      <c r="O477" s="41"/>
      <c r="P477" s="41"/>
      <c r="Q477" s="41"/>
      <c r="R477" s="41"/>
      <c r="S477" s="41"/>
      <c r="T477" s="41"/>
      <c r="U477" s="41"/>
      <c r="V477" s="41"/>
      <c r="W477" s="41"/>
      <c r="X477" s="41"/>
      <c r="Y477" s="41"/>
      <c r="Z477" s="41"/>
      <c r="AA477" s="41"/>
      <c r="AB477" s="41"/>
      <c r="AC477" s="41"/>
      <c r="AD477" s="41"/>
      <c r="AE477" s="41"/>
      <c r="AF477" s="41"/>
      <c r="AG477" s="41"/>
      <c r="AH477" s="41"/>
      <c r="AI477" s="41"/>
    </row>
    <row r="478" spans="1:35" ht="15.75" customHeight="1" x14ac:dyDescent="0.2">
      <c r="A478" s="41"/>
      <c r="B478" s="41"/>
      <c r="C478" s="41"/>
      <c r="D478" s="72"/>
      <c r="E478" s="41"/>
      <c r="F478" s="41"/>
      <c r="G478" s="41"/>
      <c r="H478" s="41"/>
      <c r="I478" s="41"/>
      <c r="J478" s="41"/>
      <c r="K478" s="41"/>
      <c r="L478" s="41"/>
      <c r="M478" s="41"/>
      <c r="N478" s="41"/>
      <c r="O478" s="41"/>
      <c r="P478" s="41"/>
      <c r="Q478" s="41"/>
      <c r="R478" s="41"/>
      <c r="S478" s="41"/>
      <c r="T478" s="41"/>
      <c r="U478" s="41"/>
      <c r="V478" s="41"/>
      <c r="W478" s="41"/>
      <c r="X478" s="41"/>
      <c r="Y478" s="41"/>
      <c r="Z478" s="41"/>
      <c r="AA478" s="41"/>
      <c r="AB478" s="41"/>
      <c r="AC478" s="41"/>
      <c r="AD478" s="41"/>
      <c r="AE478" s="41"/>
      <c r="AF478" s="41"/>
      <c r="AG478" s="41"/>
      <c r="AH478" s="41"/>
      <c r="AI478" s="41"/>
    </row>
    <row r="479" spans="1:35" ht="15.75" customHeight="1" x14ac:dyDescent="0.2">
      <c r="A479" s="41"/>
      <c r="B479" s="41"/>
      <c r="C479" s="41"/>
      <c r="D479" s="72"/>
      <c r="E479" s="41"/>
      <c r="F479" s="41"/>
      <c r="G479" s="41"/>
      <c r="H479" s="41"/>
      <c r="I479" s="41"/>
      <c r="J479" s="41"/>
      <c r="K479" s="41"/>
      <c r="L479" s="41"/>
      <c r="M479" s="41"/>
      <c r="N479" s="41"/>
      <c r="O479" s="41"/>
      <c r="P479" s="41"/>
      <c r="Q479" s="41"/>
      <c r="R479" s="41"/>
      <c r="S479" s="41"/>
      <c r="T479" s="41"/>
      <c r="U479" s="41"/>
      <c r="V479" s="41"/>
      <c r="W479" s="41"/>
      <c r="X479" s="41"/>
      <c r="Y479" s="41"/>
      <c r="Z479" s="41"/>
      <c r="AA479" s="41"/>
      <c r="AB479" s="41"/>
      <c r="AC479" s="41"/>
      <c r="AD479" s="41"/>
      <c r="AE479" s="41"/>
      <c r="AF479" s="41"/>
      <c r="AG479" s="41"/>
      <c r="AH479" s="41"/>
      <c r="AI479" s="41"/>
    </row>
    <row r="480" spans="1:35" ht="15.75" customHeight="1" x14ac:dyDescent="0.2">
      <c r="A480" s="41"/>
      <c r="B480" s="41"/>
      <c r="C480" s="41"/>
      <c r="D480" s="72"/>
      <c r="E480" s="41"/>
      <c r="F480" s="41"/>
      <c r="G480" s="41"/>
      <c r="H480" s="41"/>
      <c r="I480" s="41"/>
      <c r="J480" s="41"/>
      <c r="K480" s="41"/>
      <c r="L480" s="41"/>
      <c r="M480" s="41"/>
      <c r="N480" s="41"/>
      <c r="O480" s="41"/>
      <c r="P480" s="41"/>
      <c r="Q480" s="41"/>
      <c r="R480" s="41"/>
      <c r="S480" s="41"/>
      <c r="T480" s="41"/>
      <c r="U480" s="41"/>
      <c r="V480" s="41"/>
      <c r="W480" s="41"/>
      <c r="X480" s="41"/>
      <c r="Y480" s="41"/>
      <c r="Z480" s="41"/>
      <c r="AA480" s="41"/>
      <c r="AB480" s="41"/>
      <c r="AC480" s="41"/>
      <c r="AD480" s="41"/>
      <c r="AE480" s="41"/>
      <c r="AF480" s="41"/>
      <c r="AG480" s="41"/>
      <c r="AH480" s="41"/>
      <c r="AI480" s="41"/>
    </row>
    <row r="481" spans="1:35" ht="15.75" customHeight="1" x14ac:dyDescent="0.2">
      <c r="A481" s="41"/>
      <c r="B481" s="41"/>
      <c r="C481" s="41"/>
      <c r="D481" s="72"/>
      <c r="E481" s="41"/>
      <c r="F481" s="41"/>
      <c r="G481" s="41"/>
      <c r="H481" s="41"/>
      <c r="I481" s="41"/>
      <c r="J481" s="41"/>
      <c r="K481" s="41"/>
      <c r="L481" s="41"/>
      <c r="M481" s="41"/>
      <c r="N481" s="41"/>
      <c r="O481" s="41"/>
      <c r="P481" s="41"/>
      <c r="Q481" s="41"/>
      <c r="R481" s="41"/>
      <c r="S481" s="41"/>
      <c r="T481" s="41"/>
      <c r="U481" s="41"/>
      <c r="V481" s="41"/>
      <c r="W481" s="41"/>
      <c r="X481" s="41"/>
      <c r="Y481" s="41"/>
      <c r="Z481" s="41"/>
      <c r="AA481" s="41"/>
      <c r="AB481" s="41"/>
      <c r="AC481" s="41"/>
      <c r="AD481" s="41"/>
      <c r="AE481" s="41"/>
      <c r="AF481" s="41"/>
      <c r="AG481" s="41"/>
      <c r="AH481" s="41"/>
      <c r="AI481" s="41"/>
    </row>
    <row r="482" spans="1:35" ht="15.75" customHeight="1" x14ac:dyDescent="0.2">
      <c r="A482" s="41"/>
      <c r="B482" s="41"/>
      <c r="C482" s="41"/>
      <c r="D482" s="72"/>
      <c r="E482" s="41"/>
      <c r="F482" s="41"/>
      <c r="G482" s="41"/>
      <c r="H482" s="41"/>
      <c r="I482" s="41"/>
      <c r="J482" s="41"/>
      <c r="K482" s="41"/>
      <c r="L482" s="41"/>
      <c r="M482" s="41"/>
      <c r="N482" s="41"/>
      <c r="O482" s="41"/>
      <c r="P482" s="41"/>
      <c r="Q482" s="41"/>
      <c r="R482" s="41"/>
      <c r="S482" s="41"/>
      <c r="T482" s="41"/>
      <c r="U482" s="41"/>
      <c r="V482" s="41"/>
      <c r="W482" s="41"/>
      <c r="X482" s="41"/>
      <c r="Y482" s="41"/>
      <c r="Z482" s="41"/>
      <c r="AA482" s="41"/>
      <c r="AB482" s="41"/>
      <c r="AC482" s="41"/>
      <c r="AD482" s="41"/>
      <c r="AE482" s="41"/>
      <c r="AF482" s="41"/>
      <c r="AG482" s="41"/>
      <c r="AH482" s="41"/>
      <c r="AI482" s="41"/>
    </row>
    <row r="483" spans="1:35" ht="15.75" customHeight="1" x14ac:dyDescent="0.2">
      <c r="A483" s="41"/>
      <c r="B483" s="41"/>
      <c r="C483" s="41"/>
      <c r="D483" s="72"/>
      <c r="E483" s="41"/>
      <c r="F483" s="41"/>
      <c r="G483" s="41"/>
      <c r="H483" s="41"/>
      <c r="I483" s="41"/>
      <c r="J483" s="41"/>
      <c r="K483" s="41"/>
      <c r="L483" s="41"/>
      <c r="M483" s="41"/>
      <c r="N483" s="41"/>
      <c r="O483" s="41"/>
      <c r="P483" s="41"/>
      <c r="Q483" s="41"/>
      <c r="R483" s="41"/>
      <c r="S483" s="41"/>
      <c r="T483" s="41"/>
      <c r="U483" s="41"/>
      <c r="V483" s="41"/>
      <c r="W483" s="41"/>
      <c r="X483" s="41"/>
      <c r="Y483" s="41"/>
      <c r="Z483" s="41"/>
      <c r="AA483" s="41"/>
      <c r="AB483" s="41"/>
      <c r="AC483" s="41"/>
      <c r="AD483" s="41"/>
      <c r="AE483" s="41"/>
      <c r="AF483" s="41"/>
      <c r="AG483" s="41"/>
      <c r="AH483" s="41"/>
      <c r="AI483" s="41"/>
    </row>
    <row r="484" spans="1:35" ht="15.75" customHeight="1" x14ac:dyDescent="0.2">
      <c r="A484" s="41"/>
      <c r="B484" s="41"/>
      <c r="C484" s="41"/>
      <c r="D484" s="72"/>
      <c r="E484" s="41"/>
      <c r="F484" s="41"/>
      <c r="G484" s="41"/>
      <c r="H484" s="41"/>
      <c r="I484" s="41"/>
      <c r="J484" s="41"/>
      <c r="K484" s="41"/>
      <c r="L484" s="41"/>
      <c r="M484" s="41"/>
      <c r="N484" s="41"/>
      <c r="O484" s="41"/>
      <c r="P484" s="41"/>
      <c r="Q484" s="41"/>
      <c r="R484" s="41"/>
      <c r="S484" s="41"/>
      <c r="T484" s="41"/>
      <c r="U484" s="41"/>
      <c r="V484" s="41"/>
      <c r="W484" s="41"/>
      <c r="X484" s="41"/>
      <c r="Y484" s="41"/>
      <c r="Z484" s="41"/>
      <c r="AA484" s="41"/>
      <c r="AB484" s="41"/>
      <c r="AC484" s="41"/>
      <c r="AD484" s="41"/>
      <c r="AE484" s="41"/>
      <c r="AF484" s="41"/>
      <c r="AG484" s="41"/>
      <c r="AH484" s="41"/>
      <c r="AI484" s="41"/>
    </row>
    <row r="485" spans="1:35" ht="15.75" customHeight="1" x14ac:dyDescent="0.2">
      <c r="A485" s="41"/>
      <c r="B485" s="41"/>
      <c r="C485" s="41"/>
      <c r="D485" s="72"/>
      <c r="E485" s="41"/>
      <c r="F485" s="41"/>
      <c r="G485" s="41"/>
      <c r="H485" s="41"/>
      <c r="I485" s="41"/>
      <c r="J485" s="41"/>
      <c r="K485" s="41"/>
      <c r="L485" s="41"/>
      <c r="M485" s="41"/>
      <c r="N485" s="41"/>
      <c r="O485" s="41"/>
      <c r="P485" s="41"/>
      <c r="Q485" s="41"/>
      <c r="R485" s="41"/>
      <c r="S485" s="41"/>
      <c r="T485" s="41"/>
      <c r="U485" s="41"/>
      <c r="V485" s="41"/>
      <c r="W485" s="41"/>
      <c r="X485" s="41"/>
      <c r="Y485" s="41"/>
      <c r="Z485" s="41"/>
      <c r="AA485" s="41"/>
      <c r="AB485" s="41"/>
      <c r="AC485" s="41"/>
      <c r="AD485" s="41"/>
      <c r="AE485" s="41"/>
      <c r="AF485" s="41"/>
      <c r="AG485" s="41"/>
      <c r="AH485" s="41"/>
      <c r="AI485" s="41"/>
    </row>
    <row r="486" spans="1:35" ht="15.75" customHeight="1" x14ac:dyDescent="0.2">
      <c r="A486" s="41"/>
      <c r="B486" s="41"/>
      <c r="C486" s="41"/>
      <c r="D486" s="72"/>
      <c r="E486" s="41"/>
      <c r="F486" s="41"/>
      <c r="G486" s="41"/>
      <c r="H486" s="41"/>
      <c r="I486" s="41"/>
      <c r="J486" s="41"/>
      <c r="K486" s="41"/>
      <c r="L486" s="41"/>
      <c r="M486" s="41"/>
      <c r="N486" s="41"/>
      <c r="O486" s="41"/>
      <c r="P486" s="41"/>
      <c r="Q486" s="41"/>
      <c r="R486" s="41"/>
      <c r="S486" s="41"/>
      <c r="T486" s="41"/>
      <c r="U486" s="41"/>
      <c r="V486" s="41"/>
      <c r="W486" s="41"/>
      <c r="X486" s="41"/>
      <c r="Y486" s="41"/>
      <c r="Z486" s="41"/>
      <c r="AA486" s="41"/>
      <c r="AB486" s="41"/>
      <c r="AC486" s="41"/>
      <c r="AD486" s="41"/>
      <c r="AE486" s="41"/>
      <c r="AF486" s="41"/>
      <c r="AG486" s="41"/>
      <c r="AH486" s="41"/>
      <c r="AI486" s="41"/>
    </row>
    <row r="487" spans="1:35" ht="15.75" customHeight="1" x14ac:dyDescent="0.2">
      <c r="A487" s="41"/>
      <c r="B487" s="41"/>
      <c r="C487" s="41"/>
      <c r="D487" s="72"/>
      <c r="E487" s="41"/>
      <c r="F487" s="41"/>
      <c r="G487" s="41"/>
      <c r="H487" s="41"/>
      <c r="I487" s="41"/>
      <c r="J487" s="41"/>
      <c r="K487" s="41"/>
      <c r="L487" s="41"/>
      <c r="M487" s="41"/>
      <c r="N487" s="41"/>
      <c r="O487" s="41"/>
      <c r="P487" s="41"/>
      <c r="Q487" s="41"/>
      <c r="R487" s="41"/>
      <c r="S487" s="41"/>
      <c r="T487" s="41"/>
      <c r="U487" s="41"/>
      <c r="V487" s="41"/>
      <c r="W487" s="41"/>
      <c r="X487" s="41"/>
      <c r="Y487" s="41"/>
      <c r="Z487" s="41"/>
      <c r="AA487" s="41"/>
      <c r="AB487" s="41"/>
      <c r="AC487" s="41"/>
      <c r="AD487" s="41"/>
      <c r="AE487" s="41"/>
      <c r="AF487" s="41"/>
      <c r="AG487" s="41"/>
      <c r="AH487" s="41"/>
      <c r="AI487" s="41"/>
    </row>
    <row r="488" spans="1:35" ht="15.75" customHeight="1" x14ac:dyDescent="0.2">
      <c r="A488" s="41"/>
      <c r="B488" s="41"/>
      <c r="C488" s="41"/>
      <c r="D488" s="72"/>
      <c r="E488" s="41"/>
      <c r="F488" s="41"/>
      <c r="G488" s="41"/>
      <c r="H488" s="41"/>
      <c r="I488" s="41"/>
      <c r="J488" s="41"/>
      <c r="K488" s="41"/>
      <c r="L488" s="41"/>
      <c r="M488" s="41"/>
      <c r="N488" s="41"/>
      <c r="O488" s="41"/>
      <c r="P488" s="41"/>
      <c r="Q488" s="41"/>
      <c r="R488" s="41"/>
      <c r="S488" s="41"/>
      <c r="T488" s="41"/>
      <c r="U488" s="41"/>
      <c r="V488" s="41"/>
      <c r="W488" s="41"/>
      <c r="X488" s="41"/>
      <c r="Y488" s="41"/>
      <c r="Z488" s="41"/>
      <c r="AA488" s="41"/>
      <c r="AB488" s="41"/>
      <c r="AC488" s="41"/>
      <c r="AD488" s="41"/>
      <c r="AE488" s="41"/>
      <c r="AF488" s="41"/>
      <c r="AG488" s="41"/>
      <c r="AH488" s="41"/>
      <c r="AI488" s="41"/>
    </row>
    <row r="489" spans="1:35" ht="15.75" customHeight="1" x14ac:dyDescent="0.2">
      <c r="A489" s="41"/>
      <c r="B489" s="41"/>
      <c r="C489" s="41"/>
      <c r="D489" s="72"/>
      <c r="E489" s="41"/>
      <c r="F489" s="41"/>
      <c r="G489" s="41"/>
      <c r="H489" s="41"/>
      <c r="I489" s="41"/>
      <c r="J489" s="41"/>
      <c r="K489" s="41"/>
      <c r="L489" s="41"/>
      <c r="M489" s="41"/>
      <c r="N489" s="41"/>
      <c r="O489" s="41"/>
      <c r="P489" s="41"/>
      <c r="Q489" s="41"/>
      <c r="R489" s="41"/>
      <c r="S489" s="41"/>
      <c r="T489" s="41"/>
      <c r="U489" s="41"/>
      <c r="V489" s="41"/>
      <c r="W489" s="41"/>
      <c r="X489" s="41"/>
      <c r="Y489" s="41"/>
      <c r="Z489" s="41"/>
      <c r="AA489" s="41"/>
      <c r="AB489" s="41"/>
      <c r="AC489" s="41"/>
      <c r="AD489" s="41"/>
      <c r="AE489" s="41"/>
      <c r="AF489" s="41"/>
      <c r="AG489" s="41"/>
      <c r="AH489" s="41"/>
      <c r="AI489" s="41"/>
    </row>
    <row r="490" spans="1:35" ht="15.75" customHeight="1" x14ac:dyDescent="0.2">
      <c r="A490" s="41"/>
      <c r="B490" s="41"/>
      <c r="C490" s="41"/>
      <c r="D490" s="72"/>
      <c r="E490" s="41"/>
      <c r="F490" s="41"/>
      <c r="G490" s="41"/>
      <c r="H490" s="41"/>
      <c r="I490" s="41"/>
      <c r="J490" s="41"/>
      <c r="K490" s="41"/>
      <c r="L490" s="41"/>
      <c r="M490" s="41"/>
      <c r="N490" s="41"/>
      <c r="O490" s="41"/>
      <c r="P490" s="41"/>
      <c r="Q490" s="41"/>
      <c r="R490" s="41"/>
      <c r="S490" s="41"/>
      <c r="T490" s="41"/>
      <c r="U490" s="41"/>
      <c r="V490" s="41"/>
      <c r="W490" s="41"/>
      <c r="X490" s="41"/>
      <c r="Y490" s="41"/>
      <c r="Z490" s="41"/>
      <c r="AA490" s="41"/>
      <c r="AB490" s="41"/>
      <c r="AC490" s="41"/>
      <c r="AD490" s="41"/>
      <c r="AE490" s="41"/>
      <c r="AF490" s="41"/>
      <c r="AG490" s="41"/>
      <c r="AH490" s="41"/>
      <c r="AI490" s="41"/>
    </row>
    <row r="491" spans="1:35" ht="15.75" customHeight="1" x14ac:dyDescent="0.2">
      <c r="A491" s="41"/>
      <c r="B491" s="41"/>
      <c r="C491" s="41"/>
      <c r="D491" s="72"/>
      <c r="E491" s="41"/>
      <c r="F491" s="41"/>
      <c r="G491" s="41"/>
      <c r="H491" s="41"/>
      <c r="I491" s="41"/>
      <c r="J491" s="41"/>
      <c r="K491" s="41"/>
      <c r="L491" s="41"/>
      <c r="M491" s="41"/>
      <c r="N491" s="41"/>
      <c r="O491" s="41"/>
      <c r="P491" s="41"/>
      <c r="Q491" s="41"/>
      <c r="R491" s="41"/>
      <c r="S491" s="41"/>
      <c r="T491" s="41"/>
      <c r="U491" s="41"/>
      <c r="V491" s="41"/>
      <c r="W491" s="41"/>
      <c r="X491" s="41"/>
      <c r="Y491" s="41"/>
      <c r="Z491" s="41"/>
      <c r="AA491" s="41"/>
      <c r="AB491" s="41"/>
      <c r="AC491" s="41"/>
      <c r="AD491" s="41"/>
      <c r="AE491" s="41"/>
      <c r="AF491" s="41"/>
      <c r="AG491" s="41"/>
      <c r="AH491" s="41"/>
      <c r="AI491" s="41"/>
    </row>
    <row r="492" spans="1:35" ht="15.75" customHeight="1" x14ac:dyDescent="0.2">
      <c r="A492" s="41"/>
      <c r="B492" s="41"/>
      <c r="C492" s="41"/>
      <c r="D492" s="72"/>
      <c r="E492" s="41"/>
      <c r="F492" s="41"/>
      <c r="G492" s="41"/>
      <c r="H492" s="41"/>
      <c r="I492" s="41"/>
      <c r="J492" s="41"/>
      <c r="K492" s="41"/>
      <c r="L492" s="41"/>
      <c r="M492" s="41"/>
      <c r="N492" s="41"/>
      <c r="O492" s="41"/>
      <c r="P492" s="41"/>
      <c r="Q492" s="41"/>
      <c r="R492" s="41"/>
      <c r="S492" s="41"/>
      <c r="T492" s="41"/>
      <c r="U492" s="41"/>
      <c r="V492" s="41"/>
      <c r="W492" s="41"/>
      <c r="X492" s="41"/>
      <c r="Y492" s="41"/>
      <c r="Z492" s="41"/>
      <c r="AA492" s="41"/>
      <c r="AB492" s="41"/>
      <c r="AC492" s="41"/>
      <c r="AD492" s="41"/>
      <c r="AE492" s="41"/>
      <c r="AF492" s="41"/>
      <c r="AG492" s="41"/>
      <c r="AH492" s="41"/>
      <c r="AI492" s="41"/>
    </row>
    <row r="493" spans="1:35" ht="15.75" customHeight="1" x14ac:dyDescent="0.2">
      <c r="A493" s="41"/>
      <c r="B493" s="41"/>
      <c r="C493" s="41"/>
      <c r="D493" s="72"/>
      <c r="E493" s="41"/>
      <c r="F493" s="41"/>
      <c r="G493" s="41"/>
      <c r="H493" s="41"/>
      <c r="I493" s="41"/>
      <c r="J493" s="41"/>
      <c r="K493" s="41"/>
      <c r="L493" s="41"/>
      <c r="M493" s="41"/>
      <c r="N493" s="41"/>
      <c r="O493" s="41"/>
      <c r="P493" s="41"/>
      <c r="Q493" s="41"/>
      <c r="R493" s="41"/>
      <c r="S493" s="41"/>
      <c r="T493" s="41"/>
      <c r="U493" s="41"/>
      <c r="V493" s="41"/>
      <c r="W493" s="41"/>
      <c r="X493" s="41"/>
      <c r="Y493" s="41"/>
      <c r="Z493" s="41"/>
      <c r="AA493" s="41"/>
      <c r="AB493" s="41"/>
      <c r="AC493" s="41"/>
      <c r="AD493" s="41"/>
      <c r="AE493" s="41"/>
      <c r="AF493" s="41"/>
      <c r="AG493" s="41"/>
      <c r="AH493" s="41"/>
      <c r="AI493" s="41"/>
    </row>
    <row r="494" spans="1:35" ht="15.75" customHeight="1" x14ac:dyDescent="0.2">
      <c r="A494" s="41"/>
      <c r="B494" s="41"/>
      <c r="C494" s="41"/>
      <c r="D494" s="72"/>
      <c r="E494" s="41"/>
      <c r="F494" s="41"/>
      <c r="G494" s="41"/>
      <c r="H494" s="41"/>
      <c r="I494" s="41"/>
      <c r="J494" s="41"/>
      <c r="K494" s="41"/>
      <c r="L494" s="41"/>
      <c r="M494" s="41"/>
      <c r="N494" s="41"/>
      <c r="O494" s="41"/>
      <c r="P494" s="41"/>
      <c r="Q494" s="41"/>
      <c r="R494" s="41"/>
      <c r="S494" s="41"/>
      <c r="T494" s="41"/>
      <c r="U494" s="41"/>
      <c r="V494" s="41"/>
      <c r="W494" s="41"/>
      <c r="X494" s="41"/>
      <c r="Y494" s="41"/>
      <c r="Z494" s="41"/>
      <c r="AA494" s="41"/>
      <c r="AB494" s="41"/>
      <c r="AC494" s="41"/>
      <c r="AD494" s="41"/>
      <c r="AE494" s="41"/>
      <c r="AF494" s="41"/>
      <c r="AG494" s="41"/>
      <c r="AH494" s="41"/>
      <c r="AI494" s="41"/>
    </row>
    <row r="495" spans="1:35" ht="15.75" customHeight="1" x14ac:dyDescent="0.2">
      <c r="A495" s="41"/>
      <c r="B495" s="41"/>
      <c r="C495" s="41"/>
      <c r="D495" s="72"/>
      <c r="E495" s="41"/>
      <c r="F495" s="41"/>
      <c r="G495" s="41"/>
      <c r="H495" s="41"/>
      <c r="I495" s="41"/>
      <c r="J495" s="41"/>
      <c r="K495" s="41"/>
      <c r="L495" s="41"/>
      <c r="M495" s="41"/>
      <c r="N495" s="41"/>
      <c r="O495" s="41"/>
      <c r="P495" s="41"/>
      <c r="Q495" s="41"/>
      <c r="R495" s="41"/>
      <c r="S495" s="41"/>
      <c r="T495" s="41"/>
      <c r="U495" s="41"/>
      <c r="V495" s="41"/>
      <c r="W495" s="41"/>
      <c r="X495" s="41"/>
      <c r="Y495" s="41"/>
      <c r="Z495" s="41"/>
      <c r="AA495" s="41"/>
      <c r="AB495" s="41"/>
      <c r="AC495" s="41"/>
      <c r="AD495" s="41"/>
      <c r="AE495" s="41"/>
      <c r="AF495" s="41"/>
      <c r="AG495" s="41"/>
      <c r="AH495" s="41"/>
      <c r="AI495" s="41"/>
    </row>
    <row r="496" spans="1:35" ht="15.75" customHeight="1" x14ac:dyDescent="0.2">
      <c r="A496" s="41"/>
      <c r="B496" s="41"/>
      <c r="C496" s="41"/>
      <c r="D496" s="72"/>
      <c r="E496" s="41"/>
      <c r="F496" s="41"/>
      <c r="G496" s="41"/>
      <c r="H496" s="41"/>
      <c r="I496" s="41"/>
      <c r="J496" s="41"/>
      <c r="K496" s="41"/>
      <c r="L496" s="41"/>
      <c r="M496" s="41"/>
      <c r="N496" s="41"/>
      <c r="O496" s="41"/>
      <c r="P496" s="41"/>
      <c r="Q496" s="41"/>
      <c r="R496" s="41"/>
      <c r="S496" s="41"/>
      <c r="T496" s="41"/>
      <c r="U496" s="41"/>
      <c r="V496" s="41"/>
      <c r="W496" s="41"/>
      <c r="X496" s="41"/>
      <c r="Y496" s="41"/>
      <c r="Z496" s="41"/>
      <c r="AA496" s="41"/>
      <c r="AB496" s="41"/>
      <c r="AC496" s="41"/>
      <c r="AD496" s="41"/>
      <c r="AE496" s="41"/>
      <c r="AF496" s="41"/>
      <c r="AG496" s="41"/>
      <c r="AH496" s="41"/>
      <c r="AI496" s="41"/>
    </row>
    <row r="497" spans="1:35" ht="15.75" customHeight="1" x14ac:dyDescent="0.2">
      <c r="A497" s="41"/>
      <c r="B497" s="41"/>
      <c r="C497" s="41"/>
      <c r="D497" s="72"/>
      <c r="E497" s="41"/>
      <c r="F497" s="41"/>
      <c r="G497" s="41"/>
      <c r="H497" s="41"/>
      <c r="I497" s="41"/>
      <c r="J497" s="41"/>
      <c r="K497" s="41"/>
      <c r="L497" s="41"/>
      <c r="M497" s="41"/>
      <c r="N497" s="41"/>
      <c r="O497" s="41"/>
      <c r="P497" s="41"/>
      <c r="Q497" s="41"/>
      <c r="R497" s="41"/>
      <c r="S497" s="41"/>
      <c r="T497" s="41"/>
      <c r="U497" s="41"/>
      <c r="V497" s="41"/>
      <c r="W497" s="41"/>
      <c r="X497" s="41"/>
      <c r="Y497" s="41"/>
      <c r="Z497" s="41"/>
      <c r="AA497" s="41"/>
      <c r="AB497" s="41"/>
      <c r="AC497" s="41"/>
      <c r="AD497" s="41"/>
      <c r="AE497" s="41"/>
      <c r="AF497" s="41"/>
      <c r="AG497" s="41"/>
      <c r="AH497" s="41"/>
      <c r="AI497" s="41"/>
    </row>
    <row r="498" spans="1:35" ht="15.75" customHeight="1" x14ac:dyDescent="0.2">
      <c r="A498" s="41"/>
      <c r="B498" s="41"/>
      <c r="C498" s="41"/>
      <c r="D498" s="72"/>
      <c r="E498" s="41"/>
      <c r="F498" s="41"/>
      <c r="G498" s="41"/>
      <c r="H498" s="41"/>
      <c r="I498" s="41"/>
      <c r="J498" s="41"/>
      <c r="K498" s="41"/>
      <c r="L498" s="41"/>
      <c r="M498" s="41"/>
      <c r="N498" s="41"/>
      <c r="O498" s="41"/>
      <c r="P498" s="41"/>
      <c r="Q498" s="41"/>
      <c r="R498" s="41"/>
      <c r="S498" s="41"/>
      <c r="T498" s="41"/>
      <c r="U498" s="41"/>
      <c r="V498" s="41"/>
      <c r="W498" s="41"/>
      <c r="X498" s="41"/>
      <c r="Y498" s="41"/>
      <c r="Z498" s="41"/>
      <c r="AA498" s="41"/>
      <c r="AB498" s="41"/>
      <c r="AC498" s="41"/>
      <c r="AD498" s="41"/>
      <c r="AE498" s="41"/>
      <c r="AF498" s="41"/>
      <c r="AG498" s="41"/>
      <c r="AH498" s="41"/>
      <c r="AI498" s="41"/>
    </row>
    <row r="499" spans="1:35" ht="15.75" customHeight="1" x14ac:dyDescent="0.2">
      <c r="A499" s="41"/>
      <c r="B499" s="41"/>
      <c r="C499" s="41"/>
      <c r="D499" s="72"/>
      <c r="E499" s="41"/>
      <c r="F499" s="41"/>
      <c r="G499" s="41"/>
      <c r="H499" s="41"/>
      <c r="I499" s="41"/>
      <c r="J499" s="41"/>
      <c r="K499" s="41"/>
      <c r="L499" s="41"/>
      <c r="M499" s="41"/>
      <c r="N499" s="41"/>
      <c r="O499" s="41"/>
      <c r="P499" s="41"/>
      <c r="Q499" s="41"/>
      <c r="R499" s="41"/>
      <c r="S499" s="41"/>
      <c r="T499" s="41"/>
      <c r="U499" s="41"/>
      <c r="V499" s="41"/>
      <c r="W499" s="41"/>
      <c r="X499" s="41"/>
      <c r="Y499" s="41"/>
      <c r="Z499" s="41"/>
      <c r="AA499" s="41"/>
      <c r="AB499" s="41"/>
      <c r="AC499" s="41"/>
      <c r="AD499" s="41"/>
      <c r="AE499" s="41"/>
      <c r="AF499" s="41"/>
      <c r="AG499" s="41"/>
      <c r="AH499" s="41"/>
      <c r="AI499" s="41"/>
    </row>
    <row r="500" spans="1:35" ht="15.75" customHeight="1" x14ac:dyDescent="0.2">
      <c r="A500" s="41"/>
      <c r="B500" s="41"/>
      <c r="C500" s="41"/>
      <c r="D500" s="72"/>
      <c r="E500" s="41"/>
      <c r="F500" s="41"/>
      <c r="G500" s="41"/>
      <c r="H500" s="41"/>
      <c r="I500" s="41"/>
      <c r="J500" s="41"/>
      <c r="K500" s="41"/>
      <c r="L500" s="41"/>
      <c r="M500" s="41"/>
      <c r="N500" s="41"/>
      <c r="O500" s="41"/>
      <c r="P500" s="41"/>
      <c r="Q500" s="41"/>
      <c r="R500" s="41"/>
      <c r="S500" s="41"/>
      <c r="T500" s="41"/>
      <c r="U500" s="41"/>
      <c r="V500" s="41"/>
      <c r="W500" s="41"/>
      <c r="X500" s="41"/>
      <c r="Y500" s="41"/>
      <c r="Z500" s="41"/>
      <c r="AA500" s="41"/>
      <c r="AB500" s="41"/>
      <c r="AC500" s="41"/>
      <c r="AD500" s="41"/>
      <c r="AE500" s="41"/>
      <c r="AF500" s="41"/>
      <c r="AG500" s="41"/>
      <c r="AH500" s="41"/>
      <c r="AI500" s="41"/>
    </row>
    <row r="501" spans="1:35" ht="15.75" customHeight="1" x14ac:dyDescent="0.2">
      <c r="A501" s="41"/>
      <c r="B501" s="41"/>
      <c r="C501" s="41"/>
      <c r="D501" s="72"/>
      <c r="E501" s="41"/>
      <c r="F501" s="41"/>
      <c r="G501" s="41"/>
      <c r="H501" s="41"/>
      <c r="I501" s="41"/>
      <c r="J501" s="41"/>
      <c r="K501" s="41"/>
      <c r="L501" s="41"/>
      <c r="M501" s="41"/>
      <c r="N501" s="41"/>
      <c r="O501" s="41"/>
      <c r="P501" s="41"/>
      <c r="Q501" s="41"/>
      <c r="R501" s="41"/>
      <c r="S501" s="41"/>
      <c r="T501" s="41"/>
      <c r="U501" s="41"/>
      <c r="V501" s="41"/>
      <c r="W501" s="41"/>
      <c r="X501" s="41"/>
      <c r="Y501" s="41"/>
      <c r="Z501" s="41"/>
      <c r="AA501" s="41"/>
      <c r="AB501" s="41"/>
      <c r="AC501" s="41"/>
      <c r="AD501" s="41"/>
      <c r="AE501" s="41"/>
      <c r="AF501" s="41"/>
      <c r="AG501" s="41"/>
      <c r="AH501" s="41"/>
      <c r="AI501" s="41"/>
    </row>
    <row r="502" spans="1:35" ht="15.75" customHeight="1" x14ac:dyDescent="0.2">
      <c r="A502" s="41"/>
      <c r="B502" s="41"/>
      <c r="C502" s="41"/>
      <c r="D502" s="72"/>
      <c r="E502" s="41"/>
      <c r="F502" s="41"/>
      <c r="G502" s="41"/>
      <c r="H502" s="41"/>
      <c r="I502" s="41"/>
      <c r="J502" s="41"/>
      <c r="K502" s="41"/>
      <c r="L502" s="41"/>
      <c r="M502" s="41"/>
      <c r="N502" s="41"/>
      <c r="O502" s="41"/>
      <c r="P502" s="41"/>
      <c r="Q502" s="41"/>
      <c r="R502" s="41"/>
      <c r="S502" s="41"/>
      <c r="T502" s="41"/>
      <c r="U502" s="41"/>
      <c r="V502" s="41"/>
      <c r="W502" s="41"/>
      <c r="X502" s="41"/>
      <c r="Y502" s="41"/>
      <c r="Z502" s="41"/>
      <c r="AA502" s="41"/>
      <c r="AB502" s="41"/>
      <c r="AC502" s="41"/>
      <c r="AD502" s="41"/>
      <c r="AE502" s="41"/>
      <c r="AF502" s="41"/>
      <c r="AG502" s="41"/>
      <c r="AH502" s="41"/>
      <c r="AI502" s="41"/>
    </row>
    <row r="503" spans="1:35" ht="15.75" customHeight="1" x14ac:dyDescent="0.2">
      <c r="A503" s="41"/>
      <c r="B503" s="41"/>
      <c r="C503" s="41"/>
      <c r="D503" s="72"/>
      <c r="E503" s="41"/>
      <c r="F503" s="41"/>
      <c r="G503" s="41"/>
      <c r="H503" s="41"/>
      <c r="I503" s="41"/>
      <c r="J503" s="41"/>
      <c r="K503" s="41"/>
      <c r="L503" s="41"/>
      <c r="M503" s="41"/>
      <c r="N503" s="41"/>
      <c r="O503" s="41"/>
      <c r="P503" s="41"/>
      <c r="Q503" s="41"/>
      <c r="R503" s="41"/>
      <c r="S503" s="41"/>
      <c r="T503" s="41"/>
      <c r="U503" s="41"/>
      <c r="V503" s="41"/>
      <c r="W503" s="41"/>
      <c r="X503" s="41"/>
      <c r="Y503" s="41"/>
      <c r="Z503" s="41"/>
      <c r="AA503" s="41"/>
      <c r="AB503" s="41"/>
      <c r="AC503" s="41"/>
      <c r="AD503" s="41"/>
      <c r="AE503" s="41"/>
      <c r="AF503" s="41"/>
      <c r="AG503" s="41"/>
      <c r="AH503" s="41"/>
      <c r="AI503" s="41"/>
    </row>
    <row r="504" spans="1:35" ht="15.75" customHeight="1" x14ac:dyDescent="0.2">
      <c r="A504" s="41"/>
      <c r="B504" s="41"/>
      <c r="C504" s="41"/>
      <c r="D504" s="72"/>
      <c r="E504" s="41"/>
      <c r="F504" s="41"/>
      <c r="G504" s="41"/>
      <c r="H504" s="41"/>
      <c r="I504" s="41"/>
      <c r="J504" s="41"/>
      <c r="K504" s="41"/>
      <c r="L504" s="41"/>
      <c r="M504" s="41"/>
      <c r="N504" s="41"/>
      <c r="O504" s="41"/>
      <c r="P504" s="41"/>
      <c r="Q504" s="41"/>
      <c r="R504" s="41"/>
      <c r="S504" s="41"/>
      <c r="T504" s="41"/>
      <c r="U504" s="41"/>
      <c r="V504" s="41"/>
      <c r="W504" s="41"/>
      <c r="X504" s="41"/>
      <c r="Y504" s="41"/>
      <c r="Z504" s="41"/>
      <c r="AA504" s="41"/>
      <c r="AB504" s="41"/>
      <c r="AC504" s="41"/>
      <c r="AD504" s="41"/>
      <c r="AE504" s="41"/>
      <c r="AF504" s="41"/>
      <c r="AG504" s="41"/>
      <c r="AH504" s="41"/>
      <c r="AI504" s="41"/>
    </row>
    <row r="505" spans="1:35" ht="15.75" customHeight="1" x14ac:dyDescent="0.2">
      <c r="A505" s="41"/>
      <c r="B505" s="41"/>
      <c r="C505" s="41"/>
      <c r="D505" s="72"/>
      <c r="E505" s="41"/>
      <c r="F505" s="41"/>
      <c r="G505" s="41"/>
      <c r="H505" s="41"/>
      <c r="I505" s="41"/>
      <c r="J505" s="41"/>
      <c r="K505" s="41"/>
      <c r="L505" s="41"/>
      <c r="M505" s="41"/>
      <c r="N505" s="41"/>
      <c r="O505" s="41"/>
      <c r="P505" s="41"/>
      <c r="Q505" s="41"/>
      <c r="R505" s="41"/>
      <c r="S505" s="41"/>
      <c r="T505" s="41"/>
      <c r="U505" s="41"/>
      <c r="V505" s="41"/>
      <c r="W505" s="41"/>
      <c r="X505" s="41"/>
      <c r="Y505" s="41"/>
      <c r="Z505" s="41"/>
      <c r="AA505" s="41"/>
      <c r="AB505" s="41"/>
      <c r="AC505" s="41"/>
      <c r="AD505" s="41"/>
      <c r="AE505" s="41"/>
      <c r="AF505" s="41"/>
      <c r="AG505" s="41"/>
      <c r="AH505" s="41"/>
      <c r="AI505" s="41"/>
    </row>
    <row r="506" spans="1:35" ht="15.75" customHeight="1" x14ac:dyDescent="0.2">
      <c r="A506" s="41"/>
      <c r="B506" s="41"/>
      <c r="C506" s="41"/>
      <c r="D506" s="72"/>
      <c r="E506" s="41"/>
      <c r="F506" s="41"/>
      <c r="G506" s="41"/>
      <c r="H506" s="41"/>
      <c r="I506" s="41"/>
      <c r="J506" s="41"/>
      <c r="K506" s="41"/>
      <c r="L506" s="41"/>
      <c r="M506" s="41"/>
      <c r="N506" s="41"/>
      <c r="O506" s="41"/>
      <c r="P506" s="41"/>
      <c r="Q506" s="41"/>
      <c r="R506" s="41"/>
      <c r="S506" s="41"/>
      <c r="T506" s="41"/>
      <c r="U506" s="41"/>
      <c r="V506" s="41"/>
      <c r="W506" s="41"/>
      <c r="X506" s="41"/>
      <c r="Y506" s="41"/>
      <c r="Z506" s="41"/>
      <c r="AA506" s="41"/>
      <c r="AB506" s="41"/>
      <c r="AC506" s="41"/>
      <c r="AD506" s="41"/>
      <c r="AE506" s="41"/>
      <c r="AF506" s="41"/>
      <c r="AG506" s="41"/>
      <c r="AH506" s="41"/>
      <c r="AI506" s="41"/>
    </row>
    <row r="507" spans="1:35" ht="15.75" customHeight="1" x14ac:dyDescent="0.2">
      <c r="A507" s="41"/>
      <c r="B507" s="41"/>
      <c r="C507" s="41"/>
      <c r="D507" s="72"/>
      <c r="E507" s="41"/>
      <c r="F507" s="41"/>
      <c r="G507" s="41"/>
      <c r="H507" s="41"/>
      <c r="I507" s="41"/>
      <c r="J507" s="41"/>
      <c r="K507" s="41"/>
      <c r="L507" s="41"/>
      <c r="M507" s="41"/>
      <c r="N507" s="41"/>
      <c r="O507" s="41"/>
      <c r="P507" s="41"/>
      <c r="Q507" s="41"/>
      <c r="R507" s="41"/>
      <c r="S507" s="41"/>
      <c r="T507" s="41"/>
      <c r="U507" s="41"/>
      <c r="V507" s="41"/>
      <c r="W507" s="41"/>
      <c r="X507" s="41"/>
      <c r="Y507" s="41"/>
      <c r="Z507" s="41"/>
      <c r="AA507" s="41"/>
      <c r="AB507" s="41"/>
      <c r="AC507" s="41"/>
      <c r="AD507" s="41"/>
      <c r="AE507" s="41"/>
      <c r="AF507" s="41"/>
      <c r="AG507" s="41"/>
      <c r="AH507" s="41"/>
      <c r="AI507" s="41"/>
    </row>
    <row r="508" spans="1:35" ht="15.75" customHeight="1" x14ac:dyDescent="0.2">
      <c r="A508" s="41"/>
      <c r="B508" s="41"/>
      <c r="C508" s="41"/>
      <c r="D508" s="72"/>
      <c r="E508" s="41"/>
      <c r="F508" s="41"/>
      <c r="G508" s="41"/>
      <c r="H508" s="41"/>
      <c r="I508" s="41"/>
      <c r="J508" s="41"/>
      <c r="K508" s="41"/>
      <c r="L508" s="41"/>
      <c r="M508" s="41"/>
      <c r="N508" s="41"/>
      <c r="O508" s="41"/>
      <c r="P508" s="41"/>
      <c r="Q508" s="41"/>
      <c r="R508" s="41"/>
      <c r="S508" s="41"/>
      <c r="T508" s="41"/>
      <c r="U508" s="41"/>
      <c r="V508" s="41"/>
      <c r="W508" s="41"/>
      <c r="X508" s="41"/>
      <c r="Y508" s="41"/>
      <c r="Z508" s="41"/>
      <c r="AA508" s="41"/>
      <c r="AB508" s="41"/>
      <c r="AC508" s="41"/>
      <c r="AD508" s="41"/>
      <c r="AE508" s="41"/>
      <c r="AF508" s="41"/>
      <c r="AG508" s="41"/>
      <c r="AH508" s="41"/>
      <c r="AI508" s="41"/>
    </row>
    <row r="509" spans="1:35" ht="15.75" customHeight="1" x14ac:dyDescent="0.2">
      <c r="A509" s="41"/>
      <c r="B509" s="41"/>
      <c r="C509" s="41"/>
      <c r="D509" s="72"/>
      <c r="E509" s="41"/>
      <c r="F509" s="41"/>
      <c r="G509" s="41"/>
      <c r="H509" s="41"/>
      <c r="I509" s="41"/>
      <c r="J509" s="41"/>
      <c r="K509" s="41"/>
      <c r="L509" s="41"/>
      <c r="M509" s="41"/>
      <c r="N509" s="41"/>
      <c r="O509" s="41"/>
      <c r="P509" s="41"/>
      <c r="Q509" s="41"/>
      <c r="R509" s="41"/>
      <c r="S509" s="41"/>
      <c r="T509" s="41"/>
      <c r="U509" s="41"/>
      <c r="V509" s="41"/>
      <c r="W509" s="41"/>
      <c r="X509" s="41"/>
      <c r="Y509" s="41"/>
      <c r="Z509" s="41"/>
      <c r="AA509" s="41"/>
      <c r="AB509" s="41"/>
      <c r="AC509" s="41"/>
      <c r="AD509" s="41"/>
      <c r="AE509" s="41"/>
      <c r="AF509" s="41"/>
      <c r="AG509" s="41"/>
      <c r="AH509" s="41"/>
      <c r="AI509" s="41"/>
    </row>
    <row r="510" spans="1:35" ht="15.75" customHeight="1" x14ac:dyDescent="0.2">
      <c r="A510" s="41"/>
      <c r="B510" s="41"/>
      <c r="C510" s="41"/>
      <c r="D510" s="72"/>
      <c r="E510" s="41"/>
      <c r="F510" s="41"/>
      <c r="G510" s="41"/>
      <c r="H510" s="41"/>
      <c r="I510" s="41"/>
      <c r="J510" s="41"/>
      <c r="K510" s="41"/>
      <c r="L510" s="41"/>
      <c r="M510" s="41"/>
      <c r="N510" s="41"/>
      <c r="O510" s="41"/>
      <c r="P510" s="41"/>
      <c r="Q510" s="41"/>
      <c r="R510" s="41"/>
      <c r="S510" s="41"/>
      <c r="T510" s="41"/>
      <c r="U510" s="41"/>
      <c r="V510" s="41"/>
      <c r="W510" s="41"/>
      <c r="X510" s="41"/>
      <c r="Y510" s="41"/>
      <c r="Z510" s="41"/>
      <c r="AA510" s="41"/>
      <c r="AB510" s="41"/>
      <c r="AC510" s="41"/>
      <c r="AD510" s="41"/>
      <c r="AE510" s="41"/>
      <c r="AF510" s="41"/>
      <c r="AG510" s="41"/>
      <c r="AH510" s="41"/>
      <c r="AI510" s="41"/>
    </row>
    <row r="511" spans="1:35" ht="15.75" customHeight="1" x14ac:dyDescent="0.2">
      <c r="A511" s="41"/>
      <c r="B511" s="41"/>
      <c r="C511" s="41"/>
      <c r="D511" s="72"/>
      <c r="E511" s="41"/>
      <c r="F511" s="41"/>
      <c r="G511" s="41"/>
      <c r="H511" s="41"/>
      <c r="I511" s="41"/>
      <c r="J511" s="41"/>
      <c r="K511" s="41"/>
      <c r="L511" s="41"/>
      <c r="M511" s="41"/>
      <c r="N511" s="41"/>
      <c r="O511" s="41"/>
      <c r="P511" s="41"/>
      <c r="Q511" s="41"/>
      <c r="R511" s="41"/>
      <c r="S511" s="41"/>
      <c r="T511" s="41"/>
      <c r="U511" s="41"/>
      <c r="V511" s="41"/>
      <c r="W511" s="41"/>
      <c r="X511" s="41"/>
      <c r="Y511" s="41"/>
      <c r="Z511" s="41"/>
      <c r="AA511" s="41"/>
      <c r="AB511" s="41"/>
      <c r="AC511" s="41"/>
      <c r="AD511" s="41"/>
      <c r="AE511" s="41"/>
      <c r="AF511" s="41"/>
      <c r="AG511" s="41"/>
      <c r="AH511" s="41"/>
      <c r="AI511" s="41"/>
    </row>
    <row r="512" spans="1:35" ht="15.75" customHeight="1" x14ac:dyDescent="0.2">
      <c r="A512" s="41"/>
      <c r="B512" s="41"/>
      <c r="C512" s="41"/>
      <c r="D512" s="72"/>
      <c r="E512" s="41"/>
      <c r="F512" s="41"/>
      <c r="G512" s="41"/>
      <c r="H512" s="41"/>
      <c r="I512" s="41"/>
      <c r="J512" s="41"/>
      <c r="K512" s="41"/>
      <c r="L512" s="41"/>
      <c r="M512" s="41"/>
      <c r="N512" s="41"/>
      <c r="O512" s="41"/>
      <c r="P512" s="41"/>
      <c r="Q512" s="41"/>
      <c r="R512" s="41"/>
      <c r="S512" s="41"/>
      <c r="T512" s="41"/>
      <c r="U512" s="41"/>
      <c r="V512" s="41"/>
      <c r="W512" s="41"/>
      <c r="X512" s="41"/>
      <c r="Y512" s="41"/>
      <c r="Z512" s="41"/>
      <c r="AA512" s="41"/>
      <c r="AB512" s="41"/>
      <c r="AC512" s="41"/>
      <c r="AD512" s="41"/>
      <c r="AE512" s="41"/>
      <c r="AF512" s="41"/>
      <c r="AG512" s="41"/>
      <c r="AH512" s="41"/>
      <c r="AI512" s="41"/>
    </row>
    <row r="513" spans="1:35" ht="15.75" customHeight="1" x14ac:dyDescent="0.2">
      <c r="A513" s="41"/>
      <c r="B513" s="41"/>
      <c r="C513" s="41"/>
      <c r="D513" s="72"/>
      <c r="E513" s="41"/>
      <c r="F513" s="41"/>
      <c r="G513" s="41"/>
      <c r="H513" s="41"/>
      <c r="I513" s="41"/>
      <c r="J513" s="41"/>
      <c r="K513" s="41"/>
      <c r="L513" s="41"/>
      <c r="M513" s="41"/>
      <c r="N513" s="41"/>
      <c r="O513" s="41"/>
      <c r="P513" s="41"/>
      <c r="Q513" s="41"/>
      <c r="R513" s="41"/>
      <c r="S513" s="41"/>
      <c r="T513" s="41"/>
      <c r="U513" s="41"/>
      <c r="V513" s="41"/>
      <c r="W513" s="41"/>
      <c r="X513" s="41"/>
      <c r="Y513" s="41"/>
      <c r="Z513" s="41"/>
      <c r="AA513" s="41"/>
      <c r="AB513" s="41"/>
      <c r="AC513" s="41"/>
      <c r="AD513" s="41"/>
      <c r="AE513" s="41"/>
      <c r="AF513" s="41"/>
      <c r="AG513" s="41"/>
      <c r="AH513" s="41"/>
      <c r="AI513" s="41"/>
    </row>
    <row r="514" spans="1:35" ht="15.75" customHeight="1" x14ac:dyDescent="0.2">
      <c r="A514" s="41"/>
      <c r="B514" s="41"/>
      <c r="C514" s="41"/>
      <c r="D514" s="72"/>
      <c r="E514" s="41"/>
      <c r="F514" s="41"/>
      <c r="G514" s="41"/>
      <c r="H514" s="41"/>
      <c r="I514" s="41"/>
      <c r="J514" s="41"/>
      <c r="K514" s="41"/>
      <c r="L514" s="41"/>
      <c r="M514" s="41"/>
      <c r="N514" s="41"/>
      <c r="O514" s="41"/>
      <c r="P514" s="41"/>
      <c r="Q514" s="41"/>
      <c r="R514" s="41"/>
      <c r="S514" s="41"/>
      <c r="T514" s="41"/>
      <c r="U514" s="41"/>
      <c r="V514" s="41"/>
      <c r="W514" s="41"/>
      <c r="X514" s="41"/>
      <c r="Y514" s="41"/>
      <c r="Z514" s="41"/>
      <c r="AA514" s="41"/>
      <c r="AB514" s="41"/>
      <c r="AC514" s="41"/>
      <c r="AD514" s="41"/>
      <c r="AE514" s="41"/>
      <c r="AF514" s="41"/>
      <c r="AG514" s="41"/>
      <c r="AH514" s="41"/>
      <c r="AI514" s="41"/>
    </row>
    <row r="515" spans="1:35" ht="15.75" customHeight="1" x14ac:dyDescent="0.2">
      <c r="A515" s="41"/>
      <c r="B515" s="41"/>
      <c r="C515" s="41"/>
      <c r="D515" s="72"/>
      <c r="E515" s="41"/>
      <c r="F515" s="41"/>
      <c r="G515" s="41"/>
      <c r="H515" s="41"/>
      <c r="I515" s="41"/>
      <c r="J515" s="41"/>
      <c r="K515" s="41"/>
      <c r="L515" s="41"/>
      <c r="M515" s="41"/>
      <c r="N515" s="41"/>
      <c r="O515" s="41"/>
      <c r="P515" s="41"/>
      <c r="Q515" s="41"/>
      <c r="R515" s="41"/>
      <c r="S515" s="41"/>
      <c r="T515" s="41"/>
      <c r="U515" s="41"/>
      <c r="V515" s="41"/>
      <c r="W515" s="41"/>
      <c r="X515" s="41"/>
      <c r="Y515" s="41"/>
      <c r="Z515" s="41"/>
      <c r="AA515" s="41"/>
      <c r="AB515" s="41"/>
      <c r="AC515" s="41"/>
      <c r="AD515" s="41"/>
      <c r="AE515" s="41"/>
      <c r="AF515" s="41"/>
      <c r="AG515" s="41"/>
      <c r="AH515" s="41"/>
      <c r="AI515" s="41"/>
    </row>
    <row r="516" spans="1:35" ht="15.75" customHeight="1" x14ac:dyDescent="0.2">
      <c r="A516" s="41"/>
      <c r="B516" s="41"/>
      <c r="C516" s="41"/>
      <c r="D516" s="72"/>
      <c r="E516" s="41"/>
      <c r="F516" s="41"/>
      <c r="G516" s="41"/>
      <c r="H516" s="41"/>
      <c r="I516" s="41"/>
      <c r="J516" s="41"/>
      <c r="K516" s="41"/>
      <c r="L516" s="41"/>
      <c r="M516" s="41"/>
      <c r="N516" s="41"/>
      <c r="O516" s="41"/>
      <c r="P516" s="41"/>
      <c r="Q516" s="41"/>
      <c r="R516" s="41"/>
      <c r="S516" s="41"/>
      <c r="T516" s="41"/>
      <c r="U516" s="41"/>
      <c r="V516" s="41"/>
      <c r="W516" s="41"/>
      <c r="X516" s="41"/>
      <c r="Y516" s="41"/>
      <c r="Z516" s="41"/>
      <c r="AA516" s="41"/>
      <c r="AB516" s="41"/>
      <c r="AC516" s="41"/>
      <c r="AD516" s="41"/>
      <c r="AE516" s="41"/>
      <c r="AF516" s="41"/>
      <c r="AG516" s="41"/>
      <c r="AH516" s="41"/>
      <c r="AI516" s="41"/>
    </row>
    <row r="517" spans="1:35" ht="15.75" customHeight="1" x14ac:dyDescent="0.2">
      <c r="A517" s="41"/>
      <c r="B517" s="41"/>
      <c r="C517" s="41"/>
      <c r="D517" s="72"/>
      <c r="E517" s="41"/>
      <c r="F517" s="41"/>
      <c r="G517" s="41"/>
      <c r="H517" s="41"/>
      <c r="I517" s="41"/>
      <c r="J517" s="41"/>
      <c r="K517" s="41"/>
      <c r="L517" s="41"/>
      <c r="M517" s="41"/>
      <c r="N517" s="41"/>
      <c r="O517" s="41"/>
      <c r="P517" s="41"/>
      <c r="Q517" s="41"/>
      <c r="R517" s="41"/>
      <c r="S517" s="41"/>
      <c r="T517" s="41"/>
      <c r="U517" s="41"/>
      <c r="V517" s="41"/>
      <c r="W517" s="41"/>
      <c r="X517" s="41"/>
      <c r="Y517" s="41"/>
      <c r="Z517" s="41"/>
      <c r="AA517" s="41"/>
      <c r="AB517" s="41"/>
      <c r="AC517" s="41"/>
      <c r="AD517" s="41"/>
      <c r="AE517" s="41"/>
      <c r="AF517" s="41"/>
      <c r="AG517" s="41"/>
      <c r="AH517" s="41"/>
      <c r="AI517" s="41"/>
    </row>
    <row r="518" spans="1:35" ht="15.75" customHeight="1" x14ac:dyDescent="0.2">
      <c r="A518" s="41"/>
      <c r="B518" s="41"/>
      <c r="C518" s="41"/>
      <c r="D518" s="72"/>
      <c r="E518" s="41"/>
      <c r="F518" s="41"/>
      <c r="G518" s="41"/>
      <c r="H518" s="41"/>
      <c r="I518" s="41"/>
      <c r="J518" s="41"/>
      <c r="K518" s="41"/>
      <c r="L518" s="41"/>
      <c r="M518" s="41"/>
      <c r="N518" s="41"/>
      <c r="O518" s="41"/>
      <c r="P518" s="41"/>
      <c r="Q518" s="41"/>
      <c r="R518" s="41"/>
      <c r="S518" s="41"/>
      <c r="T518" s="41"/>
      <c r="U518" s="41"/>
      <c r="V518" s="41"/>
      <c r="W518" s="41"/>
      <c r="X518" s="41"/>
      <c r="Y518" s="41"/>
      <c r="Z518" s="41"/>
      <c r="AA518" s="41"/>
      <c r="AB518" s="41"/>
      <c r="AC518" s="41"/>
      <c r="AD518" s="41"/>
      <c r="AE518" s="41"/>
      <c r="AF518" s="41"/>
      <c r="AG518" s="41"/>
      <c r="AH518" s="41"/>
      <c r="AI518" s="41"/>
    </row>
    <row r="519" spans="1:35" ht="15.75" customHeight="1" x14ac:dyDescent="0.2">
      <c r="A519" s="41"/>
      <c r="B519" s="41"/>
      <c r="C519" s="41"/>
      <c r="D519" s="72"/>
      <c r="E519" s="41"/>
      <c r="F519" s="41"/>
      <c r="G519" s="41"/>
      <c r="H519" s="41"/>
      <c r="I519" s="41"/>
      <c r="J519" s="41"/>
      <c r="K519" s="41"/>
      <c r="L519" s="41"/>
      <c r="M519" s="41"/>
      <c r="N519" s="41"/>
      <c r="O519" s="41"/>
      <c r="P519" s="41"/>
      <c r="Q519" s="41"/>
      <c r="R519" s="41"/>
      <c r="S519" s="41"/>
      <c r="T519" s="41"/>
      <c r="U519" s="41"/>
      <c r="V519" s="41"/>
      <c r="W519" s="41"/>
      <c r="X519" s="41"/>
      <c r="Y519" s="41"/>
      <c r="Z519" s="41"/>
      <c r="AA519" s="41"/>
      <c r="AB519" s="41"/>
      <c r="AC519" s="41"/>
      <c r="AD519" s="41"/>
      <c r="AE519" s="41"/>
      <c r="AF519" s="41"/>
      <c r="AG519" s="41"/>
      <c r="AH519" s="41"/>
      <c r="AI519" s="41"/>
    </row>
    <row r="520" spans="1:35" ht="15.75" customHeight="1" x14ac:dyDescent="0.2">
      <c r="A520" s="41"/>
      <c r="B520" s="41"/>
      <c r="C520" s="41"/>
      <c r="D520" s="72"/>
      <c r="E520" s="41"/>
      <c r="F520" s="41"/>
      <c r="G520" s="41"/>
      <c r="H520" s="41"/>
      <c r="I520" s="41"/>
      <c r="J520" s="41"/>
      <c r="K520" s="41"/>
      <c r="L520" s="41"/>
      <c r="M520" s="41"/>
      <c r="N520" s="41"/>
      <c r="O520" s="41"/>
      <c r="P520" s="41"/>
      <c r="Q520" s="41"/>
      <c r="R520" s="41"/>
      <c r="S520" s="41"/>
      <c r="T520" s="41"/>
      <c r="U520" s="41"/>
      <c r="V520" s="41"/>
      <c r="W520" s="41"/>
      <c r="X520" s="41"/>
      <c r="Y520" s="41"/>
      <c r="Z520" s="41"/>
      <c r="AA520" s="41"/>
      <c r="AB520" s="41"/>
      <c r="AC520" s="41"/>
      <c r="AD520" s="41"/>
      <c r="AE520" s="41"/>
      <c r="AF520" s="41"/>
      <c r="AG520" s="41"/>
      <c r="AH520" s="41"/>
      <c r="AI520" s="41"/>
    </row>
    <row r="521" spans="1:35" ht="15.75" customHeight="1" x14ac:dyDescent="0.2">
      <c r="A521" s="41"/>
      <c r="B521" s="41"/>
      <c r="C521" s="41"/>
      <c r="D521" s="72"/>
      <c r="E521" s="41"/>
      <c r="F521" s="41"/>
      <c r="G521" s="41"/>
      <c r="H521" s="41"/>
      <c r="I521" s="41"/>
      <c r="J521" s="41"/>
      <c r="K521" s="41"/>
      <c r="L521" s="41"/>
      <c r="M521" s="41"/>
      <c r="N521" s="41"/>
      <c r="O521" s="41"/>
      <c r="P521" s="41"/>
      <c r="Q521" s="41"/>
      <c r="R521" s="41"/>
      <c r="S521" s="41"/>
      <c r="T521" s="41"/>
      <c r="U521" s="41"/>
      <c r="V521" s="41"/>
      <c r="W521" s="41"/>
      <c r="X521" s="41"/>
      <c r="Y521" s="41"/>
      <c r="Z521" s="41"/>
      <c r="AA521" s="41"/>
      <c r="AB521" s="41"/>
      <c r="AC521" s="41"/>
      <c r="AD521" s="41"/>
      <c r="AE521" s="41"/>
      <c r="AF521" s="41"/>
      <c r="AG521" s="41"/>
      <c r="AH521" s="41"/>
      <c r="AI521" s="41"/>
    </row>
    <row r="522" spans="1:35" ht="15.75" customHeight="1" x14ac:dyDescent="0.2">
      <c r="A522" s="41"/>
      <c r="B522" s="41"/>
      <c r="C522" s="41"/>
      <c r="D522" s="72"/>
      <c r="E522" s="41"/>
      <c r="F522" s="41"/>
      <c r="G522" s="41"/>
      <c r="H522" s="41"/>
      <c r="I522" s="41"/>
      <c r="J522" s="41"/>
      <c r="K522" s="41"/>
      <c r="L522" s="41"/>
      <c r="M522" s="41"/>
      <c r="N522" s="41"/>
      <c r="O522" s="41"/>
      <c r="P522" s="41"/>
      <c r="Q522" s="41"/>
      <c r="R522" s="41"/>
      <c r="S522" s="41"/>
      <c r="T522" s="41"/>
      <c r="U522" s="41"/>
      <c r="V522" s="41"/>
      <c r="W522" s="41"/>
      <c r="X522" s="41"/>
      <c r="Y522" s="41"/>
      <c r="Z522" s="41"/>
      <c r="AA522" s="41"/>
      <c r="AB522" s="41"/>
      <c r="AC522" s="41"/>
      <c r="AD522" s="41"/>
      <c r="AE522" s="41"/>
      <c r="AF522" s="41"/>
      <c r="AG522" s="41"/>
      <c r="AH522" s="41"/>
      <c r="AI522" s="41"/>
    </row>
    <row r="523" spans="1:35" ht="15.75" customHeight="1" x14ac:dyDescent="0.2">
      <c r="A523" s="41"/>
      <c r="B523" s="41"/>
      <c r="C523" s="41"/>
      <c r="D523" s="72"/>
      <c r="E523" s="41"/>
      <c r="F523" s="41"/>
      <c r="G523" s="41"/>
      <c r="H523" s="41"/>
      <c r="I523" s="41"/>
      <c r="J523" s="41"/>
      <c r="K523" s="41"/>
      <c r="L523" s="41"/>
      <c r="M523" s="41"/>
      <c r="N523" s="41"/>
      <c r="O523" s="41"/>
      <c r="P523" s="41"/>
      <c r="Q523" s="41"/>
      <c r="R523" s="41"/>
      <c r="S523" s="41"/>
      <c r="T523" s="41"/>
      <c r="U523" s="41"/>
      <c r="V523" s="41"/>
      <c r="W523" s="41"/>
      <c r="X523" s="41"/>
      <c r="Y523" s="41"/>
      <c r="Z523" s="41"/>
      <c r="AA523" s="41"/>
      <c r="AB523" s="41"/>
      <c r="AC523" s="41"/>
      <c r="AD523" s="41"/>
      <c r="AE523" s="41"/>
      <c r="AF523" s="41"/>
      <c r="AG523" s="41"/>
      <c r="AH523" s="41"/>
      <c r="AI523" s="41"/>
    </row>
    <row r="524" spans="1:35" ht="15.75" customHeight="1" x14ac:dyDescent="0.2">
      <c r="A524" s="41"/>
      <c r="B524" s="41"/>
      <c r="C524" s="41"/>
      <c r="D524" s="72"/>
      <c r="E524" s="41"/>
      <c r="F524" s="41"/>
      <c r="G524" s="41"/>
      <c r="H524" s="41"/>
      <c r="I524" s="41"/>
      <c r="J524" s="41"/>
      <c r="K524" s="41"/>
      <c r="L524" s="41"/>
      <c r="M524" s="41"/>
      <c r="N524" s="41"/>
      <c r="O524" s="41"/>
      <c r="P524" s="41"/>
      <c r="Q524" s="41"/>
      <c r="R524" s="41"/>
      <c r="S524" s="41"/>
      <c r="T524" s="41"/>
      <c r="U524" s="41"/>
      <c r="V524" s="41"/>
      <c r="W524" s="41"/>
      <c r="X524" s="41"/>
      <c r="Y524" s="41"/>
      <c r="Z524" s="41"/>
      <c r="AA524" s="41"/>
      <c r="AB524" s="41"/>
      <c r="AC524" s="41"/>
      <c r="AD524" s="41"/>
      <c r="AE524" s="41"/>
      <c r="AF524" s="41"/>
      <c r="AG524" s="41"/>
      <c r="AH524" s="41"/>
      <c r="AI524" s="41"/>
    </row>
    <row r="525" spans="1:35" ht="15.75" customHeight="1" x14ac:dyDescent="0.2">
      <c r="A525" s="41"/>
      <c r="B525" s="41"/>
      <c r="C525" s="41"/>
      <c r="D525" s="72"/>
      <c r="E525" s="41"/>
      <c r="F525" s="41"/>
      <c r="G525" s="41"/>
      <c r="H525" s="41"/>
      <c r="I525" s="41"/>
      <c r="J525" s="41"/>
      <c r="K525" s="41"/>
      <c r="L525" s="41"/>
      <c r="M525" s="41"/>
      <c r="N525" s="41"/>
      <c r="O525" s="41"/>
      <c r="P525" s="41"/>
      <c r="Q525" s="41"/>
      <c r="R525" s="41"/>
      <c r="S525" s="41"/>
      <c r="T525" s="41"/>
      <c r="U525" s="41"/>
      <c r="V525" s="41"/>
      <c r="W525" s="41"/>
      <c r="X525" s="41"/>
      <c r="Y525" s="41"/>
      <c r="Z525" s="41"/>
      <c r="AA525" s="41"/>
      <c r="AB525" s="41"/>
      <c r="AC525" s="41"/>
      <c r="AD525" s="41"/>
      <c r="AE525" s="41"/>
      <c r="AF525" s="41"/>
      <c r="AG525" s="41"/>
      <c r="AH525" s="41"/>
      <c r="AI525" s="41"/>
    </row>
    <row r="526" spans="1:35" ht="15.75" customHeight="1" x14ac:dyDescent="0.2">
      <c r="A526" s="41"/>
      <c r="B526" s="41"/>
      <c r="C526" s="41"/>
      <c r="D526" s="72"/>
      <c r="E526" s="41"/>
      <c r="F526" s="41"/>
      <c r="G526" s="41"/>
      <c r="H526" s="41"/>
      <c r="I526" s="41"/>
      <c r="J526" s="41"/>
      <c r="K526" s="41"/>
      <c r="L526" s="41"/>
      <c r="M526" s="41"/>
      <c r="N526" s="41"/>
      <c r="O526" s="41"/>
      <c r="P526" s="41"/>
      <c r="Q526" s="41"/>
      <c r="R526" s="41"/>
      <c r="S526" s="41"/>
      <c r="T526" s="41"/>
      <c r="U526" s="41"/>
      <c r="V526" s="41"/>
      <c r="W526" s="41"/>
      <c r="X526" s="41"/>
      <c r="Y526" s="41"/>
      <c r="Z526" s="41"/>
      <c r="AA526" s="41"/>
      <c r="AB526" s="41"/>
      <c r="AC526" s="41"/>
      <c r="AD526" s="41"/>
      <c r="AE526" s="41"/>
      <c r="AF526" s="41"/>
      <c r="AG526" s="41"/>
      <c r="AH526" s="41"/>
      <c r="AI526" s="41"/>
    </row>
    <row r="527" spans="1:35" ht="15.75" customHeight="1" x14ac:dyDescent="0.2">
      <c r="A527" s="41"/>
      <c r="B527" s="41"/>
      <c r="C527" s="41"/>
      <c r="D527" s="72"/>
      <c r="E527" s="41"/>
      <c r="F527" s="41"/>
      <c r="G527" s="41"/>
      <c r="H527" s="41"/>
      <c r="I527" s="41"/>
      <c r="J527" s="41"/>
      <c r="K527" s="41"/>
      <c r="L527" s="41"/>
      <c r="M527" s="41"/>
      <c r="N527" s="41"/>
      <c r="O527" s="41"/>
      <c r="P527" s="41"/>
      <c r="Q527" s="41"/>
      <c r="R527" s="41"/>
      <c r="S527" s="41"/>
      <c r="T527" s="41"/>
      <c r="U527" s="41"/>
      <c r="V527" s="41"/>
      <c r="W527" s="41"/>
      <c r="X527" s="41"/>
      <c r="Y527" s="41"/>
      <c r="Z527" s="41"/>
      <c r="AA527" s="41"/>
      <c r="AB527" s="41"/>
      <c r="AC527" s="41"/>
      <c r="AD527" s="41"/>
      <c r="AE527" s="41"/>
      <c r="AF527" s="41"/>
      <c r="AG527" s="41"/>
      <c r="AH527" s="41"/>
      <c r="AI527" s="41"/>
    </row>
    <row r="528" spans="1:35" ht="15.75" customHeight="1" x14ac:dyDescent="0.2">
      <c r="A528" s="41"/>
      <c r="B528" s="41"/>
      <c r="C528" s="41"/>
      <c r="D528" s="72"/>
      <c r="E528" s="41"/>
      <c r="F528" s="41"/>
      <c r="G528" s="41"/>
      <c r="H528" s="41"/>
      <c r="I528" s="41"/>
      <c r="J528" s="41"/>
      <c r="K528" s="41"/>
      <c r="L528" s="41"/>
      <c r="M528" s="41"/>
      <c r="N528" s="41"/>
      <c r="O528" s="41"/>
      <c r="P528" s="41"/>
      <c r="Q528" s="41"/>
      <c r="R528" s="41"/>
      <c r="S528" s="41"/>
      <c r="T528" s="41"/>
      <c r="U528" s="41"/>
      <c r="V528" s="41"/>
      <c r="W528" s="41"/>
      <c r="X528" s="41"/>
      <c r="Y528" s="41"/>
      <c r="Z528" s="41"/>
      <c r="AA528" s="41"/>
      <c r="AB528" s="41"/>
      <c r="AC528" s="41"/>
      <c r="AD528" s="41"/>
      <c r="AE528" s="41"/>
      <c r="AF528" s="41"/>
      <c r="AG528" s="41"/>
      <c r="AH528" s="41"/>
      <c r="AI528" s="41"/>
    </row>
    <row r="529" spans="1:35" ht="15.75" customHeight="1" x14ac:dyDescent="0.2">
      <c r="A529" s="41"/>
      <c r="B529" s="41"/>
      <c r="C529" s="41"/>
      <c r="D529" s="72"/>
      <c r="E529" s="41"/>
      <c r="F529" s="41"/>
      <c r="G529" s="41"/>
      <c r="H529" s="41"/>
      <c r="I529" s="41"/>
      <c r="J529" s="41"/>
      <c r="K529" s="41"/>
      <c r="L529" s="41"/>
      <c r="M529" s="41"/>
      <c r="N529" s="41"/>
      <c r="O529" s="41"/>
      <c r="P529" s="41"/>
      <c r="Q529" s="41"/>
      <c r="R529" s="41"/>
      <c r="S529" s="41"/>
      <c r="T529" s="41"/>
      <c r="U529" s="41"/>
      <c r="V529" s="41"/>
      <c r="W529" s="41"/>
      <c r="X529" s="41"/>
      <c r="Y529" s="41"/>
      <c r="Z529" s="41"/>
      <c r="AA529" s="41"/>
      <c r="AB529" s="41"/>
      <c r="AC529" s="41"/>
      <c r="AD529" s="41"/>
      <c r="AE529" s="41"/>
      <c r="AF529" s="41"/>
      <c r="AG529" s="41"/>
      <c r="AH529" s="41"/>
      <c r="AI529" s="41"/>
    </row>
    <row r="530" spans="1:35" ht="15.75" customHeight="1" x14ac:dyDescent="0.2">
      <c r="A530" s="41"/>
      <c r="B530" s="41"/>
      <c r="C530" s="41"/>
      <c r="D530" s="72"/>
      <c r="E530" s="41"/>
      <c r="F530" s="41"/>
      <c r="G530" s="41"/>
      <c r="H530" s="41"/>
      <c r="I530" s="41"/>
      <c r="J530" s="41"/>
      <c r="K530" s="41"/>
      <c r="L530" s="41"/>
      <c r="M530" s="41"/>
      <c r="N530" s="41"/>
      <c r="O530" s="41"/>
      <c r="P530" s="41"/>
      <c r="Q530" s="41"/>
      <c r="R530" s="41"/>
      <c r="S530" s="41"/>
      <c r="T530" s="41"/>
      <c r="U530" s="41"/>
      <c r="V530" s="41"/>
      <c r="W530" s="41"/>
      <c r="X530" s="41"/>
      <c r="Y530" s="41"/>
      <c r="Z530" s="41"/>
      <c r="AA530" s="41"/>
      <c r="AB530" s="41"/>
      <c r="AC530" s="41"/>
      <c r="AD530" s="41"/>
      <c r="AE530" s="41"/>
      <c r="AF530" s="41"/>
      <c r="AG530" s="41"/>
      <c r="AH530" s="41"/>
      <c r="AI530" s="41"/>
    </row>
    <row r="531" spans="1:35" ht="15.75" customHeight="1" x14ac:dyDescent="0.2">
      <c r="A531" s="41"/>
      <c r="B531" s="41"/>
      <c r="C531" s="41"/>
      <c r="D531" s="72"/>
      <c r="E531" s="41"/>
      <c r="F531" s="41"/>
      <c r="G531" s="41"/>
      <c r="H531" s="41"/>
      <c r="I531" s="41"/>
      <c r="J531" s="41"/>
      <c r="K531" s="41"/>
      <c r="L531" s="41"/>
      <c r="M531" s="41"/>
      <c r="N531" s="41"/>
      <c r="O531" s="41"/>
      <c r="P531" s="41"/>
      <c r="Q531" s="41"/>
      <c r="R531" s="41"/>
      <c r="S531" s="41"/>
      <c r="T531" s="41"/>
      <c r="U531" s="41"/>
      <c r="V531" s="41"/>
      <c r="W531" s="41"/>
      <c r="X531" s="41"/>
      <c r="Y531" s="41"/>
      <c r="Z531" s="41"/>
      <c r="AA531" s="41"/>
      <c r="AB531" s="41"/>
      <c r="AC531" s="41"/>
      <c r="AD531" s="41"/>
      <c r="AE531" s="41"/>
      <c r="AF531" s="41"/>
      <c r="AG531" s="41"/>
      <c r="AH531" s="41"/>
      <c r="AI531" s="41"/>
    </row>
    <row r="532" spans="1:35" ht="15.75" customHeight="1" x14ac:dyDescent="0.2">
      <c r="A532" s="41"/>
      <c r="B532" s="41"/>
      <c r="C532" s="41"/>
      <c r="D532" s="72"/>
      <c r="E532" s="41"/>
      <c r="F532" s="41"/>
      <c r="G532" s="41"/>
      <c r="H532" s="41"/>
      <c r="I532" s="41"/>
      <c r="J532" s="41"/>
      <c r="K532" s="41"/>
      <c r="L532" s="41"/>
      <c r="M532" s="41"/>
      <c r="N532" s="41"/>
      <c r="O532" s="41"/>
      <c r="P532" s="41"/>
      <c r="Q532" s="41"/>
      <c r="R532" s="41"/>
      <c r="S532" s="41"/>
      <c r="T532" s="41"/>
      <c r="U532" s="41"/>
      <c r="V532" s="41"/>
      <c r="W532" s="41"/>
      <c r="X532" s="41"/>
      <c r="Y532" s="41"/>
      <c r="Z532" s="41"/>
      <c r="AA532" s="41"/>
      <c r="AB532" s="41"/>
      <c r="AC532" s="41"/>
      <c r="AD532" s="41"/>
      <c r="AE532" s="41"/>
      <c r="AF532" s="41"/>
      <c r="AG532" s="41"/>
      <c r="AH532" s="41"/>
      <c r="AI532" s="41"/>
    </row>
    <row r="533" spans="1:35" ht="15.75" customHeight="1" x14ac:dyDescent="0.2">
      <c r="A533" s="41"/>
      <c r="B533" s="41"/>
      <c r="C533" s="41"/>
      <c r="D533" s="72"/>
      <c r="E533" s="41"/>
      <c r="F533" s="41"/>
      <c r="G533" s="41"/>
      <c r="H533" s="41"/>
      <c r="I533" s="41"/>
      <c r="J533" s="41"/>
      <c r="K533" s="41"/>
      <c r="L533" s="41"/>
      <c r="M533" s="41"/>
      <c r="N533" s="41"/>
      <c r="O533" s="41"/>
      <c r="P533" s="41"/>
      <c r="Q533" s="41"/>
      <c r="R533" s="41"/>
      <c r="S533" s="41"/>
      <c r="T533" s="41"/>
      <c r="U533" s="41"/>
      <c r="V533" s="41"/>
      <c r="W533" s="41"/>
      <c r="X533" s="41"/>
      <c r="Y533" s="41"/>
      <c r="Z533" s="41"/>
      <c r="AA533" s="41"/>
      <c r="AB533" s="41"/>
      <c r="AC533" s="41"/>
      <c r="AD533" s="41"/>
      <c r="AE533" s="41"/>
      <c r="AF533" s="41"/>
      <c r="AG533" s="41"/>
      <c r="AH533" s="41"/>
      <c r="AI533" s="41"/>
    </row>
    <row r="534" spans="1:35" ht="15.75" customHeight="1" x14ac:dyDescent="0.2">
      <c r="A534" s="41"/>
      <c r="B534" s="41"/>
      <c r="C534" s="41"/>
      <c r="D534" s="72"/>
      <c r="E534" s="41"/>
      <c r="F534" s="41"/>
      <c r="G534" s="41"/>
      <c r="H534" s="41"/>
      <c r="I534" s="41"/>
      <c r="J534" s="41"/>
      <c r="K534" s="41"/>
      <c r="L534" s="41"/>
      <c r="M534" s="41"/>
      <c r="N534" s="41"/>
      <c r="O534" s="41"/>
      <c r="P534" s="41"/>
      <c r="Q534" s="41"/>
      <c r="R534" s="41"/>
      <c r="S534" s="41"/>
      <c r="T534" s="41"/>
      <c r="U534" s="41"/>
      <c r="V534" s="41"/>
      <c r="W534" s="41"/>
      <c r="X534" s="41"/>
      <c r="Y534" s="41"/>
      <c r="Z534" s="41"/>
      <c r="AA534" s="41"/>
      <c r="AB534" s="41"/>
      <c r="AC534" s="41"/>
      <c r="AD534" s="41"/>
      <c r="AE534" s="41"/>
      <c r="AF534" s="41"/>
      <c r="AG534" s="41"/>
      <c r="AH534" s="41"/>
      <c r="AI534" s="41"/>
    </row>
    <row r="535" spans="1:35" ht="15.75" customHeight="1" x14ac:dyDescent="0.2">
      <c r="A535" s="41"/>
      <c r="B535" s="41"/>
      <c r="C535" s="41"/>
      <c r="D535" s="72"/>
      <c r="E535" s="41"/>
      <c r="F535" s="41"/>
      <c r="G535" s="41"/>
      <c r="H535" s="41"/>
      <c r="I535" s="41"/>
      <c r="J535" s="41"/>
      <c r="K535" s="41"/>
      <c r="L535" s="41"/>
      <c r="M535" s="41"/>
      <c r="N535" s="41"/>
      <c r="O535" s="41"/>
      <c r="P535" s="41"/>
      <c r="Q535" s="41"/>
      <c r="R535" s="41"/>
      <c r="S535" s="41"/>
      <c r="T535" s="41"/>
      <c r="U535" s="41"/>
      <c r="V535" s="41"/>
      <c r="W535" s="41"/>
      <c r="X535" s="41"/>
      <c r="Y535" s="41"/>
      <c r="Z535" s="41"/>
      <c r="AA535" s="41"/>
      <c r="AB535" s="41"/>
      <c r="AC535" s="41"/>
      <c r="AD535" s="41"/>
      <c r="AE535" s="41"/>
      <c r="AF535" s="41"/>
      <c r="AG535" s="41"/>
      <c r="AH535" s="41"/>
      <c r="AI535" s="41"/>
    </row>
    <row r="536" spans="1:35" ht="15.75" customHeight="1" x14ac:dyDescent="0.2">
      <c r="A536" s="41"/>
      <c r="B536" s="41"/>
      <c r="C536" s="41"/>
      <c r="D536" s="72"/>
      <c r="E536" s="41"/>
      <c r="F536" s="41"/>
      <c r="G536" s="41"/>
      <c r="H536" s="41"/>
      <c r="I536" s="41"/>
      <c r="J536" s="41"/>
      <c r="K536" s="41"/>
      <c r="L536" s="41"/>
      <c r="M536" s="41"/>
      <c r="N536" s="41"/>
      <c r="O536" s="41"/>
      <c r="P536" s="41"/>
      <c r="Q536" s="41"/>
      <c r="R536" s="41"/>
      <c r="S536" s="41"/>
      <c r="T536" s="41"/>
      <c r="U536" s="41"/>
      <c r="V536" s="41"/>
      <c r="W536" s="41"/>
      <c r="X536" s="41"/>
      <c r="Y536" s="41"/>
      <c r="Z536" s="41"/>
      <c r="AA536" s="41"/>
      <c r="AB536" s="41"/>
      <c r="AC536" s="41"/>
      <c r="AD536" s="41"/>
      <c r="AE536" s="41"/>
      <c r="AF536" s="41"/>
      <c r="AG536" s="41"/>
      <c r="AH536" s="41"/>
      <c r="AI536" s="41"/>
    </row>
    <row r="537" spans="1:35" ht="15.75" customHeight="1" x14ac:dyDescent="0.2">
      <c r="A537" s="41"/>
      <c r="B537" s="41"/>
      <c r="C537" s="41"/>
      <c r="D537" s="72"/>
      <c r="E537" s="41"/>
      <c r="F537" s="41"/>
      <c r="G537" s="41"/>
      <c r="H537" s="41"/>
      <c r="I537" s="41"/>
      <c r="J537" s="41"/>
      <c r="K537" s="41"/>
      <c r="L537" s="41"/>
      <c r="M537" s="41"/>
      <c r="N537" s="41"/>
      <c r="O537" s="41"/>
      <c r="P537" s="41"/>
      <c r="Q537" s="41"/>
      <c r="R537" s="41"/>
      <c r="S537" s="41"/>
      <c r="T537" s="41"/>
      <c r="U537" s="41"/>
      <c r="V537" s="41"/>
      <c r="W537" s="41"/>
      <c r="X537" s="41"/>
      <c r="Y537" s="41"/>
      <c r="Z537" s="41"/>
      <c r="AA537" s="41"/>
      <c r="AB537" s="41"/>
      <c r="AC537" s="41"/>
      <c r="AD537" s="41"/>
      <c r="AE537" s="41"/>
      <c r="AF537" s="41"/>
      <c r="AG537" s="41"/>
      <c r="AH537" s="41"/>
      <c r="AI537" s="41"/>
    </row>
    <row r="538" spans="1:35" ht="15.75" customHeight="1" x14ac:dyDescent="0.2">
      <c r="A538" s="41"/>
      <c r="B538" s="41"/>
      <c r="C538" s="41"/>
      <c r="D538" s="72"/>
      <c r="E538" s="41"/>
      <c r="F538" s="41"/>
      <c r="G538" s="41"/>
      <c r="H538" s="41"/>
      <c r="I538" s="41"/>
      <c r="J538" s="41"/>
      <c r="K538" s="41"/>
      <c r="L538" s="41"/>
      <c r="M538" s="41"/>
      <c r="N538" s="41"/>
      <c r="O538" s="41"/>
      <c r="P538" s="41"/>
      <c r="Q538" s="41"/>
      <c r="R538" s="41"/>
      <c r="S538" s="41"/>
      <c r="T538" s="41"/>
      <c r="U538" s="41"/>
      <c r="V538" s="41"/>
      <c r="W538" s="41"/>
      <c r="X538" s="41"/>
      <c r="Y538" s="41"/>
      <c r="Z538" s="41"/>
      <c r="AA538" s="41"/>
      <c r="AB538" s="41"/>
      <c r="AC538" s="41"/>
      <c r="AD538" s="41"/>
      <c r="AE538" s="41"/>
      <c r="AF538" s="41"/>
      <c r="AG538" s="41"/>
      <c r="AH538" s="41"/>
      <c r="AI538" s="41"/>
    </row>
    <row r="539" spans="1:35" ht="15.75" customHeight="1" x14ac:dyDescent="0.2">
      <c r="A539" s="41"/>
      <c r="B539" s="41"/>
      <c r="C539" s="41"/>
      <c r="D539" s="72"/>
      <c r="E539" s="41"/>
      <c r="F539" s="41"/>
      <c r="G539" s="41"/>
      <c r="H539" s="41"/>
      <c r="I539" s="41"/>
      <c r="J539" s="41"/>
      <c r="K539" s="41"/>
      <c r="L539" s="41"/>
      <c r="M539" s="41"/>
      <c r="N539" s="41"/>
      <c r="O539" s="41"/>
      <c r="P539" s="41"/>
      <c r="Q539" s="41"/>
      <c r="R539" s="41"/>
      <c r="S539" s="41"/>
      <c r="T539" s="41"/>
      <c r="U539" s="41"/>
      <c r="V539" s="41"/>
      <c r="W539" s="41"/>
      <c r="X539" s="41"/>
      <c r="Y539" s="41"/>
      <c r="Z539" s="41"/>
      <c r="AA539" s="41"/>
      <c r="AB539" s="41"/>
      <c r="AC539" s="41"/>
      <c r="AD539" s="41"/>
      <c r="AE539" s="41"/>
      <c r="AF539" s="41"/>
      <c r="AG539" s="41"/>
      <c r="AH539" s="41"/>
      <c r="AI539" s="41"/>
    </row>
    <row r="540" spans="1:35" ht="15.75" customHeight="1" x14ac:dyDescent="0.2">
      <c r="A540" s="41"/>
      <c r="B540" s="41"/>
      <c r="C540" s="41"/>
      <c r="D540" s="72"/>
      <c r="E540" s="41"/>
      <c r="F540" s="41"/>
      <c r="G540" s="41"/>
      <c r="H540" s="41"/>
      <c r="I540" s="41"/>
      <c r="J540" s="41"/>
      <c r="K540" s="41"/>
      <c r="L540" s="41"/>
      <c r="M540" s="41"/>
      <c r="N540" s="41"/>
      <c r="O540" s="41"/>
      <c r="P540" s="41"/>
      <c r="Q540" s="41"/>
      <c r="R540" s="41"/>
      <c r="S540" s="41"/>
      <c r="T540" s="41"/>
      <c r="U540" s="41"/>
      <c r="V540" s="41"/>
      <c r="W540" s="41"/>
      <c r="X540" s="41"/>
      <c r="Y540" s="41"/>
      <c r="Z540" s="41"/>
      <c r="AA540" s="41"/>
      <c r="AB540" s="41"/>
      <c r="AC540" s="41"/>
      <c r="AD540" s="41"/>
      <c r="AE540" s="41"/>
      <c r="AF540" s="41"/>
      <c r="AG540" s="41"/>
      <c r="AH540" s="41"/>
      <c r="AI540" s="41"/>
    </row>
    <row r="541" spans="1:35" ht="15.75" customHeight="1" x14ac:dyDescent="0.2">
      <c r="A541" s="41"/>
      <c r="B541" s="41"/>
      <c r="C541" s="41"/>
      <c r="D541" s="72"/>
      <c r="E541" s="41"/>
      <c r="F541" s="41"/>
      <c r="G541" s="41"/>
      <c r="H541" s="41"/>
      <c r="I541" s="41"/>
      <c r="J541" s="41"/>
      <c r="K541" s="41"/>
      <c r="L541" s="41"/>
      <c r="M541" s="41"/>
      <c r="N541" s="41"/>
      <c r="O541" s="41"/>
      <c r="P541" s="41"/>
      <c r="Q541" s="41"/>
      <c r="R541" s="41"/>
      <c r="S541" s="41"/>
      <c r="T541" s="41"/>
      <c r="U541" s="41"/>
      <c r="V541" s="41"/>
      <c r="W541" s="41"/>
      <c r="X541" s="41"/>
      <c r="Y541" s="41"/>
      <c r="Z541" s="41"/>
      <c r="AA541" s="41"/>
      <c r="AB541" s="41"/>
      <c r="AC541" s="41"/>
      <c r="AD541" s="41"/>
      <c r="AE541" s="41"/>
      <c r="AF541" s="41"/>
      <c r="AG541" s="41"/>
      <c r="AH541" s="41"/>
      <c r="AI541" s="41"/>
    </row>
    <row r="542" spans="1:35" ht="15.75" customHeight="1" x14ac:dyDescent="0.2">
      <c r="A542" s="41"/>
      <c r="B542" s="41"/>
      <c r="C542" s="41"/>
      <c r="D542" s="72"/>
      <c r="E542" s="41"/>
      <c r="F542" s="41"/>
      <c r="G542" s="41"/>
      <c r="H542" s="41"/>
      <c r="I542" s="41"/>
      <c r="J542" s="41"/>
      <c r="K542" s="41"/>
      <c r="L542" s="41"/>
      <c r="M542" s="41"/>
      <c r="N542" s="41"/>
      <c r="O542" s="41"/>
      <c r="P542" s="41"/>
      <c r="Q542" s="41"/>
      <c r="R542" s="41"/>
      <c r="S542" s="41"/>
      <c r="T542" s="41"/>
      <c r="U542" s="41"/>
      <c r="V542" s="41"/>
      <c r="W542" s="41"/>
      <c r="X542" s="41"/>
      <c r="Y542" s="41"/>
      <c r="Z542" s="41"/>
      <c r="AA542" s="41"/>
      <c r="AB542" s="41"/>
      <c r="AC542" s="41"/>
      <c r="AD542" s="41"/>
      <c r="AE542" s="41"/>
      <c r="AF542" s="41"/>
      <c r="AG542" s="41"/>
      <c r="AH542" s="41"/>
      <c r="AI542" s="41"/>
    </row>
    <row r="543" spans="1:35" ht="15.75" customHeight="1" x14ac:dyDescent="0.2">
      <c r="A543" s="41"/>
      <c r="B543" s="41"/>
      <c r="C543" s="41"/>
      <c r="D543" s="72"/>
      <c r="E543" s="41"/>
      <c r="F543" s="41"/>
      <c r="G543" s="41"/>
      <c r="H543" s="41"/>
      <c r="I543" s="41"/>
      <c r="J543" s="41"/>
      <c r="K543" s="41"/>
      <c r="L543" s="41"/>
      <c r="M543" s="41"/>
      <c r="N543" s="41"/>
      <c r="O543" s="41"/>
      <c r="P543" s="41"/>
      <c r="Q543" s="41"/>
      <c r="R543" s="41"/>
      <c r="S543" s="41"/>
      <c r="T543" s="41"/>
      <c r="U543" s="41"/>
      <c r="V543" s="41"/>
      <c r="W543" s="41"/>
      <c r="X543" s="41"/>
      <c r="Y543" s="41"/>
      <c r="Z543" s="41"/>
      <c r="AA543" s="41"/>
      <c r="AB543" s="41"/>
      <c r="AC543" s="41"/>
      <c r="AD543" s="41"/>
      <c r="AE543" s="41"/>
      <c r="AF543" s="41"/>
      <c r="AG543" s="41"/>
      <c r="AH543" s="41"/>
      <c r="AI543" s="41"/>
    </row>
    <row r="544" spans="1:35" ht="15.75" customHeight="1" x14ac:dyDescent="0.2">
      <c r="A544" s="41"/>
      <c r="B544" s="41"/>
      <c r="C544" s="41"/>
      <c r="D544" s="72"/>
      <c r="E544" s="41"/>
      <c r="F544" s="41"/>
      <c r="G544" s="41"/>
      <c r="H544" s="41"/>
      <c r="I544" s="41"/>
      <c r="J544" s="41"/>
      <c r="K544" s="41"/>
      <c r="L544" s="41"/>
      <c r="M544" s="41"/>
      <c r="N544" s="41"/>
      <c r="O544" s="41"/>
      <c r="P544" s="41"/>
      <c r="Q544" s="41"/>
      <c r="R544" s="41"/>
      <c r="S544" s="41"/>
      <c r="T544" s="41"/>
      <c r="U544" s="41"/>
      <c r="V544" s="41"/>
      <c r="W544" s="41"/>
      <c r="X544" s="41"/>
      <c r="Y544" s="41"/>
      <c r="Z544" s="41"/>
      <c r="AA544" s="41"/>
      <c r="AB544" s="41"/>
      <c r="AC544" s="41"/>
      <c r="AD544" s="41"/>
      <c r="AE544" s="41"/>
      <c r="AF544" s="41"/>
      <c r="AG544" s="41"/>
      <c r="AH544" s="41"/>
      <c r="AI544" s="41"/>
    </row>
    <row r="545" spans="1:35" ht="15.75" customHeight="1" x14ac:dyDescent="0.2">
      <c r="A545" s="41"/>
      <c r="B545" s="41"/>
      <c r="C545" s="41"/>
      <c r="D545" s="72"/>
      <c r="E545" s="41"/>
      <c r="F545" s="41"/>
      <c r="G545" s="41"/>
      <c r="H545" s="41"/>
      <c r="I545" s="41"/>
      <c r="J545" s="41"/>
      <c r="K545" s="41"/>
      <c r="L545" s="41"/>
      <c r="M545" s="41"/>
      <c r="N545" s="41"/>
      <c r="O545" s="41"/>
      <c r="P545" s="41"/>
      <c r="Q545" s="41"/>
      <c r="R545" s="41"/>
      <c r="S545" s="41"/>
      <c r="T545" s="41"/>
      <c r="U545" s="41"/>
      <c r="V545" s="41"/>
      <c r="W545" s="41"/>
      <c r="X545" s="41"/>
      <c r="Y545" s="41"/>
      <c r="Z545" s="41"/>
      <c r="AA545" s="41"/>
      <c r="AB545" s="41"/>
      <c r="AC545" s="41"/>
      <c r="AD545" s="41"/>
      <c r="AE545" s="41"/>
      <c r="AF545" s="41"/>
      <c r="AG545" s="41"/>
      <c r="AH545" s="41"/>
      <c r="AI545" s="41"/>
    </row>
    <row r="546" spans="1:35" ht="15.75" customHeight="1" x14ac:dyDescent="0.2">
      <c r="A546" s="41"/>
      <c r="B546" s="41"/>
      <c r="C546" s="41"/>
      <c r="D546" s="72"/>
      <c r="E546" s="41"/>
      <c r="F546" s="41"/>
      <c r="G546" s="41"/>
      <c r="H546" s="41"/>
      <c r="I546" s="41"/>
      <c r="J546" s="41"/>
      <c r="K546" s="41"/>
      <c r="L546" s="41"/>
      <c r="M546" s="41"/>
      <c r="N546" s="41"/>
      <c r="O546" s="41"/>
      <c r="P546" s="41"/>
      <c r="Q546" s="41"/>
      <c r="R546" s="41"/>
      <c r="S546" s="41"/>
      <c r="T546" s="41"/>
      <c r="U546" s="41"/>
      <c r="V546" s="41"/>
      <c r="W546" s="41"/>
      <c r="X546" s="41"/>
      <c r="Y546" s="41"/>
      <c r="Z546" s="41"/>
      <c r="AA546" s="41"/>
      <c r="AB546" s="41"/>
      <c r="AC546" s="41"/>
      <c r="AD546" s="41"/>
      <c r="AE546" s="41"/>
      <c r="AF546" s="41"/>
      <c r="AG546" s="41"/>
      <c r="AH546" s="41"/>
      <c r="AI546" s="41"/>
    </row>
    <row r="547" spans="1:35" ht="15.75" customHeight="1" x14ac:dyDescent="0.2">
      <c r="A547" s="41"/>
      <c r="B547" s="41"/>
      <c r="C547" s="41"/>
      <c r="D547" s="72"/>
      <c r="E547" s="41"/>
      <c r="F547" s="41"/>
      <c r="G547" s="41"/>
      <c r="H547" s="41"/>
      <c r="I547" s="41"/>
      <c r="J547" s="41"/>
      <c r="K547" s="41"/>
      <c r="L547" s="41"/>
      <c r="M547" s="41"/>
      <c r="N547" s="41"/>
      <c r="O547" s="41"/>
      <c r="P547" s="41"/>
      <c r="Q547" s="41"/>
      <c r="R547" s="41"/>
      <c r="S547" s="41"/>
      <c r="T547" s="41"/>
      <c r="U547" s="41"/>
      <c r="V547" s="41"/>
      <c r="W547" s="41"/>
      <c r="X547" s="41"/>
      <c r="Y547" s="41"/>
      <c r="Z547" s="41"/>
      <c r="AA547" s="41"/>
      <c r="AB547" s="41"/>
      <c r="AC547" s="41"/>
      <c r="AD547" s="41"/>
      <c r="AE547" s="41"/>
      <c r="AF547" s="41"/>
      <c r="AG547" s="41"/>
      <c r="AH547" s="41"/>
      <c r="AI547" s="41"/>
    </row>
    <row r="548" spans="1:35" ht="15.75" customHeight="1" x14ac:dyDescent="0.2">
      <c r="A548" s="41"/>
      <c r="B548" s="41"/>
      <c r="C548" s="41"/>
      <c r="D548" s="72"/>
      <c r="E548" s="41"/>
      <c r="F548" s="41"/>
      <c r="G548" s="41"/>
      <c r="H548" s="41"/>
      <c r="I548" s="41"/>
      <c r="J548" s="41"/>
      <c r="K548" s="41"/>
      <c r="L548" s="41"/>
      <c r="M548" s="41"/>
      <c r="N548" s="41"/>
      <c r="O548" s="41"/>
      <c r="P548" s="41"/>
      <c r="Q548" s="41"/>
      <c r="R548" s="41"/>
      <c r="S548" s="41"/>
      <c r="T548" s="41"/>
      <c r="U548" s="41"/>
      <c r="V548" s="41"/>
      <c r="W548" s="41"/>
      <c r="X548" s="41"/>
      <c r="Y548" s="41"/>
      <c r="Z548" s="41"/>
      <c r="AA548" s="41"/>
      <c r="AB548" s="41"/>
      <c r="AC548" s="41"/>
      <c r="AD548" s="41"/>
      <c r="AE548" s="41"/>
      <c r="AF548" s="41"/>
      <c r="AG548" s="41"/>
      <c r="AH548" s="41"/>
      <c r="AI548" s="41"/>
    </row>
    <row r="549" spans="1:35" ht="15.75" customHeight="1" x14ac:dyDescent="0.2">
      <c r="A549" s="41"/>
      <c r="B549" s="41"/>
      <c r="C549" s="41"/>
      <c r="D549" s="72"/>
      <c r="E549" s="41"/>
      <c r="F549" s="41"/>
      <c r="G549" s="41"/>
      <c r="H549" s="41"/>
      <c r="I549" s="41"/>
      <c r="J549" s="41"/>
      <c r="K549" s="41"/>
      <c r="L549" s="41"/>
      <c r="M549" s="41"/>
      <c r="N549" s="41"/>
      <c r="O549" s="41"/>
      <c r="P549" s="41"/>
      <c r="Q549" s="41"/>
      <c r="R549" s="41"/>
      <c r="S549" s="41"/>
      <c r="T549" s="41"/>
      <c r="U549" s="41"/>
      <c r="V549" s="41"/>
      <c r="W549" s="41"/>
      <c r="X549" s="41"/>
      <c r="Y549" s="41"/>
      <c r="Z549" s="41"/>
      <c r="AA549" s="41"/>
      <c r="AB549" s="41"/>
      <c r="AC549" s="41"/>
      <c r="AD549" s="41"/>
      <c r="AE549" s="41"/>
      <c r="AF549" s="41"/>
      <c r="AG549" s="41"/>
      <c r="AH549" s="41"/>
      <c r="AI549" s="41"/>
    </row>
    <row r="550" spans="1:35" ht="15.75" customHeight="1" x14ac:dyDescent="0.2">
      <c r="A550" s="41"/>
      <c r="B550" s="41"/>
      <c r="C550" s="41"/>
      <c r="D550" s="72"/>
      <c r="E550" s="41"/>
      <c r="F550" s="41"/>
      <c r="G550" s="41"/>
      <c r="H550" s="41"/>
      <c r="I550" s="41"/>
      <c r="J550" s="41"/>
      <c r="K550" s="41"/>
      <c r="L550" s="41"/>
      <c r="M550" s="41"/>
      <c r="N550" s="41"/>
      <c r="O550" s="41"/>
      <c r="P550" s="41"/>
      <c r="Q550" s="41"/>
      <c r="R550" s="41"/>
      <c r="S550" s="41"/>
      <c r="T550" s="41"/>
      <c r="U550" s="41"/>
      <c r="V550" s="41"/>
      <c r="W550" s="41"/>
      <c r="X550" s="41"/>
      <c r="Y550" s="41"/>
      <c r="Z550" s="41"/>
      <c r="AA550" s="41"/>
      <c r="AB550" s="41"/>
      <c r="AC550" s="41"/>
      <c r="AD550" s="41"/>
      <c r="AE550" s="41"/>
      <c r="AF550" s="41"/>
      <c r="AG550" s="41"/>
      <c r="AH550" s="41"/>
      <c r="AI550" s="41"/>
    </row>
    <row r="551" spans="1:35" ht="15.75" customHeight="1" x14ac:dyDescent="0.2">
      <c r="A551" s="41"/>
      <c r="B551" s="41"/>
      <c r="C551" s="41"/>
      <c r="D551" s="72"/>
      <c r="E551" s="41"/>
      <c r="F551" s="41"/>
      <c r="G551" s="41"/>
      <c r="H551" s="41"/>
      <c r="I551" s="41"/>
      <c r="J551" s="41"/>
      <c r="K551" s="41"/>
      <c r="L551" s="41"/>
      <c r="M551" s="41"/>
      <c r="N551" s="41"/>
      <c r="O551" s="41"/>
      <c r="P551" s="41"/>
      <c r="Q551" s="41"/>
      <c r="R551" s="41"/>
      <c r="S551" s="41"/>
      <c r="T551" s="41"/>
      <c r="U551" s="41"/>
      <c r="V551" s="41"/>
      <c r="W551" s="41"/>
      <c r="X551" s="41"/>
      <c r="Y551" s="41"/>
      <c r="Z551" s="41"/>
      <c r="AA551" s="41"/>
      <c r="AB551" s="41"/>
      <c r="AC551" s="41"/>
      <c r="AD551" s="41"/>
      <c r="AE551" s="41"/>
      <c r="AF551" s="41"/>
      <c r="AG551" s="41"/>
      <c r="AH551" s="41"/>
      <c r="AI551" s="41"/>
    </row>
    <row r="552" spans="1:35" ht="15.75" customHeight="1" x14ac:dyDescent="0.2">
      <c r="A552" s="41"/>
      <c r="B552" s="41"/>
      <c r="C552" s="41"/>
      <c r="D552" s="72"/>
      <c r="E552" s="41"/>
      <c r="F552" s="41"/>
      <c r="G552" s="41"/>
      <c r="H552" s="41"/>
      <c r="I552" s="41"/>
      <c r="J552" s="41"/>
      <c r="K552" s="41"/>
      <c r="L552" s="41"/>
      <c r="M552" s="41"/>
      <c r="N552" s="41"/>
      <c r="O552" s="41"/>
      <c r="P552" s="41"/>
      <c r="Q552" s="41"/>
      <c r="R552" s="41"/>
      <c r="S552" s="41"/>
      <c r="T552" s="41"/>
      <c r="U552" s="41"/>
      <c r="V552" s="41"/>
      <c r="W552" s="41"/>
      <c r="X552" s="41"/>
      <c r="Y552" s="41"/>
      <c r="Z552" s="41"/>
      <c r="AA552" s="41"/>
      <c r="AB552" s="41"/>
      <c r="AC552" s="41"/>
      <c r="AD552" s="41"/>
      <c r="AE552" s="41"/>
      <c r="AF552" s="41"/>
      <c r="AG552" s="41"/>
      <c r="AH552" s="41"/>
      <c r="AI552" s="41"/>
    </row>
    <row r="553" spans="1:35" ht="15.75" customHeight="1" x14ac:dyDescent="0.2">
      <c r="A553" s="41"/>
      <c r="B553" s="41"/>
      <c r="C553" s="41"/>
      <c r="D553" s="72"/>
      <c r="E553" s="41"/>
      <c r="F553" s="41"/>
      <c r="G553" s="41"/>
      <c r="H553" s="41"/>
      <c r="I553" s="41"/>
      <c r="J553" s="41"/>
      <c r="K553" s="41"/>
      <c r="L553" s="41"/>
      <c r="M553" s="41"/>
      <c r="N553" s="41"/>
      <c r="O553" s="41"/>
      <c r="P553" s="41"/>
      <c r="Q553" s="41"/>
      <c r="R553" s="41"/>
      <c r="S553" s="41"/>
      <c r="T553" s="41"/>
      <c r="U553" s="41"/>
      <c r="V553" s="41"/>
      <c r="W553" s="41"/>
      <c r="X553" s="41"/>
      <c r="Y553" s="41"/>
      <c r="Z553" s="41"/>
      <c r="AA553" s="41"/>
      <c r="AB553" s="41"/>
      <c r="AC553" s="41"/>
      <c r="AD553" s="41"/>
      <c r="AE553" s="41"/>
      <c r="AF553" s="41"/>
      <c r="AG553" s="41"/>
      <c r="AH553" s="41"/>
      <c r="AI553" s="41"/>
    </row>
    <row r="554" spans="1:35" ht="15.75" customHeight="1" x14ac:dyDescent="0.2">
      <c r="A554" s="41"/>
      <c r="B554" s="41"/>
      <c r="C554" s="41"/>
      <c r="D554" s="72"/>
      <c r="E554" s="41"/>
      <c r="F554" s="41"/>
      <c r="G554" s="41"/>
      <c r="H554" s="41"/>
      <c r="I554" s="41"/>
      <c r="J554" s="41"/>
      <c r="K554" s="41"/>
      <c r="L554" s="41"/>
      <c r="M554" s="41"/>
      <c r="N554" s="41"/>
      <c r="O554" s="41"/>
      <c r="P554" s="41"/>
      <c r="Q554" s="41"/>
      <c r="R554" s="41"/>
      <c r="S554" s="41"/>
      <c r="T554" s="41"/>
      <c r="U554" s="41"/>
      <c r="V554" s="41"/>
      <c r="W554" s="41"/>
      <c r="X554" s="41"/>
      <c r="Y554" s="41"/>
      <c r="Z554" s="41"/>
      <c r="AA554" s="41"/>
      <c r="AB554" s="41"/>
      <c r="AC554" s="41"/>
      <c r="AD554" s="41"/>
      <c r="AE554" s="41"/>
      <c r="AF554" s="41"/>
      <c r="AG554" s="41"/>
      <c r="AH554" s="41"/>
      <c r="AI554" s="41"/>
    </row>
    <row r="555" spans="1:35" ht="15.75" customHeight="1" x14ac:dyDescent="0.2">
      <c r="A555" s="41"/>
      <c r="B555" s="41"/>
      <c r="C555" s="41"/>
      <c r="D555" s="72"/>
      <c r="E555" s="41"/>
      <c r="F555" s="41"/>
      <c r="G555" s="41"/>
      <c r="H555" s="41"/>
      <c r="I555" s="41"/>
      <c r="J555" s="41"/>
      <c r="K555" s="41"/>
      <c r="L555" s="41"/>
      <c r="M555" s="41"/>
      <c r="N555" s="41"/>
      <c r="O555" s="41"/>
      <c r="P555" s="41"/>
      <c r="Q555" s="41"/>
      <c r="R555" s="41"/>
      <c r="S555" s="41"/>
      <c r="T555" s="41"/>
      <c r="U555" s="41"/>
      <c r="V555" s="41"/>
      <c r="W555" s="41"/>
      <c r="X555" s="41"/>
      <c r="Y555" s="41"/>
      <c r="Z555" s="41"/>
      <c r="AA555" s="41"/>
      <c r="AB555" s="41"/>
      <c r="AC555" s="41"/>
      <c r="AD555" s="41"/>
      <c r="AE555" s="41"/>
      <c r="AF555" s="41"/>
      <c r="AG555" s="41"/>
      <c r="AH555" s="41"/>
      <c r="AI555" s="41"/>
    </row>
    <row r="556" spans="1:35" ht="15.75" customHeight="1" x14ac:dyDescent="0.2">
      <c r="A556" s="41"/>
      <c r="B556" s="41"/>
      <c r="C556" s="41"/>
      <c r="D556" s="72"/>
      <c r="E556" s="41"/>
      <c r="F556" s="41"/>
      <c r="G556" s="41"/>
      <c r="H556" s="41"/>
      <c r="I556" s="41"/>
      <c r="J556" s="41"/>
      <c r="K556" s="41"/>
      <c r="L556" s="41"/>
      <c r="M556" s="41"/>
      <c r="N556" s="41"/>
      <c r="O556" s="41"/>
      <c r="P556" s="41"/>
      <c r="Q556" s="41"/>
      <c r="R556" s="41"/>
      <c r="S556" s="41"/>
      <c r="T556" s="41"/>
      <c r="U556" s="41"/>
      <c r="V556" s="41"/>
      <c r="W556" s="41"/>
      <c r="X556" s="41"/>
      <c r="Y556" s="41"/>
      <c r="Z556" s="41"/>
      <c r="AA556" s="41"/>
      <c r="AB556" s="41"/>
      <c r="AC556" s="41"/>
      <c r="AD556" s="41"/>
      <c r="AE556" s="41"/>
      <c r="AF556" s="41"/>
      <c r="AG556" s="41"/>
      <c r="AH556" s="41"/>
      <c r="AI556" s="41"/>
    </row>
    <row r="557" spans="1:35" ht="15.75" customHeight="1" x14ac:dyDescent="0.2">
      <c r="A557" s="41"/>
      <c r="B557" s="41"/>
      <c r="C557" s="41"/>
      <c r="D557" s="72"/>
      <c r="E557" s="41"/>
      <c r="F557" s="41"/>
      <c r="G557" s="41"/>
      <c r="H557" s="41"/>
      <c r="I557" s="41"/>
      <c r="J557" s="41"/>
      <c r="K557" s="41"/>
      <c r="L557" s="41"/>
      <c r="M557" s="41"/>
      <c r="N557" s="41"/>
      <c r="O557" s="41"/>
      <c r="P557" s="41"/>
      <c r="Q557" s="41"/>
      <c r="R557" s="41"/>
      <c r="S557" s="41"/>
      <c r="T557" s="41"/>
      <c r="U557" s="41"/>
      <c r="V557" s="41"/>
      <c r="W557" s="41"/>
      <c r="X557" s="41"/>
      <c r="Y557" s="41"/>
      <c r="Z557" s="41"/>
      <c r="AA557" s="41"/>
      <c r="AB557" s="41"/>
      <c r="AC557" s="41"/>
      <c r="AD557" s="41"/>
      <c r="AE557" s="41"/>
      <c r="AF557" s="41"/>
      <c r="AG557" s="41"/>
      <c r="AH557" s="41"/>
      <c r="AI557" s="41"/>
    </row>
    <row r="558" spans="1:35" ht="15.75" customHeight="1" x14ac:dyDescent="0.2">
      <c r="A558" s="41"/>
      <c r="B558" s="41"/>
      <c r="C558" s="41"/>
      <c r="D558" s="72"/>
      <c r="E558" s="41"/>
      <c r="F558" s="41"/>
      <c r="G558" s="41"/>
      <c r="H558" s="41"/>
      <c r="I558" s="41"/>
      <c r="J558" s="41"/>
      <c r="K558" s="41"/>
      <c r="L558" s="41"/>
      <c r="M558" s="41"/>
      <c r="N558" s="41"/>
      <c r="O558" s="41"/>
      <c r="P558" s="41"/>
      <c r="Q558" s="41"/>
      <c r="R558" s="41"/>
      <c r="S558" s="41"/>
      <c r="T558" s="41"/>
      <c r="U558" s="41"/>
      <c r="V558" s="41"/>
      <c r="W558" s="41"/>
      <c r="X558" s="41"/>
      <c r="Y558" s="41"/>
      <c r="Z558" s="41"/>
      <c r="AA558" s="41"/>
      <c r="AB558" s="41"/>
      <c r="AC558" s="41"/>
      <c r="AD558" s="41"/>
      <c r="AE558" s="41"/>
      <c r="AF558" s="41"/>
      <c r="AG558" s="41"/>
      <c r="AH558" s="41"/>
      <c r="AI558" s="41"/>
    </row>
    <row r="559" spans="1:35" ht="15.75" customHeight="1" x14ac:dyDescent="0.2">
      <c r="A559" s="41"/>
      <c r="B559" s="41"/>
      <c r="C559" s="41"/>
      <c r="D559" s="72"/>
      <c r="E559" s="41"/>
      <c r="F559" s="41"/>
      <c r="G559" s="41"/>
      <c r="H559" s="41"/>
      <c r="I559" s="41"/>
      <c r="J559" s="41"/>
      <c r="K559" s="41"/>
      <c r="L559" s="41"/>
      <c r="M559" s="41"/>
      <c r="N559" s="41"/>
      <c r="O559" s="41"/>
      <c r="P559" s="41"/>
      <c r="Q559" s="41"/>
      <c r="R559" s="41"/>
      <c r="S559" s="41"/>
      <c r="T559" s="41"/>
      <c r="U559" s="41"/>
      <c r="V559" s="41"/>
      <c r="W559" s="41"/>
      <c r="X559" s="41"/>
      <c r="Y559" s="41"/>
      <c r="Z559" s="41"/>
      <c r="AA559" s="41"/>
      <c r="AB559" s="41"/>
      <c r="AC559" s="41"/>
      <c r="AD559" s="41"/>
      <c r="AE559" s="41"/>
      <c r="AF559" s="41"/>
      <c r="AG559" s="41"/>
      <c r="AH559" s="41"/>
      <c r="AI559" s="41"/>
    </row>
    <row r="560" spans="1:35" ht="15.75" customHeight="1" x14ac:dyDescent="0.2">
      <c r="A560" s="41"/>
      <c r="B560" s="41"/>
      <c r="C560" s="41"/>
      <c r="D560" s="72"/>
      <c r="E560" s="41"/>
      <c r="F560" s="41"/>
      <c r="G560" s="41"/>
      <c r="H560" s="41"/>
      <c r="I560" s="41"/>
      <c r="J560" s="41"/>
      <c r="K560" s="41"/>
      <c r="L560" s="41"/>
      <c r="M560" s="41"/>
      <c r="N560" s="41"/>
      <c r="O560" s="41"/>
      <c r="P560" s="41"/>
      <c r="Q560" s="41"/>
      <c r="R560" s="41"/>
      <c r="S560" s="41"/>
      <c r="T560" s="41"/>
      <c r="U560" s="41"/>
      <c r="V560" s="41"/>
      <c r="W560" s="41"/>
      <c r="X560" s="41"/>
      <c r="Y560" s="41"/>
      <c r="Z560" s="41"/>
      <c r="AA560" s="41"/>
      <c r="AB560" s="41"/>
      <c r="AC560" s="41"/>
      <c r="AD560" s="41"/>
      <c r="AE560" s="41"/>
      <c r="AF560" s="41"/>
      <c r="AG560" s="41"/>
      <c r="AH560" s="41"/>
      <c r="AI560" s="41"/>
    </row>
    <row r="561" spans="1:35" ht="15.75" customHeight="1" x14ac:dyDescent="0.2">
      <c r="A561" s="41"/>
      <c r="B561" s="41"/>
      <c r="C561" s="41"/>
      <c r="D561" s="72"/>
      <c r="E561" s="41"/>
      <c r="F561" s="41"/>
      <c r="G561" s="41"/>
      <c r="H561" s="41"/>
      <c r="I561" s="41"/>
      <c r="J561" s="41"/>
      <c r="K561" s="41"/>
      <c r="L561" s="41"/>
      <c r="M561" s="41"/>
      <c r="N561" s="41"/>
      <c r="O561" s="41"/>
      <c r="P561" s="41"/>
      <c r="Q561" s="41"/>
      <c r="R561" s="41"/>
      <c r="S561" s="41"/>
      <c r="T561" s="41"/>
      <c r="U561" s="41"/>
      <c r="V561" s="41"/>
      <c r="W561" s="41"/>
      <c r="X561" s="41"/>
      <c r="Y561" s="41"/>
      <c r="Z561" s="41"/>
      <c r="AA561" s="41"/>
      <c r="AB561" s="41"/>
      <c r="AC561" s="41"/>
      <c r="AD561" s="41"/>
      <c r="AE561" s="41"/>
      <c r="AF561" s="41"/>
      <c r="AG561" s="41"/>
      <c r="AH561" s="41"/>
      <c r="AI561" s="41"/>
    </row>
    <row r="562" spans="1:35" ht="15.75" customHeight="1" x14ac:dyDescent="0.2">
      <c r="A562" s="41"/>
      <c r="B562" s="41"/>
      <c r="C562" s="41"/>
      <c r="D562" s="72"/>
      <c r="E562" s="41"/>
      <c r="F562" s="41"/>
      <c r="G562" s="41"/>
      <c r="H562" s="41"/>
      <c r="I562" s="41"/>
      <c r="J562" s="41"/>
      <c r="K562" s="41"/>
      <c r="L562" s="41"/>
      <c r="M562" s="41"/>
      <c r="N562" s="41"/>
      <c r="O562" s="41"/>
      <c r="P562" s="41"/>
      <c r="Q562" s="41"/>
      <c r="R562" s="41"/>
      <c r="S562" s="41"/>
      <c r="T562" s="41"/>
      <c r="U562" s="41"/>
      <c r="V562" s="41"/>
      <c r="W562" s="41"/>
      <c r="X562" s="41"/>
      <c r="Y562" s="41"/>
      <c r="Z562" s="41"/>
      <c r="AA562" s="41"/>
      <c r="AB562" s="41"/>
      <c r="AC562" s="41"/>
      <c r="AD562" s="41"/>
      <c r="AE562" s="41"/>
      <c r="AF562" s="41"/>
      <c r="AG562" s="41"/>
      <c r="AH562" s="41"/>
      <c r="AI562" s="41"/>
    </row>
    <row r="563" spans="1:35" ht="15.75" customHeight="1" x14ac:dyDescent="0.2">
      <c r="A563" s="41"/>
      <c r="B563" s="41"/>
      <c r="C563" s="41"/>
      <c r="D563" s="72"/>
      <c r="E563" s="41"/>
      <c r="F563" s="41"/>
      <c r="G563" s="41"/>
      <c r="H563" s="41"/>
      <c r="I563" s="41"/>
      <c r="J563" s="41"/>
      <c r="K563" s="41"/>
      <c r="L563" s="41"/>
      <c r="M563" s="41"/>
      <c r="N563" s="41"/>
      <c r="O563" s="41"/>
      <c r="P563" s="41"/>
      <c r="Q563" s="41"/>
      <c r="R563" s="41"/>
      <c r="S563" s="41"/>
      <c r="T563" s="41"/>
      <c r="U563" s="41"/>
      <c r="V563" s="41"/>
      <c r="W563" s="41"/>
      <c r="X563" s="41"/>
      <c r="Y563" s="41"/>
      <c r="Z563" s="41"/>
      <c r="AA563" s="41"/>
      <c r="AB563" s="41"/>
      <c r="AC563" s="41"/>
      <c r="AD563" s="41"/>
      <c r="AE563" s="41"/>
      <c r="AF563" s="41"/>
      <c r="AG563" s="41"/>
      <c r="AH563" s="41"/>
      <c r="AI563" s="41"/>
    </row>
    <row r="564" spans="1:35" ht="15.75" customHeight="1" x14ac:dyDescent="0.2">
      <c r="A564" s="41"/>
      <c r="B564" s="41"/>
      <c r="C564" s="41"/>
      <c r="D564" s="72"/>
      <c r="E564" s="41"/>
      <c r="F564" s="41"/>
      <c r="G564" s="41"/>
      <c r="H564" s="41"/>
      <c r="I564" s="41"/>
      <c r="J564" s="41"/>
      <c r="K564" s="41"/>
      <c r="L564" s="41"/>
      <c r="M564" s="41"/>
      <c r="N564" s="41"/>
      <c r="O564" s="41"/>
      <c r="P564" s="41"/>
      <c r="Q564" s="41"/>
      <c r="R564" s="41"/>
      <c r="S564" s="41"/>
      <c r="T564" s="41"/>
      <c r="U564" s="41"/>
      <c r="V564" s="41"/>
      <c r="W564" s="41"/>
      <c r="X564" s="41"/>
      <c r="Y564" s="41"/>
      <c r="Z564" s="41"/>
      <c r="AA564" s="41"/>
      <c r="AB564" s="41"/>
      <c r="AC564" s="41"/>
      <c r="AD564" s="41"/>
      <c r="AE564" s="41"/>
      <c r="AF564" s="41"/>
      <c r="AG564" s="41"/>
      <c r="AH564" s="41"/>
      <c r="AI564" s="41"/>
    </row>
    <row r="565" spans="1:35" ht="15.75" customHeight="1" x14ac:dyDescent="0.2">
      <c r="A565" s="41"/>
      <c r="B565" s="41"/>
      <c r="C565" s="41"/>
      <c r="D565" s="72"/>
      <c r="E565" s="41"/>
      <c r="F565" s="41"/>
      <c r="G565" s="41"/>
      <c r="H565" s="41"/>
      <c r="I565" s="41"/>
      <c r="J565" s="41"/>
      <c r="K565" s="41"/>
      <c r="L565" s="41"/>
      <c r="M565" s="41"/>
      <c r="N565" s="41"/>
      <c r="O565" s="41"/>
      <c r="P565" s="41"/>
      <c r="Q565" s="41"/>
      <c r="R565" s="41"/>
      <c r="S565" s="41"/>
      <c r="T565" s="41"/>
      <c r="U565" s="41"/>
      <c r="V565" s="41"/>
      <c r="W565" s="41"/>
      <c r="X565" s="41"/>
      <c r="Y565" s="41"/>
      <c r="Z565" s="41"/>
      <c r="AA565" s="41"/>
      <c r="AB565" s="41"/>
      <c r="AC565" s="41"/>
      <c r="AD565" s="41"/>
      <c r="AE565" s="41"/>
      <c r="AF565" s="41"/>
      <c r="AG565" s="41"/>
      <c r="AH565" s="41"/>
      <c r="AI565" s="41"/>
    </row>
    <row r="566" spans="1:35" ht="15.75" customHeight="1" x14ac:dyDescent="0.2">
      <c r="A566" s="41"/>
      <c r="B566" s="41"/>
      <c r="C566" s="41"/>
      <c r="D566" s="72"/>
      <c r="E566" s="41"/>
      <c r="F566" s="41"/>
      <c r="G566" s="41"/>
      <c r="H566" s="41"/>
      <c r="I566" s="41"/>
      <c r="J566" s="41"/>
      <c r="K566" s="41"/>
      <c r="L566" s="41"/>
      <c r="M566" s="41"/>
      <c r="N566" s="41"/>
      <c r="O566" s="41"/>
      <c r="P566" s="41"/>
      <c r="Q566" s="41"/>
      <c r="R566" s="41"/>
      <c r="S566" s="41"/>
      <c r="T566" s="41"/>
      <c r="U566" s="41"/>
      <c r="V566" s="41"/>
      <c r="W566" s="41"/>
      <c r="X566" s="41"/>
      <c r="Y566" s="41"/>
      <c r="Z566" s="41"/>
      <c r="AA566" s="41"/>
      <c r="AB566" s="41"/>
      <c r="AC566" s="41"/>
      <c r="AD566" s="41"/>
      <c r="AE566" s="41"/>
      <c r="AF566" s="41"/>
      <c r="AG566" s="41"/>
      <c r="AH566" s="41"/>
      <c r="AI566" s="41"/>
    </row>
    <row r="567" spans="1:35" ht="15.75" customHeight="1" x14ac:dyDescent="0.2">
      <c r="A567" s="41"/>
      <c r="B567" s="41"/>
      <c r="C567" s="41"/>
      <c r="D567" s="72"/>
      <c r="E567" s="41"/>
      <c r="F567" s="41"/>
      <c r="G567" s="41"/>
      <c r="H567" s="41"/>
      <c r="I567" s="41"/>
      <c r="J567" s="41"/>
      <c r="K567" s="41"/>
      <c r="L567" s="41"/>
      <c r="M567" s="41"/>
      <c r="N567" s="41"/>
      <c r="O567" s="41"/>
      <c r="P567" s="41"/>
      <c r="Q567" s="41"/>
      <c r="R567" s="41"/>
      <c r="S567" s="41"/>
      <c r="T567" s="41"/>
      <c r="U567" s="41"/>
      <c r="V567" s="41"/>
      <c r="W567" s="41"/>
      <c r="X567" s="41"/>
      <c r="Y567" s="41"/>
      <c r="Z567" s="41"/>
      <c r="AA567" s="41"/>
      <c r="AB567" s="41"/>
      <c r="AC567" s="41"/>
      <c r="AD567" s="41"/>
      <c r="AE567" s="41"/>
      <c r="AF567" s="41"/>
      <c r="AG567" s="41"/>
      <c r="AH567" s="41"/>
      <c r="AI567" s="41"/>
    </row>
    <row r="568" spans="1:35" ht="15.75" customHeight="1" x14ac:dyDescent="0.2">
      <c r="A568" s="41"/>
      <c r="B568" s="41"/>
      <c r="C568" s="41"/>
      <c r="D568" s="72"/>
      <c r="E568" s="41"/>
      <c r="F568" s="41"/>
      <c r="G568" s="41"/>
      <c r="H568" s="41"/>
      <c r="I568" s="41"/>
      <c r="J568" s="41"/>
      <c r="K568" s="41"/>
      <c r="L568" s="41"/>
      <c r="M568" s="41"/>
      <c r="N568" s="41"/>
      <c r="O568" s="41"/>
      <c r="P568" s="41"/>
      <c r="Q568" s="41"/>
      <c r="R568" s="41"/>
      <c r="S568" s="41"/>
      <c r="T568" s="41"/>
      <c r="U568" s="41"/>
      <c r="V568" s="41"/>
      <c r="W568" s="41"/>
      <c r="X568" s="41"/>
      <c r="Y568" s="41"/>
      <c r="Z568" s="41"/>
      <c r="AA568" s="41"/>
      <c r="AB568" s="41"/>
      <c r="AC568" s="41"/>
      <c r="AD568" s="41"/>
      <c r="AE568" s="41"/>
      <c r="AF568" s="41"/>
      <c r="AG568" s="41"/>
      <c r="AH568" s="41"/>
      <c r="AI568" s="41"/>
    </row>
    <row r="569" spans="1:35" ht="15.75" customHeight="1" x14ac:dyDescent="0.2">
      <c r="A569" s="41"/>
      <c r="B569" s="41"/>
      <c r="C569" s="41"/>
      <c r="D569" s="72"/>
      <c r="E569" s="41"/>
      <c r="F569" s="41"/>
      <c r="G569" s="41"/>
      <c r="H569" s="41"/>
      <c r="I569" s="41"/>
      <c r="J569" s="41"/>
      <c r="K569" s="41"/>
      <c r="L569" s="41"/>
      <c r="M569" s="41"/>
      <c r="N569" s="41"/>
      <c r="O569" s="41"/>
      <c r="P569" s="41"/>
      <c r="Q569" s="41"/>
      <c r="R569" s="41"/>
      <c r="S569" s="41"/>
      <c r="T569" s="41"/>
      <c r="U569" s="41"/>
      <c r="V569" s="41"/>
      <c r="W569" s="41"/>
      <c r="X569" s="41"/>
      <c r="Y569" s="41"/>
      <c r="Z569" s="41"/>
      <c r="AA569" s="41"/>
      <c r="AB569" s="41"/>
      <c r="AC569" s="41"/>
      <c r="AD569" s="41"/>
      <c r="AE569" s="41"/>
      <c r="AF569" s="41"/>
      <c r="AG569" s="41"/>
      <c r="AH569" s="41"/>
      <c r="AI569" s="41"/>
    </row>
    <row r="570" spans="1:35" ht="15.75" customHeight="1" x14ac:dyDescent="0.2">
      <c r="A570" s="41"/>
      <c r="B570" s="41"/>
      <c r="C570" s="41"/>
      <c r="D570" s="72"/>
      <c r="E570" s="41"/>
      <c r="F570" s="41"/>
      <c r="G570" s="41"/>
      <c r="H570" s="41"/>
      <c r="I570" s="41"/>
      <c r="J570" s="41"/>
      <c r="K570" s="41"/>
      <c r="L570" s="41"/>
      <c r="M570" s="41"/>
      <c r="N570" s="41"/>
      <c r="O570" s="41"/>
      <c r="P570" s="41"/>
      <c r="Q570" s="41"/>
      <c r="R570" s="41"/>
      <c r="S570" s="41"/>
      <c r="T570" s="41"/>
      <c r="U570" s="41"/>
      <c r="V570" s="41"/>
      <c r="W570" s="41"/>
      <c r="X570" s="41"/>
      <c r="Y570" s="41"/>
      <c r="Z570" s="41"/>
      <c r="AA570" s="41"/>
      <c r="AB570" s="41"/>
      <c r="AC570" s="41"/>
      <c r="AD570" s="41"/>
      <c r="AE570" s="41"/>
      <c r="AF570" s="41"/>
      <c r="AG570" s="41"/>
      <c r="AH570" s="41"/>
      <c r="AI570" s="41"/>
    </row>
    <row r="571" spans="1:35" ht="15.75" customHeight="1" x14ac:dyDescent="0.2">
      <c r="A571" s="41"/>
      <c r="B571" s="41"/>
      <c r="C571" s="41"/>
      <c r="D571" s="72"/>
      <c r="E571" s="41"/>
      <c r="F571" s="41"/>
      <c r="G571" s="41"/>
      <c r="H571" s="41"/>
      <c r="I571" s="41"/>
      <c r="J571" s="41"/>
      <c r="K571" s="41"/>
      <c r="L571" s="41"/>
      <c r="M571" s="41"/>
      <c r="N571" s="41"/>
      <c r="O571" s="41"/>
      <c r="P571" s="41"/>
      <c r="Q571" s="41"/>
      <c r="R571" s="41"/>
      <c r="S571" s="41"/>
      <c r="T571" s="41"/>
      <c r="U571" s="41"/>
      <c r="V571" s="41"/>
      <c r="W571" s="41"/>
      <c r="X571" s="41"/>
      <c r="Y571" s="41"/>
      <c r="Z571" s="41"/>
      <c r="AA571" s="41"/>
      <c r="AB571" s="41"/>
      <c r="AC571" s="41"/>
      <c r="AD571" s="41"/>
      <c r="AE571" s="41"/>
      <c r="AF571" s="41"/>
      <c r="AG571" s="41"/>
      <c r="AH571" s="41"/>
      <c r="AI571" s="41"/>
    </row>
    <row r="572" spans="1:35" ht="15.75" customHeight="1" x14ac:dyDescent="0.2">
      <c r="A572" s="41"/>
      <c r="B572" s="41"/>
      <c r="C572" s="41"/>
      <c r="D572" s="72"/>
      <c r="E572" s="41"/>
      <c r="F572" s="41"/>
      <c r="G572" s="41"/>
      <c r="H572" s="41"/>
      <c r="I572" s="41"/>
      <c r="J572" s="41"/>
      <c r="K572" s="41"/>
      <c r="L572" s="41"/>
      <c r="M572" s="41"/>
      <c r="N572" s="41"/>
      <c r="O572" s="41"/>
      <c r="P572" s="41"/>
      <c r="Q572" s="41"/>
      <c r="R572" s="41"/>
      <c r="S572" s="41"/>
      <c r="T572" s="41"/>
      <c r="U572" s="41"/>
      <c r="V572" s="41"/>
      <c r="W572" s="41"/>
      <c r="X572" s="41"/>
      <c r="Y572" s="41"/>
      <c r="Z572" s="41"/>
      <c r="AA572" s="41"/>
      <c r="AB572" s="41"/>
      <c r="AC572" s="41"/>
      <c r="AD572" s="41"/>
      <c r="AE572" s="41"/>
      <c r="AF572" s="41"/>
      <c r="AG572" s="41"/>
      <c r="AH572" s="41"/>
      <c r="AI572" s="41"/>
    </row>
    <row r="573" spans="1:35" ht="15.75" customHeight="1" x14ac:dyDescent="0.2">
      <c r="A573" s="41"/>
      <c r="B573" s="41"/>
      <c r="C573" s="41"/>
      <c r="D573" s="72"/>
      <c r="E573" s="41"/>
      <c r="F573" s="41"/>
      <c r="G573" s="41"/>
      <c r="H573" s="41"/>
      <c r="I573" s="41"/>
      <c r="J573" s="41"/>
      <c r="K573" s="41"/>
      <c r="L573" s="41"/>
      <c r="M573" s="41"/>
      <c r="N573" s="41"/>
      <c r="O573" s="41"/>
      <c r="P573" s="41"/>
      <c r="Q573" s="41"/>
      <c r="R573" s="41"/>
      <c r="S573" s="41"/>
      <c r="T573" s="41"/>
      <c r="U573" s="41"/>
      <c r="V573" s="41"/>
      <c r="W573" s="41"/>
      <c r="X573" s="41"/>
      <c r="Y573" s="41"/>
      <c r="Z573" s="41"/>
      <c r="AA573" s="41"/>
      <c r="AB573" s="41"/>
      <c r="AC573" s="41"/>
      <c r="AD573" s="41"/>
      <c r="AE573" s="41"/>
      <c r="AF573" s="41"/>
      <c r="AG573" s="41"/>
      <c r="AH573" s="41"/>
      <c r="AI573" s="41"/>
    </row>
    <row r="574" spans="1:35" ht="15.75" customHeight="1" x14ac:dyDescent="0.2">
      <c r="A574" s="41"/>
      <c r="B574" s="41"/>
      <c r="C574" s="41"/>
      <c r="D574" s="72"/>
      <c r="E574" s="41"/>
      <c r="F574" s="41"/>
      <c r="G574" s="41"/>
      <c r="H574" s="41"/>
      <c r="I574" s="41"/>
      <c r="J574" s="41"/>
      <c r="K574" s="41"/>
      <c r="L574" s="41"/>
      <c r="M574" s="41"/>
      <c r="N574" s="41"/>
      <c r="O574" s="41"/>
      <c r="P574" s="41"/>
      <c r="Q574" s="41"/>
      <c r="R574" s="41"/>
      <c r="S574" s="41"/>
      <c r="T574" s="41"/>
      <c r="U574" s="41"/>
      <c r="V574" s="41"/>
      <c r="W574" s="41"/>
      <c r="X574" s="41"/>
      <c r="Y574" s="41"/>
      <c r="Z574" s="41"/>
      <c r="AA574" s="41"/>
      <c r="AB574" s="41"/>
      <c r="AC574" s="41"/>
      <c r="AD574" s="41"/>
      <c r="AE574" s="41"/>
      <c r="AF574" s="41"/>
      <c r="AG574" s="41"/>
      <c r="AH574" s="41"/>
      <c r="AI574" s="41"/>
    </row>
    <row r="575" spans="1:35" ht="15.75" customHeight="1" x14ac:dyDescent="0.2">
      <c r="A575" s="41"/>
      <c r="B575" s="41"/>
      <c r="C575" s="41"/>
      <c r="D575" s="72"/>
      <c r="E575" s="41"/>
      <c r="F575" s="41"/>
      <c r="G575" s="41"/>
      <c r="H575" s="41"/>
      <c r="I575" s="41"/>
      <c r="J575" s="41"/>
      <c r="K575" s="41"/>
      <c r="L575" s="41"/>
      <c r="M575" s="41"/>
      <c r="N575" s="41"/>
      <c r="O575" s="41"/>
      <c r="P575" s="41"/>
      <c r="Q575" s="41"/>
      <c r="R575" s="41"/>
      <c r="S575" s="41"/>
      <c r="T575" s="41"/>
      <c r="U575" s="41"/>
      <c r="V575" s="41"/>
      <c r="W575" s="41"/>
      <c r="X575" s="41"/>
      <c r="Y575" s="41"/>
      <c r="Z575" s="41"/>
      <c r="AA575" s="41"/>
      <c r="AB575" s="41"/>
      <c r="AC575" s="41"/>
      <c r="AD575" s="41"/>
      <c r="AE575" s="41"/>
      <c r="AF575" s="41"/>
      <c r="AG575" s="41"/>
      <c r="AH575" s="41"/>
      <c r="AI575" s="41"/>
    </row>
    <row r="576" spans="1:35" ht="15.75" customHeight="1" x14ac:dyDescent="0.2">
      <c r="A576" s="41"/>
      <c r="B576" s="41"/>
      <c r="C576" s="41"/>
      <c r="D576" s="72"/>
      <c r="E576" s="41"/>
      <c r="F576" s="41"/>
      <c r="G576" s="41"/>
      <c r="H576" s="41"/>
      <c r="I576" s="41"/>
      <c r="J576" s="41"/>
      <c r="K576" s="41"/>
      <c r="L576" s="41"/>
      <c r="M576" s="41"/>
      <c r="N576" s="41"/>
      <c r="O576" s="41"/>
      <c r="P576" s="41"/>
      <c r="Q576" s="41"/>
      <c r="R576" s="41"/>
      <c r="S576" s="41"/>
      <c r="T576" s="41"/>
      <c r="U576" s="41"/>
      <c r="V576" s="41"/>
      <c r="W576" s="41"/>
      <c r="X576" s="41"/>
      <c r="Y576" s="41"/>
      <c r="Z576" s="41"/>
      <c r="AA576" s="41"/>
      <c r="AB576" s="41"/>
      <c r="AC576" s="41"/>
      <c r="AD576" s="41"/>
      <c r="AE576" s="41"/>
      <c r="AF576" s="41"/>
      <c r="AG576" s="41"/>
      <c r="AH576" s="41"/>
      <c r="AI576" s="41"/>
    </row>
    <row r="577" spans="1:35" ht="15.75" customHeight="1" x14ac:dyDescent="0.2">
      <c r="A577" s="41"/>
      <c r="B577" s="41"/>
      <c r="C577" s="41"/>
      <c r="D577" s="72"/>
      <c r="E577" s="41"/>
      <c r="F577" s="41"/>
      <c r="G577" s="41"/>
      <c r="H577" s="41"/>
      <c r="I577" s="41"/>
      <c r="J577" s="41"/>
      <c r="K577" s="41"/>
      <c r="L577" s="41"/>
      <c r="M577" s="41"/>
      <c r="N577" s="41"/>
      <c r="O577" s="41"/>
      <c r="P577" s="41"/>
      <c r="Q577" s="41"/>
      <c r="R577" s="41"/>
      <c r="S577" s="41"/>
      <c r="T577" s="41"/>
      <c r="U577" s="41"/>
      <c r="V577" s="41"/>
      <c r="W577" s="41"/>
      <c r="X577" s="41"/>
      <c r="Y577" s="41"/>
      <c r="Z577" s="41"/>
      <c r="AA577" s="41"/>
      <c r="AB577" s="41"/>
      <c r="AC577" s="41"/>
      <c r="AD577" s="41"/>
      <c r="AE577" s="41"/>
      <c r="AF577" s="41"/>
      <c r="AG577" s="41"/>
      <c r="AH577" s="41"/>
      <c r="AI577" s="41"/>
    </row>
    <row r="578" spans="1:35" ht="15.75" customHeight="1" x14ac:dyDescent="0.2">
      <c r="A578" s="41"/>
      <c r="B578" s="41"/>
      <c r="C578" s="41"/>
      <c r="D578" s="72"/>
      <c r="E578" s="41"/>
      <c r="F578" s="41"/>
      <c r="G578" s="41"/>
      <c r="H578" s="41"/>
      <c r="I578" s="41"/>
      <c r="J578" s="41"/>
      <c r="K578" s="41"/>
      <c r="L578" s="41"/>
      <c r="M578" s="41"/>
      <c r="N578" s="41"/>
      <c r="O578" s="41"/>
      <c r="P578" s="41"/>
      <c r="Q578" s="41"/>
      <c r="R578" s="41"/>
      <c r="S578" s="41"/>
      <c r="T578" s="41"/>
      <c r="U578" s="41"/>
      <c r="V578" s="41"/>
      <c r="W578" s="41"/>
      <c r="X578" s="41"/>
      <c r="Y578" s="41"/>
      <c r="Z578" s="41"/>
      <c r="AA578" s="41"/>
      <c r="AB578" s="41"/>
      <c r="AC578" s="41"/>
      <c r="AD578" s="41"/>
      <c r="AE578" s="41"/>
      <c r="AF578" s="41"/>
      <c r="AG578" s="41"/>
      <c r="AH578" s="41"/>
      <c r="AI578" s="41"/>
    </row>
    <row r="579" spans="1:35" ht="15.75" customHeight="1" x14ac:dyDescent="0.2">
      <c r="A579" s="41"/>
      <c r="B579" s="41"/>
      <c r="C579" s="41"/>
      <c r="D579" s="72"/>
      <c r="E579" s="41"/>
      <c r="F579" s="41"/>
      <c r="G579" s="41"/>
      <c r="H579" s="41"/>
      <c r="I579" s="41"/>
      <c r="J579" s="41"/>
      <c r="K579" s="41"/>
      <c r="L579" s="41"/>
      <c r="M579" s="41"/>
      <c r="N579" s="41"/>
      <c r="O579" s="41"/>
      <c r="P579" s="41"/>
      <c r="Q579" s="41"/>
      <c r="R579" s="41"/>
      <c r="S579" s="41"/>
      <c r="T579" s="41"/>
      <c r="U579" s="41"/>
      <c r="V579" s="41"/>
      <c r="W579" s="41"/>
      <c r="X579" s="41"/>
      <c r="Y579" s="41"/>
      <c r="Z579" s="41"/>
      <c r="AA579" s="41"/>
      <c r="AB579" s="41"/>
      <c r="AC579" s="41"/>
      <c r="AD579" s="41"/>
      <c r="AE579" s="41"/>
      <c r="AF579" s="41"/>
      <c r="AG579" s="41"/>
      <c r="AH579" s="41"/>
      <c r="AI579" s="41"/>
    </row>
    <row r="580" spans="1:35" ht="15.75" customHeight="1" x14ac:dyDescent="0.2">
      <c r="A580" s="41"/>
      <c r="B580" s="41"/>
      <c r="C580" s="41"/>
      <c r="D580" s="72"/>
      <c r="E580" s="41"/>
      <c r="F580" s="41"/>
      <c r="G580" s="41"/>
      <c r="H580" s="41"/>
      <c r="I580" s="41"/>
      <c r="J580" s="41"/>
      <c r="K580" s="41"/>
      <c r="L580" s="41"/>
      <c r="M580" s="41"/>
      <c r="N580" s="41"/>
      <c r="O580" s="41"/>
      <c r="P580" s="41"/>
      <c r="Q580" s="41"/>
      <c r="R580" s="41"/>
      <c r="S580" s="41"/>
      <c r="T580" s="41"/>
      <c r="U580" s="41"/>
      <c r="V580" s="41"/>
      <c r="W580" s="41"/>
      <c r="X580" s="41"/>
      <c r="Y580" s="41"/>
      <c r="Z580" s="41"/>
      <c r="AA580" s="41"/>
      <c r="AB580" s="41"/>
      <c r="AC580" s="41"/>
      <c r="AD580" s="41"/>
      <c r="AE580" s="41"/>
      <c r="AF580" s="41"/>
      <c r="AG580" s="41"/>
      <c r="AH580" s="41"/>
      <c r="AI580" s="41"/>
    </row>
    <row r="581" spans="1:35" ht="15.75" customHeight="1" x14ac:dyDescent="0.2">
      <c r="A581" s="41"/>
      <c r="B581" s="41"/>
      <c r="C581" s="41"/>
      <c r="D581" s="72"/>
      <c r="E581" s="41"/>
      <c r="F581" s="41"/>
      <c r="G581" s="41"/>
      <c r="H581" s="41"/>
      <c r="I581" s="41"/>
      <c r="J581" s="41"/>
      <c r="K581" s="41"/>
      <c r="L581" s="41"/>
      <c r="M581" s="41"/>
      <c r="N581" s="41"/>
      <c r="O581" s="41"/>
      <c r="P581" s="41"/>
      <c r="Q581" s="41"/>
      <c r="R581" s="41"/>
      <c r="S581" s="41"/>
      <c r="T581" s="41"/>
      <c r="U581" s="41"/>
      <c r="V581" s="41"/>
      <c r="W581" s="41"/>
      <c r="X581" s="41"/>
      <c r="Y581" s="41"/>
      <c r="Z581" s="41"/>
      <c r="AA581" s="41"/>
      <c r="AB581" s="41"/>
      <c r="AC581" s="41"/>
      <c r="AD581" s="41"/>
      <c r="AE581" s="41"/>
      <c r="AF581" s="41"/>
      <c r="AG581" s="41"/>
      <c r="AH581" s="41"/>
      <c r="AI581" s="41"/>
    </row>
    <row r="582" spans="1:35" ht="15.75" customHeight="1" x14ac:dyDescent="0.2">
      <c r="A582" s="41"/>
      <c r="B582" s="41"/>
      <c r="C582" s="41"/>
      <c r="D582" s="72"/>
      <c r="E582" s="41"/>
      <c r="F582" s="41"/>
      <c r="G582" s="41"/>
      <c r="H582" s="41"/>
      <c r="I582" s="41"/>
      <c r="J582" s="41"/>
      <c r="K582" s="41"/>
      <c r="L582" s="41"/>
      <c r="M582" s="41"/>
      <c r="N582" s="41"/>
      <c r="O582" s="41"/>
      <c r="P582" s="41"/>
      <c r="Q582" s="41"/>
      <c r="R582" s="41"/>
      <c r="S582" s="41"/>
      <c r="T582" s="41"/>
      <c r="U582" s="41"/>
      <c r="V582" s="41"/>
      <c r="W582" s="41"/>
      <c r="X582" s="41"/>
      <c r="Y582" s="41"/>
      <c r="Z582" s="41"/>
      <c r="AA582" s="41"/>
      <c r="AB582" s="41"/>
      <c r="AC582" s="41"/>
      <c r="AD582" s="41"/>
      <c r="AE582" s="41"/>
      <c r="AF582" s="41"/>
      <c r="AG582" s="41"/>
      <c r="AH582" s="41"/>
      <c r="AI582" s="41"/>
    </row>
    <row r="583" spans="1:35" ht="15.75" customHeight="1" x14ac:dyDescent="0.2">
      <c r="A583" s="41"/>
      <c r="B583" s="41"/>
      <c r="C583" s="41"/>
      <c r="D583" s="72"/>
      <c r="E583" s="41"/>
      <c r="F583" s="41"/>
      <c r="G583" s="41"/>
      <c r="H583" s="41"/>
      <c r="I583" s="41"/>
      <c r="J583" s="41"/>
      <c r="K583" s="41"/>
      <c r="L583" s="41"/>
      <c r="M583" s="41"/>
      <c r="N583" s="41"/>
      <c r="O583" s="41"/>
      <c r="P583" s="41"/>
      <c r="Q583" s="41"/>
      <c r="R583" s="41"/>
      <c r="S583" s="41"/>
      <c r="T583" s="41"/>
      <c r="U583" s="41"/>
      <c r="V583" s="41"/>
      <c r="W583" s="41"/>
      <c r="X583" s="41"/>
      <c r="Y583" s="41"/>
      <c r="Z583" s="41"/>
      <c r="AA583" s="41"/>
      <c r="AB583" s="41"/>
      <c r="AC583" s="41"/>
      <c r="AD583" s="41"/>
      <c r="AE583" s="41"/>
      <c r="AF583" s="41"/>
      <c r="AG583" s="41"/>
      <c r="AH583" s="41"/>
      <c r="AI583" s="41"/>
    </row>
    <row r="584" spans="1:35" ht="15.75" customHeight="1" x14ac:dyDescent="0.2">
      <c r="A584" s="41"/>
      <c r="B584" s="41"/>
      <c r="C584" s="41"/>
      <c r="D584" s="72"/>
      <c r="E584" s="41"/>
      <c r="F584" s="41"/>
      <c r="G584" s="41"/>
      <c r="H584" s="41"/>
      <c r="I584" s="41"/>
      <c r="J584" s="41"/>
      <c r="K584" s="41"/>
      <c r="L584" s="41"/>
      <c r="M584" s="41"/>
      <c r="N584" s="41"/>
      <c r="O584" s="41"/>
      <c r="P584" s="41"/>
      <c r="Q584" s="41"/>
      <c r="R584" s="41"/>
      <c r="S584" s="41"/>
      <c r="T584" s="41"/>
      <c r="U584" s="41"/>
      <c r="V584" s="41"/>
      <c r="W584" s="41"/>
      <c r="X584" s="41"/>
      <c r="Y584" s="41"/>
      <c r="Z584" s="41"/>
      <c r="AA584" s="41"/>
      <c r="AB584" s="41"/>
      <c r="AC584" s="41"/>
      <c r="AD584" s="41"/>
      <c r="AE584" s="41"/>
      <c r="AF584" s="41"/>
      <c r="AG584" s="41"/>
      <c r="AH584" s="41"/>
      <c r="AI584" s="41"/>
    </row>
    <row r="585" spans="1:35" ht="15.75" customHeight="1" x14ac:dyDescent="0.2">
      <c r="A585" s="41"/>
      <c r="B585" s="41"/>
      <c r="C585" s="41"/>
      <c r="D585" s="72"/>
      <c r="E585" s="41"/>
      <c r="F585" s="41"/>
      <c r="G585" s="41"/>
      <c r="H585" s="41"/>
      <c r="I585" s="41"/>
      <c r="J585" s="41"/>
      <c r="K585" s="41"/>
      <c r="L585" s="41"/>
      <c r="M585" s="41"/>
      <c r="N585" s="41"/>
      <c r="O585" s="41"/>
      <c r="P585" s="41"/>
      <c r="Q585" s="41"/>
      <c r="R585" s="41"/>
      <c r="S585" s="41"/>
      <c r="T585" s="41"/>
      <c r="U585" s="41"/>
      <c r="V585" s="41"/>
      <c r="W585" s="41"/>
      <c r="X585" s="41"/>
      <c r="Y585" s="41"/>
      <c r="Z585" s="41"/>
      <c r="AA585" s="41"/>
      <c r="AB585" s="41"/>
      <c r="AC585" s="41"/>
      <c r="AD585" s="41"/>
      <c r="AE585" s="41"/>
      <c r="AF585" s="41"/>
      <c r="AG585" s="41"/>
      <c r="AH585" s="41"/>
      <c r="AI585" s="41"/>
    </row>
    <row r="586" spans="1:35" ht="15.75" customHeight="1" x14ac:dyDescent="0.2">
      <c r="A586" s="41"/>
      <c r="B586" s="41"/>
      <c r="C586" s="41"/>
      <c r="D586" s="72"/>
      <c r="E586" s="41"/>
      <c r="F586" s="41"/>
      <c r="G586" s="41"/>
      <c r="H586" s="41"/>
      <c r="I586" s="41"/>
      <c r="J586" s="41"/>
      <c r="K586" s="41"/>
      <c r="L586" s="41"/>
      <c r="M586" s="41"/>
      <c r="N586" s="41"/>
      <c r="O586" s="41"/>
      <c r="P586" s="41"/>
      <c r="Q586" s="41"/>
      <c r="R586" s="41"/>
      <c r="S586" s="41"/>
      <c r="T586" s="41"/>
      <c r="U586" s="41"/>
      <c r="V586" s="41"/>
      <c r="W586" s="41"/>
      <c r="X586" s="41"/>
      <c r="Y586" s="41"/>
      <c r="Z586" s="41"/>
      <c r="AA586" s="41"/>
      <c r="AB586" s="41"/>
      <c r="AC586" s="41"/>
      <c r="AD586" s="41"/>
      <c r="AE586" s="41"/>
      <c r="AF586" s="41"/>
      <c r="AG586" s="41"/>
      <c r="AH586" s="41"/>
      <c r="AI586" s="41"/>
    </row>
    <row r="587" spans="1:35" ht="15.75" customHeight="1" x14ac:dyDescent="0.2">
      <c r="A587" s="41"/>
      <c r="B587" s="41"/>
      <c r="C587" s="41"/>
      <c r="D587" s="72"/>
      <c r="E587" s="41"/>
      <c r="F587" s="41"/>
      <c r="G587" s="41"/>
      <c r="H587" s="41"/>
      <c r="I587" s="41"/>
      <c r="J587" s="41"/>
      <c r="K587" s="41"/>
      <c r="L587" s="41"/>
      <c r="M587" s="41"/>
      <c r="N587" s="41"/>
      <c r="O587" s="41"/>
      <c r="P587" s="41"/>
      <c r="Q587" s="41"/>
      <c r="R587" s="41"/>
      <c r="S587" s="41"/>
      <c r="T587" s="41"/>
      <c r="U587" s="41"/>
      <c r="V587" s="41"/>
      <c r="W587" s="41"/>
      <c r="X587" s="41"/>
      <c r="Y587" s="41"/>
      <c r="Z587" s="41"/>
      <c r="AA587" s="41"/>
      <c r="AB587" s="41"/>
      <c r="AC587" s="41"/>
      <c r="AD587" s="41"/>
      <c r="AE587" s="41"/>
      <c r="AF587" s="41"/>
      <c r="AG587" s="41"/>
      <c r="AH587" s="41"/>
      <c r="AI587" s="41"/>
    </row>
    <row r="588" spans="1:35" ht="15.75" customHeight="1" x14ac:dyDescent="0.2">
      <c r="A588" s="41"/>
      <c r="B588" s="41"/>
      <c r="C588" s="41"/>
      <c r="D588" s="72"/>
      <c r="E588" s="41"/>
      <c r="F588" s="41"/>
      <c r="G588" s="41"/>
      <c r="H588" s="41"/>
      <c r="I588" s="41"/>
      <c r="J588" s="41"/>
      <c r="K588" s="41"/>
      <c r="L588" s="41"/>
      <c r="M588" s="41"/>
      <c r="N588" s="41"/>
      <c r="O588" s="41"/>
      <c r="P588" s="41"/>
      <c r="Q588" s="41"/>
      <c r="R588" s="41"/>
      <c r="S588" s="41"/>
      <c r="T588" s="41"/>
      <c r="U588" s="41"/>
      <c r="V588" s="41"/>
      <c r="W588" s="41"/>
      <c r="X588" s="41"/>
      <c r="Y588" s="41"/>
      <c r="Z588" s="41"/>
      <c r="AA588" s="41"/>
      <c r="AB588" s="41"/>
      <c r="AC588" s="41"/>
      <c r="AD588" s="41"/>
      <c r="AE588" s="41"/>
      <c r="AF588" s="41"/>
      <c r="AG588" s="41"/>
      <c r="AH588" s="41"/>
      <c r="AI588" s="41"/>
    </row>
    <row r="589" spans="1:35" ht="15.75" customHeight="1" x14ac:dyDescent="0.2">
      <c r="A589" s="41"/>
      <c r="B589" s="41"/>
      <c r="C589" s="41"/>
      <c r="D589" s="72"/>
      <c r="E589" s="41"/>
      <c r="F589" s="41"/>
      <c r="G589" s="41"/>
      <c r="H589" s="41"/>
      <c r="I589" s="41"/>
      <c r="J589" s="41"/>
      <c r="K589" s="41"/>
      <c r="L589" s="41"/>
      <c r="M589" s="41"/>
      <c r="N589" s="41"/>
      <c r="O589" s="41"/>
      <c r="P589" s="41"/>
      <c r="Q589" s="41"/>
      <c r="R589" s="41"/>
      <c r="S589" s="41"/>
      <c r="T589" s="41"/>
      <c r="U589" s="41"/>
      <c r="V589" s="41"/>
      <c r="W589" s="41"/>
      <c r="X589" s="41"/>
      <c r="Y589" s="41"/>
      <c r="Z589" s="41"/>
      <c r="AA589" s="41"/>
      <c r="AB589" s="41"/>
      <c r="AC589" s="41"/>
      <c r="AD589" s="41"/>
      <c r="AE589" s="41"/>
      <c r="AF589" s="41"/>
      <c r="AG589" s="41"/>
      <c r="AH589" s="41"/>
      <c r="AI589" s="41"/>
    </row>
    <row r="590" spans="1:35" ht="15.75" customHeight="1" x14ac:dyDescent="0.2">
      <c r="A590" s="41"/>
      <c r="B590" s="41"/>
      <c r="C590" s="41"/>
      <c r="D590" s="72"/>
      <c r="E590" s="41"/>
      <c r="F590" s="41"/>
      <c r="G590" s="41"/>
      <c r="H590" s="41"/>
      <c r="I590" s="41"/>
      <c r="J590" s="41"/>
      <c r="K590" s="41"/>
      <c r="L590" s="41"/>
      <c r="M590" s="41"/>
      <c r="N590" s="41"/>
      <c r="O590" s="41"/>
      <c r="P590" s="41"/>
      <c r="Q590" s="41"/>
      <c r="R590" s="41"/>
      <c r="S590" s="41"/>
      <c r="T590" s="41"/>
      <c r="U590" s="41"/>
      <c r="V590" s="41"/>
      <c r="W590" s="41"/>
      <c r="X590" s="41"/>
      <c r="Y590" s="41"/>
      <c r="Z590" s="41"/>
      <c r="AA590" s="41"/>
      <c r="AB590" s="41"/>
      <c r="AC590" s="41"/>
      <c r="AD590" s="41"/>
      <c r="AE590" s="41"/>
      <c r="AF590" s="41"/>
      <c r="AG590" s="41"/>
      <c r="AH590" s="41"/>
      <c r="AI590" s="41"/>
    </row>
    <row r="591" spans="1:35" ht="15.75" customHeight="1" x14ac:dyDescent="0.2">
      <c r="A591" s="41"/>
      <c r="B591" s="41"/>
      <c r="C591" s="41"/>
      <c r="D591" s="72"/>
      <c r="E591" s="41"/>
      <c r="F591" s="41"/>
      <c r="G591" s="41"/>
      <c r="H591" s="41"/>
      <c r="I591" s="41"/>
      <c r="J591" s="41"/>
      <c r="K591" s="41"/>
      <c r="L591" s="41"/>
      <c r="M591" s="41"/>
      <c r="N591" s="41"/>
      <c r="O591" s="41"/>
      <c r="P591" s="41"/>
      <c r="Q591" s="41"/>
      <c r="R591" s="41"/>
      <c r="S591" s="41"/>
      <c r="T591" s="41"/>
      <c r="U591" s="41"/>
      <c r="V591" s="41"/>
      <c r="W591" s="41"/>
      <c r="X591" s="41"/>
      <c r="Y591" s="41"/>
      <c r="Z591" s="41"/>
      <c r="AA591" s="41"/>
      <c r="AB591" s="41"/>
      <c r="AC591" s="41"/>
      <c r="AD591" s="41"/>
      <c r="AE591" s="41"/>
      <c r="AF591" s="41"/>
      <c r="AG591" s="41"/>
      <c r="AH591" s="41"/>
      <c r="AI591" s="41"/>
    </row>
    <row r="592" spans="1:35" ht="15.75" customHeight="1" x14ac:dyDescent="0.2">
      <c r="A592" s="41"/>
      <c r="B592" s="41"/>
      <c r="C592" s="41"/>
      <c r="D592" s="72"/>
      <c r="E592" s="41"/>
      <c r="F592" s="41"/>
      <c r="G592" s="41"/>
      <c r="H592" s="41"/>
      <c r="I592" s="41"/>
      <c r="J592" s="41"/>
      <c r="K592" s="41"/>
      <c r="L592" s="41"/>
      <c r="M592" s="41"/>
      <c r="N592" s="41"/>
      <c r="O592" s="41"/>
      <c r="P592" s="41"/>
      <c r="Q592" s="41"/>
      <c r="R592" s="41"/>
      <c r="S592" s="41"/>
      <c r="T592" s="41"/>
      <c r="U592" s="41"/>
      <c r="V592" s="41"/>
      <c r="W592" s="41"/>
      <c r="X592" s="41"/>
      <c r="Y592" s="41"/>
      <c r="Z592" s="41"/>
      <c r="AA592" s="41"/>
      <c r="AB592" s="41"/>
      <c r="AC592" s="41"/>
      <c r="AD592" s="41"/>
      <c r="AE592" s="41"/>
      <c r="AF592" s="41"/>
      <c r="AG592" s="41"/>
      <c r="AH592" s="41"/>
      <c r="AI592" s="41"/>
    </row>
    <row r="593" spans="1:35" ht="15.75" customHeight="1" x14ac:dyDescent="0.2">
      <c r="A593" s="41"/>
      <c r="B593" s="41"/>
      <c r="C593" s="41"/>
      <c r="D593" s="72"/>
      <c r="E593" s="41"/>
      <c r="F593" s="41"/>
      <c r="G593" s="41"/>
      <c r="H593" s="41"/>
      <c r="I593" s="41"/>
      <c r="J593" s="41"/>
      <c r="K593" s="41"/>
      <c r="L593" s="41"/>
      <c r="M593" s="41"/>
      <c r="N593" s="41"/>
      <c r="O593" s="41"/>
      <c r="P593" s="41"/>
      <c r="Q593" s="41"/>
      <c r="R593" s="41"/>
      <c r="S593" s="41"/>
      <c r="T593" s="41"/>
      <c r="U593" s="41"/>
      <c r="V593" s="41"/>
      <c r="W593" s="41"/>
      <c r="X593" s="41"/>
      <c r="Y593" s="41"/>
      <c r="Z593" s="41"/>
      <c r="AA593" s="41"/>
      <c r="AB593" s="41"/>
      <c r="AC593" s="41"/>
      <c r="AD593" s="41"/>
      <c r="AE593" s="41"/>
      <c r="AF593" s="41"/>
      <c r="AG593" s="41"/>
      <c r="AH593" s="41"/>
      <c r="AI593" s="41"/>
    </row>
    <row r="594" spans="1:35" ht="15.75" customHeight="1" x14ac:dyDescent="0.2">
      <c r="A594" s="41"/>
      <c r="B594" s="41"/>
      <c r="C594" s="41"/>
      <c r="D594" s="72"/>
      <c r="E594" s="41"/>
      <c r="F594" s="41"/>
      <c r="G594" s="41"/>
      <c r="H594" s="41"/>
      <c r="I594" s="41"/>
      <c r="J594" s="41"/>
      <c r="K594" s="41"/>
      <c r="L594" s="41"/>
      <c r="M594" s="41"/>
      <c r="N594" s="41"/>
      <c r="O594" s="41"/>
      <c r="P594" s="41"/>
      <c r="Q594" s="41"/>
      <c r="R594" s="41"/>
      <c r="S594" s="41"/>
      <c r="T594" s="41"/>
      <c r="U594" s="41"/>
      <c r="V594" s="41"/>
      <c r="W594" s="41"/>
      <c r="X594" s="41"/>
      <c r="Y594" s="41"/>
      <c r="Z594" s="41"/>
      <c r="AA594" s="41"/>
      <c r="AB594" s="41"/>
      <c r="AC594" s="41"/>
      <c r="AD594" s="41"/>
      <c r="AE594" s="41"/>
      <c r="AF594" s="41"/>
      <c r="AG594" s="41"/>
      <c r="AH594" s="41"/>
      <c r="AI594" s="41"/>
    </row>
    <row r="595" spans="1:35" ht="15.75" customHeight="1" x14ac:dyDescent="0.2">
      <c r="A595" s="41"/>
      <c r="B595" s="41"/>
      <c r="C595" s="41"/>
      <c r="D595" s="72"/>
      <c r="E595" s="41"/>
      <c r="F595" s="41"/>
      <c r="G595" s="41"/>
      <c r="H595" s="41"/>
      <c r="I595" s="41"/>
      <c r="J595" s="41"/>
      <c r="K595" s="41"/>
      <c r="L595" s="41"/>
      <c r="M595" s="41"/>
      <c r="N595" s="41"/>
      <c r="O595" s="41"/>
      <c r="P595" s="41"/>
      <c r="Q595" s="41"/>
      <c r="R595" s="41"/>
      <c r="S595" s="41"/>
      <c r="T595" s="41"/>
      <c r="U595" s="41"/>
      <c r="V595" s="41"/>
      <c r="W595" s="41"/>
      <c r="X595" s="41"/>
      <c r="Y595" s="41"/>
      <c r="Z595" s="41"/>
      <c r="AA595" s="41"/>
      <c r="AB595" s="41"/>
      <c r="AC595" s="41"/>
      <c r="AD595" s="41"/>
      <c r="AE595" s="41"/>
      <c r="AF595" s="41"/>
      <c r="AG595" s="41"/>
      <c r="AH595" s="41"/>
      <c r="AI595" s="41"/>
    </row>
    <row r="596" spans="1:35" ht="15.75" customHeight="1" x14ac:dyDescent="0.2">
      <c r="A596" s="41"/>
      <c r="B596" s="41"/>
      <c r="C596" s="41"/>
      <c r="D596" s="72"/>
      <c r="E596" s="41"/>
      <c r="F596" s="41"/>
      <c r="G596" s="41"/>
      <c r="H596" s="41"/>
      <c r="I596" s="41"/>
      <c r="J596" s="41"/>
      <c r="K596" s="41"/>
      <c r="L596" s="41"/>
      <c r="M596" s="41"/>
      <c r="N596" s="41"/>
      <c r="O596" s="41"/>
      <c r="P596" s="41"/>
      <c r="Q596" s="41"/>
      <c r="R596" s="41"/>
      <c r="S596" s="41"/>
      <c r="T596" s="41"/>
      <c r="U596" s="41"/>
      <c r="V596" s="41"/>
      <c r="W596" s="41"/>
      <c r="X596" s="41"/>
      <c r="Y596" s="41"/>
      <c r="Z596" s="41"/>
      <c r="AA596" s="41"/>
      <c r="AB596" s="41"/>
      <c r="AC596" s="41"/>
      <c r="AD596" s="41"/>
      <c r="AE596" s="41"/>
      <c r="AF596" s="41"/>
      <c r="AG596" s="41"/>
      <c r="AH596" s="41"/>
      <c r="AI596" s="41"/>
    </row>
    <row r="597" spans="1:35" ht="15.75" customHeight="1" x14ac:dyDescent="0.2">
      <c r="A597" s="41"/>
      <c r="B597" s="41"/>
      <c r="C597" s="41"/>
      <c r="D597" s="72"/>
      <c r="E597" s="41"/>
      <c r="F597" s="41"/>
      <c r="G597" s="41"/>
      <c r="H597" s="41"/>
      <c r="I597" s="41"/>
      <c r="J597" s="41"/>
      <c r="K597" s="41"/>
      <c r="L597" s="41"/>
      <c r="M597" s="41"/>
      <c r="N597" s="41"/>
      <c r="O597" s="41"/>
      <c r="P597" s="41"/>
      <c r="Q597" s="41"/>
      <c r="R597" s="41"/>
      <c r="S597" s="41"/>
      <c r="T597" s="41"/>
      <c r="U597" s="41"/>
      <c r="V597" s="41"/>
      <c r="W597" s="41"/>
      <c r="X597" s="41"/>
      <c r="Y597" s="41"/>
      <c r="Z597" s="41"/>
      <c r="AA597" s="41"/>
      <c r="AB597" s="41"/>
      <c r="AC597" s="41"/>
      <c r="AD597" s="41"/>
      <c r="AE597" s="41"/>
      <c r="AF597" s="41"/>
      <c r="AG597" s="41"/>
      <c r="AH597" s="41"/>
      <c r="AI597" s="41"/>
    </row>
    <row r="598" spans="1:35" ht="15.75" customHeight="1" x14ac:dyDescent="0.2">
      <c r="A598" s="41"/>
      <c r="B598" s="41"/>
      <c r="C598" s="41"/>
      <c r="D598" s="72"/>
      <c r="E598" s="41"/>
      <c r="F598" s="41"/>
      <c r="G598" s="41"/>
      <c r="H598" s="41"/>
      <c r="I598" s="41"/>
      <c r="J598" s="41"/>
      <c r="K598" s="41"/>
      <c r="L598" s="41"/>
      <c r="M598" s="41"/>
      <c r="N598" s="41"/>
      <c r="O598" s="41"/>
      <c r="P598" s="41"/>
      <c r="Q598" s="41"/>
      <c r="R598" s="41"/>
      <c r="S598" s="41"/>
      <c r="T598" s="41"/>
      <c r="U598" s="41"/>
      <c r="V598" s="41"/>
      <c r="W598" s="41"/>
      <c r="X598" s="41"/>
      <c r="Y598" s="41"/>
      <c r="Z598" s="41"/>
      <c r="AA598" s="41"/>
      <c r="AB598" s="41"/>
      <c r="AC598" s="41"/>
      <c r="AD598" s="41"/>
      <c r="AE598" s="41"/>
      <c r="AF598" s="41"/>
      <c r="AG598" s="41"/>
      <c r="AH598" s="41"/>
      <c r="AI598" s="41"/>
    </row>
    <row r="599" spans="1:35" ht="15.75" customHeight="1" x14ac:dyDescent="0.2">
      <c r="A599" s="41"/>
      <c r="B599" s="41"/>
      <c r="C599" s="41"/>
      <c r="D599" s="72"/>
      <c r="E599" s="41"/>
      <c r="F599" s="41"/>
      <c r="G599" s="41"/>
      <c r="H599" s="41"/>
      <c r="I599" s="41"/>
      <c r="J599" s="41"/>
      <c r="K599" s="41"/>
      <c r="L599" s="41"/>
      <c r="M599" s="41"/>
      <c r="N599" s="41"/>
      <c r="O599" s="41"/>
      <c r="P599" s="41"/>
      <c r="Q599" s="41"/>
      <c r="R599" s="41"/>
      <c r="S599" s="41"/>
      <c r="T599" s="41"/>
      <c r="U599" s="41"/>
      <c r="V599" s="41"/>
      <c r="W599" s="41"/>
      <c r="X599" s="41"/>
      <c r="Y599" s="41"/>
      <c r="Z599" s="41"/>
      <c r="AA599" s="41"/>
      <c r="AB599" s="41"/>
      <c r="AC599" s="41"/>
      <c r="AD599" s="41"/>
      <c r="AE599" s="41"/>
      <c r="AF599" s="41"/>
      <c r="AG599" s="41"/>
      <c r="AH599" s="41"/>
      <c r="AI599" s="41"/>
    </row>
    <row r="600" spans="1:35" ht="15.75" customHeight="1" x14ac:dyDescent="0.2">
      <c r="A600" s="41"/>
      <c r="B600" s="41"/>
      <c r="C600" s="41"/>
      <c r="D600" s="72"/>
      <c r="E600" s="41"/>
      <c r="F600" s="41"/>
      <c r="G600" s="41"/>
      <c r="H600" s="41"/>
      <c r="I600" s="41"/>
      <c r="J600" s="41"/>
      <c r="K600" s="41"/>
      <c r="L600" s="41"/>
      <c r="M600" s="41"/>
      <c r="N600" s="41"/>
      <c r="O600" s="41"/>
      <c r="P600" s="41"/>
      <c r="Q600" s="41"/>
      <c r="R600" s="41"/>
      <c r="S600" s="41"/>
      <c r="T600" s="41"/>
      <c r="U600" s="41"/>
      <c r="V600" s="41"/>
      <c r="W600" s="41"/>
      <c r="X600" s="41"/>
      <c r="Y600" s="41"/>
      <c r="Z600" s="41"/>
      <c r="AA600" s="41"/>
      <c r="AB600" s="41"/>
      <c r="AC600" s="41"/>
      <c r="AD600" s="41"/>
      <c r="AE600" s="41"/>
      <c r="AF600" s="41"/>
      <c r="AG600" s="41"/>
      <c r="AH600" s="41"/>
      <c r="AI600" s="41"/>
    </row>
    <row r="601" spans="1:35" ht="15.75" customHeight="1" x14ac:dyDescent="0.2">
      <c r="A601" s="41"/>
      <c r="B601" s="41"/>
      <c r="C601" s="41"/>
      <c r="D601" s="72"/>
      <c r="E601" s="41"/>
      <c r="F601" s="41"/>
      <c r="G601" s="41"/>
      <c r="H601" s="41"/>
      <c r="I601" s="41"/>
      <c r="J601" s="41"/>
      <c r="K601" s="41"/>
      <c r="L601" s="41"/>
      <c r="M601" s="41"/>
      <c r="N601" s="41"/>
      <c r="O601" s="41"/>
      <c r="P601" s="41"/>
      <c r="Q601" s="41"/>
      <c r="R601" s="41"/>
      <c r="S601" s="41"/>
      <c r="T601" s="41"/>
      <c r="U601" s="41"/>
      <c r="V601" s="41"/>
      <c r="W601" s="41"/>
      <c r="X601" s="41"/>
      <c r="Y601" s="41"/>
      <c r="Z601" s="41"/>
      <c r="AA601" s="41"/>
      <c r="AB601" s="41"/>
      <c r="AC601" s="41"/>
      <c r="AD601" s="41"/>
      <c r="AE601" s="41"/>
      <c r="AF601" s="41"/>
      <c r="AG601" s="41"/>
      <c r="AH601" s="41"/>
      <c r="AI601" s="41"/>
    </row>
    <row r="602" spans="1:35" ht="15.75" customHeight="1" x14ac:dyDescent="0.2">
      <c r="A602" s="41"/>
      <c r="B602" s="41"/>
      <c r="C602" s="41"/>
      <c r="D602" s="72"/>
      <c r="E602" s="41"/>
      <c r="F602" s="41"/>
      <c r="G602" s="41"/>
      <c r="H602" s="41"/>
      <c r="I602" s="41"/>
      <c r="J602" s="41"/>
      <c r="K602" s="41"/>
      <c r="L602" s="41"/>
      <c r="M602" s="41"/>
      <c r="N602" s="41"/>
      <c r="O602" s="41"/>
      <c r="P602" s="41"/>
      <c r="Q602" s="41"/>
      <c r="R602" s="41"/>
      <c r="S602" s="41"/>
      <c r="T602" s="41"/>
      <c r="U602" s="41"/>
      <c r="V602" s="41"/>
      <c r="W602" s="41"/>
      <c r="X602" s="41"/>
      <c r="Y602" s="41"/>
      <c r="Z602" s="41"/>
      <c r="AA602" s="41"/>
      <c r="AB602" s="41"/>
      <c r="AC602" s="41"/>
      <c r="AD602" s="41"/>
      <c r="AE602" s="41"/>
      <c r="AF602" s="41"/>
      <c r="AG602" s="41"/>
      <c r="AH602" s="41"/>
      <c r="AI602" s="41"/>
    </row>
    <row r="603" spans="1:35" ht="15.75" customHeight="1" x14ac:dyDescent="0.2">
      <c r="A603" s="41"/>
      <c r="B603" s="41"/>
      <c r="C603" s="41"/>
      <c r="D603" s="72"/>
      <c r="E603" s="41"/>
      <c r="F603" s="41"/>
      <c r="G603" s="41"/>
      <c r="H603" s="41"/>
      <c r="I603" s="41"/>
      <c r="J603" s="41"/>
      <c r="K603" s="41"/>
      <c r="L603" s="41"/>
      <c r="M603" s="41"/>
      <c r="N603" s="41"/>
      <c r="O603" s="41"/>
      <c r="P603" s="41"/>
      <c r="Q603" s="41"/>
      <c r="R603" s="41"/>
      <c r="S603" s="41"/>
      <c r="T603" s="41"/>
      <c r="U603" s="41"/>
      <c r="V603" s="41"/>
      <c r="W603" s="41"/>
      <c r="X603" s="41"/>
      <c r="Y603" s="41"/>
      <c r="Z603" s="41"/>
      <c r="AA603" s="41"/>
      <c r="AB603" s="41"/>
      <c r="AC603" s="41"/>
      <c r="AD603" s="41"/>
      <c r="AE603" s="41"/>
      <c r="AF603" s="41"/>
      <c r="AG603" s="41"/>
      <c r="AH603" s="41"/>
      <c r="AI603" s="41"/>
    </row>
    <row r="604" spans="1:35" ht="15.75" customHeight="1" x14ac:dyDescent="0.2">
      <c r="A604" s="41"/>
      <c r="B604" s="41"/>
      <c r="C604" s="41"/>
      <c r="D604" s="72"/>
      <c r="E604" s="41"/>
      <c r="F604" s="41"/>
      <c r="G604" s="41"/>
      <c r="H604" s="41"/>
      <c r="I604" s="41"/>
      <c r="J604" s="41"/>
      <c r="K604" s="41"/>
      <c r="L604" s="41"/>
      <c r="M604" s="41"/>
      <c r="N604" s="41"/>
      <c r="O604" s="41"/>
      <c r="P604" s="41"/>
      <c r="Q604" s="41"/>
      <c r="R604" s="41"/>
      <c r="S604" s="41"/>
      <c r="T604" s="41"/>
      <c r="U604" s="41"/>
      <c r="V604" s="41"/>
      <c r="W604" s="41"/>
      <c r="X604" s="41"/>
      <c r="Y604" s="41"/>
      <c r="Z604" s="41"/>
      <c r="AA604" s="41"/>
      <c r="AB604" s="41"/>
      <c r="AC604" s="41"/>
      <c r="AD604" s="41"/>
      <c r="AE604" s="41"/>
      <c r="AF604" s="41"/>
      <c r="AG604" s="41"/>
      <c r="AH604" s="41"/>
      <c r="AI604" s="41"/>
    </row>
    <row r="605" spans="1:35" ht="15.75" customHeight="1" x14ac:dyDescent="0.2">
      <c r="A605" s="41"/>
      <c r="B605" s="41"/>
      <c r="C605" s="41"/>
      <c r="D605" s="72"/>
      <c r="E605" s="41"/>
      <c r="F605" s="41"/>
      <c r="G605" s="41"/>
      <c r="H605" s="41"/>
      <c r="I605" s="41"/>
      <c r="J605" s="41"/>
      <c r="K605" s="41"/>
      <c r="L605" s="41"/>
      <c r="M605" s="41"/>
      <c r="N605" s="41"/>
      <c r="O605" s="41"/>
      <c r="P605" s="41"/>
      <c r="Q605" s="41"/>
      <c r="R605" s="41"/>
      <c r="S605" s="41"/>
      <c r="T605" s="41"/>
      <c r="U605" s="41"/>
      <c r="V605" s="41"/>
      <c r="W605" s="41"/>
      <c r="X605" s="41"/>
      <c r="Y605" s="41"/>
      <c r="Z605" s="41"/>
      <c r="AA605" s="41"/>
      <c r="AB605" s="41"/>
      <c r="AC605" s="41"/>
      <c r="AD605" s="41"/>
      <c r="AE605" s="41"/>
      <c r="AF605" s="41"/>
      <c r="AG605" s="41"/>
      <c r="AH605" s="41"/>
      <c r="AI605" s="41"/>
    </row>
    <row r="606" spans="1:35" ht="15.75" customHeight="1" x14ac:dyDescent="0.2">
      <c r="A606" s="41"/>
      <c r="B606" s="41"/>
      <c r="C606" s="41"/>
      <c r="D606" s="72"/>
      <c r="E606" s="41"/>
      <c r="F606" s="41"/>
      <c r="G606" s="41"/>
      <c r="H606" s="41"/>
      <c r="I606" s="41"/>
      <c r="J606" s="41"/>
      <c r="K606" s="41"/>
      <c r="L606" s="41"/>
      <c r="M606" s="41"/>
      <c r="N606" s="41"/>
      <c r="O606" s="41"/>
      <c r="P606" s="41"/>
      <c r="Q606" s="41"/>
      <c r="R606" s="41"/>
      <c r="S606" s="41"/>
      <c r="T606" s="41"/>
      <c r="U606" s="41"/>
      <c r="V606" s="41"/>
      <c r="W606" s="41"/>
      <c r="X606" s="41"/>
      <c r="Y606" s="41"/>
      <c r="Z606" s="41"/>
      <c r="AA606" s="41"/>
      <c r="AB606" s="41"/>
      <c r="AC606" s="41"/>
      <c r="AD606" s="41"/>
      <c r="AE606" s="41"/>
      <c r="AF606" s="41"/>
      <c r="AG606" s="41"/>
      <c r="AH606" s="41"/>
      <c r="AI606" s="41"/>
    </row>
    <row r="607" spans="1:35" ht="15.75" customHeight="1" x14ac:dyDescent="0.2">
      <c r="A607" s="41"/>
      <c r="B607" s="41"/>
      <c r="C607" s="41"/>
      <c r="D607" s="72"/>
      <c r="E607" s="41"/>
      <c r="F607" s="41"/>
      <c r="G607" s="41"/>
      <c r="H607" s="41"/>
      <c r="I607" s="41"/>
      <c r="J607" s="41"/>
      <c r="K607" s="41"/>
      <c r="L607" s="41"/>
      <c r="M607" s="41"/>
      <c r="N607" s="41"/>
      <c r="O607" s="41"/>
      <c r="P607" s="41"/>
      <c r="Q607" s="41"/>
      <c r="R607" s="41"/>
      <c r="S607" s="41"/>
      <c r="T607" s="41"/>
      <c r="U607" s="41"/>
      <c r="V607" s="41"/>
      <c r="W607" s="41"/>
      <c r="X607" s="41"/>
      <c r="Y607" s="41"/>
      <c r="Z607" s="41"/>
      <c r="AA607" s="41"/>
      <c r="AB607" s="41"/>
      <c r="AC607" s="41"/>
      <c r="AD607" s="41"/>
      <c r="AE607" s="41"/>
      <c r="AF607" s="41"/>
      <c r="AG607" s="41"/>
      <c r="AH607" s="41"/>
      <c r="AI607" s="41"/>
    </row>
    <row r="608" spans="1:35" ht="15.75" customHeight="1" x14ac:dyDescent="0.2">
      <c r="A608" s="41"/>
      <c r="B608" s="41"/>
      <c r="C608" s="41"/>
      <c r="D608" s="72"/>
      <c r="E608" s="41"/>
      <c r="F608" s="41"/>
      <c r="G608" s="41"/>
      <c r="H608" s="41"/>
      <c r="I608" s="41"/>
      <c r="J608" s="41"/>
      <c r="K608" s="41"/>
      <c r="L608" s="41"/>
      <c r="M608" s="41"/>
      <c r="N608" s="41"/>
      <c r="O608" s="41"/>
      <c r="P608" s="41"/>
      <c r="Q608" s="41"/>
      <c r="R608" s="41"/>
      <c r="S608" s="41"/>
      <c r="T608" s="41"/>
      <c r="U608" s="41"/>
      <c r="V608" s="41"/>
      <c r="W608" s="41"/>
      <c r="X608" s="41"/>
      <c r="Y608" s="41"/>
      <c r="Z608" s="41"/>
      <c r="AA608" s="41"/>
      <c r="AB608" s="41"/>
      <c r="AC608" s="41"/>
      <c r="AD608" s="41"/>
      <c r="AE608" s="41"/>
      <c r="AF608" s="41"/>
      <c r="AG608" s="41"/>
      <c r="AH608" s="41"/>
      <c r="AI608" s="41"/>
    </row>
    <row r="609" spans="1:35" ht="15.75" customHeight="1" x14ac:dyDescent="0.2">
      <c r="A609" s="41"/>
      <c r="B609" s="41"/>
      <c r="C609" s="41"/>
      <c r="D609" s="72"/>
      <c r="E609" s="41"/>
      <c r="F609" s="41"/>
      <c r="G609" s="41"/>
      <c r="H609" s="41"/>
      <c r="I609" s="41"/>
      <c r="J609" s="41"/>
      <c r="K609" s="41"/>
      <c r="L609" s="41"/>
      <c r="M609" s="41"/>
      <c r="N609" s="41"/>
      <c r="O609" s="41"/>
      <c r="P609" s="41"/>
      <c r="Q609" s="41"/>
      <c r="R609" s="41"/>
      <c r="S609" s="41"/>
      <c r="T609" s="41"/>
      <c r="U609" s="41"/>
      <c r="V609" s="41"/>
      <c r="W609" s="41"/>
      <c r="X609" s="41"/>
      <c r="Y609" s="41"/>
      <c r="Z609" s="41"/>
      <c r="AA609" s="41"/>
      <c r="AB609" s="41"/>
      <c r="AC609" s="41"/>
      <c r="AD609" s="41"/>
      <c r="AE609" s="41"/>
      <c r="AF609" s="41"/>
      <c r="AG609" s="41"/>
      <c r="AH609" s="41"/>
      <c r="AI609" s="41"/>
    </row>
    <row r="610" spans="1:35" ht="15.75" customHeight="1" x14ac:dyDescent="0.2">
      <c r="A610" s="41"/>
      <c r="B610" s="41"/>
      <c r="C610" s="41"/>
      <c r="D610" s="72"/>
      <c r="E610" s="41"/>
      <c r="F610" s="41"/>
      <c r="G610" s="41"/>
      <c r="H610" s="41"/>
      <c r="I610" s="41"/>
      <c r="J610" s="41"/>
      <c r="K610" s="41"/>
      <c r="L610" s="41"/>
      <c r="M610" s="41"/>
      <c r="N610" s="41"/>
      <c r="O610" s="41"/>
      <c r="P610" s="41"/>
      <c r="Q610" s="41"/>
      <c r="R610" s="41"/>
      <c r="S610" s="41"/>
      <c r="T610" s="41"/>
      <c r="U610" s="41"/>
      <c r="V610" s="41"/>
      <c r="W610" s="41"/>
      <c r="X610" s="41"/>
      <c r="Y610" s="41"/>
      <c r="Z610" s="41"/>
      <c r="AA610" s="41"/>
      <c r="AB610" s="41"/>
      <c r="AC610" s="41"/>
      <c r="AD610" s="41"/>
      <c r="AE610" s="41"/>
      <c r="AF610" s="41"/>
      <c r="AG610" s="41"/>
      <c r="AH610" s="41"/>
      <c r="AI610" s="41"/>
    </row>
    <row r="611" spans="1:35" ht="15.75" customHeight="1" x14ac:dyDescent="0.2">
      <c r="A611" s="41"/>
      <c r="B611" s="41"/>
      <c r="C611" s="41"/>
      <c r="D611" s="72"/>
      <c r="E611" s="41"/>
      <c r="F611" s="41"/>
      <c r="G611" s="41"/>
      <c r="H611" s="41"/>
      <c r="I611" s="41"/>
      <c r="J611" s="41"/>
      <c r="K611" s="41"/>
      <c r="L611" s="41"/>
      <c r="M611" s="41"/>
      <c r="N611" s="41"/>
      <c r="O611" s="41"/>
      <c r="P611" s="41"/>
      <c r="Q611" s="41"/>
      <c r="R611" s="41"/>
      <c r="S611" s="41"/>
      <c r="T611" s="41"/>
      <c r="U611" s="41"/>
      <c r="V611" s="41"/>
      <c r="W611" s="41"/>
      <c r="X611" s="41"/>
      <c r="Y611" s="41"/>
      <c r="Z611" s="41"/>
      <c r="AA611" s="41"/>
      <c r="AB611" s="41"/>
      <c r="AC611" s="41"/>
      <c r="AD611" s="41"/>
      <c r="AE611" s="41"/>
      <c r="AF611" s="41"/>
      <c r="AG611" s="41"/>
      <c r="AH611" s="41"/>
      <c r="AI611" s="41"/>
    </row>
    <row r="612" spans="1:35" ht="15.75" customHeight="1" x14ac:dyDescent="0.2">
      <c r="A612" s="41"/>
      <c r="B612" s="41"/>
      <c r="C612" s="41"/>
      <c r="D612" s="72"/>
      <c r="E612" s="41"/>
      <c r="F612" s="41"/>
      <c r="G612" s="41"/>
      <c r="H612" s="41"/>
      <c r="I612" s="41"/>
      <c r="J612" s="41"/>
      <c r="K612" s="41"/>
      <c r="L612" s="41"/>
      <c r="M612" s="41"/>
      <c r="N612" s="41"/>
      <c r="O612" s="41"/>
      <c r="P612" s="41"/>
      <c r="Q612" s="41"/>
      <c r="R612" s="41"/>
      <c r="S612" s="41"/>
      <c r="T612" s="41"/>
      <c r="U612" s="41"/>
      <c r="V612" s="41"/>
      <c r="W612" s="41"/>
      <c r="X612" s="41"/>
      <c r="Y612" s="41"/>
      <c r="Z612" s="41"/>
      <c r="AA612" s="41"/>
      <c r="AB612" s="41"/>
      <c r="AC612" s="41"/>
      <c r="AD612" s="41"/>
      <c r="AE612" s="41"/>
      <c r="AF612" s="41"/>
      <c r="AG612" s="41"/>
      <c r="AH612" s="41"/>
      <c r="AI612" s="41"/>
    </row>
    <row r="613" spans="1:35" ht="15.75" customHeight="1" x14ac:dyDescent="0.2">
      <c r="A613" s="41"/>
      <c r="B613" s="41"/>
      <c r="C613" s="41"/>
      <c r="D613" s="72"/>
      <c r="E613" s="41"/>
      <c r="F613" s="41"/>
      <c r="G613" s="41"/>
      <c r="H613" s="41"/>
      <c r="I613" s="41"/>
      <c r="J613" s="41"/>
      <c r="K613" s="41"/>
      <c r="L613" s="41"/>
      <c r="M613" s="41"/>
      <c r="N613" s="41"/>
      <c r="O613" s="41"/>
      <c r="P613" s="41"/>
      <c r="Q613" s="41"/>
      <c r="R613" s="41"/>
      <c r="S613" s="41"/>
      <c r="T613" s="41"/>
      <c r="U613" s="41"/>
      <c r="V613" s="41"/>
      <c r="W613" s="41"/>
      <c r="X613" s="41"/>
      <c r="Y613" s="41"/>
      <c r="Z613" s="41"/>
      <c r="AA613" s="41"/>
      <c r="AB613" s="41"/>
      <c r="AC613" s="41"/>
      <c r="AD613" s="41"/>
      <c r="AE613" s="41"/>
      <c r="AF613" s="41"/>
      <c r="AG613" s="41"/>
      <c r="AH613" s="41"/>
      <c r="AI613" s="41"/>
    </row>
    <row r="614" spans="1:35" ht="15.75" customHeight="1" x14ac:dyDescent="0.2">
      <c r="A614" s="41"/>
      <c r="B614" s="41"/>
      <c r="C614" s="41"/>
      <c r="D614" s="72"/>
      <c r="E614" s="41"/>
      <c r="F614" s="41"/>
      <c r="G614" s="41"/>
      <c r="H614" s="41"/>
      <c r="I614" s="41"/>
      <c r="J614" s="41"/>
      <c r="K614" s="41"/>
      <c r="L614" s="41"/>
      <c r="M614" s="41"/>
      <c r="N614" s="41"/>
      <c r="O614" s="41"/>
      <c r="P614" s="41"/>
      <c r="Q614" s="41"/>
      <c r="R614" s="41"/>
      <c r="S614" s="41"/>
      <c r="T614" s="41"/>
      <c r="U614" s="41"/>
      <c r="V614" s="41"/>
      <c r="W614" s="41"/>
      <c r="X614" s="41"/>
      <c r="Y614" s="41"/>
      <c r="Z614" s="41"/>
      <c r="AA614" s="41"/>
      <c r="AB614" s="41"/>
      <c r="AC614" s="41"/>
      <c r="AD614" s="41"/>
      <c r="AE614" s="41"/>
      <c r="AF614" s="41"/>
      <c r="AG614" s="41"/>
      <c r="AH614" s="41"/>
      <c r="AI614" s="41"/>
    </row>
    <row r="615" spans="1:35" ht="15.75" customHeight="1" x14ac:dyDescent="0.2">
      <c r="A615" s="41"/>
      <c r="B615" s="41"/>
      <c r="C615" s="41"/>
      <c r="D615" s="72"/>
      <c r="E615" s="41"/>
      <c r="F615" s="41"/>
      <c r="G615" s="41"/>
      <c r="H615" s="41"/>
      <c r="I615" s="41"/>
      <c r="J615" s="41"/>
      <c r="K615" s="41"/>
      <c r="L615" s="41"/>
      <c r="M615" s="41"/>
      <c r="N615" s="41"/>
      <c r="O615" s="41"/>
      <c r="P615" s="41"/>
      <c r="Q615" s="41"/>
      <c r="R615" s="41"/>
      <c r="S615" s="41"/>
      <c r="T615" s="41"/>
      <c r="U615" s="41"/>
      <c r="V615" s="41"/>
      <c r="W615" s="41"/>
      <c r="X615" s="41"/>
      <c r="Y615" s="41"/>
      <c r="Z615" s="41"/>
      <c r="AA615" s="41"/>
      <c r="AB615" s="41"/>
      <c r="AC615" s="41"/>
      <c r="AD615" s="41"/>
      <c r="AE615" s="41"/>
      <c r="AF615" s="41"/>
      <c r="AG615" s="41"/>
      <c r="AH615" s="41"/>
      <c r="AI615" s="41"/>
    </row>
    <row r="616" spans="1:35" ht="15.75" customHeight="1" x14ac:dyDescent="0.2">
      <c r="A616" s="41"/>
      <c r="B616" s="41"/>
      <c r="C616" s="41"/>
      <c r="D616" s="72"/>
      <c r="E616" s="41"/>
      <c r="F616" s="41"/>
      <c r="G616" s="41"/>
      <c r="H616" s="41"/>
      <c r="I616" s="41"/>
      <c r="J616" s="41"/>
      <c r="K616" s="41"/>
      <c r="L616" s="41"/>
      <c r="M616" s="41"/>
      <c r="N616" s="41"/>
      <c r="O616" s="41"/>
      <c r="P616" s="41"/>
      <c r="Q616" s="41"/>
      <c r="R616" s="41"/>
      <c r="S616" s="41"/>
      <c r="T616" s="41"/>
      <c r="U616" s="41"/>
      <c r="V616" s="41"/>
      <c r="W616" s="41"/>
      <c r="X616" s="41"/>
      <c r="Y616" s="41"/>
      <c r="Z616" s="41"/>
      <c r="AA616" s="41"/>
      <c r="AB616" s="41"/>
      <c r="AC616" s="41"/>
      <c r="AD616" s="41"/>
      <c r="AE616" s="41"/>
      <c r="AF616" s="41"/>
      <c r="AG616" s="41"/>
      <c r="AH616" s="41"/>
      <c r="AI616" s="41"/>
    </row>
    <row r="617" spans="1:35" ht="15.75" customHeight="1" x14ac:dyDescent="0.2">
      <c r="A617" s="41"/>
      <c r="B617" s="41"/>
      <c r="C617" s="41"/>
      <c r="D617" s="72"/>
      <c r="E617" s="41"/>
      <c r="F617" s="41"/>
      <c r="G617" s="41"/>
      <c r="H617" s="41"/>
      <c r="I617" s="41"/>
      <c r="J617" s="41"/>
      <c r="K617" s="41"/>
      <c r="L617" s="41"/>
      <c r="M617" s="41"/>
      <c r="N617" s="41"/>
      <c r="O617" s="41"/>
      <c r="P617" s="41"/>
      <c r="Q617" s="41"/>
      <c r="R617" s="41"/>
      <c r="S617" s="41"/>
      <c r="T617" s="41"/>
      <c r="U617" s="41"/>
      <c r="V617" s="41"/>
      <c r="W617" s="41"/>
      <c r="X617" s="41"/>
      <c r="Y617" s="41"/>
      <c r="Z617" s="41"/>
      <c r="AA617" s="41"/>
      <c r="AB617" s="41"/>
      <c r="AC617" s="41"/>
      <c r="AD617" s="41"/>
      <c r="AE617" s="41"/>
      <c r="AF617" s="41"/>
      <c r="AG617" s="41"/>
      <c r="AH617" s="41"/>
      <c r="AI617" s="41"/>
    </row>
    <row r="618" spans="1:35" ht="15.75" customHeight="1" x14ac:dyDescent="0.2">
      <c r="A618" s="41"/>
      <c r="B618" s="41"/>
      <c r="C618" s="41"/>
      <c r="D618" s="72"/>
      <c r="E618" s="41"/>
      <c r="F618" s="41"/>
      <c r="G618" s="41"/>
      <c r="H618" s="41"/>
      <c r="I618" s="41"/>
      <c r="J618" s="41"/>
      <c r="K618" s="41"/>
      <c r="L618" s="41"/>
      <c r="M618" s="41"/>
      <c r="N618" s="41"/>
      <c r="O618" s="41"/>
      <c r="P618" s="41"/>
      <c r="Q618" s="41"/>
      <c r="R618" s="41"/>
      <c r="S618" s="41"/>
      <c r="T618" s="41"/>
      <c r="U618" s="41"/>
      <c r="V618" s="41"/>
      <c r="W618" s="41"/>
      <c r="X618" s="41"/>
      <c r="Y618" s="41"/>
      <c r="Z618" s="41"/>
      <c r="AA618" s="41"/>
      <c r="AB618" s="41"/>
      <c r="AC618" s="41"/>
      <c r="AD618" s="41"/>
      <c r="AE618" s="41"/>
      <c r="AF618" s="41"/>
      <c r="AG618" s="41"/>
      <c r="AH618" s="41"/>
      <c r="AI618" s="41"/>
    </row>
    <row r="619" spans="1:35" ht="15.75" customHeight="1" x14ac:dyDescent="0.2">
      <c r="A619" s="41"/>
      <c r="B619" s="41"/>
      <c r="C619" s="41"/>
      <c r="D619" s="72"/>
      <c r="E619" s="41"/>
      <c r="F619" s="41"/>
      <c r="G619" s="41"/>
      <c r="H619" s="41"/>
      <c r="I619" s="41"/>
      <c r="J619" s="41"/>
      <c r="K619" s="41"/>
      <c r="L619" s="41"/>
      <c r="M619" s="41"/>
      <c r="N619" s="41"/>
      <c r="O619" s="41"/>
      <c r="P619" s="41"/>
      <c r="Q619" s="41"/>
      <c r="R619" s="41"/>
      <c r="S619" s="41"/>
      <c r="T619" s="41"/>
      <c r="U619" s="41"/>
      <c r="V619" s="41"/>
      <c r="W619" s="41"/>
      <c r="X619" s="41"/>
      <c r="Y619" s="41"/>
      <c r="Z619" s="41"/>
      <c r="AA619" s="41"/>
      <c r="AB619" s="41"/>
      <c r="AC619" s="41"/>
      <c r="AD619" s="41"/>
      <c r="AE619" s="41"/>
      <c r="AF619" s="41"/>
      <c r="AG619" s="41"/>
      <c r="AH619" s="41"/>
      <c r="AI619" s="41"/>
    </row>
    <row r="620" spans="1:35" ht="15.75" customHeight="1" x14ac:dyDescent="0.2">
      <c r="A620" s="41"/>
      <c r="B620" s="41"/>
      <c r="C620" s="41"/>
      <c r="D620" s="72"/>
      <c r="E620" s="41"/>
      <c r="F620" s="41"/>
      <c r="G620" s="41"/>
      <c r="H620" s="41"/>
      <c r="I620" s="41"/>
      <c r="J620" s="41"/>
      <c r="K620" s="41"/>
      <c r="L620" s="41"/>
      <c r="M620" s="41"/>
      <c r="N620" s="41"/>
      <c r="O620" s="41"/>
      <c r="P620" s="41"/>
      <c r="Q620" s="41"/>
      <c r="R620" s="41"/>
      <c r="S620" s="41"/>
      <c r="T620" s="41"/>
      <c r="U620" s="41"/>
      <c r="V620" s="41"/>
      <c r="W620" s="41"/>
      <c r="X620" s="41"/>
      <c r="Y620" s="41"/>
      <c r="Z620" s="41"/>
      <c r="AA620" s="41"/>
      <c r="AB620" s="41"/>
      <c r="AC620" s="41"/>
      <c r="AD620" s="41"/>
      <c r="AE620" s="41"/>
      <c r="AF620" s="41"/>
      <c r="AG620" s="41"/>
      <c r="AH620" s="41"/>
      <c r="AI620" s="41"/>
    </row>
    <row r="621" spans="1:35" ht="15.75" customHeight="1" x14ac:dyDescent="0.2">
      <c r="A621" s="41"/>
      <c r="B621" s="41"/>
      <c r="C621" s="41"/>
      <c r="D621" s="72"/>
      <c r="E621" s="41"/>
      <c r="F621" s="41"/>
      <c r="G621" s="41"/>
      <c r="H621" s="41"/>
      <c r="I621" s="41"/>
      <c r="J621" s="41"/>
      <c r="K621" s="41"/>
      <c r="L621" s="41"/>
      <c r="M621" s="41"/>
      <c r="N621" s="41"/>
      <c r="O621" s="41"/>
      <c r="P621" s="41"/>
      <c r="Q621" s="41"/>
      <c r="R621" s="41"/>
      <c r="S621" s="41"/>
      <c r="T621" s="41"/>
      <c r="U621" s="41"/>
      <c r="V621" s="41"/>
      <c r="W621" s="41"/>
      <c r="X621" s="41"/>
      <c r="Y621" s="41"/>
      <c r="Z621" s="41"/>
      <c r="AA621" s="41"/>
      <c r="AB621" s="41"/>
      <c r="AC621" s="41"/>
      <c r="AD621" s="41"/>
      <c r="AE621" s="41"/>
      <c r="AF621" s="41"/>
      <c r="AG621" s="41"/>
      <c r="AH621" s="41"/>
      <c r="AI621" s="41"/>
    </row>
    <row r="622" spans="1:35" ht="15.75" customHeight="1" x14ac:dyDescent="0.2">
      <c r="A622" s="41"/>
      <c r="B622" s="41"/>
      <c r="C622" s="41"/>
      <c r="D622" s="72"/>
      <c r="E622" s="41"/>
      <c r="F622" s="41"/>
      <c r="G622" s="41"/>
      <c r="H622" s="41"/>
      <c r="I622" s="41"/>
      <c r="J622" s="41"/>
      <c r="K622" s="41"/>
      <c r="L622" s="41"/>
      <c r="M622" s="41"/>
      <c r="N622" s="41"/>
      <c r="O622" s="41"/>
      <c r="P622" s="41"/>
      <c r="Q622" s="41"/>
      <c r="R622" s="41"/>
      <c r="S622" s="41"/>
      <c r="T622" s="41"/>
      <c r="U622" s="41"/>
      <c r="V622" s="41"/>
      <c r="W622" s="41"/>
      <c r="X622" s="41"/>
      <c r="Y622" s="41"/>
      <c r="Z622" s="41"/>
      <c r="AA622" s="41"/>
      <c r="AB622" s="41"/>
      <c r="AC622" s="41"/>
      <c r="AD622" s="41"/>
      <c r="AE622" s="41"/>
      <c r="AF622" s="41"/>
      <c r="AG622" s="41"/>
      <c r="AH622" s="41"/>
      <c r="AI622" s="41"/>
    </row>
    <row r="623" spans="1:35" ht="15.75" customHeight="1" x14ac:dyDescent="0.2">
      <c r="A623" s="41"/>
      <c r="B623" s="41"/>
      <c r="C623" s="41"/>
      <c r="D623" s="72"/>
      <c r="E623" s="41"/>
      <c r="F623" s="41"/>
      <c r="G623" s="41"/>
      <c r="H623" s="41"/>
      <c r="I623" s="41"/>
      <c r="J623" s="41"/>
      <c r="K623" s="41"/>
      <c r="L623" s="41"/>
      <c r="M623" s="41"/>
      <c r="N623" s="41"/>
      <c r="O623" s="41"/>
      <c r="P623" s="41"/>
      <c r="Q623" s="41"/>
      <c r="R623" s="41"/>
      <c r="S623" s="41"/>
      <c r="T623" s="41"/>
      <c r="U623" s="41"/>
      <c r="V623" s="41"/>
      <c r="W623" s="41"/>
      <c r="X623" s="41"/>
      <c r="Y623" s="41"/>
      <c r="Z623" s="41"/>
      <c r="AA623" s="41"/>
      <c r="AB623" s="41"/>
      <c r="AC623" s="41"/>
      <c r="AD623" s="41"/>
      <c r="AE623" s="41"/>
      <c r="AF623" s="41"/>
      <c r="AG623" s="41"/>
      <c r="AH623" s="41"/>
      <c r="AI623" s="41"/>
    </row>
    <row r="624" spans="1:35" ht="15.75" customHeight="1" x14ac:dyDescent="0.2">
      <c r="A624" s="41"/>
      <c r="B624" s="41"/>
      <c r="C624" s="41"/>
      <c r="D624" s="72"/>
      <c r="E624" s="41"/>
      <c r="F624" s="41"/>
      <c r="G624" s="41"/>
      <c r="H624" s="41"/>
      <c r="I624" s="41"/>
      <c r="J624" s="41"/>
      <c r="K624" s="41"/>
      <c r="L624" s="41"/>
      <c r="M624" s="41"/>
      <c r="N624" s="41"/>
      <c r="O624" s="41"/>
      <c r="P624" s="41"/>
      <c r="Q624" s="41"/>
      <c r="R624" s="41"/>
      <c r="S624" s="41"/>
      <c r="T624" s="41"/>
      <c r="U624" s="41"/>
      <c r="V624" s="41"/>
      <c r="W624" s="41"/>
      <c r="X624" s="41"/>
      <c r="Y624" s="41"/>
      <c r="Z624" s="41"/>
      <c r="AA624" s="41"/>
      <c r="AB624" s="41"/>
      <c r="AC624" s="41"/>
      <c r="AD624" s="41"/>
      <c r="AE624" s="41"/>
      <c r="AF624" s="41"/>
      <c r="AG624" s="41"/>
      <c r="AH624" s="41"/>
      <c r="AI624" s="41"/>
    </row>
    <row r="625" spans="1:35" ht="15.75" customHeight="1" x14ac:dyDescent="0.2">
      <c r="A625" s="41"/>
      <c r="B625" s="41"/>
      <c r="C625" s="41"/>
      <c r="D625" s="72"/>
      <c r="E625" s="41"/>
      <c r="F625" s="41"/>
      <c r="G625" s="41"/>
      <c r="H625" s="41"/>
      <c r="I625" s="41"/>
      <c r="J625" s="41"/>
      <c r="K625" s="41"/>
      <c r="L625" s="41"/>
      <c r="M625" s="41"/>
      <c r="N625" s="41"/>
      <c r="O625" s="41"/>
      <c r="P625" s="41"/>
      <c r="Q625" s="41"/>
      <c r="R625" s="41"/>
      <c r="S625" s="41"/>
      <c r="T625" s="41"/>
      <c r="U625" s="41"/>
      <c r="V625" s="41"/>
      <c r="W625" s="41"/>
      <c r="X625" s="41"/>
      <c r="Y625" s="41"/>
      <c r="Z625" s="41"/>
      <c r="AA625" s="41"/>
      <c r="AB625" s="41"/>
      <c r="AC625" s="41"/>
      <c r="AD625" s="41"/>
      <c r="AE625" s="41"/>
      <c r="AF625" s="41"/>
      <c r="AG625" s="41"/>
      <c r="AH625" s="41"/>
      <c r="AI625" s="41"/>
    </row>
    <row r="626" spans="1:35" ht="15.75" customHeight="1" x14ac:dyDescent="0.2">
      <c r="A626" s="41"/>
      <c r="B626" s="41"/>
      <c r="C626" s="41"/>
      <c r="D626" s="72"/>
      <c r="E626" s="41"/>
      <c r="F626" s="41"/>
      <c r="G626" s="41"/>
      <c r="H626" s="41"/>
      <c r="I626" s="41"/>
      <c r="J626" s="41"/>
      <c r="K626" s="41"/>
      <c r="L626" s="41"/>
      <c r="M626" s="41"/>
      <c r="N626" s="41"/>
      <c r="O626" s="41"/>
      <c r="P626" s="41"/>
      <c r="Q626" s="41"/>
      <c r="R626" s="41"/>
      <c r="S626" s="41"/>
      <c r="T626" s="41"/>
      <c r="U626" s="41"/>
      <c r="V626" s="41"/>
      <c r="W626" s="41"/>
      <c r="X626" s="41"/>
      <c r="Y626" s="41"/>
      <c r="Z626" s="41"/>
      <c r="AA626" s="41"/>
      <c r="AB626" s="41"/>
      <c r="AC626" s="41"/>
      <c r="AD626" s="41"/>
      <c r="AE626" s="41"/>
      <c r="AF626" s="41"/>
      <c r="AG626" s="41"/>
      <c r="AH626" s="41"/>
      <c r="AI626" s="41"/>
    </row>
    <row r="627" spans="1:35" ht="15.75" customHeight="1" x14ac:dyDescent="0.2">
      <c r="A627" s="41"/>
      <c r="B627" s="41"/>
      <c r="C627" s="41"/>
      <c r="D627" s="72"/>
      <c r="E627" s="41"/>
      <c r="F627" s="41"/>
      <c r="G627" s="41"/>
      <c r="H627" s="41"/>
      <c r="I627" s="41"/>
      <c r="J627" s="41"/>
      <c r="K627" s="41"/>
      <c r="L627" s="41"/>
      <c r="M627" s="41"/>
      <c r="N627" s="41"/>
      <c r="O627" s="41"/>
      <c r="P627" s="41"/>
      <c r="Q627" s="41"/>
      <c r="R627" s="41"/>
      <c r="S627" s="41"/>
      <c r="T627" s="41"/>
      <c r="U627" s="41"/>
      <c r="V627" s="41"/>
      <c r="W627" s="41"/>
      <c r="X627" s="41"/>
      <c r="Y627" s="41"/>
      <c r="Z627" s="41"/>
      <c r="AA627" s="41"/>
      <c r="AB627" s="41"/>
      <c r="AC627" s="41"/>
      <c r="AD627" s="41"/>
      <c r="AE627" s="41"/>
      <c r="AF627" s="41"/>
      <c r="AG627" s="41"/>
      <c r="AH627" s="41"/>
      <c r="AI627" s="41"/>
    </row>
    <row r="628" spans="1:35" ht="15.75" customHeight="1" x14ac:dyDescent="0.2">
      <c r="A628" s="41"/>
      <c r="B628" s="41"/>
      <c r="C628" s="41"/>
      <c r="D628" s="72"/>
      <c r="E628" s="41"/>
      <c r="F628" s="41"/>
      <c r="G628" s="41"/>
      <c r="H628" s="41"/>
      <c r="I628" s="41"/>
      <c r="J628" s="41"/>
      <c r="K628" s="41"/>
      <c r="L628" s="41"/>
      <c r="M628" s="41"/>
      <c r="N628" s="41"/>
      <c r="O628" s="41"/>
      <c r="P628" s="41"/>
      <c r="Q628" s="41"/>
      <c r="R628" s="41"/>
      <c r="S628" s="41"/>
      <c r="T628" s="41"/>
      <c r="U628" s="41"/>
      <c r="V628" s="41"/>
      <c r="W628" s="41"/>
      <c r="X628" s="41"/>
      <c r="Y628" s="41"/>
      <c r="Z628" s="41"/>
      <c r="AA628" s="41"/>
      <c r="AB628" s="41"/>
      <c r="AC628" s="41"/>
      <c r="AD628" s="41"/>
      <c r="AE628" s="41"/>
      <c r="AF628" s="41"/>
      <c r="AG628" s="41"/>
      <c r="AH628" s="41"/>
      <c r="AI628" s="41"/>
    </row>
    <row r="629" spans="1:35" ht="15.75" customHeight="1" x14ac:dyDescent="0.2">
      <c r="A629" s="41"/>
      <c r="B629" s="41"/>
      <c r="C629" s="41"/>
      <c r="D629" s="72"/>
      <c r="E629" s="41"/>
      <c r="F629" s="41"/>
      <c r="G629" s="41"/>
      <c r="H629" s="41"/>
      <c r="I629" s="41"/>
      <c r="J629" s="41"/>
      <c r="K629" s="41"/>
      <c r="L629" s="41"/>
      <c r="M629" s="41"/>
      <c r="N629" s="41"/>
      <c r="O629" s="41"/>
      <c r="P629" s="41"/>
      <c r="Q629" s="41"/>
      <c r="R629" s="41"/>
      <c r="S629" s="41"/>
      <c r="T629" s="41"/>
      <c r="U629" s="41"/>
      <c r="V629" s="41"/>
      <c r="W629" s="41"/>
      <c r="X629" s="41"/>
      <c r="Y629" s="41"/>
      <c r="Z629" s="41"/>
      <c r="AA629" s="41"/>
      <c r="AB629" s="41"/>
      <c r="AC629" s="41"/>
      <c r="AD629" s="41"/>
      <c r="AE629" s="41"/>
      <c r="AF629" s="41"/>
      <c r="AG629" s="41"/>
      <c r="AH629" s="41"/>
      <c r="AI629" s="41"/>
    </row>
    <row r="630" spans="1:35" ht="15.75" customHeight="1" x14ac:dyDescent="0.2">
      <c r="A630" s="41"/>
      <c r="B630" s="41"/>
      <c r="C630" s="41"/>
      <c r="D630" s="72"/>
      <c r="E630" s="41"/>
      <c r="F630" s="41"/>
      <c r="G630" s="41"/>
      <c r="H630" s="41"/>
      <c r="I630" s="41"/>
      <c r="J630" s="41"/>
      <c r="K630" s="41"/>
      <c r="L630" s="41"/>
      <c r="M630" s="41"/>
      <c r="N630" s="41"/>
      <c r="O630" s="41"/>
      <c r="P630" s="41"/>
      <c r="Q630" s="41"/>
      <c r="R630" s="41"/>
      <c r="S630" s="41"/>
      <c r="T630" s="41"/>
      <c r="U630" s="41"/>
      <c r="V630" s="41"/>
      <c r="W630" s="41"/>
      <c r="X630" s="41"/>
      <c r="Y630" s="41"/>
      <c r="Z630" s="41"/>
      <c r="AA630" s="41"/>
      <c r="AB630" s="41"/>
      <c r="AC630" s="41"/>
      <c r="AD630" s="41"/>
      <c r="AE630" s="41"/>
      <c r="AF630" s="41"/>
      <c r="AG630" s="41"/>
      <c r="AH630" s="41"/>
      <c r="AI630" s="41"/>
    </row>
    <row r="631" spans="1:35" ht="15.75" customHeight="1" x14ac:dyDescent="0.2">
      <c r="A631" s="41"/>
      <c r="B631" s="41"/>
      <c r="C631" s="41"/>
      <c r="D631" s="72"/>
      <c r="E631" s="41"/>
      <c r="F631" s="41"/>
      <c r="G631" s="41"/>
      <c r="H631" s="41"/>
      <c r="I631" s="41"/>
      <c r="J631" s="41"/>
      <c r="K631" s="41"/>
      <c r="L631" s="41"/>
      <c r="M631" s="41"/>
      <c r="N631" s="41"/>
      <c r="O631" s="41"/>
      <c r="P631" s="41"/>
      <c r="Q631" s="41"/>
      <c r="R631" s="41"/>
      <c r="S631" s="41"/>
      <c r="T631" s="41"/>
      <c r="U631" s="41"/>
      <c r="V631" s="41"/>
      <c r="W631" s="41"/>
      <c r="X631" s="41"/>
      <c r="Y631" s="41"/>
      <c r="Z631" s="41"/>
      <c r="AA631" s="41"/>
      <c r="AB631" s="41"/>
      <c r="AC631" s="41"/>
      <c r="AD631" s="41"/>
      <c r="AE631" s="41"/>
      <c r="AF631" s="41"/>
      <c r="AG631" s="41"/>
      <c r="AH631" s="41"/>
      <c r="AI631" s="41"/>
    </row>
    <row r="632" spans="1:35" ht="15.75" customHeight="1" x14ac:dyDescent="0.2">
      <c r="A632" s="41"/>
      <c r="B632" s="41"/>
      <c r="C632" s="41"/>
      <c r="D632" s="72"/>
      <c r="E632" s="41"/>
      <c r="F632" s="41"/>
      <c r="G632" s="41"/>
      <c r="H632" s="41"/>
      <c r="I632" s="41"/>
      <c r="J632" s="41"/>
      <c r="K632" s="41"/>
      <c r="L632" s="41"/>
      <c r="M632" s="41"/>
      <c r="N632" s="41"/>
      <c r="O632" s="41"/>
      <c r="P632" s="41"/>
      <c r="Q632" s="41"/>
      <c r="R632" s="41"/>
      <c r="S632" s="41"/>
      <c r="T632" s="41"/>
      <c r="U632" s="41"/>
      <c r="V632" s="41"/>
      <c r="W632" s="41"/>
      <c r="X632" s="41"/>
      <c r="Y632" s="41"/>
      <c r="Z632" s="41"/>
      <c r="AA632" s="41"/>
      <c r="AB632" s="41"/>
      <c r="AC632" s="41"/>
      <c r="AD632" s="41"/>
      <c r="AE632" s="41"/>
      <c r="AF632" s="41"/>
      <c r="AG632" s="41"/>
      <c r="AH632" s="41"/>
      <c r="AI632" s="41"/>
    </row>
    <row r="633" spans="1:35" ht="15.75" customHeight="1" x14ac:dyDescent="0.2">
      <c r="A633" s="41"/>
      <c r="B633" s="41"/>
      <c r="C633" s="41"/>
      <c r="D633" s="72"/>
      <c r="E633" s="41"/>
      <c r="F633" s="41"/>
      <c r="G633" s="41"/>
      <c r="H633" s="41"/>
      <c r="I633" s="41"/>
      <c r="J633" s="41"/>
      <c r="K633" s="41"/>
      <c r="L633" s="41"/>
      <c r="M633" s="41"/>
      <c r="N633" s="41"/>
      <c r="O633" s="41"/>
      <c r="P633" s="41"/>
      <c r="Q633" s="41"/>
      <c r="R633" s="41"/>
      <c r="S633" s="41"/>
      <c r="T633" s="41"/>
      <c r="U633" s="41"/>
      <c r="V633" s="41"/>
      <c r="W633" s="41"/>
      <c r="X633" s="41"/>
      <c r="Y633" s="41"/>
      <c r="Z633" s="41"/>
      <c r="AA633" s="41"/>
      <c r="AB633" s="41"/>
      <c r="AC633" s="41"/>
      <c r="AD633" s="41"/>
      <c r="AE633" s="41"/>
      <c r="AF633" s="41"/>
      <c r="AG633" s="41"/>
      <c r="AH633" s="41"/>
      <c r="AI633" s="41"/>
    </row>
    <row r="634" spans="1:35" ht="15.75" customHeight="1" x14ac:dyDescent="0.2">
      <c r="A634" s="41"/>
      <c r="B634" s="41"/>
      <c r="C634" s="41"/>
      <c r="D634" s="72"/>
      <c r="E634" s="41"/>
      <c r="F634" s="41"/>
      <c r="G634" s="41"/>
      <c r="H634" s="41"/>
      <c r="I634" s="41"/>
      <c r="J634" s="41"/>
      <c r="K634" s="41"/>
      <c r="L634" s="41"/>
      <c r="M634" s="41"/>
      <c r="N634" s="41"/>
      <c r="O634" s="41"/>
      <c r="P634" s="41"/>
      <c r="Q634" s="41"/>
      <c r="R634" s="41"/>
      <c r="S634" s="41"/>
      <c r="T634" s="41"/>
      <c r="U634" s="41"/>
      <c r="V634" s="41"/>
      <c r="W634" s="41"/>
      <c r="X634" s="41"/>
      <c r="Y634" s="41"/>
      <c r="Z634" s="41"/>
      <c r="AA634" s="41"/>
      <c r="AB634" s="41"/>
      <c r="AC634" s="41"/>
      <c r="AD634" s="41"/>
      <c r="AE634" s="41"/>
      <c r="AF634" s="41"/>
      <c r="AG634" s="41"/>
      <c r="AH634" s="41"/>
      <c r="AI634" s="41"/>
    </row>
    <row r="635" spans="1:35" ht="15.75" customHeight="1" x14ac:dyDescent="0.2">
      <c r="A635" s="41"/>
      <c r="B635" s="41"/>
      <c r="C635" s="41"/>
      <c r="D635" s="72"/>
      <c r="E635" s="41"/>
      <c r="F635" s="41"/>
      <c r="G635" s="41"/>
      <c r="H635" s="41"/>
      <c r="I635" s="41"/>
      <c r="J635" s="41"/>
      <c r="K635" s="41"/>
      <c r="L635" s="41"/>
      <c r="M635" s="41"/>
      <c r="N635" s="41"/>
      <c r="O635" s="41"/>
      <c r="P635" s="41"/>
      <c r="Q635" s="41"/>
      <c r="R635" s="41"/>
      <c r="S635" s="41"/>
      <c r="T635" s="41"/>
      <c r="U635" s="41"/>
      <c r="V635" s="41"/>
      <c r="W635" s="41"/>
      <c r="X635" s="41"/>
      <c r="Y635" s="41"/>
      <c r="Z635" s="41"/>
      <c r="AA635" s="41"/>
      <c r="AB635" s="41"/>
      <c r="AC635" s="41"/>
      <c r="AD635" s="41"/>
      <c r="AE635" s="41"/>
      <c r="AF635" s="41"/>
      <c r="AG635" s="41"/>
      <c r="AH635" s="41"/>
      <c r="AI635" s="41"/>
    </row>
    <row r="636" spans="1:35" ht="15.75" customHeight="1" x14ac:dyDescent="0.2">
      <c r="A636" s="41"/>
      <c r="B636" s="41"/>
      <c r="C636" s="41"/>
      <c r="D636" s="72"/>
      <c r="E636" s="41"/>
      <c r="F636" s="41"/>
      <c r="G636" s="41"/>
      <c r="H636" s="41"/>
      <c r="I636" s="41"/>
      <c r="J636" s="41"/>
      <c r="K636" s="41"/>
      <c r="L636" s="41"/>
      <c r="M636" s="41"/>
      <c r="N636" s="41"/>
      <c r="O636" s="41"/>
      <c r="P636" s="41"/>
      <c r="Q636" s="41"/>
      <c r="R636" s="41"/>
      <c r="S636" s="41"/>
      <c r="T636" s="41"/>
      <c r="U636" s="41"/>
      <c r="V636" s="41"/>
      <c r="W636" s="41"/>
      <c r="X636" s="41"/>
      <c r="Y636" s="41"/>
      <c r="Z636" s="41"/>
      <c r="AA636" s="41"/>
      <c r="AB636" s="41"/>
      <c r="AC636" s="41"/>
      <c r="AD636" s="41"/>
      <c r="AE636" s="41"/>
      <c r="AF636" s="41"/>
      <c r="AG636" s="41"/>
      <c r="AH636" s="41"/>
      <c r="AI636" s="41"/>
    </row>
    <row r="637" spans="1:35" ht="15.75" customHeight="1" x14ac:dyDescent="0.2">
      <c r="A637" s="41"/>
      <c r="B637" s="41"/>
      <c r="C637" s="41"/>
      <c r="D637" s="72"/>
      <c r="E637" s="41"/>
      <c r="F637" s="41"/>
      <c r="G637" s="41"/>
      <c r="H637" s="41"/>
      <c r="I637" s="41"/>
      <c r="J637" s="41"/>
      <c r="K637" s="41"/>
      <c r="L637" s="41"/>
      <c r="M637" s="41"/>
      <c r="N637" s="41"/>
      <c r="O637" s="41"/>
      <c r="P637" s="41"/>
      <c r="Q637" s="41"/>
      <c r="R637" s="41"/>
      <c r="S637" s="41"/>
      <c r="T637" s="41"/>
      <c r="U637" s="41"/>
      <c r="V637" s="41"/>
      <c r="W637" s="41"/>
      <c r="X637" s="41"/>
      <c r="Y637" s="41"/>
      <c r="Z637" s="41"/>
      <c r="AA637" s="41"/>
      <c r="AB637" s="41"/>
      <c r="AC637" s="41"/>
      <c r="AD637" s="41"/>
      <c r="AE637" s="41"/>
      <c r="AF637" s="41"/>
      <c r="AG637" s="41"/>
      <c r="AH637" s="41"/>
      <c r="AI637" s="41"/>
    </row>
    <row r="638" spans="1:35" ht="15.75" customHeight="1" x14ac:dyDescent="0.2">
      <c r="A638" s="41"/>
      <c r="B638" s="41"/>
      <c r="C638" s="41"/>
      <c r="D638" s="72"/>
      <c r="E638" s="41"/>
      <c r="F638" s="41"/>
      <c r="G638" s="41"/>
      <c r="H638" s="41"/>
      <c r="I638" s="41"/>
      <c r="J638" s="41"/>
      <c r="K638" s="41"/>
      <c r="L638" s="41"/>
      <c r="M638" s="41"/>
      <c r="N638" s="41"/>
      <c r="O638" s="41"/>
      <c r="P638" s="41"/>
      <c r="Q638" s="41"/>
      <c r="R638" s="41"/>
      <c r="S638" s="41"/>
      <c r="T638" s="41"/>
      <c r="U638" s="41"/>
      <c r="V638" s="41"/>
      <c r="W638" s="41"/>
      <c r="X638" s="41"/>
      <c r="Y638" s="41"/>
      <c r="Z638" s="41"/>
      <c r="AA638" s="41"/>
      <c r="AB638" s="41"/>
      <c r="AC638" s="41"/>
      <c r="AD638" s="41"/>
      <c r="AE638" s="41"/>
      <c r="AF638" s="41"/>
      <c r="AG638" s="41"/>
      <c r="AH638" s="41"/>
      <c r="AI638" s="41"/>
    </row>
    <row r="639" spans="1:35" ht="15.75" customHeight="1" x14ac:dyDescent="0.2">
      <c r="A639" s="41"/>
      <c r="B639" s="41"/>
      <c r="C639" s="41"/>
      <c r="D639" s="72"/>
      <c r="E639" s="41"/>
      <c r="F639" s="41"/>
      <c r="G639" s="41"/>
      <c r="H639" s="41"/>
      <c r="I639" s="41"/>
      <c r="J639" s="41"/>
      <c r="K639" s="41"/>
      <c r="L639" s="41"/>
      <c r="M639" s="41"/>
      <c r="N639" s="41"/>
      <c r="O639" s="41"/>
      <c r="P639" s="41"/>
      <c r="Q639" s="41"/>
      <c r="R639" s="41"/>
      <c r="S639" s="41"/>
      <c r="T639" s="41"/>
      <c r="U639" s="41"/>
      <c r="V639" s="41"/>
      <c r="W639" s="41"/>
      <c r="X639" s="41"/>
      <c r="Y639" s="41"/>
      <c r="Z639" s="41"/>
      <c r="AA639" s="41"/>
      <c r="AB639" s="41"/>
      <c r="AC639" s="41"/>
      <c r="AD639" s="41"/>
      <c r="AE639" s="41"/>
      <c r="AF639" s="41"/>
      <c r="AG639" s="41"/>
      <c r="AH639" s="41"/>
      <c r="AI639" s="41"/>
    </row>
    <row r="640" spans="1:35" ht="15.75" customHeight="1" x14ac:dyDescent="0.2">
      <c r="A640" s="41"/>
      <c r="B640" s="41"/>
      <c r="C640" s="41"/>
      <c r="D640" s="72"/>
      <c r="E640" s="41"/>
      <c r="F640" s="41"/>
      <c r="G640" s="41"/>
      <c r="H640" s="41"/>
      <c r="I640" s="41"/>
      <c r="J640" s="41"/>
      <c r="K640" s="41"/>
      <c r="L640" s="41"/>
      <c r="M640" s="41"/>
      <c r="N640" s="41"/>
      <c r="O640" s="41"/>
      <c r="P640" s="41"/>
      <c r="Q640" s="41"/>
      <c r="R640" s="41"/>
      <c r="S640" s="41"/>
      <c r="T640" s="41"/>
      <c r="U640" s="41"/>
      <c r="V640" s="41"/>
      <c r="W640" s="41"/>
      <c r="X640" s="41"/>
      <c r="Y640" s="41"/>
      <c r="Z640" s="41"/>
      <c r="AA640" s="41"/>
      <c r="AB640" s="41"/>
      <c r="AC640" s="41"/>
      <c r="AD640" s="41"/>
      <c r="AE640" s="41"/>
      <c r="AF640" s="41"/>
      <c r="AG640" s="41"/>
      <c r="AH640" s="41"/>
      <c r="AI640" s="41"/>
    </row>
    <row r="641" spans="1:35" ht="15.75" customHeight="1" x14ac:dyDescent="0.2">
      <c r="A641" s="41"/>
      <c r="B641" s="41"/>
      <c r="C641" s="41"/>
      <c r="D641" s="72"/>
      <c r="E641" s="41"/>
      <c r="F641" s="41"/>
      <c r="G641" s="41"/>
      <c r="H641" s="41"/>
      <c r="I641" s="41"/>
      <c r="J641" s="41"/>
      <c r="K641" s="41"/>
      <c r="L641" s="41"/>
      <c r="M641" s="41"/>
      <c r="N641" s="41"/>
      <c r="O641" s="41"/>
      <c r="P641" s="41"/>
      <c r="Q641" s="41"/>
      <c r="R641" s="41"/>
      <c r="S641" s="41"/>
      <c r="T641" s="41"/>
      <c r="U641" s="41"/>
      <c r="V641" s="41"/>
      <c r="W641" s="41"/>
      <c r="X641" s="41"/>
      <c r="Y641" s="41"/>
      <c r="Z641" s="41"/>
      <c r="AA641" s="41"/>
      <c r="AB641" s="41"/>
      <c r="AC641" s="41"/>
      <c r="AD641" s="41"/>
      <c r="AE641" s="41"/>
      <c r="AF641" s="41"/>
      <c r="AG641" s="41"/>
      <c r="AH641" s="41"/>
      <c r="AI641" s="41"/>
    </row>
    <row r="642" spans="1:35" ht="15.75" customHeight="1" x14ac:dyDescent="0.2">
      <c r="A642" s="41"/>
      <c r="B642" s="41"/>
      <c r="C642" s="41"/>
      <c r="D642" s="72"/>
      <c r="E642" s="41"/>
      <c r="F642" s="41"/>
      <c r="G642" s="41"/>
      <c r="H642" s="41"/>
      <c r="I642" s="41"/>
      <c r="J642" s="41"/>
      <c r="K642" s="41"/>
      <c r="L642" s="41"/>
      <c r="M642" s="41"/>
      <c r="N642" s="41"/>
      <c r="O642" s="41"/>
      <c r="P642" s="41"/>
      <c r="Q642" s="41"/>
      <c r="R642" s="41"/>
      <c r="S642" s="41"/>
      <c r="T642" s="41"/>
      <c r="U642" s="41"/>
      <c r="V642" s="41"/>
      <c r="W642" s="41"/>
      <c r="X642" s="41"/>
      <c r="Y642" s="41"/>
      <c r="Z642" s="41"/>
      <c r="AA642" s="41"/>
      <c r="AB642" s="41"/>
      <c r="AC642" s="41"/>
      <c r="AD642" s="41"/>
      <c r="AE642" s="41"/>
      <c r="AF642" s="41"/>
      <c r="AG642" s="41"/>
      <c r="AH642" s="41"/>
      <c r="AI642" s="41"/>
    </row>
    <row r="643" spans="1:35" ht="15.75" customHeight="1" x14ac:dyDescent="0.2">
      <c r="A643" s="41"/>
      <c r="B643" s="41"/>
      <c r="C643" s="41"/>
      <c r="D643" s="72"/>
      <c r="E643" s="41"/>
      <c r="F643" s="41"/>
      <c r="G643" s="41"/>
      <c r="H643" s="41"/>
      <c r="I643" s="41"/>
      <c r="J643" s="41"/>
      <c r="K643" s="41"/>
      <c r="L643" s="41"/>
      <c r="M643" s="41"/>
      <c r="N643" s="41"/>
      <c r="O643" s="41"/>
      <c r="P643" s="41"/>
      <c r="Q643" s="41"/>
      <c r="R643" s="41"/>
      <c r="S643" s="41"/>
      <c r="T643" s="41"/>
      <c r="U643" s="41"/>
      <c r="V643" s="41"/>
      <c r="W643" s="41"/>
      <c r="X643" s="41"/>
      <c r="Y643" s="41"/>
      <c r="Z643" s="41"/>
      <c r="AA643" s="41"/>
      <c r="AB643" s="41"/>
      <c r="AC643" s="41"/>
      <c r="AD643" s="41"/>
      <c r="AE643" s="41"/>
      <c r="AF643" s="41"/>
      <c r="AG643" s="41"/>
      <c r="AH643" s="41"/>
      <c r="AI643" s="41"/>
    </row>
    <row r="644" spans="1:35" ht="15.75" customHeight="1" x14ac:dyDescent="0.2">
      <c r="A644" s="41"/>
      <c r="B644" s="41"/>
      <c r="C644" s="41"/>
      <c r="D644" s="72"/>
      <c r="E644" s="41"/>
      <c r="F644" s="41"/>
      <c r="G644" s="41"/>
      <c r="H644" s="41"/>
      <c r="I644" s="41"/>
      <c r="J644" s="41"/>
      <c r="K644" s="41"/>
      <c r="L644" s="41"/>
      <c r="M644" s="41"/>
      <c r="N644" s="41"/>
      <c r="O644" s="41"/>
      <c r="P644" s="41"/>
      <c r="Q644" s="41"/>
      <c r="R644" s="41"/>
      <c r="S644" s="41"/>
      <c r="T644" s="41"/>
      <c r="U644" s="41"/>
      <c r="V644" s="41"/>
      <c r="W644" s="41"/>
      <c r="X644" s="41"/>
      <c r="Y644" s="41"/>
      <c r="Z644" s="41"/>
      <c r="AA644" s="41"/>
      <c r="AB644" s="41"/>
      <c r="AC644" s="41"/>
      <c r="AD644" s="41"/>
      <c r="AE644" s="41"/>
      <c r="AF644" s="41"/>
      <c r="AG644" s="41"/>
      <c r="AH644" s="41"/>
      <c r="AI644" s="41"/>
    </row>
    <row r="645" spans="1:35" ht="15.75" customHeight="1" x14ac:dyDescent="0.2">
      <c r="A645" s="41"/>
      <c r="B645" s="41"/>
      <c r="C645" s="41"/>
      <c r="D645" s="72"/>
      <c r="E645" s="41"/>
      <c r="F645" s="41"/>
      <c r="G645" s="41"/>
      <c r="H645" s="41"/>
      <c r="I645" s="41"/>
      <c r="J645" s="41"/>
      <c r="K645" s="41"/>
      <c r="L645" s="41"/>
      <c r="M645" s="41"/>
      <c r="N645" s="41"/>
      <c r="O645" s="41"/>
      <c r="P645" s="41"/>
      <c r="Q645" s="41"/>
      <c r="R645" s="41"/>
      <c r="S645" s="41"/>
      <c r="T645" s="41"/>
      <c r="U645" s="41"/>
      <c r="V645" s="41"/>
      <c r="W645" s="41"/>
      <c r="X645" s="41"/>
      <c r="Y645" s="41"/>
      <c r="Z645" s="41"/>
      <c r="AA645" s="41"/>
      <c r="AB645" s="41"/>
      <c r="AC645" s="41"/>
      <c r="AD645" s="41"/>
      <c r="AE645" s="41"/>
      <c r="AF645" s="41"/>
      <c r="AG645" s="41"/>
      <c r="AH645" s="41"/>
      <c r="AI645" s="41"/>
    </row>
    <row r="646" spans="1:35" ht="15.75" customHeight="1" x14ac:dyDescent="0.2">
      <c r="A646" s="41"/>
      <c r="B646" s="41"/>
      <c r="C646" s="41"/>
      <c r="D646" s="72"/>
      <c r="E646" s="41"/>
      <c r="F646" s="41"/>
      <c r="G646" s="41"/>
      <c r="H646" s="41"/>
      <c r="I646" s="41"/>
      <c r="J646" s="41"/>
      <c r="K646" s="41"/>
      <c r="L646" s="41"/>
      <c r="M646" s="41"/>
      <c r="N646" s="41"/>
      <c r="O646" s="41"/>
      <c r="P646" s="41"/>
      <c r="Q646" s="41"/>
      <c r="R646" s="41"/>
      <c r="S646" s="41"/>
      <c r="T646" s="41"/>
      <c r="U646" s="41"/>
      <c r="V646" s="41"/>
      <c r="W646" s="41"/>
      <c r="X646" s="41"/>
      <c r="Y646" s="41"/>
      <c r="Z646" s="41"/>
      <c r="AA646" s="41"/>
      <c r="AB646" s="41"/>
      <c r="AC646" s="41"/>
      <c r="AD646" s="41"/>
      <c r="AE646" s="41"/>
      <c r="AF646" s="41"/>
      <c r="AG646" s="41"/>
      <c r="AH646" s="41"/>
      <c r="AI646" s="41"/>
    </row>
    <row r="647" spans="1:35" ht="15.75" customHeight="1" x14ac:dyDescent="0.2">
      <c r="A647" s="41"/>
      <c r="B647" s="41"/>
      <c r="C647" s="41"/>
      <c r="D647" s="72"/>
      <c r="E647" s="41"/>
      <c r="F647" s="41"/>
      <c r="G647" s="41"/>
      <c r="H647" s="41"/>
      <c r="I647" s="41"/>
      <c r="J647" s="41"/>
      <c r="K647" s="41"/>
      <c r="L647" s="41"/>
      <c r="M647" s="41"/>
      <c r="N647" s="41"/>
      <c r="O647" s="41"/>
      <c r="P647" s="41"/>
      <c r="Q647" s="41"/>
      <c r="R647" s="41"/>
      <c r="S647" s="41"/>
      <c r="T647" s="41"/>
      <c r="U647" s="41"/>
      <c r="V647" s="41"/>
      <c r="W647" s="41"/>
      <c r="X647" s="41"/>
      <c r="Y647" s="41"/>
      <c r="Z647" s="41"/>
      <c r="AA647" s="41"/>
      <c r="AB647" s="41"/>
      <c r="AC647" s="41"/>
      <c r="AD647" s="41"/>
      <c r="AE647" s="41"/>
      <c r="AF647" s="41"/>
      <c r="AG647" s="41"/>
      <c r="AH647" s="41"/>
      <c r="AI647" s="41"/>
    </row>
    <row r="648" spans="1:35" ht="15.75" customHeight="1" x14ac:dyDescent="0.2">
      <c r="A648" s="41"/>
      <c r="B648" s="41"/>
      <c r="C648" s="41"/>
      <c r="D648" s="72"/>
      <c r="E648" s="41"/>
      <c r="F648" s="41"/>
      <c r="G648" s="41"/>
      <c r="H648" s="41"/>
      <c r="I648" s="41"/>
      <c r="J648" s="41"/>
      <c r="K648" s="41"/>
      <c r="L648" s="41"/>
      <c r="M648" s="41"/>
      <c r="N648" s="41"/>
      <c r="O648" s="41"/>
      <c r="P648" s="41"/>
      <c r="Q648" s="41"/>
      <c r="R648" s="41"/>
      <c r="S648" s="41"/>
      <c r="T648" s="41"/>
      <c r="U648" s="41"/>
      <c r="V648" s="41"/>
      <c r="W648" s="41"/>
      <c r="X648" s="41"/>
      <c r="Y648" s="41"/>
      <c r="Z648" s="41"/>
      <c r="AA648" s="41"/>
      <c r="AB648" s="41"/>
      <c r="AC648" s="41"/>
      <c r="AD648" s="41"/>
      <c r="AE648" s="41"/>
      <c r="AF648" s="41"/>
      <c r="AG648" s="41"/>
      <c r="AH648" s="41"/>
      <c r="AI648" s="41"/>
    </row>
    <row r="649" spans="1:35" ht="15.75" customHeight="1" x14ac:dyDescent="0.2">
      <c r="A649" s="41"/>
      <c r="B649" s="41"/>
      <c r="C649" s="41"/>
      <c r="D649" s="72"/>
      <c r="E649" s="41"/>
      <c r="F649" s="41"/>
      <c r="G649" s="41"/>
      <c r="H649" s="41"/>
      <c r="I649" s="41"/>
      <c r="J649" s="41"/>
      <c r="K649" s="41"/>
      <c r="L649" s="41"/>
      <c r="M649" s="41"/>
      <c r="N649" s="41"/>
      <c r="O649" s="41"/>
      <c r="P649" s="41"/>
      <c r="Q649" s="41"/>
      <c r="R649" s="41"/>
      <c r="S649" s="41"/>
      <c r="T649" s="41"/>
      <c r="U649" s="41"/>
      <c r="V649" s="41"/>
      <c r="W649" s="41"/>
      <c r="X649" s="41"/>
      <c r="Y649" s="41"/>
      <c r="Z649" s="41"/>
      <c r="AA649" s="41"/>
      <c r="AB649" s="41"/>
      <c r="AC649" s="41"/>
      <c r="AD649" s="41"/>
      <c r="AE649" s="41"/>
      <c r="AF649" s="41"/>
      <c r="AG649" s="41"/>
      <c r="AH649" s="41"/>
      <c r="AI649" s="41"/>
    </row>
    <row r="650" spans="1:35" ht="15.75" customHeight="1" x14ac:dyDescent="0.2">
      <c r="A650" s="41"/>
      <c r="B650" s="41"/>
      <c r="C650" s="41"/>
      <c r="D650" s="72"/>
      <c r="E650" s="41"/>
      <c r="F650" s="41"/>
      <c r="G650" s="41"/>
      <c r="H650" s="41"/>
      <c r="I650" s="41"/>
      <c r="J650" s="41"/>
      <c r="K650" s="41"/>
      <c r="L650" s="41"/>
      <c r="M650" s="41"/>
      <c r="N650" s="41"/>
      <c r="O650" s="41"/>
      <c r="P650" s="41"/>
      <c r="Q650" s="41"/>
      <c r="R650" s="41"/>
      <c r="S650" s="41"/>
      <c r="T650" s="41"/>
      <c r="U650" s="41"/>
      <c r="V650" s="41"/>
      <c r="W650" s="41"/>
      <c r="X650" s="41"/>
      <c r="Y650" s="41"/>
      <c r="Z650" s="41"/>
      <c r="AA650" s="41"/>
      <c r="AB650" s="41"/>
      <c r="AC650" s="41"/>
      <c r="AD650" s="41"/>
      <c r="AE650" s="41"/>
      <c r="AF650" s="41"/>
      <c r="AG650" s="41"/>
      <c r="AH650" s="41"/>
      <c r="AI650" s="41"/>
    </row>
    <row r="651" spans="1:35" ht="15.75" customHeight="1" x14ac:dyDescent="0.2">
      <c r="A651" s="41"/>
      <c r="B651" s="41"/>
      <c r="C651" s="41"/>
      <c r="D651" s="72"/>
      <c r="E651" s="41"/>
      <c r="F651" s="41"/>
      <c r="G651" s="41"/>
      <c r="H651" s="41"/>
      <c r="I651" s="41"/>
      <c r="J651" s="41"/>
      <c r="K651" s="41"/>
      <c r="L651" s="41"/>
      <c r="M651" s="41"/>
      <c r="N651" s="41"/>
      <c r="O651" s="41"/>
      <c r="P651" s="41"/>
      <c r="Q651" s="41"/>
      <c r="R651" s="41"/>
      <c r="S651" s="41"/>
      <c r="T651" s="41"/>
      <c r="U651" s="41"/>
      <c r="V651" s="41"/>
      <c r="W651" s="41"/>
      <c r="X651" s="41"/>
      <c r="Y651" s="41"/>
      <c r="Z651" s="41"/>
      <c r="AA651" s="41"/>
      <c r="AB651" s="41"/>
      <c r="AC651" s="41"/>
      <c r="AD651" s="41"/>
      <c r="AE651" s="41"/>
      <c r="AF651" s="41"/>
      <c r="AG651" s="41"/>
      <c r="AH651" s="41"/>
      <c r="AI651" s="41"/>
    </row>
    <row r="652" spans="1:35" ht="15.75" customHeight="1" x14ac:dyDescent="0.2">
      <c r="A652" s="41"/>
      <c r="B652" s="41"/>
      <c r="C652" s="41"/>
      <c r="D652" s="72"/>
      <c r="E652" s="41"/>
      <c r="F652" s="41"/>
      <c r="G652" s="41"/>
      <c r="H652" s="41"/>
      <c r="I652" s="41"/>
      <c r="J652" s="41"/>
      <c r="K652" s="41"/>
      <c r="L652" s="41"/>
      <c r="M652" s="41"/>
      <c r="N652" s="41"/>
      <c r="O652" s="41"/>
      <c r="P652" s="41"/>
      <c r="Q652" s="41"/>
      <c r="R652" s="41"/>
      <c r="S652" s="41"/>
      <c r="T652" s="41"/>
      <c r="U652" s="41"/>
      <c r="V652" s="41"/>
      <c r="W652" s="41"/>
      <c r="X652" s="41"/>
      <c r="Y652" s="41"/>
      <c r="Z652" s="41"/>
      <c r="AA652" s="41"/>
      <c r="AB652" s="41"/>
      <c r="AC652" s="41"/>
      <c r="AD652" s="41"/>
      <c r="AE652" s="41"/>
      <c r="AF652" s="41"/>
      <c r="AG652" s="41"/>
      <c r="AH652" s="41"/>
      <c r="AI652" s="41"/>
    </row>
    <row r="653" spans="1:35" ht="15.75" customHeight="1" x14ac:dyDescent="0.2">
      <c r="A653" s="41"/>
      <c r="B653" s="41"/>
      <c r="C653" s="41"/>
      <c r="D653" s="72"/>
      <c r="E653" s="41"/>
      <c r="F653" s="41"/>
      <c r="G653" s="41"/>
      <c r="H653" s="41"/>
      <c r="I653" s="41"/>
      <c r="J653" s="41"/>
      <c r="K653" s="41"/>
      <c r="L653" s="41"/>
      <c r="M653" s="41"/>
      <c r="N653" s="41"/>
      <c r="O653" s="41"/>
      <c r="P653" s="41"/>
      <c r="Q653" s="41"/>
      <c r="R653" s="41"/>
      <c r="S653" s="41"/>
      <c r="T653" s="41"/>
      <c r="U653" s="41"/>
      <c r="V653" s="41"/>
      <c r="W653" s="41"/>
      <c r="X653" s="41"/>
      <c r="Y653" s="41"/>
      <c r="Z653" s="41"/>
      <c r="AA653" s="41"/>
      <c r="AB653" s="41"/>
      <c r="AC653" s="41"/>
      <c r="AD653" s="41"/>
      <c r="AE653" s="41"/>
      <c r="AF653" s="41"/>
      <c r="AG653" s="41"/>
      <c r="AH653" s="41"/>
      <c r="AI653" s="41"/>
    </row>
    <row r="654" spans="1:35" ht="15.75" customHeight="1" x14ac:dyDescent="0.2">
      <c r="A654" s="41"/>
      <c r="B654" s="41"/>
      <c r="C654" s="41"/>
      <c r="D654" s="72"/>
      <c r="E654" s="41"/>
      <c r="F654" s="41"/>
      <c r="G654" s="41"/>
      <c r="H654" s="41"/>
      <c r="I654" s="41"/>
      <c r="J654" s="41"/>
      <c r="K654" s="41"/>
      <c r="L654" s="41"/>
      <c r="M654" s="41"/>
      <c r="N654" s="41"/>
      <c r="O654" s="41"/>
      <c r="P654" s="41"/>
      <c r="Q654" s="41"/>
      <c r="R654" s="41"/>
      <c r="S654" s="41"/>
      <c r="T654" s="41"/>
      <c r="U654" s="41"/>
      <c r="V654" s="41"/>
      <c r="W654" s="41"/>
      <c r="X654" s="41"/>
      <c r="Y654" s="41"/>
      <c r="Z654" s="41"/>
      <c r="AA654" s="41"/>
      <c r="AB654" s="41"/>
      <c r="AC654" s="41"/>
      <c r="AD654" s="41"/>
      <c r="AE654" s="41"/>
      <c r="AF654" s="41"/>
      <c r="AG654" s="41"/>
      <c r="AH654" s="41"/>
      <c r="AI654" s="41"/>
    </row>
    <row r="655" spans="1:35" ht="15.75" customHeight="1" x14ac:dyDescent="0.2">
      <c r="A655" s="41"/>
      <c r="B655" s="41"/>
      <c r="C655" s="41"/>
      <c r="D655" s="72"/>
      <c r="E655" s="41"/>
      <c r="F655" s="41"/>
      <c r="G655" s="41"/>
      <c r="H655" s="41"/>
      <c r="I655" s="41"/>
      <c r="J655" s="41"/>
      <c r="K655" s="41"/>
      <c r="L655" s="41"/>
      <c r="M655" s="41"/>
      <c r="N655" s="41"/>
      <c r="O655" s="41"/>
      <c r="P655" s="41"/>
      <c r="Q655" s="41"/>
      <c r="R655" s="41"/>
      <c r="S655" s="41"/>
      <c r="T655" s="41"/>
      <c r="U655" s="41"/>
      <c r="V655" s="41"/>
      <c r="W655" s="41"/>
      <c r="X655" s="41"/>
      <c r="Y655" s="41"/>
      <c r="Z655" s="41"/>
      <c r="AA655" s="41"/>
      <c r="AB655" s="41"/>
      <c r="AC655" s="41"/>
      <c r="AD655" s="41"/>
      <c r="AE655" s="41"/>
      <c r="AF655" s="41"/>
      <c r="AG655" s="41"/>
      <c r="AH655" s="41"/>
      <c r="AI655" s="41"/>
    </row>
    <row r="656" spans="1:35" ht="15.75" customHeight="1" x14ac:dyDescent="0.2">
      <c r="A656" s="41"/>
      <c r="B656" s="41"/>
      <c r="C656" s="41"/>
      <c r="D656" s="72"/>
      <c r="E656" s="41"/>
      <c r="F656" s="41"/>
      <c r="G656" s="41"/>
      <c r="H656" s="41"/>
      <c r="I656" s="41"/>
      <c r="J656" s="41"/>
      <c r="K656" s="41"/>
      <c r="L656" s="41"/>
      <c r="M656" s="41"/>
      <c r="N656" s="41"/>
      <c r="O656" s="41"/>
      <c r="P656" s="41"/>
      <c r="Q656" s="41"/>
      <c r="R656" s="41"/>
      <c r="S656" s="41"/>
      <c r="T656" s="41"/>
      <c r="U656" s="41"/>
      <c r="V656" s="41"/>
      <c r="W656" s="41"/>
      <c r="X656" s="41"/>
      <c r="Y656" s="41"/>
      <c r="Z656" s="41"/>
      <c r="AA656" s="41"/>
      <c r="AB656" s="41"/>
      <c r="AC656" s="41"/>
      <c r="AD656" s="41"/>
      <c r="AE656" s="41"/>
      <c r="AF656" s="41"/>
      <c r="AG656" s="41"/>
      <c r="AH656" s="41"/>
      <c r="AI656" s="41"/>
    </row>
    <row r="657" spans="1:35" ht="15.75" customHeight="1" x14ac:dyDescent="0.2">
      <c r="A657" s="41"/>
      <c r="B657" s="41"/>
      <c r="C657" s="41"/>
      <c r="D657" s="72"/>
      <c r="E657" s="41"/>
      <c r="F657" s="41"/>
      <c r="G657" s="41"/>
      <c r="H657" s="41"/>
      <c r="I657" s="41"/>
      <c r="J657" s="41"/>
      <c r="K657" s="41"/>
      <c r="L657" s="41"/>
      <c r="M657" s="41"/>
      <c r="N657" s="41"/>
      <c r="O657" s="41"/>
      <c r="P657" s="41"/>
      <c r="Q657" s="41"/>
      <c r="R657" s="41"/>
      <c r="S657" s="41"/>
      <c r="T657" s="41"/>
      <c r="U657" s="41"/>
      <c r="V657" s="41"/>
      <c r="W657" s="41"/>
      <c r="X657" s="41"/>
      <c r="Y657" s="41"/>
      <c r="Z657" s="41"/>
      <c r="AA657" s="41"/>
      <c r="AB657" s="41"/>
      <c r="AC657" s="41"/>
      <c r="AD657" s="41"/>
      <c r="AE657" s="41"/>
      <c r="AF657" s="41"/>
      <c r="AG657" s="41"/>
      <c r="AH657" s="41"/>
      <c r="AI657" s="41"/>
    </row>
    <row r="658" spans="1:35" ht="15.75" customHeight="1" x14ac:dyDescent="0.2">
      <c r="A658" s="41"/>
      <c r="B658" s="41"/>
      <c r="C658" s="41"/>
      <c r="D658" s="72"/>
      <c r="E658" s="41"/>
      <c r="F658" s="41"/>
      <c r="G658" s="41"/>
      <c r="H658" s="41"/>
      <c r="I658" s="41"/>
      <c r="J658" s="41"/>
      <c r="K658" s="41"/>
      <c r="L658" s="41"/>
      <c r="M658" s="41"/>
      <c r="N658" s="41"/>
      <c r="O658" s="41"/>
      <c r="P658" s="41"/>
      <c r="Q658" s="41"/>
      <c r="R658" s="41"/>
      <c r="S658" s="41"/>
      <c r="T658" s="41"/>
      <c r="U658" s="41"/>
      <c r="V658" s="41"/>
      <c r="W658" s="41"/>
      <c r="X658" s="41"/>
      <c r="Y658" s="41"/>
      <c r="Z658" s="41"/>
      <c r="AA658" s="41"/>
      <c r="AB658" s="41"/>
      <c r="AC658" s="41"/>
      <c r="AD658" s="41"/>
      <c r="AE658" s="41"/>
      <c r="AF658" s="41"/>
      <c r="AG658" s="41"/>
      <c r="AH658" s="41"/>
      <c r="AI658" s="41"/>
    </row>
    <row r="659" spans="1:35" ht="15.75" customHeight="1" x14ac:dyDescent="0.2">
      <c r="A659" s="41"/>
      <c r="B659" s="41"/>
      <c r="C659" s="41"/>
      <c r="D659" s="72"/>
      <c r="E659" s="41"/>
      <c r="F659" s="41"/>
      <c r="G659" s="41"/>
      <c r="H659" s="41"/>
      <c r="I659" s="41"/>
      <c r="J659" s="41"/>
      <c r="K659" s="41"/>
      <c r="L659" s="41"/>
      <c r="M659" s="41"/>
      <c r="N659" s="41"/>
      <c r="O659" s="41"/>
      <c r="P659" s="41"/>
      <c r="Q659" s="41"/>
      <c r="R659" s="41"/>
      <c r="S659" s="41"/>
      <c r="T659" s="41"/>
      <c r="U659" s="41"/>
      <c r="V659" s="41"/>
      <c r="W659" s="41"/>
      <c r="X659" s="41"/>
      <c r="Y659" s="41"/>
      <c r="Z659" s="41"/>
      <c r="AA659" s="41"/>
      <c r="AB659" s="41"/>
      <c r="AC659" s="41"/>
      <c r="AD659" s="41"/>
      <c r="AE659" s="41"/>
      <c r="AF659" s="41"/>
      <c r="AG659" s="41"/>
      <c r="AH659" s="41"/>
      <c r="AI659" s="41"/>
    </row>
    <row r="660" spans="1:35" ht="15.75" customHeight="1" x14ac:dyDescent="0.2">
      <c r="A660" s="41"/>
      <c r="B660" s="41"/>
      <c r="C660" s="41"/>
      <c r="D660" s="72"/>
      <c r="E660" s="41"/>
      <c r="F660" s="41"/>
      <c r="G660" s="41"/>
      <c r="H660" s="41"/>
      <c r="I660" s="41"/>
      <c r="J660" s="41"/>
      <c r="K660" s="41"/>
      <c r="L660" s="41"/>
      <c r="M660" s="41"/>
      <c r="N660" s="41"/>
      <c r="O660" s="41"/>
      <c r="P660" s="41"/>
      <c r="Q660" s="41"/>
      <c r="R660" s="41"/>
      <c r="S660" s="41"/>
      <c r="T660" s="41"/>
      <c r="U660" s="41"/>
      <c r="V660" s="41"/>
      <c r="W660" s="41"/>
      <c r="X660" s="41"/>
      <c r="Y660" s="41"/>
      <c r="Z660" s="41"/>
      <c r="AA660" s="41"/>
      <c r="AB660" s="41"/>
      <c r="AC660" s="41"/>
      <c r="AD660" s="41"/>
      <c r="AE660" s="41"/>
      <c r="AF660" s="41"/>
      <c r="AG660" s="41"/>
      <c r="AH660" s="41"/>
      <c r="AI660" s="41"/>
    </row>
    <row r="661" spans="1:35" ht="15.75" customHeight="1" x14ac:dyDescent="0.2">
      <c r="A661" s="41"/>
      <c r="B661" s="41"/>
      <c r="C661" s="41"/>
      <c r="D661" s="72"/>
      <c r="E661" s="41"/>
      <c r="F661" s="41"/>
      <c r="G661" s="41"/>
      <c r="H661" s="41"/>
      <c r="I661" s="41"/>
      <c r="J661" s="41"/>
      <c r="K661" s="41"/>
      <c r="L661" s="41"/>
      <c r="M661" s="41"/>
      <c r="N661" s="41"/>
      <c r="O661" s="41"/>
      <c r="P661" s="41"/>
      <c r="Q661" s="41"/>
      <c r="R661" s="41"/>
      <c r="S661" s="41"/>
      <c r="T661" s="41"/>
      <c r="U661" s="41"/>
      <c r="V661" s="41"/>
      <c r="W661" s="41"/>
      <c r="X661" s="41"/>
      <c r="Y661" s="41"/>
      <c r="Z661" s="41"/>
      <c r="AA661" s="41"/>
      <c r="AB661" s="41"/>
      <c r="AC661" s="41"/>
      <c r="AD661" s="41"/>
      <c r="AE661" s="41"/>
      <c r="AF661" s="41"/>
      <c r="AG661" s="41"/>
      <c r="AH661" s="41"/>
      <c r="AI661" s="41"/>
    </row>
    <row r="662" spans="1:35" ht="15.75" customHeight="1" x14ac:dyDescent="0.2">
      <c r="A662" s="41"/>
      <c r="B662" s="41"/>
      <c r="C662" s="41"/>
      <c r="D662" s="72"/>
      <c r="E662" s="41"/>
      <c r="F662" s="41"/>
      <c r="G662" s="41"/>
      <c r="H662" s="41"/>
      <c r="I662" s="41"/>
      <c r="J662" s="41"/>
      <c r="K662" s="41"/>
      <c r="L662" s="41"/>
      <c r="M662" s="41"/>
      <c r="N662" s="41"/>
      <c r="O662" s="41"/>
      <c r="P662" s="41"/>
      <c r="Q662" s="41"/>
      <c r="R662" s="41"/>
      <c r="S662" s="41"/>
      <c r="T662" s="41"/>
      <c r="U662" s="41"/>
      <c r="V662" s="41"/>
      <c r="W662" s="41"/>
      <c r="X662" s="41"/>
      <c r="Y662" s="41"/>
      <c r="Z662" s="41"/>
      <c r="AA662" s="41"/>
      <c r="AB662" s="41"/>
      <c r="AC662" s="41"/>
      <c r="AD662" s="41"/>
      <c r="AE662" s="41"/>
      <c r="AF662" s="41"/>
      <c r="AG662" s="41"/>
      <c r="AH662" s="41"/>
      <c r="AI662" s="41"/>
    </row>
    <row r="663" spans="1:35" ht="15.75" customHeight="1" x14ac:dyDescent="0.2">
      <c r="A663" s="41"/>
      <c r="B663" s="41"/>
      <c r="C663" s="41"/>
      <c r="D663" s="72"/>
      <c r="E663" s="41"/>
      <c r="F663" s="41"/>
      <c r="G663" s="41"/>
      <c r="H663" s="41"/>
      <c r="I663" s="41"/>
      <c r="J663" s="41"/>
      <c r="K663" s="41"/>
      <c r="L663" s="41"/>
      <c r="M663" s="41"/>
      <c r="N663" s="41"/>
      <c r="O663" s="41"/>
      <c r="P663" s="41"/>
      <c r="Q663" s="41"/>
      <c r="R663" s="41"/>
      <c r="S663" s="41"/>
      <c r="T663" s="41"/>
      <c r="U663" s="41"/>
      <c r="V663" s="41"/>
      <c r="W663" s="41"/>
      <c r="X663" s="41"/>
      <c r="Y663" s="41"/>
      <c r="Z663" s="41"/>
      <c r="AA663" s="41"/>
      <c r="AB663" s="41"/>
      <c r="AC663" s="41"/>
      <c r="AD663" s="41"/>
      <c r="AE663" s="41"/>
      <c r="AF663" s="41"/>
      <c r="AG663" s="41"/>
      <c r="AH663" s="41"/>
      <c r="AI663" s="41"/>
    </row>
    <row r="664" spans="1:35" ht="15.75" customHeight="1" x14ac:dyDescent="0.2">
      <c r="A664" s="41"/>
      <c r="B664" s="41"/>
      <c r="C664" s="41"/>
      <c r="D664" s="72"/>
      <c r="E664" s="41"/>
      <c r="F664" s="41"/>
      <c r="G664" s="41"/>
      <c r="H664" s="41"/>
      <c r="I664" s="41"/>
      <c r="J664" s="41"/>
      <c r="K664" s="41"/>
      <c r="L664" s="41"/>
      <c r="M664" s="41"/>
      <c r="N664" s="41"/>
      <c r="O664" s="41"/>
      <c r="P664" s="41"/>
      <c r="Q664" s="41"/>
      <c r="R664" s="41"/>
      <c r="S664" s="41"/>
      <c r="T664" s="41"/>
      <c r="U664" s="41"/>
      <c r="V664" s="41"/>
      <c r="W664" s="41"/>
      <c r="X664" s="41"/>
      <c r="Y664" s="41"/>
      <c r="Z664" s="41"/>
      <c r="AA664" s="41"/>
      <c r="AB664" s="41"/>
      <c r="AC664" s="41"/>
      <c r="AD664" s="41"/>
      <c r="AE664" s="41"/>
      <c r="AF664" s="41"/>
      <c r="AG664" s="41"/>
      <c r="AH664" s="41"/>
      <c r="AI664" s="41"/>
    </row>
    <row r="665" spans="1:35" ht="15.75" customHeight="1" x14ac:dyDescent="0.2">
      <c r="A665" s="41"/>
      <c r="B665" s="41"/>
      <c r="C665" s="41"/>
      <c r="D665" s="72"/>
      <c r="E665" s="41"/>
      <c r="F665" s="41"/>
      <c r="G665" s="41"/>
      <c r="H665" s="41"/>
      <c r="I665" s="41"/>
      <c r="J665" s="41"/>
      <c r="K665" s="41"/>
      <c r="L665" s="41"/>
      <c r="M665" s="41"/>
      <c r="N665" s="41"/>
      <c r="O665" s="41"/>
      <c r="P665" s="41"/>
      <c r="Q665" s="41"/>
      <c r="R665" s="41"/>
      <c r="S665" s="41"/>
      <c r="T665" s="41"/>
      <c r="U665" s="41"/>
      <c r="V665" s="41"/>
      <c r="W665" s="41"/>
      <c r="X665" s="41"/>
      <c r="Y665" s="41"/>
      <c r="Z665" s="41"/>
      <c r="AA665" s="41"/>
      <c r="AB665" s="41"/>
      <c r="AC665" s="41"/>
      <c r="AD665" s="41"/>
      <c r="AE665" s="41"/>
      <c r="AF665" s="41"/>
      <c r="AG665" s="41"/>
      <c r="AH665" s="41"/>
      <c r="AI665" s="41"/>
    </row>
    <row r="666" spans="1:35" ht="15.75" customHeight="1" x14ac:dyDescent="0.2">
      <c r="A666" s="41"/>
      <c r="B666" s="41"/>
      <c r="C666" s="41"/>
      <c r="D666" s="72"/>
      <c r="E666" s="41"/>
      <c r="F666" s="41"/>
      <c r="G666" s="41"/>
      <c r="H666" s="41"/>
      <c r="I666" s="41"/>
      <c r="J666" s="41"/>
      <c r="K666" s="41"/>
      <c r="L666" s="41"/>
      <c r="M666" s="41"/>
      <c r="N666" s="41"/>
      <c r="O666" s="41"/>
      <c r="P666" s="41"/>
      <c r="Q666" s="41"/>
      <c r="R666" s="41"/>
      <c r="S666" s="41"/>
      <c r="T666" s="41"/>
      <c r="U666" s="41"/>
      <c r="V666" s="41"/>
      <c r="W666" s="41"/>
      <c r="X666" s="41"/>
      <c r="Y666" s="41"/>
      <c r="Z666" s="41"/>
      <c r="AA666" s="41"/>
      <c r="AB666" s="41"/>
      <c r="AC666" s="41"/>
      <c r="AD666" s="41"/>
      <c r="AE666" s="41"/>
      <c r="AF666" s="41"/>
      <c r="AG666" s="41"/>
      <c r="AH666" s="41"/>
      <c r="AI666" s="41"/>
    </row>
    <row r="667" spans="1:35" ht="15.75" customHeight="1" x14ac:dyDescent="0.2">
      <c r="A667" s="41"/>
      <c r="B667" s="41"/>
      <c r="C667" s="41"/>
      <c r="D667" s="72"/>
      <c r="E667" s="41"/>
      <c r="F667" s="41"/>
      <c r="G667" s="41"/>
      <c r="H667" s="41"/>
      <c r="I667" s="41"/>
      <c r="J667" s="41"/>
      <c r="K667" s="41"/>
      <c r="L667" s="41"/>
      <c r="M667" s="41"/>
      <c r="N667" s="41"/>
      <c r="O667" s="41"/>
      <c r="P667" s="41"/>
      <c r="Q667" s="41"/>
      <c r="R667" s="41"/>
      <c r="S667" s="41"/>
      <c r="T667" s="41"/>
      <c r="U667" s="41"/>
      <c r="V667" s="41"/>
      <c r="W667" s="41"/>
      <c r="X667" s="41"/>
      <c r="Y667" s="41"/>
      <c r="Z667" s="41"/>
      <c r="AA667" s="41"/>
      <c r="AB667" s="41"/>
      <c r="AC667" s="41"/>
      <c r="AD667" s="41"/>
      <c r="AE667" s="41"/>
      <c r="AF667" s="41"/>
      <c r="AG667" s="41"/>
      <c r="AH667" s="41"/>
      <c r="AI667" s="41"/>
    </row>
    <row r="668" spans="1:35" ht="15.75" customHeight="1" x14ac:dyDescent="0.2">
      <c r="A668" s="41"/>
      <c r="B668" s="41"/>
      <c r="C668" s="41"/>
      <c r="D668" s="72"/>
      <c r="E668" s="41"/>
      <c r="F668" s="41"/>
      <c r="G668" s="41"/>
      <c r="H668" s="41"/>
      <c r="I668" s="41"/>
      <c r="J668" s="41"/>
      <c r="K668" s="41"/>
      <c r="L668" s="41"/>
      <c r="M668" s="41"/>
      <c r="N668" s="41"/>
      <c r="O668" s="41"/>
      <c r="P668" s="41"/>
      <c r="Q668" s="41"/>
      <c r="R668" s="41"/>
      <c r="S668" s="41"/>
      <c r="T668" s="41"/>
      <c r="U668" s="41"/>
      <c r="V668" s="41"/>
      <c r="W668" s="41"/>
      <c r="X668" s="41"/>
      <c r="Y668" s="41"/>
      <c r="Z668" s="41"/>
      <c r="AA668" s="41"/>
      <c r="AB668" s="41"/>
      <c r="AC668" s="41"/>
      <c r="AD668" s="41"/>
      <c r="AE668" s="41"/>
      <c r="AF668" s="41"/>
      <c r="AG668" s="41"/>
      <c r="AH668" s="41"/>
      <c r="AI668" s="41"/>
    </row>
    <row r="669" spans="1:35" ht="15.75" customHeight="1" x14ac:dyDescent="0.2">
      <c r="A669" s="41"/>
      <c r="B669" s="41"/>
      <c r="C669" s="41"/>
      <c r="D669" s="72"/>
      <c r="E669" s="41"/>
      <c r="F669" s="41"/>
      <c r="G669" s="41"/>
      <c r="H669" s="41"/>
      <c r="I669" s="41"/>
      <c r="J669" s="41"/>
      <c r="K669" s="41"/>
      <c r="L669" s="41"/>
      <c r="M669" s="41"/>
      <c r="N669" s="41"/>
      <c r="O669" s="41"/>
      <c r="P669" s="41"/>
      <c r="Q669" s="41"/>
      <c r="R669" s="41"/>
      <c r="S669" s="41"/>
      <c r="T669" s="41"/>
      <c r="U669" s="41"/>
      <c r="V669" s="41"/>
      <c r="W669" s="41"/>
      <c r="X669" s="41"/>
      <c r="Y669" s="41"/>
      <c r="Z669" s="41"/>
      <c r="AA669" s="41"/>
      <c r="AB669" s="41"/>
      <c r="AC669" s="41"/>
      <c r="AD669" s="41"/>
      <c r="AE669" s="41"/>
      <c r="AF669" s="41"/>
      <c r="AG669" s="41"/>
      <c r="AH669" s="41"/>
      <c r="AI669" s="41"/>
    </row>
    <row r="670" spans="1:35" ht="15.75" customHeight="1" x14ac:dyDescent="0.2">
      <c r="A670" s="41"/>
      <c r="B670" s="41"/>
      <c r="C670" s="41"/>
      <c r="D670" s="72"/>
      <c r="E670" s="41"/>
      <c r="F670" s="41"/>
      <c r="G670" s="41"/>
      <c r="H670" s="41"/>
      <c r="I670" s="41"/>
      <c r="J670" s="41"/>
      <c r="K670" s="41"/>
      <c r="L670" s="41"/>
      <c r="M670" s="41"/>
      <c r="N670" s="41"/>
      <c r="O670" s="41"/>
      <c r="P670" s="41"/>
      <c r="Q670" s="41"/>
      <c r="R670" s="41"/>
      <c r="S670" s="41"/>
      <c r="T670" s="41"/>
      <c r="U670" s="41"/>
      <c r="V670" s="41"/>
      <c r="W670" s="41"/>
      <c r="X670" s="41"/>
      <c r="Y670" s="41"/>
      <c r="Z670" s="41"/>
      <c r="AA670" s="41"/>
      <c r="AB670" s="41"/>
      <c r="AC670" s="41"/>
      <c r="AD670" s="41"/>
      <c r="AE670" s="41"/>
      <c r="AF670" s="41"/>
      <c r="AG670" s="41"/>
      <c r="AH670" s="41"/>
      <c r="AI670" s="41"/>
    </row>
    <row r="671" spans="1:35" ht="15.75" customHeight="1" x14ac:dyDescent="0.2">
      <c r="A671" s="41"/>
      <c r="B671" s="41"/>
      <c r="C671" s="41"/>
      <c r="D671" s="72"/>
      <c r="E671" s="41"/>
      <c r="F671" s="41"/>
      <c r="G671" s="41"/>
      <c r="H671" s="41"/>
      <c r="I671" s="41"/>
      <c r="J671" s="41"/>
      <c r="K671" s="41"/>
      <c r="L671" s="41"/>
      <c r="M671" s="41"/>
      <c r="N671" s="41"/>
      <c r="O671" s="41"/>
      <c r="P671" s="41"/>
      <c r="Q671" s="41"/>
      <c r="R671" s="41"/>
      <c r="S671" s="41"/>
      <c r="T671" s="41"/>
      <c r="U671" s="41"/>
      <c r="V671" s="41"/>
      <c r="W671" s="41"/>
      <c r="X671" s="41"/>
      <c r="Y671" s="41"/>
      <c r="Z671" s="41"/>
      <c r="AA671" s="41"/>
      <c r="AB671" s="41"/>
      <c r="AC671" s="41"/>
      <c r="AD671" s="41"/>
      <c r="AE671" s="41"/>
      <c r="AF671" s="41"/>
      <c r="AG671" s="41"/>
      <c r="AH671" s="41"/>
      <c r="AI671" s="41"/>
    </row>
    <row r="672" spans="1:35" ht="15.75" customHeight="1" x14ac:dyDescent="0.2">
      <c r="A672" s="41"/>
      <c r="B672" s="41"/>
      <c r="C672" s="41"/>
      <c r="D672" s="72"/>
      <c r="E672" s="41"/>
      <c r="F672" s="41"/>
      <c r="G672" s="41"/>
      <c r="H672" s="41"/>
      <c r="I672" s="41"/>
      <c r="J672" s="41"/>
      <c r="K672" s="41"/>
      <c r="L672" s="41"/>
      <c r="M672" s="41"/>
      <c r="N672" s="41"/>
      <c r="O672" s="41"/>
      <c r="P672" s="41"/>
      <c r="Q672" s="41"/>
      <c r="R672" s="41"/>
      <c r="S672" s="41"/>
      <c r="T672" s="41"/>
      <c r="U672" s="41"/>
      <c r="V672" s="41"/>
      <c r="W672" s="41"/>
      <c r="X672" s="41"/>
      <c r="Y672" s="41"/>
      <c r="Z672" s="41"/>
      <c r="AA672" s="41"/>
      <c r="AB672" s="41"/>
      <c r="AC672" s="41"/>
      <c r="AD672" s="41"/>
      <c r="AE672" s="41"/>
      <c r="AF672" s="41"/>
      <c r="AG672" s="41"/>
      <c r="AH672" s="41"/>
      <c r="AI672" s="41"/>
    </row>
    <row r="673" spans="1:35" ht="15.75" customHeight="1" x14ac:dyDescent="0.2">
      <c r="A673" s="41"/>
      <c r="B673" s="41"/>
      <c r="C673" s="41"/>
      <c r="D673" s="72"/>
      <c r="E673" s="41"/>
      <c r="F673" s="41"/>
      <c r="G673" s="41"/>
      <c r="H673" s="41"/>
      <c r="I673" s="41"/>
      <c r="J673" s="41"/>
      <c r="K673" s="41"/>
      <c r="L673" s="41"/>
      <c r="M673" s="41"/>
      <c r="N673" s="41"/>
      <c r="O673" s="41"/>
      <c r="P673" s="41"/>
      <c r="Q673" s="41"/>
      <c r="R673" s="41"/>
      <c r="S673" s="41"/>
      <c r="T673" s="41"/>
      <c r="U673" s="41"/>
      <c r="V673" s="41"/>
      <c r="W673" s="41"/>
      <c r="X673" s="41"/>
      <c r="Y673" s="41"/>
      <c r="Z673" s="41"/>
      <c r="AA673" s="41"/>
      <c r="AB673" s="41"/>
      <c r="AC673" s="41"/>
      <c r="AD673" s="41"/>
      <c r="AE673" s="41"/>
      <c r="AF673" s="41"/>
      <c r="AG673" s="41"/>
      <c r="AH673" s="41"/>
      <c r="AI673" s="41"/>
    </row>
    <row r="674" spans="1:35" ht="15.75" customHeight="1" x14ac:dyDescent="0.2">
      <c r="A674" s="41"/>
      <c r="B674" s="41"/>
      <c r="C674" s="41"/>
      <c r="D674" s="72"/>
      <c r="E674" s="41"/>
      <c r="F674" s="41"/>
      <c r="G674" s="41"/>
      <c r="H674" s="41"/>
      <c r="I674" s="41"/>
      <c r="J674" s="41"/>
      <c r="K674" s="41"/>
      <c r="L674" s="41"/>
      <c r="M674" s="41"/>
      <c r="N674" s="41"/>
      <c r="O674" s="41"/>
      <c r="P674" s="41"/>
      <c r="Q674" s="41"/>
      <c r="R674" s="41"/>
      <c r="S674" s="41"/>
      <c r="T674" s="41"/>
      <c r="U674" s="41"/>
      <c r="V674" s="41"/>
      <c r="W674" s="41"/>
      <c r="X674" s="41"/>
      <c r="Y674" s="41"/>
      <c r="Z674" s="41"/>
      <c r="AA674" s="41"/>
      <c r="AB674" s="41"/>
      <c r="AC674" s="41"/>
      <c r="AD674" s="41"/>
      <c r="AE674" s="41"/>
      <c r="AF674" s="41"/>
      <c r="AG674" s="41"/>
      <c r="AH674" s="41"/>
      <c r="AI674" s="41"/>
    </row>
    <row r="675" spans="1:35" ht="15.75" customHeight="1" x14ac:dyDescent="0.2">
      <c r="A675" s="41"/>
      <c r="B675" s="41"/>
      <c r="C675" s="41"/>
      <c r="D675" s="72"/>
      <c r="E675" s="41"/>
      <c r="F675" s="41"/>
      <c r="G675" s="41"/>
      <c r="H675" s="41"/>
      <c r="I675" s="41"/>
      <c r="J675" s="41"/>
      <c r="K675" s="41"/>
      <c r="L675" s="41"/>
      <c r="M675" s="41"/>
      <c r="N675" s="41"/>
      <c r="O675" s="41"/>
      <c r="P675" s="41"/>
      <c r="Q675" s="41"/>
      <c r="R675" s="41"/>
      <c r="S675" s="41"/>
      <c r="T675" s="41"/>
      <c r="U675" s="41"/>
      <c r="V675" s="41"/>
      <c r="W675" s="41"/>
      <c r="X675" s="41"/>
      <c r="Y675" s="41"/>
      <c r="Z675" s="41"/>
      <c r="AA675" s="41"/>
      <c r="AB675" s="41"/>
      <c r="AC675" s="41"/>
      <c r="AD675" s="41"/>
      <c r="AE675" s="41"/>
      <c r="AF675" s="41"/>
      <c r="AG675" s="41"/>
      <c r="AH675" s="41"/>
      <c r="AI675" s="41"/>
    </row>
    <row r="676" spans="1:35" ht="15.75" customHeight="1" x14ac:dyDescent="0.2">
      <c r="A676" s="41"/>
      <c r="B676" s="41"/>
      <c r="C676" s="41"/>
      <c r="D676" s="72"/>
      <c r="E676" s="41"/>
      <c r="F676" s="41"/>
      <c r="G676" s="41"/>
      <c r="H676" s="41"/>
      <c r="I676" s="41"/>
      <c r="J676" s="41"/>
      <c r="K676" s="41"/>
      <c r="L676" s="41"/>
      <c r="M676" s="41"/>
      <c r="N676" s="41"/>
      <c r="O676" s="41"/>
      <c r="P676" s="41"/>
      <c r="Q676" s="41"/>
      <c r="R676" s="41"/>
      <c r="S676" s="41"/>
      <c r="T676" s="41"/>
      <c r="U676" s="41"/>
      <c r="V676" s="41"/>
      <c r="W676" s="41"/>
      <c r="X676" s="41"/>
      <c r="Y676" s="41"/>
      <c r="Z676" s="41"/>
      <c r="AA676" s="41"/>
      <c r="AB676" s="41"/>
      <c r="AC676" s="41"/>
      <c r="AD676" s="41"/>
      <c r="AE676" s="41"/>
      <c r="AF676" s="41"/>
      <c r="AG676" s="41"/>
      <c r="AH676" s="41"/>
      <c r="AI676" s="41"/>
    </row>
    <row r="677" spans="1:35" ht="15.75" customHeight="1" x14ac:dyDescent="0.2">
      <c r="A677" s="41"/>
      <c r="B677" s="41"/>
      <c r="C677" s="41"/>
      <c r="D677" s="72"/>
      <c r="E677" s="41"/>
      <c r="F677" s="41"/>
      <c r="G677" s="41"/>
      <c r="H677" s="41"/>
      <c r="I677" s="41"/>
      <c r="J677" s="41"/>
      <c r="K677" s="41"/>
      <c r="L677" s="41"/>
      <c r="M677" s="41"/>
      <c r="N677" s="41"/>
      <c r="O677" s="41"/>
      <c r="P677" s="41"/>
      <c r="Q677" s="41"/>
      <c r="R677" s="41"/>
      <c r="S677" s="41"/>
      <c r="T677" s="41"/>
      <c r="U677" s="41"/>
      <c r="V677" s="41"/>
      <c r="W677" s="41"/>
      <c r="X677" s="41"/>
      <c r="Y677" s="41"/>
      <c r="Z677" s="41"/>
      <c r="AA677" s="41"/>
      <c r="AB677" s="41"/>
      <c r="AC677" s="41"/>
      <c r="AD677" s="41"/>
      <c r="AE677" s="41"/>
      <c r="AF677" s="41"/>
      <c r="AG677" s="41"/>
      <c r="AH677" s="41"/>
      <c r="AI677" s="41"/>
    </row>
    <row r="678" spans="1:35" ht="15.75" customHeight="1" x14ac:dyDescent="0.2">
      <c r="A678" s="41"/>
      <c r="B678" s="41"/>
      <c r="C678" s="41"/>
      <c r="D678" s="72"/>
      <c r="E678" s="41"/>
      <c r="F678" s="41"/>
      <c r="G678" s="41"/>
      <c r="H678" s="41"/>
      <c r="I678" s="41"/>
      <c r="J678" s="41"/>
      <c r="K678" s="41"/>
      <c r="L678" s="41"/>
      <c r="M678" s="41"/>
      <c r="N678" s="41"/>
      <c r="O678" s="41"/>
      <c r="P678" s="41"/>
      <c r="Q678" s="41"/>
      <c r="R678" s="41"/>
      <c r="S678" s="41"/>
      <c r="T678" s="41"/>
      <c r="U678" s="41"/>
      <c r="V678" s="41"/>
      <c r="W678" s="41"/>
      <c r="X678" s="41"/>
      <c r="Y678" s="41"/>
      <c r="Z678" s="41"/>
      <c r="AA678" s="41"/>
      <c r="AB678" s="41"/>
      <c r="AC678" s="41"/>
      <c r="AD678" s="41"/>
      <c r="AE678" s="41"/>
      <c r="AF678" s="41"/>
      <c r="AG678" s="41"/>
      <c r="AH678" s="41"/>
      <c r="AI678" s="41"/>
    </row>
    <row r="679" spans="1:35" ht="15.75" customHeight="1" x14ac:dyDescent="0.2">
      <c r="A679" s="41"/>
      <c r="B679" s="41"/>
      <c r="C679" s="41"/>
      <c r="D679" s="72"/>
      <c r="E679" s="41"/>
      <c r="F679" s="41"/>
      <c r="G679" s="41"/>
      <c r="H679" s="41"/>
      <c r="I679" s="41"/>
      <c r="J679" s="41"/>
      <c r="K679" s="41"/>
      <c r="L679" s="41"/>
      <c r="M679" s="41"/>
      <c r="N679" s="41"/>
      <c r="O679" s="41"/>
      <c r="P679" s="41"/>
      <c r="Q679" s="41"/>
      <c r="R679" s="41"/>
      <c r="S679" s="41"/>
      <c r="T679" s="41"/>
      <c r="U679" s="41"/>
      <c r="V679" s="41"/>
      <c r="W679" s="41"/>
      <c r="X679" s="41"/>
      <c r="Y679" s="41"/>
      <c r="Z679" s="41"/>
      <c r="AA679" s="41"/>
      <c r="AB679" s="41"/>
      <c r="AC679" s="41"/>
      <c r="AD679" s="41"/>
      <c r="AE679" s="41"/>
      <c r="AF679" s="41"/>
      <c r="AG679" s="41"/>
      <c r="AH679" s="41"/>
      <c r="AI679" s="41"/>
    </row>
    <row r="680" spans="1:35" ht="15.75" customHeight="1" x14ac:dyDescent="0.2">
      <c r="A680" s="41"/>
      <c r="B680" s="41"/>
      <c r="C680" s="41"/>
      <c r="D680" s="72"/>
      <c r="E680" s="41"/>
      <c r="F680" s="41"/>
      <c r="G680" s="41"/>
      <c r="H680" s="41"/>
      <c r="I680" s="41"/>
      <c r="J680" s="41"/>
      <c r="K680" s="41"/>
      <c r="L680" s="41"/>
      <c r="M680" s="41"/>
      <c r="N680" s="41"/>
      <c r="O680" s="41"/>
      <c r="P680" s="41"/>
      <c r="Q680" s="41"/>
      <c r="R680" s="41"/>
      <c r="S680" s="41"/>
      <c r="T680" s="41"/>
      <c r="U680" s="41"/>
      <c r="V680" s="41"/>
      <c r="W680" s="41"/>
      <c r="X680" s="41"/>
      <c r="Y680" s="41"/>
      <c r="Z680" s="41"/>
      <c r="AA680" s="41"/>
      <c r="AB680" s="41"/>
      <c r="AC680" s="41"/>
      <c r="AD680" s="41"/>
      <c r="AE680" s="41"/>
      <c r="AF680" s="41"/>
      <c r="AG680" s="41"/>
      <c r="AH680" s="41"/>
      <c r="AI680" s="41"/>
    </row>
    <row r="681" spans="1:35" ht="15.75" customHeight="1" x14ac:dyDescent="0.2">
      <c r="A681" s="41"/>
      <c r="B681" s="41"/>
      <c r="C681" s="41"/>
      <c r="D681" s="72"/>
      <c r="E681" s="41"/>
      <c r="F681" s="41"/>
      <c r="G681" s="41"/>
      <c r="H681" s="41"/>
      <c r="I681" s="41"/>
      <c r="J681" s="41"/>
      <c r="K681" s="41"/>
      <c r="L681" s="41"/>
      <c r="M681" s="41"/>
      <c r="N681" s="41"/>
      <c r="O681" s="41"/>
      <c r="P681" s="41"/>
      <c r="Q681" s="41"/>
      <c r="R681" s="41"/>
      <c r="S681" s="41"/>
      <c r="T681" s="41"/>
      <c r="U681" s="41"/>
      <c r="V681" s="41"/>
      <c r="W681" s="41"/>
      <c r="X681" s="41"/>
      <c r="Y681" s="41"/>
      <c r="Z681" s="41"/>
      <c r="AA681" s="41"/>
      <c r="AB681" s="41"/>
      <c r="AC681" s="41"/>
      <c r="AD681" s="41"/>
      <c r="AE681" s="41"/>
      <c r="AF681" s="41"/>
      <c r="AG681" s="41"/>
      <c r="AH681" s="41"/>
      <c r="AI681" s="41"/>
    </row>
    <row r="682" spans="1:35" ht="15.75" customHeight="1" x14ac:dyDescent="0.2">
      <c r="A682" s="41"/>
      <c r="B682" s="41"/>
      <c r="C682" s="41"/>
      <c r="D682" s="72"/>
      <c r="E682" s="41"/>
      <c r="F682" s="41"/>
      <c r="G682" s="41"/>
      <c r="H682" s="41"/>
      <c r="I682" s="41"/>
      <c r="J682" s="41"/>
      <c r="K682" s="41"/>
      <c r="L682" s="41"/>
      <c r="M682" s="41"/>
      <c r="N682" s="41"/>
      <c r="O682" s="41"/>
      <c r="P682" s="41"/>
      <c r="Q682" s="41"/>
      <c r="R682" s="41"/>
      <c r="S682" s="41"/>
      <c r="T682" s="41"/>
      <c r="U682" s="41"/>
      <c r="V682" s="41"/>
      <c r="W682" s="41"/>
      <c r="X682" s="41"/>
      <c r="Y682" s="41"/>
      <c r="Z682" s="41"/>
      <c r="AA682" s="41"/>
      <c r="AB682" s="41"/>
      <c r="AC682" s="41"/>
      <c r="AD682" s="41"/>
      <c r="AE682" s="41"/>
      <c r="AF682" s="41"/>
      <c r="AG682" s="41"/>
      <c r="AH682" s="41"/>
      <c r="AI682" s="41"/>
    </row>
    <row r="683" spans="1:35" ht="15.75" customHeight="1" x14ac:dyDescent="0.2">
      <c r="A683" s="41"/>
      <c r="B683" s="41"/>
      <c r="C683" s="41"/>
      <c r="D683" s="72"/>
      <c r="E683" s="41"/>
      <c r="F683" s="41"/>
      <c r="G683" s="41"/>
      <c r="H683" s="41"/>
      <c r="I683" s="41"/>
      <c r="J683" s="41"/>
      <c r="K683" s="41"/>
      <c r="L683" s="41"/>
      <c r="M683" s="41"/>
      <c r="N683" s="41"/>
      <c r="O683" s="41"/>
      <c r="P683" s="41"/>
      <c r="Q683" s="41"/>
      <c r="R683" s="41"/>
      <c r="S683" s="41"/>
      <c r="T683" s="41"/>
      <c r="U683" s="41"/>
      <c r="V683" s="41"/>
      <c r="W683" s="41"/>
      <c r="X683" s="41"/>
      <c r="Y683" s="41"/>
      <c r="Z683" s="41"/>
      <c r="AA683" s="41"/>
      <c r="AB683" s="41"/>
      <c r="AC683" s="41"/>
      <c r="AD683" s="41"/>
      <c r="AE683" s="41"/>
      <c r="AF683" s="41"/>
      <c r="AG683" s="41"/>
      <c r="AH683" s="41"/>
      <c r="AI683" s="41"/>
    </row>
    <row r="684" spans="1:35" ht="15.75" customHeight="1" x14ac:dyDescent="0.2">
      <c r="A684" s="41"/>
      <c r="B684" s="41"/>
      <c r="C684" s="41"/>
      <c r="D684" s="72"/>
      <c r="E684" s="41"/>
      <c r="F684" s="41"/>
      <c r="G684" s="41"/>
      <c r="H684" s="41"/>
      <c r="I684" s="41"/>
      <c r="J684" s="41"/>
      <c r="K684" s="41"/>
      <c r="L684" s="41"/>
      <c r="M684" s="41"/>
      <c r="N684" s="41"/>
      <c r="O684" s="41"/>
      <c r="P684" s="41"/>
      <c r="Q684" s="41"/>
      <c r="R684" s="41"/>
      <c r="S684" s="41"/>
      <c r="T684" s="41"/>
      <c r="U684" s="41"/>
      <c r="V684" s="41"/>
      <c r="W684" s="41"/>
      <c r="X684" s="41"/>
      <c r="Y684" s="41"/>
      <c r="Z684" s="41"/>
      <c r="AA684" s="41"/>
      <c r="AB684" s="41"/>
      <c r="AC684" s="41"/>
      <c r="AD684" s="41"/>
      <c r="AE684" s="41"/>
      <c r="AF684" s="41"/>
      <c r="AG684" s="41"/>
      <c r="AH684" s="41"/>
      <c r="AI684" s="41"/>
    </row>
    <row r="685" spans="1:35" ht="15.75" customHeight="1" x14ac:dyDescent="0.2">
      <c r="A685" s="41"/>
      <c r="B685" s="41"/>
      <c r="C685" s="41"/>
      <c r="D685" s="72"/>
      <c r="E685" s="41"/>
      <c r="F685" s="41"/>
      <c r="G685" s="41"/>
      <c r="H685" s="41"/>
      <c r="I685" s="41"/>
      <c r="J685" s="41"/>
      <c r="K685" s="41"/>
      <c r="L685" s="41"/>
      <c r="M685" s="41"/>
      <c r="N685" s="41"/>
      <c r="O685" s="41"/>
      <c r="P685" s="41"/>
      <c r="Q685" s="41"/>
      <c r="R685" s="41"/>
      <c r="S685" s="41"/>
      <c r="T685" s="41"/>
      <c r="U685" s="41"/>
      <c r="V685" s="41"/>
      <c r="W685" s="41"/>
      <c r="X685" s="41"/>
      <c r="Y685" s="41"/>
      <c r="Z685" s="41"/>
      <c r="AA685" s="41"/>
      <c r="AB685" s="41"/>
      <c r="AC685" s="41"/>
      <c r="AD685" s="41"/>
      <c r="AE685" s="41"/>
      <c r="AF685" s="41"/>
      <c r="AG685" s="41"/>
      <c r="AH685" s="41"/>
      <c r="AI685" s="41"/>
    </row>
    <row r="686" spans="1:35" ht="15.75" customHeight="1" x14ac:dyDescent="0.2">
      <c r="A686" s="41"/>
      <c r="B686" s="41"/>
      <c r="C686" s="41"/>
      <c r="D686" s="72"/>
      <c r="E686" s="41"/>
      <c r="F686" s="41"/>
      <c r="G686" s="41"/>
      <c r="H686" s="41"/>
      <c r="I686" s="41"/>
      <c r="J686" s="41"/>
      <c r="K686" s="41"/>
      <c r="L686" s="41"/>
      <c r="M686" s="41"/>
      <c r="N686" s="41"/>
      <c r="O686" s="41"/>
      <c r="P686" s="41"/>
      <c r="Q686" s="41"/>
      <c r="R686" s="41"/>
      <c r="S686" s="41"/>
      <c r="T686" s="41"/>
      <c r="U686" s="41"/>
      <c r="V686" s="41"/>
      <c r="W686" s="41"/>
      <c r="X686" s="41"/>
      <c r="Y686" s="41"/>
      <c r="Z686" s="41"/>
      <c r="AA686" s="41"/>
      <c r="AB686" s="41"/>
      <c r="AC686" s="41"/>
      <c r="AD686" s="41"/>
      <c r="AE686" s="41"/>
      <c r="AF686" s="41"/>
      <c r="AG686" s="41"/>
      <c r="AH686" s="41"/>
      <c r="AI686" s="41"/>
    </row>
    <row r="687" spans="1:35" ht="15.75" customHeight="1" x14ac:dyDescent="0.2">
      <c r="A687" s="41"/>
      <c r="B687" s="41"/>
      <c r="C687" s="41"/>
      <c r="D687" s="72"/>
      <c r="E687" s="41"/>
      <c r="F687" s="41"/>
      <c r="G687" s="41"/>
      <c r="H687" s="41"/>
      <c r="I687" s="41"/>
      <c r="J687" s="41"/>
      <c r="K687" s="41"/>
      <c r="L687" s="41"/>
      <c r="M687" s="41"/>
      <c r="N687" s="41"/>
      <c r="O687" s="41"/>
      <c r="P687" s="41"/>
      <c r="Q687" s="41"/>
      <c r="R687" s="41"/>
      <c r="S687" s="41"/>
      <c r="T687" s="41"/>
      <c r="U687" s="41"/>
      <c r="V687" s="41"/>
      <c r="W687" s="41"/>
      <c r="X687" s="41"/>
      <c r="Y687" s="41"/>
      <c r="Z687" s="41"/>
      <c r="AA687" s="41"/>
      <c r="AB687" s="41"/>
      <c r="AC687" s="41"/>
      <c r="AD687" s="41"/>
      <c r="AE687" s="41"/>
      <c r="AF687" s="41"/>
      <c r="AG687" s="41"/>
      <c r="AH687" s="41"/>
      <c r="AI687" s="41"/>
    </row>
    <row r="688" spans="1:35" ht="15.75" customHeight="1" x14ac:dyDescent="0.2">
      <c r="A688" s="41"/>
      <c r="B688" s="41"/>
      <c r="C688" s="41"/>
      <c r="D688" s="72"/>
      <c r="E688" s="41"/>
      <c r="F688" s="41"/>
      <c r="G688" s="41"/>
      <c r="H688" s="41"/>
      <c r="I688" s="41"/>
      <c r="J688" s="41"/>
      <c r="K688" s="41"/>
      <c r="L688" s="41"/>
      <c r="M688" s="41"/>
      <c r="N688" s="41"/>
      <c r="O688" s="41"/>
      <c r="P688" s="41"/>
      <c r="Q688" s="41"/>
      <c r="R688" s="41"/>
      <c r="S688" s="41"/>
      <c r="T688" s="41"/>
      <c r="U688" s="41"/>
      <c r="V688" s="41"/>
      <c r="W688" s="41"/>
      <c r="X688" s="41"/>
      <c r="Y688" s="41"/>
      <c r="Z688" s="41"/>
      <c r="AA688" s="41"/>
      <c r="AB688" s="41"/>
      <c r="AC688" s="41"/>
      <c r="AD688" s="41"/>
      <c r="AE688" s="41"/>
      <c r="AF688" s="41"/>
      <c r="AG688" s="41"/>
      <c r="AH688" s="41"/>
      <c r="AI688" s="41"/>
    </row>
    <row r="689" spans="1:35" ht="15.75" customHeight="1" x14ac:dyDescent="0.2">
      <c r="A689" s="41"/>
      <c r="B689" s="41"/>
      <c r="C689" s="41"/>
      <c r="D689" s="72"/>
      <c r="E689" s="41"/>
      <c r="F689" s="41"/>
      <c r="G689" s="41"/>
      <c r="H689" s="41"/>
      <c r="I689" s="41"/>
      <c r="J689" s="41"/>
      <c r="K689" s="41"/>
      <c r="L689" s="41"/>
      <c r="M689" s="41"/>
      <c r="N689" s="41"/>
      <c r="O689" s="41"/>
      <c r="P689" s="41"/>
      <c r="Q689" s="41"/>
      <c r="R689" s="41"/>
      <c r="S689" s="41"/>
      <c r="T689" s="41"/>
      <c r="U689" s="41"/>
      <c r="V689" s="41"/>
      <c r="W689" s="41"/>
      <c r="X689" s="41"/>
      <c r="Y689" s="41"/>
      <c r="Z689" s="41"/>
      <c r="AA689" s="41"/>
      <c r="AB689" s="41"/>
      <c r="AC689" s="41"/>
      <c r="AD689" s="41"/>
      <c r="AE689" s="41"/>
      <c r="AF689" s="41"/>
      <c r="AG689" s="41"/>
      <c r="AH689" s="41"/>
      <c r="AI689" s="41"/>
    </row>
    <row r="690" spans="1:35" ht="15.75" customHeight="1" x14ac:dyDescent="0.2">
      <c r="A690" s="41"/>
      <c r="B690" s="41"/>
      <c r="C690" s="41"/>
      <c r="D690" s="72"/>
      <c r="E690" s="41"/>
      <c r="F690" s="41"/>
      <c r="G690" s="41"/>
      <c r="H690" s="41"/>
      <c r="I690" s="41"/>
      <c r="J690" s="41"/>
      <c r="K690" s="41"/>
      <c r="L690" s="41"/>
      <c r="M690" s="41"/>
      <c r="N690" s="41"/>
      <c r="O690" s="41"/>
      <c r="P690" s="41"/>
      <c r="Q690" s="41"/>
      <c r="R690" s="41"/>
      <c r="S690" s="41"/>
      <c r="T690" s="41"/>
      <c r="U690" s="41"/>
      <c r="V690" s="41"/>
      <c r="W690" s="41"/>
      <c r="X690" s="41"/>
      <c r="Y690" s="41"/>
      <c r="Z690" s="41"/>
      <c r="AA690" s="41"/>
      <c r="AB690" s="41"/>
      <c r="AC690" s="41"/>
      <c r="AD690" s="41"/>
      <c r="AE690" s="41"/>
      <c r="AF690" s="41"/>
      <c r="AG690" s="41"/>
      <c r="AH690" s="41"/>
      <c r="AI690" s="41"/>
    </row>
    <row r="691" spans="1:35" ht="15.75" customHeight="1" x14ac:dyDescent="0.2">
      <c r="A691" s="41"/>
      <c r="B691" s="41"/>
      <c r="C691" s="41"/>
      <c r="D691" s="72"/>
      <c r="E691" s="41"/>
      <c r="F691" s="41"/>
      <c r="G691" s="41"/>
      <c r="H691" s="41"/>
      <c r="I691" s="41"/>
      <c r="J691" s="41"/>
      <c r="K691" s="41"/>
      <c r="L691" s="41"/>
      <c r="M691" s="41"/>
      <c r="N691" s="41"/>
      <c r="O691" s="41"/>
      <c r="P691" s="41"/>
      <c r="Q691" s="41"/>
      <c r="R691" s="41"/>
      <c r="S691" s="41"/>
      <c r="T691" s="41"/>
      <c r="U691" s="41"/>
      <c r="V691" s="41"/>
      <c r="W691" s="41"/>
      <c r="X691" s="41"/>
      <c r="Y691" s="41"/>
      <c r="Z691" s="41"/>
      <c r="AA691" s="41"/>
      <c r="AB691" s="41"/>
      <c r="AC691" s="41"/>
      <c r="AD691" s="41"/>
      <c r="AE691" s="41"/>
      <c r="AF691" s="41"/>
      <c r="AG691" s="41"/>
      <c r="AH691" s="41"/>
      <c r="AI691" s="41"/>
    </row>
    <row r="692" spans="1:35" ht="15.75" customHeight="1" x14ac:dyDescent="0.2">
      <c r="A692" s="41"/>
      <c r="B692" s="41"/>
      <c r="C692" s="41"/>
      <c r="D692" s="72"/>
      <c r="E692" s="41"/>
      <c r="F692" s="41"/>
      <c r="G692" s="41"/>
      <c r="H692" s="41"/>
      <c r="I692" s="41"/>
      <c r="J692" s="41"/>
      <c r="K692" s="41"/>
      <c r="L692" s="41"/>
      <c r="M692" s="41"/>
      <c r="N692" s="41"/>
      <c r="O692" s="41"/>
      <c r="P692" s="41"/>
      <c r="Q692" s="41"/>
      <c r="R692" s="41"/>
      <c r="S692" s="41"/>
      <c r="T692" s="41"/>
      <c r="U692" s="41"/>
      <c r="V692" s="41"/>
      <c r="W692" s="41"/>
      <c r="X692" s="41"/>
      <c r="Y692" s="41"/>
      <c r="Z692" s="41"/>
      <c r="AA692" s="41"/>
      <c r="AB692" s="41"/>
      <c r="AC692" s="41"/>
      <c r="AD692" s="41"/>
      <c r="AE692" s="41"/>
      <c r="AF692" s="41"/>
      <c r="AG692" s="41"/>
      <c r="AH692" s="41"/>
      <c r="AI692" s="41"/>
    </row>
    <row r="693" spans="1:35" ht="15.75" customHeight="1" x14ac:dyDescent="0.2">
      <c r="A693" s="41"/>
      <c r="B693" s="41"/>
      <c r="C693" s="41"/>
      <c r="D693" s="72"/>
      <c r="E693" s="41"/>
      <c r="F693" s="41"/>
      <c r="G693" s="41"/>
      <c r="H693" s="41"/>
      <c r="I693" s="41"/>
      <c r="J693" s="41"/>
      <c r="K693" s="41"/>
      <c r="L693" s="41"/>
      <c r="M693" s="41"/>
      <c r="N693" s="41"/>
      <c r="O693" s="41"/>
      <c r="P693" s="41"/>
      <c r="Q693" s="41"/>
      <c r="R693" s="41"/>
      <c r="S693" s="41"/>
      <c r="T693" s="41"/>
      <c r="U693" s="41"/>
      <c r="V693" s="41"/>
      <c r="W693" s="41"/>
      <c r="X693" s="41"/>
      <c r="Y693" s="41"/>
      <c r="Z693" s="41"/>
      <c r="AA693" s="41"/>
      <c r="AB693" s="41"/>
      <c r="AC693" s="41"/>
      <c r="AD693" s="41"/>
      <c r="AE693" s="41"/>
      <c r="AF693" s="41"/>
      <c r="AG693" s="41"/>
      <c r="AH693" s="41"/>
      <c r="AI693" s="41"/>
    </row>
    <row r="694" spans="1:35" ht="15.75" customHeight="1" x14ac:dyDescent="0.2">
      <c r="A694" s="41"/>
      <c r="B694" s="41"/>
      <c r="C694" s="41"/>
      <c r="D694" s="72"/>
      <c r="E694" s="41"/>
      <c r="F694" s="41"/>
      <c r="G694" s="41"/>
      <c r="H694" s="41"/>
      <c r="I694" s="41"/>
      <c r="J694" s="41"/>
      <c r="K694" s="41"/>
      <c r="L694" s="41"/>
      <c r="M694" s="41"/>
      <c r="N694" s="41"/>
      <c r="O694" s="41"/>
      <c r="P694" s="41"/>
      <c r="Q694" s="41"/>
      <c r="R694" s="41"/>
      <c r="S694" s="41"/>
      <c r="T694" s="41"/>
      <c r="U694" s="41"/>
      <c r="V694" s="41"/>
      <c r="W694" s="41"/>
      <c r="X694" s="41"/>
      <c r="Y694" s="41"/>
      <c r="Z694" s="41"/>
      <c r="AA694" s="41"/>
      <c r="AB694" s="41"/>
      <c r="AC694" s="41"/>
      <c r="AD694" s="41"/>
      <c r="AE694" s="41"/>
      <c r="AF694" s="41"/>
      <c r="AG694" s="41"/>
      <c r="AH694" s="41"/>
      <c r="AI694" s="41"/>
    </row>
    <row r="695" spans="1:35" ht="15.75" customHeight="1" x14ac:dyDescent="0.2">
      <c r="A695" s="41"/>
      <c r="B695" s="41"/>
      <c r="C695" s="41"/>
      <c r="D695" s="72"/>
      <c r="E695" s="41"/>
      <c r="F695" s="41"/>
      <c r="G695" s="41"/>
      <c r="H695" s="41"/>
      <c r="I695" s="41"/>
      <c r="J695" s="41"/>
      <c r="K695" s="41"/>
      <c r="L695" s="41"/>
      <c r="M695" s="41"/>
      <c r="N695" s="41"/>
      <c r="O695" s="41"/>
      <c r="P695" s="41"/>
      <c r="Q695" s="41"/>
      <c r="R695" s="41"/>
      <c r="S695" s="41"/>
      <c r="T695" s="41"/>
      <c r="U695" s="41"/>
      <c r="V695" s="41"/>
      <c r="W695" s="41"/>
      <c r="X695" s="41"/>
      <c r="Y695" s="41"/>
      <c r="Z695" s="41"/>
      <c r="AA695" s="41"/>
      <c r="AB695" s="41"/>
      <c r="AC695" s="41"/>
      <c r="AD695" s="41"/>
      <c r="AE695" s="41"/>
      <c r="AF695" s="41"/>
      <c r="AG695" s="41"/>
      <c r="AH695" s="41"/>
      <c r="AI695" s="41"/>
    </row>
    <row r="696" spans="1:35" ht="15.75" customHeight="1" x14ac:dyDescent="0.2">
      <c r="A696" s="41"/>
      <c r="B696" s="41"/>
      <c r="C696" s="41"/>
      <c r="D696" s="72"/>
      <c r="E696" s="41"/>
      <c r="F696" s="41"/>
      <c r="G696" s="41"/>
      <c r="H696" s="41"/>
      <c r="I696" s="41"/>
      <c r="J696" s="41"/>
      <c r="K696" s="41"/>
      <c r="L696" s="41"/>
      <c r="M696" s="41"/>
      <c r="N696" s="41"/>
      <c r="O696" s="41"/>
      <c r="P696" s="41"/>
      <c r="Q696" s="41"/>
      <c r="R696" s="41"/>
      <c r="S696" s="41"/>
      <c r="T696" s="41"/>
      <c r="U696" s="41"/>
      <c r="V696" s="41"/>
      <c r="W696" s="41"/>
      <c r="X696" s="41"/>
      <c r="Y696" s="41"/>
      <c r="Z696" s="41"/>
      <c r="AA696" s="41"/>
      <c r="AB696" s="41"/>
      <c r="AC696" s="41"/>
      <c r="AD696" s="41"/>
      <c r="AE696" s="41"/>
      <c r="AF696" s="41"/>
      <c r="AG696" s="41"/>
      <c r="AH696" s="41"/>
      <c r="AI696" s="41"/>
    </row>
    <row r="697" spans="1:35" ht="15.75" customHeight="1" x14ac:dyDescent="0.2">
      <c r="A697" s="41"/>
      <c r="B697" s="41"/>
      <c r="C697" s="41"/>
      <c r="D697" s="72"/>
      <c r="E697" s="41"/>
      <c r="F697" s="41"/>
      <c r="G697" s="41"/>
      <c r="H697" s="41"/>
      <c r="I697" s="41"/>
      <c r="J697" s="41"/>
      <c r="K697" s="41"/>
      <c r="L697" s="41"/>
      <c r="M697" s="41"/>
      <c r="N697" s="41"/>
      <c r="O697" s="41"/>
      <c r="P697" s="41"/>
      <c r="Q697" s="41"/>
      <c r="R697" s="41"/>
      <c r="S697" s="41"/>
      <c r="T697" s="41"/>
      <c r="U697" s="41"/>
      <c r="V697" s="41"/>
      <c r="W697" s="41"/>
      <c r="X697" s="41"/>
      <c r="Y697" s="41"/>
      <c r="Z697" s="41"/>
      <c r="AA697" s="41"/>
      <c r="AB697" s="41"/>
      <c r="AC697" s="41"/>
      <c r="AD697" s="41"/>
      <c r="AE697" s="41"/>
      <c r="AF697" s="41"/>
      <c r="AG697" s="41"/>
      <c r="AH697" s="41"/>
      <c r="AI697" s="41"/>
    </row>
    <row r="698" spans="1:35" ht="15.75" customHeight="1" x14ac:dyDescent="0.2">
      <c r="A698" s="41"/>
      <c r="B698" s="41"/>
      <c r="C698" s="41"/>
      <c r="D698" s="72"/>
      <c r="E698" s="41"/>
      <c r="F698" s="41"/>
      <c r="G698" s="41"/>
      <c r="H698" s="41"/>
      <c r="I698" s="41"/>
      <c r="J698" s="41"/>
      <c r="K698" s="41"/>
      <c r="L698" s="41"/>
      <c r="M698" s="41"/>
      <c r="N698" s="41"/>
      <c r="O698" s="41"/>
      <c r="P698" s="41"/>
      <c r="Q698" s="41"/>
      <c r="R698" s="41"/>
      <c r="S698" s="41"/>
      <c r="T698" s="41"/>
      <c r="U698" s="41"/>
      <c r="V698" s="41"/>
      <c r="W698" s="41"/>
      <c r="X698" s="41"/>
      <c r="Y698" s="41"/>
      <c r="Z698" s="41"/>
      <c r="AA698" s="41"/>
      <c r="AB698" s="41"/>
      <c r="AC698" s="41"/>
      <c r="AD698" s="41"/>
      <c r="AE698" s="41"/>
      <c r="AF698" s="41"/>
      <c r="AG698" s="41"/>
      <c r="AH698" s="41"/>
      <c r="AI698" s="41"/>
    </row>
    <row r="699" spans="1:35" ht="15.75" customHeight="1" x14ac:dyDescent="0.2">
      <c r="A699" s="41"/>
      <c r="B699" s="41"/>
      <c r="C699" s="41"/>
      <c r="D699" s="72"/>
      <c r="E699" s="41"/>
      <c r="F699" s="41"/>
      <c r="G699" s="41"/>
      <c r="H699" s="41"/>
      <c r="I699" s="41"/>
      <c r="J699" s="41"/>
      <c r="K699" s="41"/>
      <c r="L699" s="41"/>
      <c r="M699" s="41"/>
      <c r="N699" s="41"/>
      <c r="O699" s="41"/>
      <c r="P699" s="41"/>
      <c r="Q699" s="41"/>
      <c r="R699" s="41"/>
      <c r="S699" s="41"/>
      <c r="T699" s="41"/>
      <c r="U699" s="41"/>
      <c r="V699" s="41"/>
      <c r="W699" s="41"/>
      <c r="X699" s="41"/>
      <c r="Y699" s="41"/>
      <c r="Z699" s="41"/>
      <c r="AA699" s="41"/>
      <c r="AB699" s="41"/>
      <c r="AC699" s="41"/>
      <c r="AD699" s="41"/>
      <c r="AE699" s="41"/>
      <c r="AF699" s="41"/>
      <c r="AG699" s="41"/>
      <c r="AH699" s="41"/>
      <c r="AI699" s="41"/>
    </row>
    <row r="700" spans="1:35" ht="15.75" customHeight="1" x14ac:dyDescent="0.2">
      <c r="A700" s="41"/>
      <c r="B700" s="41"/>
      <c r="C700" s="41"/>
      <c r="D700" s="72"/>
      <c r="E700" s="41"/>
      <c r="F700" s="41"/>
      <c r="G700" s="41"/>
      <c r="H700" s="41"/>
      <c r="I700" s="41"/>
      <c r="J700" s="41"/>
      <c r="K700" s="41"/>
      <c r="L700" s="41"/>
      <c r="M700" s="41"/>
      <c r="N700" s="41"/>
      <c r="O700" s="41"/>
      <c r="P700" s="41"/>
      <c r="Q700" s="41"/>
      <c r="R700" s="41"/>
      <c r="S700" s="41"/>
      <c r="T700" s="41"/>
      <c r="U700" s="41"/>
      <c r="V700" s="41"/>
      <c r="W700" s="41"/>
      <c r="X700" s="41"/>
      <c r="Y700" s="41"/>
      <c r="Z700" s="41"/>
      <c r="AA700" s="41"/>
      <c r="AB700" s="41"/>
      <c r="AC700" s="41"/>
      <c r="AD700" s="41"/>
      <c r="AE700" s="41"/>
      <c r="AF700" s="41"/>
      <c r="AG700" s="41"/>
      <c r="AH700" s="41"/>
      <c r="AI700" s="41"/>
    </row>
    <row r="701" spans="1:35" ht="15.75" customHeight="1" x14ac:dyDescent="0.2">
      <c r="A701" s="41"/>
      <c r="B701" s="41"/>
      <c r="C701" s="41"/>
      <c r="D701" s="72"/>
      <c r="E701" s="41"/>
      <c r="F701" s="41"/>
      <c r="G701" s="41"/>
      <c r="H701" s="41"/>
      <c r="I701" s="41"/>
      <c r="J701" s="41"/>
      <c r="K701" s="41"/>
      <c r="L701" s="41"/>
      <c r="M701" s="41"/>
      <c r="N701" s="41"/>
      <c r="O701" s="41"/>
      <c r="P701" s="41"/>
      <c r="Q701" s="41"/>
      <c r="R701" s="41"/>
      <c r="S701" s="41"/>
      <c r="T701" s="41"/>
      <c r="U701" s="41"/>
      <c r="V701" s="41"/>
      <c r="W701" s="41"/>
      <c r="X701" s="41"/>
      <c r="Y701" s="41"/>
      <c r="Z701" s="41"/>
      <c r="AA701" s="41"/>
      <c r="AB701" s="41"/>
      <c r="AC701" s="41"/>
      <c r="AD701" s="41"/>
      <c r="AE701" s="41"/>
      <c r="AF701" s="41"/>
      <c r="AG701" s="41"/>
      <c r="AH701" s="41"/>
      <c r="AI701" s="41"/>
    </row>
    <row r="702" spans="1:35" ht="15.75" customHeight="1" x14ac:dyDescent="0.2">
      <c r="A702" s="41"/>
      <c r="B702" s="41"/>
      <c r="C702" s="41"/>
      <c r="D702" s="72"/>
      <c r="E702" s="41"/>
      <c r="F702" s="41"/>
      <c r="G702" s="41"/>
      <c r="H702" s="41"/>
      <c r="I702" s="41"/>
      <c r="J702" s="41"/>
      <c r="K702" s="41"/>
      <c r="L702" s="41"/>
      <c r="M702" s="41"/>
      <c r="N702" s="41"/>
      <c r="O702" s="41"/>
      <c r="P702" s="41"/>
      <c r="Q702" s="41"/>
      <c r="R702" s="41"/>
      <c r="S702" s="41"/>
      <c r="T702" s="41"/>
      <c r="U702" s="41"/>
      <c r="V702" s="41"/>
      <c r="W702" s="41"/>
      <c r="X702" s="41"/>
      <c r="Y702" s="41"/>
      <c r="Z702" s="41"/>
      <c r="AA702" s="41"/>
      <c r="AB702" s="41"/>
      <c r="AC702" s="41"/>
      <c r="AD702" s="41"/>
      <c r="AE702" s="41"/>
      <c r="AF702" s="41"/>
      <c r="AG702" s="41"/>
      <c r="AH702" s="41"/>
      <c r="AI702" s="41"/>
    </row>
    <row r="703" spans="1:35" ht="15.75" customHeight="1" x14ac:dyDescent="0.2">
      <c r="A703" s="41"/>
      <c r="B703" s="41"/>
      <c r="C703" s="41"/>
      <c r="D703" s="72"/>
      <c r="E703" s="41"/>
      <c r="F703" s="41"/>
      <c r="G703" s="41"/>
      <c r="H703" s="41"/>
      <c r="I703" s="41"/>
      <c r="J703" s="41"/>
      <c r="K703" s="41"/>
      <c r="L703" s="41"/>
      <c r="M703" s="41"/>
      <c r="N703" s="41"/>
      <c r="O703" s="41"/>
      <c r="P703" s="41"/>
      <c r="Q703" s="41"/>
      <c r="R703" s="41"/>
      <c r="S703" s="41"/>
      <c r="T703" s="41"/>
      <c r="U703" s="41"/>
      <c r="V703" s="41"/>
      <c r="W703" s="41"/>
      <c r="X703" s="41"/>
      <c r="Y703" s="41"/>
      <c r="Z703" s="41"/>
      <c r="AA703" s="41"/>
      <c r="AB703" s="41"/>
      <c r="AC703" s="41"/>
      <c r="AD703" s="41"/>
      <c r="AE703" s="41"/>
      <c r="AF703" s="41"/>
      <c r="AG703" s="41"/>
      <c r="AH703" s="41"/>
      <c r="AI703" s="41"/>
    </row>
    <row r="704" spans="1:35" ht="15.75" customHeight="1" x14ac:dyDescent="0.2">
      <c r="A704" s="41"/>
      <c r="B704" s="41"/>
      <c r="C704" s="41"/>
      <c r="D704" s="72"/>
      <c r="E704" s="41"/>
      <c r="F704" s="41"/>
      <c r="G704" s="41"/>
      <c r="H704" s="41"/>
      <c r="I704" s="41"/>
      <c r="J704" s="41"/>
      <c r="K704" s="41"/>
      <c r="L704" s="41"/>
      <c r="M704" s="41"/>
      <c r="N704" s="41"/>
      <c r="O704" s="41"/>
      <c r="P704" s="41"/>
      <c r="Q704" s="41"/>
      <c r="R704" s="41"/>
      <c r="S704" s="41"/>
      <c r="T704" s="41"/>
      <c r="U704" s="41"/>
      <c r="V704" s="41"/>
      <c r="W704" s="41"/>
      <c r="X704" s="41"/>
      <c r="Y704" s="41"/>
      <c r="Z704" s="41"/>
      <c r="AA704" s="41"/>
      <c r="AB704" s="41"/>
      <c r="AC704" s="41"/>
      <c r="AD704" s="41"/>
      <c r="AE704" s="41"/>
      <c r="AF704" s="41"/>
      <c r="AG704" s="41"/>
      <c r="AH704" s="41"/>
      <c r="AI704" s="41"/>
    </row>
    <row r="705" spans="1:35" ht="15.75" customHeight="1" x14ac:dyDescent="0.2">
      <c r="A705" s="41"/>
      <c r="B705" s="41"/>
      <c r="C705" s="41"/>
      <c r="D705" s="72"/>
      <c r="E705" s="41"/>
      <c r="F705" s="41"/>
      <c r="G705" s="41"/>
      <c r="H705" s="41"/>
      <c r="I705" s="41"/>
      <c r="J705" s="41"/>
      <c r="K705" s="41"/>
      <c r="L705" s="41"/>
      <c r="M705" s="41"/>
      <c r="N705" s="41"/>
      <c r="O705" s="41"/>
      <c r="P705" s="41"/>
      <c r="Q705" s="41"/>
      <c r="R705" s="41"/>
      <c r="S705" s="41"/>
      <c r="T705" s="41"/>
      <c r="U705" s="41"/>
      <c r="V705" s="41"/>
      <c r="W705" s="41"/>
      <c r="X705" s="41"/>
      <c r="Y705" s="41"/>
      <c r="Z705" s="41"/>
      <c r="AA705" s="41"/>
      <c r="AB705" s="41"/>
      <c r="AC705" s="41"/>
      <c r="AD705" s="41"/>
      <c r="AE705" s="41"/>
      <c r="AF705" s="41"/>
      <c r="AG705" s="41"/>
      <c r="AH705" s="41"/>
      <c r="AI705" s="41"/>
    </row>
    <row r="706" spans="1:35" ht="15.75" customHeight="1" x14ac:dyDescent="0.2">
      <c r="A706" s="41"/>
      <c r="B706" s="41"/>
      <c r="C706" s="41"/>
      <c r="D706" s="72"/>
      <c r="E706" s="41"/>
      <c r="F706" s="41"/>
      <c r="G706" s="41"/>
      <c r="H706" s="41"/>
      <c r="I706" s="41"/>
      <c r="J706" s="41"/>
      <c r="K706" s="41"/>
      <c r="L706" s="41"/>
      <c r="M706" s="41"/>
      <c r="N706" s="41"/>
      <c r="O706" s="41"/>
      <c r="P706" s="41"/>
      <c r="Q706" s="41"/>
      <c r="R706" s="41"/>
      <c r="S706" s="41"/>
      <c r="T706" s="41"/>
      <c r="U706" s="41"/>
      <c r="V706" s="41"/>
      <c r="W706" s="41"/>
      <c r="X706" s="41"/>
      <c r="Y706" s="41"/>
      <c r="Z706" s="41"/>
      <c r="AA706" s="41"/>
      <c r="AB706" s="41"/>
      <c r="AC706" s="41"/>
      <c r="AD706" s="41"/>
      <c r="AE706" s="41"/>
      <c r="AF706" s="41"/>
      <c r="AG706" s="41"/>
      <c r="AH706" s="41"/>
      <c r="AI706" s="41"/>
    </row>
    <row r="707" spans="1:35" ht="15.75" customHeight="1" x14ac:dyDescent="0.2">
      <c r="A707" s="41"/>
      <c r="B707" s="41"/>
      <c r="C707" s="41"/>
      <c r="D707" s="72"/>
      <c r="E707" s="41"/>
      <c r="F707" s="41"/>
      <c r="G707" s="41"/>
      <c r="H707" s="41"/>
      <c r="I707" s="41"/>
      <c r="J707" s="41"/>
      <c r="K707" s="41"/>
      <c r="L707" s="41"/>
      <c r="M707" s="41"/>
      <c r="N707" s="41"/>
      <c r="O707" s="41"/>
      <c r="P707" s="41"/>
      <c r="Q707" s="41"/>
      <c r="R707" s="41"/>
      <c r="S707" s="41"/>
      <c r="T707" s="41"/>
      <c r="U707" s="41"/>
      <c r="V707" s="41"/>
      <c r="W707" s="41"/>
      <c r="X707" s="41"/>
      <c r="Y707" s="41"/>
      <c r="Z707" s="41"/>
      <c r="AA707" s="41"/>
      <c r="AB707" s="41"/>
      <c r="AC707" s="41"/>
      <c r="AD707" s="41"/>
      <c r="AE707" s="41"/>
      <c r="AF707" s="41"/>
      <c r="AG707" s="41"/>
      <c r="AH707" s="41"/>
      <c r="AI707" s="41"/>
    </row>
    <row r="708" spans="1:35" ht="15.75" customHeight="1" x14ac:dyDescent="0.2">
      <c r="A708" s="41"/>
      <c r="B708" s="41"/>
      <c r="C708" s="41"/>
      <c r="D708" s="72"/>
      <c r="E708" s="41"/>
      <c r="F708" s="41"/>
      <c r="G708" s="41"/>
      <c r="H708" s="41"/>
      <c r="I708" s="41"/>
      <c r="J708" s="41"/>
      <c r="K708" s="41"/>
      <c r="L708" s="41"/>
      <c r="M708" s="41"/>
      <c r="N708" s="41"/>
      <c r="O708" s="41"/>
      <c r="P708" s="41"/>
      <c r="Q708" s="41"/>
      <c r="R708" s="41"/>
      <c r="S708" s="41"/>
      <c r="T708" s="41"/>
      <c r="U708" s="41"/>
      <c r="V708" s="41"/>
      <c r="W708" s="41"/>
      <c r="X708" s="41"/>
      <c r="Y708" s="41"/>
      <c r="Z708" s="41"/>
      <c r="AA708" s="41"/>
      <c r="AB708" s="41"/>
      <c r="AC708" s="41"/>
      <c r="AD708" s="41"/>
      <c r="AE708" s="41"/>
      <c r="AF708" s="41"/>
      <c r="AG708" s="41"/>
      <c r="AH708" s="41"/>
      <c r="AI708" s="41"/>
    </row>
    <row r="709" spans="1:35" ht="15.75" customHeight="1" x14ac:dyDescent="0.2">
      <c r="A709" s="41"/>
      <c r="B709" s="41"/>
      <c r="C709" s="41"/>
      <c r="D709" s="72"/>
      <c r="E709" s="41"/>
      <c r="F709" s="41"/>
      <c r="G709" s="41"/>
      <c r="H709" s="41"/>
      <c r="I709" s="41"/>
      <c r="J709" s="41"/>
      <c r="K709" s="41"/>
      <c r="L709" s="41"/>
      <c r="M709" s="41"/>
      <c r="N709" s="41"/>
      <c r="O709" s="41"/>
      <c r="P709" s="41"/>
      <c r="Q709" s="41"/>
      <c r="R709" s="41"/>
      <c r="S709" s="41"/>
      <c r="T709" s="41"/>
      <c r="U709" s="41"/>
      <c r="V709" s="41"/>
      <c r="W709" s="41"/>
      <c r="X709" s="41"/>
      <c r="Y709" s="41"/>
      <c r="Z709" s="41"/>
      <c r="AA709" s="41"/>
      <c r="AB709" s="41"/>
      <c r="AC709" s="41"/>
      <c r="AD709" s="41"/>
      <c r="AE709" s="41"/>
      <c r="AF709" s="41"/>
      <c r="AG709" s="41"/>
      <c r="AH709" s="41"/>
      <c r="AI709" s="41"/>
    </row>
    <row r="710" spans="1:35" ht="15.75" customHeight="1" x14ac:dyDescent="0.2">
      <c r="A710" s="41"/>
      <c r="B710" s="41"/>
      <c r="C710" s="41"/>
      <c r="D710" s="72"/>
      <c r="E710" s="41"/>
      <c r="F710" s="41"/>
      <c r="G710" s="41"/>
      <c r="H710" s="41"/>
      <c r="I710" s="41"/>
      <c r="J710" s="41"/>
      <c r="K710" s="41"/>
      <c r="L710" s="41"/>
      <c r="M710" s="41"/>
      <c r="N710" s="41"/>
      <c r="O710" s="41"/>
      <c r="P710" s="41"/>
      <c r="Q710" s="41"/>
      <c r="R710" s="41"/>
      <c r="S710" s="41"/>
      <c r="T710" s="41"/>
      <c r="U710" s="41"/>
      <c r="V710" s="41"/>
      <c r="W710" s="41"/>
      <c r="X710" s="41"/>
      <c r="Y710" s="41"/>
      <c r="Z710" s="41"/>
      <c r="AA710" s="41"/>
      <c r="AB710" s="41"/>
      <c r="AC710" s="41"/>
      <c r="AD710" s="41"/>
      <c r="AE710" s="41"/>
      <c r="AF710" s="41"/>
      <c r="AG710" s="41"/>
      <c r="AH710" s="41"/>
      <c r="AI710" s="41"/>
    </row>
    <row r="711" spans="1:35" ht="15.75" customHeight="1" x14ac:dyDescent="0.2">
      <c r="A711" s="41"/>
      <c r="B711" s="41"/>
      <c r="C711" s="41"/>
      <c r="D711" s="72"/>
      <c r="E711" s="41"/>
      <c r="F711" s="41"/>
      <c r="G711" s="41"/>
      <c r="H711" s="41"/>
      <c r="I711" s="41"/>
      <c r="J711" s="41"/>
      <c r="K711" s="41"/>
      <c r="L711" s="41"/>
      <c r="M711" s="41"/>
      <c r="N711" s="41"/>
      <c r="O711" s="41"/>
      <c r="P711" s="41"/>
      <c r="Q711" s="41"/>
      <c r="R711" s="41"/>
      <c r="S711" s="41"/>
      <c r="T711" s="41"/>
      <c r="U711" s="41"/>
      <c r="V711" s="41"/>
      <c r="W711" s="41"/>
      <c r="X711" s="41"/>
      <c r="Y711" s="41"/>
      <c r="Z711" s="41"/>
      <c r="AA711" s="41"/>
      <c r="AB711" s="41"/>
      <c r="AC711" s="41"/>
      <c r="AD711" s="41"/>
      <c r="AE711" s="41"/>
      <c r="AF711" s="41"/>
      <c r="AG711" s="41"/>
      <c r="AH711" s="41"/>
      <c r="AI711" s="41"/>
    </row>
    <row r="712" spans="1:35" ht="15.75" customHeight="1" x14ac:dyDescent="0.2">
      <c r="A712" s="41"/>
      <c r="B712" s="41"/>
      <c r="C712" s="41"/>
      <c r="D712" s="72"/>
      <c r="E712" s="41"/>
      <c r="F712" s="41"/>
      <c r="G712" s="41"/>
      <c r="H712" s="41"/>
      <c r="I712" s="41"/>
      <c r="J712" s="41"/>
      <c r="K712" s="41"/>
      <c r="L712" s="41"/>
      <c r="M712" s="41"/>
      <c r="N712" s="41"/>
      <c r="O712" s="41"/>
      <c r="P712" s="41"/>
      <c r="Q712" s="41"/>
      <c r="R712" s="41"/>
      <c r="S712" s="41"/>
      <c r="T712" s="41"/>
      <c r="U712" s="41"/>
      <c r="V712" s="41"/>
      <c r="W712" s="41"/>
      <c r="X712" s="41"/>
      <c r="Y712" s="41"/>
      <c r="Z712" s="41"/>
      <c r="AA712" s="41"/>
      <c r="AB712" s="41"/>
      <c r="AC712" s="41"/>
      <c r="AD712" s="41"/>
      <c r="AE712" s="41"/>
      <c r="AF712" s="41"/>
      <c r="AG712" s="41"/>
      <c r="AH712" s="41"/>
      <c r="AI712" s="41"/>
    </row>
    <row r="713" spans="1:35" ht="15.75" customHeight="1" x14ac:dyDescent="0.2">
      <c r="A713" s="41"/>
      <c r="B713" s="41"/>
      <c r="C713" s="41"/>
      <c r="D713" s="72"/>
      <c r="E713" s="41"/>
      <c r="F713" s="41"/>
      <c r="G713" s="41"/>
      <c r="H713" s="41"/>
      <c r="I713" s="41"/>
      <c r="J713" s="41"/>
      <c r="K713" s="41"/>
      <c r="L713" s="41"/>
      <c r="M713" s="41"/>
      <c r="N713" s="41"/>
      <c r="O713" s="41"/>
      <c r="P713" s="41"/>
      <c r="Q713" s="41"/>
      <c r="R713" s="41"/>
      <c r="S713" s="41"/>
      <c r="T713" s="41"/>
      <c r="U713" s="41"/>
      <c r="V713" s="41"/>
      <c r="W713" s="41"/>
      <c r="X713" s="41"/>
      <c r="Y713" s="41"/>
      <c r="Z713" s="41"/>
      <c r="AA713" s="41"/>
      <c r="AB713" s="41"/>
      <c r="AC713" s="41"/>
      <c r="AD713" s="41"/>
      <c r="AE713" s="41"/>
      <c r="AF713" s="41"/>
      <c r="AG713" s="41"/>
      <c r="AH713" s="41"/>
      <c r="AI713" s="41"/>
    </row>
    <row r="714" spans="1:35" ht="15.75" customHeight="1" x14ac:dyDescent="0.2">
      <c r="A714" s="41"/>
      <c r="B714" s="41"/>
      <c r="C714" s="41"/>
      <c r="D714" s="72"/>
      <c r="E714" s="41"/>
      <c r="F714" s="41"/>
      <c r="G714" s="41"/>
      <c r="H714" s="41"/>
      <c r="I714" s="41"/>
      <c r="J714" s="41"/>
      <c r="K714" s="41"/>
      <c r="L714" s="41"/>
      <c r="M714" s="41"/>
      <c r="N714" s="41"/>
      <c r="O714" s="41"/>
      <c r="P714" s="41"/>
      <c r="Q714" s="41"/>
      <c r="R714" s="41"/>
      <c r="S714" s="41"/>
      <c r="T714" s="41"/>
      <c r="U714" s="41"/>
      <c r="V714" s="41"/>
      <c r="W714" s="41"/>
      <c r="X714" s="41"/>
      <c r="Y714" s="41"/>
      <c r="Z714" s="41"/>
      <c r="AA714" s="41"/>
      <c r="AB714" s="41"/>
      <c r="AC714" s="41"/>
      <c r="AD714" s="41"/>
      <c r="AE714" s="41"/>
      <c r="AF714" s="41"/>
      <c r="AG714" s="41"/>
      <c r="AH714" s="41"/>
      <c r="AI714" s="41"/>
    </row>
    <row r="715" spans="1:35" ht="15.75" customHeight="1" x14ac:dyDescent="0.2">
      <c r="A715" s="41"/>
      <c r="B715" s="41"/>
      <c r="C715" s="41"/>
      <c r="D715" s="72"/>
      <c r="E715" s="41"/>
      <c r="F715" s="41"/>
      <c r="G715" s="41"/>
      <c r="H715" s="41"/>
      <c r="I715" s="41"/>
      <c r="J715" s="41"/>
      <c r="K715" s="41"/>
      <c r="L715" s="41"/>
      <c r="M715" s="41"/>
      <c r="N715" s="41"/>
      <c r="O715" s="41"/>
      <c r="P715" s="41"/>
      <c r="Q715" s="41"/>
      <c r="R715" s="41"/>
      <c r="S715" s="41"/>
      <c r="T715" s="41"/>
      <c r="U715" s="41"/>
      <c r="V715" s="41"/>
      <c r="W715" s="41"/>
      <c r="X715" s="41"/>
      <c r="Y715" s="41"/>
      <c r="Z715" s="41"/>
      <c r="AA715" s="41"/>
      <c r="AB715" s="41"/>
      <c r="AC715" s="41"/>
      <c r="AD715" s="41"/>
      <c r="AE715" s="41"/>
      <c r="AF715" s="41"/>
      <c r="AG715" s="41"/>
      <c r="AH715" s="41"/>
      <c r="AI715" s="41"/>
    </row>
    <row r="716" spans="1:35" ht="15.75" customHeight="1" x14ac:dyDescent="0.2">
      <c r="A716" s="41"/>
      <c r="B716" s="41"/>
      <c r="C716" s="41"/>
      <c r="D716" s="72"/>
      <c r="E716" s="41"/>
      <c r="F716" s="41"/>
      <c r="G716" s="41"/>
      <c r="H716" s="41"/>
      <c r="I716" s="41"/>
      <c r="J716" s="41"/>
      <c r="K716" s="41"/>
      <c r="L716" s="41"/>
      <c r="M716" s="41"/>
      <c r="N716" s="41"/>
      <c r="O716" s="41"/>
      <c r="P716" s="41"/>
      <c r="Q716" s="41"/>
      <c r="R716" s="41"/>
      <c r="S716" s="41"/>
      <c r="T716" s="41"/>
      <c r="U716" s="41"/>
      <c r="V716" s="41"/>
      <c r="W716" s="41"/>
      <c r="X716" s="41"/>
      <c r="Y716" s="41"/>
      <c r="Z716" s="41"/>
      <c r="AA716" s="41"/>
      <c r="AB716" s="41"/>
      <c r="AC716" s="41"/>
      <c r="AD716" s="41"/>
      <c r="AE716" s="41"/>
      <c r="AF716" s="41"/>
      <c r="AG716" s="41"/>
      <c r="AH716" s="41"/>
      <c r="AI716" s="41"/>
    </row>
    <row r="717" spans="1:35" ht="15.75" customHeight="1" x14ac:dyDescent="0.2">
      <c r="A717" s="41"/>
      <c r="B717" s="41"/>
      <c r="C717" s="41"/>
      <c r="D717" s="72"/>
      <c r="E717" s="41"/>
      <c r="F717" s="41"/>
      <c r="G717" s="41"/>
      <c r="H717" s="41"/>
      <c r="I717" s="41"/>
      <c r="J717" s="41"/>
      <c r="K717" s="41"/>
      <c r="L717" s="41"/>
      <c r="M717" s="41"/>
      <c r="N717" s="41"/>
      <c r="O717" s="41"/>
      <c r="P717" s="41"/>
      <c r="Q717" s="41"/>
      <c r="R717" s="41"/>
      <c r="S717" s="41"/>
      <c r="T717" s="41"/>
      <c r="U717" s="41"/>
      <c r="V717" s="41"/>
      <c r="W717" s="41"/>
      <c r="X717" s="41"/>
      <c r="Y717" s="41"/>
      <c r="Z717" s="41"/>
      <c r="AA717" s="41"/>
      <c r="AB717" s="41"/>
      <c r="AC717" s="41"/>
      <c r="AD717" s="41"/>
      <c r="AE717" s="41"/>
      <c r="AF717" s="41"/>
      <c r="AG717" s="41"/>
      <c r="AH717" s="41"/>
      <c r="AI717" s="41"/>
    </row>
    <row r="718" spans="1:35" ht="15.75" customHeight="1" x14ac:dyDescent="0.2">
      <c r="A718" s="41"/>
      <c r="B718" s="41"/>
      <c r="C718" s="41"/>
      <c r="D718" s="72"/>
      <c r="E718" s="41"/>
      <c r="F718" s="41"/>
      <c r="G718" s="41"/>
      <c r="H718" s="41"/>
      <c r="I718" s="41"/>
      <c r="J718" s="41"/>
      <c r="K718" s="41"/>
      <c r="L718" s="41"/>
      <c r="M718" s="41"/>
      <c r="N718" s="41"/>
      <c r="O718" s="41"/>
      <c r="P718" s="41"/>
      <c r="Q718" s="41"/>
      <c r="R718" s="41"/>
      <c r="S718" s="41"/>
      <c r="T718" s="41"/>
      <c r="U718" s="41"/>
      <c r="V718" s="41"/>
      <c r="W718" s="41"/>
      <c r="X718" s="41"/>
      <c r="Y718" s="41"/>
      <c r="Z718" s="41"/>
      <c r="AA718" s="41"/>
      <c r="AB718" s="41"/>
      <c r="AC718" s="41"/>
      <c r="AD718" s="41"/>
      <c r="AE718" s="41"/>
      <c r="AF718" s="41"/>
      <c r="AG718" s="41"/>
      <c r="AH718" s="41"/>
      <c r="AI718" s="41"/>
    </row>
    <row r="719" spans="1:35" ht="15.75" customHeight="1" x14ac:dyDescent="0.2">
      <c r="A719" s="41"/>
      <c r="B719" s="41"/>
      <c r="C719" s="41"/>
      <c r="D719" s="72"/>
      <c r="E719" s="41"/>
      <c r="F719" s="41"/>
      <c r="G719" s="41"/>
      <c r="H719" s="41"/>
      <c r="I719" s="41"/>
      <c r="J719" s="41"/>
      <c r="K719" s="41"/>
      <c r="L719" s="41"/>
      <c r="M719" s="41"/>
      <c r="N719" s="41"/>
      <c r="O719" s="41"/>
      <c r="P719" s="41"/>
      <c r="Q719" s="41"/>
      <c r="R719" s="41"/>
      <c r="S719" s="41"/>
      <c r="T719" s="41"/>
      <c r="U719" s="41"/>
      <c r="V719" s="41"/>
      <c r="W719" s="41"/>
      <c r="X719" s="41"/>
      <c r="Y719" s="41"/>
      <c r="Z719" s="41"/>
      <c r="AA719" s="41"/>
      <c r="AB719" s="41"/>
      <c r="AC719" s="41"/>
      <c r="AD719" s="41"/>
      <c r="AE719" s="41"/>
      <c r="AF719" s="41"/>
      <c r="AG719" s="41"/>
      <c r="AH719" s="41"/>
      <c r="AI719" s="41"/>
    </row>
    <row r="720" spans="1:35" ht="15.75" customHeight="1" x14ac:dyDescent="0.2">
      <c r="A720" s="41"/>
      <c r="B720" s="41"/>
      <c r="C720" s="41"/>
      <c r="D720" s="72"/>
      <c r="E720" s="41"/>
      <c r="F720" s="41"/>
      <c r="G720" s="41"/>
      <c r="H720" s="41"/>
      <c r="I720" s="41"/>
      <c r="J720" s="41"/>
      <c r="K720" s="41"/>
      <c r="L720" s="41"/>
      <c r="M720" s="41"/>
      <c r="N720" s="41"/>
      <c r="O720" s="41"/>
      <c r="P720" s="41"/>
      <c r="Q720" s="41"/>
      <c r="R720" s="41"/>
      <c r="S720" s="41"/>
      <c r="T720" s="41"/>
      <c r="U720" s="41"/>
      <c r="V720" s="41"/>
      <c r="W720" s="41"/>
      <c r="X720" s="41"/>
      <c r="Y720" s="41"/>
      <c r="Z720" s="41"/>
      <c r="AA720" s="41"/>
      <c r="AB720" s="41"/>
      <c r="AC720" s="41"/>
      <c r="AD720" s="41"/>
      <c r="AE720" s="41"/>
      <c r="AF720" s="41"/>
      <c r="AG720" s="41"/>
      <c r="AH720" s="41"/>
      <c r="AI720" s="41"/>
    </row>
    <row r="721" spans="1:35" ht="15.75" customHeight="1" x14ac:dyDescent="0.2">
      <c r="A721" s="41"/>
      <c r="B721" s="41"/>
      <c r="C721" s="41"/>
      <c r="D721" s="72"/>
      <c r="E721" s="41"/>
      <c r="F721" s="41"/>
      <c r="G721" s="41"/>
      <c r="H721" s="41"/>
      <c r="I721" s="41"/>
      <c r="J721" s="41"/>
      <c r="K721" s="41"/>
      <c r="L721" s="41"/>
      <c r="M721" s="41"/>
      <c r="N721" s="41"/>
      <c r="O721" s="41"/>
      <c r="P721" s="41"/>
      <c r="Q721" s="41"/>
      <c r="R721" s="41"/>
      <c r="S721" s="41"/>
      <c r="T721" s="41"/>
      <c r="U721" s="41"/>
      <c r="V721" s="41"/>
      <c r="W721" s="41"/>
      <c r="X721" s="41"/>
      <c r="Y721" s="41"/>
      <c r="Z721" s="41"/>
      <c r="AA721" s="41"/>
      <c r="AB721" s="41"/>
      <c r="AC721" s="41"/>
      <c r="AD721" s="41"/>
      <c r="AE721" s="41"/>
      <c r="AF721" s="41"/>
      <c r="AG721" s="41"/>
      <c r="AH721" s="41"/>
      <c r="AI721" s="41"/>
    </row>
    <row r="722" spans="1:35" ht="15.75" customHeight="1" x14ac:dyDescent="0.2">
      <c r="A722" s="41"/>
      <c r="B722" s="41"/>
      <c r="C722" s="41"/>
      <c r="D722" s="72"/>
      <c r="E722" s="41"/>
      <c r="F722" s="41"/>
      <c r="G722" s="41"/>
      <c r="H722" s="41"/>
      <c r="I722" s="41"/>
      <c r="J722" s="41"/>
      <c r="K722" s="41"/>
      <c r="L722" s="41"/>
      <c r="M722" s="41"/>
      <c r="N722" s="41"/>
      <c r="O722" s="41"/>
      <c r="P722" s="41"/>
      <c r="Q722" s="41"/>
      <c r="R722" s="41"/>
      <c r="S722" s="41"/>
      <c r="T722" s="41"/>
      <c r="U722" s="41"/>
      <c r="V722" s="41"/>
      <c r="W722" s="41"/>
      <c r="X722" s="41"/>
      <c r="Y722" s="41"/>
      <c r="Z722" s="41"/>
      <c r="AA722" s="41"/>
      <c r="AB722" s="41"/>
      <c r="AC722" s="41"/>
      <c r="AD722" s="41"/>
      <c r="AE722" s="41"/>
      <c r="AF722" s="41"/>
      <c r="AG722" s="41"/>
      <c r="AH722" s="41"/>
      <c r="AI722" s="41"/>
    </row>
    <row r="723" spans="1:35" ht="15.75" customHeight="1" x14ac:dyDescent="0.2">
      <c r="A723" s="41"/>
      <c r="B723" s="41"/>
      <c r="C723" s="41"/>
      <c r="D723" s="72"/>
      <c r="E723" s="41"/>
      <c r="F723" s="41"/>
      <c r="G723" s="41"/>
      <c r="H723" s="41"/>
      <c r="I723" s="41"/>
      <c r="J723" s="41"/>
      <c r="K723" s="41"/>
      <c r="L723" s="41"/>
      <c r="M723" s="41"/>
      <c r="N723" s="41"/>
      <c r="O723" s="41"/>
      <c r="P723" s="41"/>
      <c r="Q723" s="41"/>
      <c r="R723" s="41"/>
      <c r="S723" s="41"/>
      <c r="T723" s="41"/>
      <c r="U723" s="41"/>
      <c r="V723" s="41"/>
      <c r="W723" s="41"/>
      <c r="X723" s="41"/>
      <c r="Y723" s="41"/>
      <c r="Z723" s="41"/>
      <c r="AA723" s="41"/>
      <c r="AB723" s="41"/>
      <c r="AC723" s="41"/>
      <c r="AD723" s="41"/>
      <c r="AE723" s="41"/>
      <c r="AF723" s="41"/>
      <c r="AG723" s="41"/>
      <c r="AH723" s="41"/>
      <c r="AI723" s="41"/>
    </row>
    <row r="724" spans="1:35" ht="15.75" customHeight="1" x14ac:dyDescent="0.2">
      <c r="A724" s="41"/>
      <c r="B724" s="41"/>
      <c r="C724" s="41"/>
      <c r="D724" s="72"/>
      <c r="E724" s="41"/>
      <c r="F724" s="41"/>
      <c r="G724" s="41"/>
      <c r="H724" s="41"/>
      <c r="I724" s="41"/>
      <c r="J724" s="41"/>
      <c r="K724" s="41"/>
      <c r="L724" s="41"/>
      <c r="M724" s="41"/>
      <c r="N724" s="41"/>
      <c r="O724" s="41"/>
      <c r="P724" s="41"/>
      <c r="Q724" s="41"/>
      <c r="R724" s="41"/>
      <c r="S724" s="41"/>
      <c r="T724" s="41"/>
      <c r="U724" s="41"/>
      <c r="V724" s="41"/>
      <c r="W724" s="41"/>
      <c r="X724" s="41"/>
      <c r="Y724" s="41"/>
      <c r="Z724" s="41"/>
      <c r="AA724" s="41"/>
      <c r="AB724" s="41"/>
      <c r="AC724" s="41"/>
      <c r="AD724" s="41"/>
      <c r="AE724" s="41"/>
      <c r="AF724" s="41"/>
      <c r="AG724" s="41"/>
      <c r="AH724" s="41"/>
      <c r="AI724" s="41"/>
    </row>
    <row r="725" spans="1:35" ht="15.75" customHeight="1" x14ac:dyDescent="0.2">
      <c r="A725" s="41"/>
      <c r="B725" s="41"/>
      <c r="C725" s="41"/>
      <c r="D725" s="72"/>
      <c r="E725" s="41"/>
      <c r="F725" s="41"/>
      <c r="G725" s="41"/>
      <c r="H725" s="41"/>
      <c r="I725" s="41"/>
      <c r="J725" s="41"/>
      <c r="K725" s="41"/>
      <c r="L725" s="41"/>
      <c r="M725" s="41"/>
      <c r="N725" s="41"/>
      <c r="O725" s="41"/>
      <c r="P725" s="41"/>
      <c r="Q725" s="41"/>
      <c r="R725" s="41"/>
      <c r="S725" s="41"/>
      <c r="T725" s="41"/>
      <c r="U725" s="41"/>
      <c r="V725" s="41"/>
      <c r="W725" s="41"/>
      <c r="X725" s="41"/>
      <c r="Y725" s="41"/>
      <c r="Z725" s="41"/>
      <c r="AA725" s="41"/>
      <c r="AB725" s="41"/>
      <c r="AC725" s="41"/>
      <c r="AD725" s="41"/>
      <c r="AE725" s="41"/>
      <c r="AF725" s="41"/>
      <c r="AG725" s="41"/>
      <c r="AH725" s="41"/>
      <c r="AI725" s="41"/>
    </row>
    <row r="726" spans="1:35" ht="15.75" customHeight="1" x14ac:dyDescent="0.2">
      <c r="A726" s="41"/>
      <c r="B726" s="41"/>
      <c r="C726" s="41"/>
      <c r="D726" s="72"/>
      <c r="E726" s="41"/>
      <c r="F726" s="41"/>
      <c r="G726" s="41"/>
      <c r="H726" s="41"/>
      <c r="I726" s="41"/>
      <c r="J726" s="41"/>
      <c r="K726" s="41"/>
      <c r="L726" s="41"/>
      <c r="M726" s="41"/>
      <c r="N726" s="41"/>
      <c r="O726" s="41"/>
      <c r="P726" s="41"/>
      <c r="Q726" s="41"/>
      <c r="R726" s="41"/>
      <c r="S726" s="41"/>
      <c r="T726" s="41"/>
      <c r="U726" s="41"/>
      <c r="V726" s="41"/>
      <c r="W726" s="41"/>
      <c r="X726" s="41"/>
      <c r="Y726" s="41"/>
      <c r="Z726" s="41"/>
      <c r="AA726" s="41"/>
      <c r="AB726" s="41"/>
      <c r="AC726" s="41"/>
      <c r="AD726" s="41"/>
      <c r="AE726" s="41"/>
      <c r="AF726" s="41"/>
      <c r="AG726" s="41"/>
      <c r="AH726" s="41"/>
      <c r="AI726" s="41"/>
    </row>
    <row r="727" spans="1:35" ht="15.75" customHeight="1" x14ac:dyDescent="0.2">
      <c r="A727" s="41"/>
      <c r="B727" s="41"/>
      <c r="C727" s="41"/>
      <c r="D727" s="72"/>
      <c r="E727" s="41"/>
      <c r="F727" s="41"/>
      <c r="G727" s="41"/>
      <c r="H727" s="41"/>
      <c r="I727" s="41"/>
      <c r="J727" s="41"/>
      <c r="K727" s="41"/>
      <c r="L727" s="41"/>
      <c r="M727" s="41"/>
      <c r="N727" s="41"/>
      <c r="O727" s="41"/>
      <c r="P727" s="41"/>
      <c r="Q727" s="41"/>
      <c r="R727" s="41"/>
      <c r="S727" s="41"/>
      <c r="T727" s="41"/>
      <c r="U727" s="41"/>
      <c r="V727" s="41"/>
      <c r="W727" s="41"/>
      <c r="X727" s="41"/>
      <c r="Y727" s="41"/>
      <c r="Z727" s="41"/>
      <c r="AA727" s="41"/>
      <c r="AB727" s="41"/>
      <c r="AC727" s="41"/>
      <c r="AD727" s="41"/>
      <c r="AE727" s="41"/>
      <c r="AF727" s="41"/>
      <c r="AG727" s="41"/>
      <c r="AH727" s="41"/>
      <c r="AI727" s="41"/>
    </row>
    <row r="728" spans="1:35" ht="15.75" customHeight="1" x14ac:dyDescent="0.2">
      <c r="A728" s="41"/>
      <c r="B728" s="41"/>
      <c r="C728" s="41"/>
      <c r="D728" s="72"/>
      <c r="E728" s="41"/>
      <c r="F728" s="41"/>
      <c r="G728" s="41"/>
      <c r="H728" s="41"/>
      <c r="I728" s="41"/>
      <c r="J728" s="41"/>
      <c r="K728" s="41"/>
      <c r="L728" s="41"/>
      <c r="M728" s="41"/>
      <c r="N728" s="41"/>
      <c r="O728" s="41"/>
      <c r="P728" s="41"/>
      <c r="Q728" s="41"/>
      <c r="R728" s="41"/>
      <c r="S728" s="41"/>
      <c r="T728" s="41"/>
      <c r="U728" s="41"/>
      <c r="V728" s="41"/>
      <c r="W728" s="41"/>
      <c r="X728" s="41"/>
      <c r="Y728" s="41"/>
      <c r="Z728" s="41"/>
      <c r="AA728" s="41"/>
      <c r="AB728" s="41"/>
      <c r="AC728" s="41"/>
      <c r="AD728" s="41"/>
      <c r="AE728" s="41"/>
      <c r="AF728" s="41"/>
      <c r="AG728" s="41"/>
      <c r="AH728" s="41"/>
      <c r="AI728" s="41"/>
    </row>
    <row r="729" spans="1:35" ht="15.75" customHeight="1" x14ac:dyDescent="0.2">
      <c r="A729" s="41"/>
      <c r="B729" s="41"/>
      <c r="C729" s="41"/>
      <c r="D729" s="72"/>
      <c r="E729" s="41"/>
      <c r="F729" s="41"/>
      <c r="G729" s="41"/>
      <c r="H729" s="41"/>
      <c r="I729" s="41"/>
      <c r="J729" s="41"/>
      <c r="K729" s="41"/>
      <c r="L729" s="41"/>
      <c r="M729" s="41"/>
      <c r="N729" s="41"/>
      <c r="O729" s="41"/>
      <c r="P729" s="41"/>
      <c r="Q729" s="41"/>
      <c r="R729" s="41"/>
      <c r="S729" s="41"/>
      <c r="T729" s="41"/>
      <c r="U729" s="41"/>
      <c r="V729" s="41"/>
      <c r="W729" s="41"/>
      <c r="X729" s="41"/>
      <c r="Y729" s="41"/>
      <c r="Z729" s="41"/>
      <c r="AA729" s="41"/>
      <c r="AB729" s="41"/>
      <c r="AC729" s="41"/>
      <c r="AD729" s="41"/>
      <c r="AE729" s="41"/>
      <c r="AF729" s="41"/>
      <c r="AG729" s="41"/>
      <c r="AH729" s="41"/>
      <c r="AI729" s="41"/>
    </row>
    <row r="730" spans="1:35" ht="15.75" customHeight="1" x14ac:dyDescent="0.2">
      <c r="A730" s="41"/>
      <c r="B730" s="41"/>
      <c r="C730" s="41"/>
      <c r="D730" s="72"/>
      <c r="E730" s="41"/>
      <c r="F730" s="41"/>
      <c r="G730" s="41"/>
      <c r="H730" s="41"/>
      <c r="I730" s="41"/>
      <c r="J730" s="41"/>
      <c r="K730" s="41"/>
      <c r="L730" s="41"/>
      <c r="M730" s="41"/>
      <c r="N730" s="41"/>
      <c r="O730" s="41"/>
      <c r="P730" s="41"/>
      <c r="Q730" s="41"/>
      <c r="R730" s="41"/>
      <c r="S730" s="41"/>
      <c r="T730" s="41"/>
      <c r="U730" s="41"/>
      <c r="V730" s="41"/>
      <c r="W730" s="41"/>
      <c r="X730" s="41"/>
      <c r="Y730" s="41"/>
      <c r="Z730" s="41"/>
      <c r="AA730" s="41"/>
      <c r="AB730" s="41"/>
      <c r="AC730" s="41"/>
      <c r="AD730" s="41"/>
      <c r="AE730" s="41"/>
      <c r="AF730" s="41"/>
      <c r="AG730" s="41"/>
      <c r="AH730" s="41"/>
      <c r="AI730" s="41"/>
    </row>
    <row r="731" spans="1:35" ht="15.75" customHeight="1" x14ac:dyDescent="0.2">
      <c r="A731" s="41"/>
      <c r="B731" s="41"/>
      <c r="C731" s="41"/>
      <c r="D731" s="72"/>
      <c r="E731" s="41"/>
      <c r="F731" s="41"/>
      <c r="G731" s="41"/>
      <c r="H731" s="41"/>
      <c r="I731" s="41"/>
      <c r="J731" s="41"/>
      <c r="K731" s="41"/>
      <c r="L731" s="41"/>
      <c r="M731" s="41"/>
      <c r="N731" s="41"/>
      <c r="O731" s="41"/>
      <c r="P731" s="41"/>
      <c r="Q731" s="41"/>
      <c r="R731" s="41"/>
      <c r="S731" s="41"/>
      <c r="T731" s="41"/>
      <c r="U731" s="41"/>
      <c r="V731" s="41"/>
      <c r="W731" s="41"/>
      <c r="X731" s="41"/>
      <c r="Y731" s="41"/>
      <c r="Z731" s="41"/>
      <c r="AA731" s="41"/>
      <c r="AB731" s="41"/>
      <c r="AC731" s="41"/>
      <c r="AD731" s="41"/>
      <c r="AE731" s="41"/>
      <c r="AF731" s="41"/>
      <c r="AG731" s="41"/>
      <c r="AH731" s="41"/>
      <c r="AI731" s="41"/>
    </row>
    <row r="732" spans="1:35" ht="15.75" customHeight="1" x14ac:dyDescent="0.2">
      <c r="A732" s="41"/>
      <c r="B732" s="41"/>
      <c r="C732" s="41"/>
      <c r="D732" s="72"/>
      <c r="E732" s="41"/>
      <c r="F732" s="41"/>
      <c r="G732" s="41"/>
      <c r="H732" s="41"/>
      <c r="I732" s="41"/>
      <c r="J732" s="41"/>
      <c r="K732" s="41"/>
      <c r="L732" s="41"/>
      <c r="M732" s="41"/>
      <c r="N732" s="41"/>
      <c r="O732" s="41"/>
      <c r="P732" s="41"/>
      <c r="Q732" s="41"/>
      <c r="R732" s="41"/>
      <c r="S732" s="41"/>
      <c r="T732" s="41"/>
      <c r="U732" s="41"/>
      <c r="V732" s="41"/>
      <c r="W732" s="41"/>
      <c r="X732" s="41"/>
      <c r="Y732" s="41"/>
      <c r="Z732" s="41"/>
      <c r="AA732" s="41"/>
      <c r="AB732" s="41"/>
      <c r="AC732" s="41"/>
      <c r="AD732" s="41"/>
      <c r="AE732" s="41"/>
      <c r="AF732" s="41"/>
      <c r="AG732" s="41"/>
      <c r="AH732" s="41"/>
      <c r="AI732" s="41"/>
    </row>
    <row r="733" spans="1:35" ht="15.75" customHeight="1" x14ac:dyDescent="0.2">
      <c r="A733" s="41"/>
      <c r="B733" s="41"/>
      <c r="C733" s="41"/>
      <c r="D733" s="72"/>
      <c r="E733" s="41"/>
      <c r="F733" s="41"/>
      <c r="G733" s="41"/>
      <c r="H733" s="41"/>
      <c r="I733" s="41"/>
      <c r="J733" s="41"/>
      <c r="K733" s="41"/>
      <c r="L733" s="41"/>
      <c r="M733" s="41"/>
      <c r="N733" s="41"/>
      <c r="O733" s="41"/>
      <c r="P733" s="41"/>
      <c r="Q733" s="41"/>
      <c r="R733" s="41"/>
      <c r="S733" s="41"/>
      <c r="T733" s="41"/>
      <c r="U733" s="41"/>
      <c r="V733" s="41"/>
      <c r="W733" s="41"/>
      <c r="X733" s="41"/>
      <c r="Y733" s="41"/>
      <c r="Z733" s="41"/>
      <c r="AA733" s="41"/>
      <c r="AB733" s="41"/>
      <c r="AC733" s="41"/>
      <c r="AD733" s="41"/>
      <c r="AE733" s="41"/>
      <c r="AF733" s="41"/>
      <c r="AG733" s="41"/>
      <c r="AH733" s="41"/>
      <c r="AI733" s="41"/>
    </row>
    <row r="734" spans="1:35" ht="15.75" customHeight="1" x14ac:dyDescent="0.2">
      <c r="A734" s="41"/>
      <c r="B734" s="41"/>
      <c r="C734" s="41"/>
      <c r="D734" s="72"/>
      <c r="E734" s="41"/>
      <c r="F734" s="41"/>
      <c r="G734" s="41"/>
      <c r="H734" s="41"/>
      <c r="I734" s="41"/>
      <c r="J734" s="41"/>
      <c r="K734" s="41"/>
      <c r="L734" s="41"/>
      <c r="M734" s="41"/>
      <c r="N734" s="41"/>
      <c r="O734" s="41"/>
      <c r="P734" s="41"/>
      <c r="Q734" s="41"/>
      <c r="R734" s="41"/>
      <c r="S734" s="41"/>
      <c r="T734" s="41"/>
      <c r="U734" s="41"/>
      <c r="V734" s="41"/>
      <c r="W734" s="41"/>
      <c r="X734" s="41"/>
      <c r="Y734" s="41"/>
      <c r="Z734" s="41"/>
      <c r="AA734" s="41"/>
      <c r="AB734" s="41"/>
      <c r="AC734" s="41"/>
      <c r="AD734" s="41"/>
      <c r="AE734" s="41"/>
      <c r="AF734" s="41"/>
      <c r="AG734" s="41"/>
      <c r="AH734" s="41"/>
      <c r="AI734" s="41"/>
    </row>
    <row r="735" spans="1:35" ht="15.75" customHeight="1" x14ac:dyDescent="0.2">
      <c r="A735" s="41"/>
      <c r="B735" s="41"/>
      <c r="C735" s="41"/>
      <c r="D735" s="72"/>
      <c r="E735" s="41"/>
      <c r="F735" s="41"/>
      <c r="G735" s="41"/>
      <c r="H735" s="41"/>
      <c r="I735" s="41"/>
      <c r="J735" s="41"/>
      <c r="K735" s="41"/>
      <c r="L735" s="41"/>
      <c r="M735" s="41"/>
      <c r="N735" s="41"/>
      <c r="O735" s="41"/>
      <c r="P735" s="41"/>
      <c r="Q735" s="41"/>
      <c r="R735" s="41"/>
      <c r="S735" s="41"/>
      <c r="T735" s="41"/>
      <c r="U735" s="41"/>
      <c r="V735" s="41"/>
      <c r="W735" s="41"/>
      <c r="X735" s="41"/>
      <c r="Y735" s="41"/>
      <c r="Z735" s="41"/>
      <c r="AA735" s="41"/>
      <c r="AB735" s="41"/>
      <c r="AC735" s="41"/>
      <c r="AD735" s="41"/>
      <c r="AE735" s="41"/>
      <c r="AF735" s="41"/>
      <c r="AG735" s="41"/>
      <c r="AH735" s="41"/>
      <c r="AI735" s="41"/>
    </row>
    <row r="736" spans="1:35" ht="15.75" customHeight="1" x14ac:dyDescent="0.2">
      <c r="A736" s="41"/>
      <c r="B736" s="41"/>
      <c r="C736" s="41"/>
      <c r="D736" s="72"/>
      <c r="E736" s="41"/>
      <c r="F736" s="41"/>
      <c r="G736" s="41"/>
      <c r="H736" s="41"/>
      <c r="I736" s="41"/>
      <c r="J736" s="41"/>
      <c r="K736" s="41"/>
      <c r="L736" s="41"/>
      <c r="M736" s="41"/>
      <c r="N736" s="41"/>
      <c r="O736" s="41"/>
      <c r="P736" s="41"/>
      <c r="Q736" s="41"/>
      <c r="R736" s="41"/>
      <c r="S736" s="41"/>
      <c r="T736" s="41"/>
      <c r="U736" s="41"/>
      <c r="V736" s="41"/>
      <c r="W736" s="41"/>
      <c r="X736" s="41"/>
      <c r="Y736" s="41"/>
      <c r="Z736" s="41"/>
      <c r="AA736" s="41"/>
      <c r="AB736" s="41"/>
      <c r="AC736" s="41"/>
      <c r="AD736" s="41"/>
      <c r="AE736" s="41"/>
      <c r="AF736" s="41"/>
      <c r="AG736" s="41"/>
      <c r="AH736" s="41"/>
      <c r="AI736" s="41"/>
    </row>
    <row r="737" spans="1:35" ht="15.75" customHeight="1" x14ac:dyDescent="0.2">
      <c r="A737" s="41"/>
      <c r="B737" s="41"/>
      <c r="C737" s="41"/>
      <c r="D737" s="72"/>
      <c r="E737" s="41"/>
      <c r="F737" s="41"/>
      <c r="G737" s="41"/>
      <c r="H737" s="41"/>
      <c r="I737" s="41"/>
      <c r="J737" s="41"/>
      <c r="K737" s="41"/>
      <c r="L737" s="41"/>
      <c r="M737" s="41"/>
      <c r="N737" s="41"/>
      <c r="O737" s="41"/>
      <c r="P737" s="41"/>
      <c r="Q737" s="41"/>
      <c r="R737" s="41"/>
      <c r="S737" s="41"/>
      <c r="T737" s="41"/>
      <c r="U737" s="41"/>
      <c r="V737" s="41"/>
      <c r="W737" s="41"/>
      <c r="X737" s="41"/>
      <c r="Y737" s="41"/>
      <c r="Z737" s="41"/>
      <c r="AA737" s="41"/>
      <c r="AB737" s="41"/>
      <c r="AC737" s="41"/>
      <c r="AD737" s="41"/>
      <c r="AE737" s="41"/>
      <c r="AF737" s="41"/>
      <c r="AG737" s="41"/>
      <c r="AH737" s="41"/>
      <c r="AI737" s="41"/>
    </row>
    <row r="738" spans="1:35" ht="15.75" customHeight="1" x14ac:dyDescent="0.2">
      <c r="A738" s="41"/>
      <c r="B738" s="41"/>
      <c r="C738" s="41"/>
      <c r="D738" s="72"/>
      <c r="E738" s="41"/>
      <c r="F738" s="41"/>
      <c r="G738" s="41"/>
      <c r="H738" s="41"/>
      <c r="I738" s="41"/>
      <c r="J738" s="41"/>
      <c r="K738" s="41"/>
      <c r="L738" s="41"/>
      <c r="M738" s="41"/>
      <c r="N738" s="41"/>
      <c r="O738" s="41"/>
      <c r="P738" s="41"/>
      <c r="Q738" s="41"/>
      <c r="R738" s="41"/>
      <c r="S738" s="41"/>
      <c r="T738" s="41"/>
      <c r="U738" s="41"/>
      <c r="V738" s="41"/>
      <c r="W738" s="41"/>
      <c r="X738" s="41"/>
      <c r="Y738" s="41"/>
      <c r="Z738" s="41"/>
      <c r="AA738" s="41"/>
      <c r="AB738" s="41"/>
      <c r="AC738" s="41"/>
      <c r="AD738" s="41"/>
      <c r="AE738" s="41"/>
      <c r="AF738" s="41"/>
      <c r="AG738" s="41"/>
      <c r="AH738" s="41"/>
      <c r="AI738" s="41"/>
    </row>
    <row r="739" spans="1:35" ht="15.75" customHeight="1" x14ac:dyDescent="0.2">
      <c r="A739" s="41"/>
      <c r="B739" s="41"/>
      <c r="C739" s="41"/>
      <c r="D739" s="72"/>
      <c r="E739" s="41"/>
      <c r="F739" s="41"/>
      <c r="G739" s="41"/>
      <c r="H739" s="41"/>
      <c r="I739" s="41"/>
      <c r="J739" s="41"/>
      <c r="K739" s="41"/>
      <c r="L739" s="41"/>
      <c r="M739" s="41"/>
      <c r="N739" s="41"/>
      <c r="O739" s="41"/>
      <c r="P739" s="41"/>
      <c r="Q739" s="41"/>
      <c r="R739" s="41"/>
      <c r="S739" s="41"/>
      <c r="T739" s="41"/>
      <c r="U739" s="41"/>
      <c r="V739" s="41"/>
      <c r="W739" s="41"/>
      <c r="X739" s="41"/>
      <c r="Y739" s="41"/>
      <c r="Z739" s="41"/>
      <c r="AA739" s="41"/>
      <c r="AB739" s="41"/>
      <c r="AC739" s="41"/>
      <c r="AD739" s="41"/>
      <c r="AE739" s="41"/>
      <c r="AF739" s="41"/>
      <c r="AG739" s="41"/>
      <c r="AH739" s="41"/>
      <c r="AI739" s="41"/>
    </row>
    <row r="740" spans="1:35" ht="15.75" customHeight="1" x14ac:dyDescent="0.2">
      <c r="A740" s="41"/>
      <c r="B740" s="41"/>
      <c r="C740" s="41"/>
      <c r="D740" s="72"/>
      <c r="E740" s="41"/>
      <c r="F740" s="41"/>
      <c r="G740" s="41"/>
      <c r="H740" s="41"/>
      <c r="I740" s="41"/>
      <c r="J740" s="41"/>
      <c r="K740" s="41"/>
      <c r="L740" s="41"/>
      <c r="M740" s="41"/>
      <c r="N740" s="41"/>
      <c r="O740" s="41"/>
      <c r="P740" s="41"/>
      <c r="Q740" s="41"/>
      <c r="R740" s="41"/>
      <c r="S740" s="41"/>
      <c r="T740" s="41"/>
      <c r="U740" s="41"/>
      <c r="V740" s="41"/>
      <c r="W740" s="41"/>
      <c r="X740" s="41"/>
      <c r="Y740" s="41"/>
      <c r="Z740" s="41"/>
      <c r="AA740" s="41"/>
      <c r="AB740" s="41"/>
      <c r="AC740" s="41"/>
      <c r="AD740" s="41"/>
      <c r="AE740" s="41"/>
      <c r="AF740" s="41"/>
      <c r="AG740" s="41"/>
      <c r="AH740" s="41"/>
      <c r="AI740" s="41"/>
    </row>
    <row r="741" spans="1:35" ht="15.75" customHeight="1" x14ac:dyDescent="0.2">
      <c r="A741" s="41"/>
      <c r="B741" s="41"/>
      <c r="C741" s="41"/>
      <c r="D741" s="72"/>
      <c r="E741" s="41"/>
      <c r="F741" s="41"/>
      <c r="G741" s="41"/>
      <c r="H741" s="41"/>
      <c r="I741" s="41"/>
      <c r="J741" s="41"/>
      <c r="K741" s="41"/>
      <c r="L741" s="41"/>
      <c r="M741" s="41"/>
      <c r="N741" s="41"/>
      <c r="O741" s="41"/>
      <c r="P741" s="41"/>
      <c r="Q741" s="41"/>
      <c r="R741" s="41"/>
      <c r="S741" s="41"/>
      <c r="T741" s="41"/>
      <c r="U741" s="41"/>
      <c r="V741" s="41"/>
      <c r="W741" s="41"/>
      <c r="X741" s="41"/>
      <c r="Y741" s="41"/>
      <c r="Z741" s="41"/>
      <c r="AA741" s="41"/>
      <c r="AB741" s="41"/>
      <c r="AC741" s="41"/>
      <c r="AD741" s="41"/>
      <c r="AE741" s="41"/>
      <c r="AF741" s="41"/>
      <c r="AG741" s="41"/>
      <c r="AH741" s="41"/>
      <c r="AI741" s="41"/>
    </row>
    <row r="742" spans="1:35" ht="15.75" customHeight="1" x14ac:dyDescent="0.2">
      <c r="A742" s="41"/>
      <c r="B742" s="41"/>
      <c r="C742" s="41"/>
      <c r="D742" s="72"/>
      <c r="E742" s="41"/>
      <c r="F742" s="41"/>
      <c r="G742" s="41"/>
      <c r="H742" s="41"/>
      <c r="I742" s="41"/>
      <c r="J742" s="41"/>
      <c r="K742" s="41"/>
      <c r="L742" s="41"/>
      <c r="M742" s="41"/>
      <c r="N742" s="41"/>
      <c r="O742" s="41"/>
      <c r="P742" s="41"/>
      <c r="Q742" s="41"/>
      <c r="R742" s="41"/>
      <c r="S742" s="41"/>
      <c r="T742" s="41"/>
      <c r="U742" s="41"/>
      <c r="V742" s="41"/>
      <c r="W742" s="41"/>
      <c r="X742" s="41"/>
      <c r="Y742" s="41"/>
      <c r="Z742" s="41"/>
      <c r="AA742" s="41"/>
      <c r="AB742" s="41"/>
      <c r="AC742" s="41"/>
      <c r="AD742" s="41"/>
      <c r="AE742" s="41"/>
      <c r="AF742" s="41"/>
      <c r="AG742" s="41"/>
      <c r="AH742" s="41"/>
      <c r="AI742" s="41"/>
    </row>
    <row r="743" spans="1:35" ht="15.75" customHeight="1" x14ac:dyDescent="0.2">
      <c r="A743" s="41"/>
      <c r="B743" s="41"/>
      <c r="C743" s="41"/>
      <c r="D743" s="72"/>
      <c r="E743" s="41"/>
      <c r="F743" s="41"/>
      <c r="G743" s="41"/>
      <c r="H743" s="41"/>
      <c r="I743" s="41"/>
      <c r="J743" s="41"/>
      <c r="K743" s="41"/>
      <c r="L743" s="41"/>
      <c r="M743" s="41"/>
      <c r="N743" s="41"/>
      <c r="O743" s="41"/>
      <c r="P743" s="41"/>
      <c r="Q743" s="41"/>
      <c r="R743" s="41"/>
      <c r="S743" s="41"/>
      <c r="T743" s="41"/>
      <c r="U743" s="41"/>
      <c r="V743" s="41"/>
      <c r="W743" s="41"/>
      <c r="X743" s="41"/>
      <c r="Y743" s="41"/>
      <c r="Z743" s="41"/>
      <c r="AA743" s="41"/>
      <c r="AB743" s="41"/>
      <c r="AC743" s="41"/>
      <c r="AD743" s="41"/>
      <c r="AE743" s="41"/>
      <c r="AF743" s="41"/>
      <c r="AG743" s="41"/>
      <c r="AH743" s="41"/>
      <c r="AI743" s="41"/>
    </row>
    <row r="744" spans="1:35" ht="15.75" customHeight="1" x14ac:dyDescent="0.2">
      <c r="A744" s="41"/>
      <c r="B744" s="41"/>
      <c r="C744" s="41"/>
      <c r="D744" s="72"/>
      <c r="E744" s="41"/>
      <c r="F744" s="41"/>
      <c r="G744" s="41"/>
      <c r="H744" s="41"/>
      <c r="I744" s="41"/>
      <c r="J744" s="41"/>
      <c r="K744" s="41"/>
      <c r="L744" s="41"/>
      <c r="M744" s="41"/>
      <c r="N744" s="41"/>
      <c r="O744" s="41"/>
      <c r="P744" s="41"/>
      <c r="Q744" s="41"/>
      <c r="R744" s="41"/>
      <c r="S744" s="41"/>
      <c r="T744" s="41"/>
      <c r="U744" s="41"/>
      <c r="V744" s="41"/>
      <c r="W744" s="41"/>
      <c r="X744" s="41"/>
      <c r="Y744" s="41"/>
      <c r="Z744" s="41"/>
      <c r="AA744" s="41"/>
      <c r="AB744" s="41"/>
      <c r="AC744" s="41"/>
      <c r="AD744" s="41"/>
      <c r="AE744" s="41"/>
      <c r="AF744" s="41"/>
      <c r="AG744" s="41"/>
      <c r="AH744" s="41"/>
      <c r="AI744" s="41"/>
    </row>
    <row r="745" spans="1:35" ht="15.75" customHeight="1" x14ac:dyDescent="0.2">
      <c r="A745" s="41"/>
      <c r="B745" s="41"/>
      <c r="C745" s="41"/>
      <c r="D745" s="72"/>
      <c r="E745" s="41"/>
      <c r="F745" s="41"/>
      <c r="G745" s="41"/>
      <c r="H745" s="41"/>
      <c r="I745" s="41"/>
      <c r="J745" s="41"/>
      <c r="K745" s="41"/>
      <c r="L745" s="41"/>
      <c r="M745" s="41"/>
      <c r="N745" s="41"/>
      <c r="O745" s="41"/>
      <c r="P745" s="41"/>
      <c r="Q745" s="41"/>
      <c r="R745" s="41"/>
      <c r="S745" s="41"/>
      <c r="T745" s="41"/>
      <c r="U745" s="41"/>
      <c r="V745" s="41"/>
      <c r="W745" s="41"/>
      <c r="X745" s="41"/>
      <c r="Y745" s="41"/>
      <c r="Z745" s="41"/>
      <c r="AA745" s="41"/>
      <c r="AB745" s="41"/>
      <c r="AC745" s="41"/>
      <c r="AD745" s="41"/>
      <c r="AE745" s="41"/>
      <c r="AF745" s="41"/>
      <c r="AG745" s="41"/>
      <c r="AH745" s="41"/>
      <c r="AI745" s="41"/>
    </row>
    <row r="746" spans="1:35" ht="15.75" customHeight="1" x14ac:dyDescent="0.2">
      <c r="A746" s="41"/>
      <c r="B746" s="41"/>
      <c r="C746" s="41"/>
      <c r="D746" s="72"/>
      <c r="E746" s="41"/>
      <c r="F746" s="41"/>
      <c r="G746" s="41"/>
      <c r="H746" s="41"/>
      <c r="I746" s="41"/>
      <c r="J746" s="41"/>
      <c r="K746" s="41"/>
      <c r="L746" s="41"/>
      <c r="M746" s="41"/>
      <c r="N746" s="41"/>
      <c r="O746" s="41"/>
      <c r="P746" s="41"/>
      <c r="Q746" s="41"/>
      <c r="R746" s="41"/>
      <c r="S746" s="41"/>
      <c r="T746" s="41"/>
      <c r="U746" s="41"/>
      <c r="V746" s="41"/>
      <c r="W746" s="41"/>
      <c r="X746" s="41"/>
      <c r="Y746" s="41"/>
      <c r="Z746" s="41"/>
      <c r="AA746" s="41"/>
      <c r="AB746" s="41"/>
      <c r="AC746" s="41"/>
      <c r="AD746" s="41"/>
      <c r="AE746" s="41"/>
      <c r="AF746" s="41"/>
      <c r="AG746" s="41"/>
      <c r="AH746" s="41"/>
      <c r="AI746" s="41"/>
    </row>
    <row r="747" spans="1:35" ht="15.75" customHeight="1" x14ac:dyDescent="0.2">
      <c r="A747" s="41"/>
      <c r="B747" s="41"/>
      <c r="C747" s="41"/>
      <c r="D747" s="72"/>
      <c r="E747" s="41"/>
      <c r="F747" s="41"/>
      <c r="G747" s="41"/>
      <c r="H747" s="41"/>
      <c r="I747" s="41"/>
      <c r="J747" s="41"/>
      <c r="K747" s="41"/>
      <c r="L747" s="41"/>
      <c r="M747" s="41"/>
      <c r="N747" s="41"/>
      <c r="O747" s="41"/>
      <c r="P747" s="41"/>
      <c r="Q747" s="41"/>
      <c r="R747" s="41"/>
      <c r="S747" s="41"/>
      <c r="T747" s="41"/>
      <c r="U747" s="41"/>
      <c r="V747" s="41"/>
      <c r="W747" s="41"/>
      <c r="X747" s="41"/>
      <c r="Y747" s="41"/>
      <c r="Z747" s="41"/>
      <c r="AA747" s="41"/>
      <c r="AB747" s="41"/>
      <c r="AC747" s="41"/>
      <c r="AD747" s="41"/>
      <c r="AE747" s="41"/>
      <c r="AF747" s="41"/>
      <c r="AG747" s="41"/>
      <c r="AH747" s="41"/>
      <c r="AI747" s="41"/>
    </row>
    <row r="748" spans="1:35" ht="15.75" customHeight="1" x14ac:dyDescent="0.2">
      <c r="A748" s="41"/>
      <c r="B748" s="41"/>
      <c r="C748" s="41"/>
      <c r="D748" s="72"/>
      <c r="E748" s="41"/>
      <c r="F748" s="41"/>
      <c r="G748" s="41"/>
      <c r="H748" s="41"/>
      <c r="I748" s="41"/>
      <c r="J748" s="41"/>
      <c r="K748" s="41"/>
      <c r="L748" s="41"/>
      <c r="M748" s="41"/>
      <c r="N748" s="41"/>
      <c r="O748" s="41"/>
      <c r="P748" s="41"/>
      <c r="Q748" s="41"/>
      <c r="R748" s="41"/>
      <c r="S748" s="41"/>
      <c r="T748" s="41"/>
      <c r="U748" s="41"/>
      <c r="V748" s="41"/>
      <c r="W748" s="41"/>
      <c r="X748" s="41"/>
      <c r="Y748" s="41"/>
      <c r="Z748" s="41"/>
      <c r="AA748" s="41"/>
      <c r="AB748" s="41"/>
      <c r="AC748" s="41"/>
      <c r="AD748" s="41"/>
      <c r="AE748" s="41"/>
      <c r="AF748" s="41"/>
      <c r="AG748" s="41"/>
      <c r="AH748" s="41"/>
      <c r="AI748" s="41"/>
    </row>
    <row r="749" spans="1:35" ht="15.75" customHeight="1" x14ac:dyDescent="0.2">
      <c r="A749" s="41"/>
      <c r="B749" s="41"/>
      <c r="C749" s="41"/>
      <c r="D749" s="72"/>
      <c r="E749" s="41"/>
      <c r="F749" s="41"/>
      <c r="G749" s="41"/>
      <c r="H749" s="41"/>
      <c r="I749" s="41"/>
      <c r="J749" s="41"/>
      <c r="K749" s="41"/>
      <c r="L749" s="41"/>
      <c r="M749" s="41"/>
      <c r="N749" s="41"/>
      <c r="O749" s="41"/>
      <c r="P749" s="41"/>
      <c r="Q749" s="41"/>
      <c r="R749" s="41"/>
      <c r="S749" s="41"/>
      <c r="T749" s="41"/>
      <c r="U749" s="41"/>
      <c r="V749" s="41"/>
      <c r="W749" s="41"/>
      <c r="X749" s="41"/>
      <c r="Y749" s="41"/>
      <c r="Z749" s="41"/>
      <c r="AA749" s="41"/>
      <c r="AB749" s="41"/>
      <c r="AC749" s="41"/>
      <c r="AD749" s="41"/>
      <c r="AE749" s="41"/>
      <c r="AF749" s="41"/>
      <c r="AG749" s="41"/>
      <c r="AH749" s="41"/>
      <c r="AI749" s="41"/>
    </row>
    <row r="750" spans="1:35" ht="15.75" customHeight="1" x14ac:dyDescent="0.2">
      <c r="A750" s="41"/>
      <c r="B750" s="41"/>
      <c r="C750" s="41"/>
      <c r="D750" s="72"/>
      <c r="E750" s="41"/>
      <c r="F750" s="41"/>
      <c r="G750" s="41"/>
      <c r="H750" s="41"/>
      <c r="I750" s="41"/>
      <c r="J750" s="41"/>
      <c r="K750" s="41"/>
      <c r="L750" s="41"/>
      <c r="M750" s="41"/>
      <c r="N750" s="41"/>
      <c r="O750" s="41"/>
      <c r="P750" s="41"/>
      <c r="Q750" s="41"/>
      <c r="R750" s="41"/>
      <c r="S750" s="41"/>
      <c r="T750" s="41"/>
      <c r="U750" s="41"/>
      <c r="V750" s="41"/>
      <c r="W750" s="41"/>
      <c r="X750" s="41"/>
      <c r="Y750" s="41"/>
      <c r="Z750" s="41"/>
      <c r="AA750" s="41"/>
      <c r="AB750" s="41"/>
      <c r="AC750" s="41"/>
      <c r="AD750" s="41"/>
      <c r="AE750" s="41"/>
      <c r="AF750" s="41"/>
      <c r="AG750" s="41"/>
      <c r="AH750" s="41"/>
      <c r="AI750" s="41"/>
    </row>
    <row r="751" spans="1:35" ht="15.75" customHeight="1" x14ac:dyDescent="0.2">
      <c r="A751" s="41"/>
      <c r="B751" s="41"/>
      <c r="C751" s="41"/>
      <c r="D751" s="72"/>
      <c r="E751" s="41"/>
      <c r="F751" s="41"/>
      <c r="G751" s="41"/>
      <c r="H751" s="41"/>
      <c r="I751" s="41"/>
      <c r="J751" s="41"/>
      <c r="K751" s="41"/>
      <c r="L751" s="41"/>
      <c r="M751" s="41"/>
      <c r="N751" s="41"/>
      <c r="O751" s="41"/>
      <c r="P751" s="41"/>
      <c r="Q751" s="41"/>
      <c r="R751" s="41"/>
      <c r="S751" s="41"/>
      <c r="T751" s="41"/>
      <c r="U751" s="41"/>
      <c r="V751" s="41"/>
      <c r="W751" s="41"/>
      <c r="X751" s="41"/>
      <c r="Y751" s="41"/>
      <c r="Z751" s="41"/>
      <c r="AA751" s="41"/>
      <c r="AB751" s="41"/>
      <c r="AC751" s="41"/>
      <c r="AD751" s="41"/>
      <c r="AE751" s="41"/>
      <c r="AF751" s="41"/>
      <c r="AG751" s="41"/>
      <c r="AH751" s="41"/>
      <c r="AI751" s="41"/>
    </row>
    <row r="752" spans="1:35" ht="15.75" customHeight="1" x14ac:dyDescent="0.2">
      <c r="A752" s="41"/>
      <c r="B752" s="41"/>
      <c r="C752" s="41"/>
      <c r="D752" s="72"/>
      <c r="E752" s="41"/>
      <c r="F752" s="41"/>
      <c r="G752" s="41"/>
      <c r="H752" s="41"/>
      <c r="I752" s="41"/>
      <c r="J752" s="41"/>
      <c r="K752" s="41"/>
      <c r="L752" s="41"/>
      <c r="M752" s="41"/>
      <c r="N752" s="41"/>
      <c r="O752" s="41"/>
      <c r="P752" s="41"/>
      <c r="Q752" s="41"/>
      <c r="R752" s="41"/>
      <c r="S752" s="41"/>
      <c r="T752" s="41"/>
      <c r="U752" s="41"/>
      <c r="V752" s="41"/>
      <c r="W752" s="41"/>
      <c r="X752" s="41"/>
      <c r="Y752" s="41"/>
      <c r="Z752" s="41"/>
      <c r="AA752" s="41"/>
      <c r="AB752" s="41"/>
      <c r="AC752" s="41"/>
      <c r="AD752" s="41"/>
      <c r="AE752" s="41"/>
      <c r="AF752" s="41"/>
      <c r="AG752" s="41"/>
      <c r="AH752" s="41"/>
      <c r="AI752" s="41"/>
    </row>
    <row r="753" spans="1:35" ht="15.75" customHeight="1" x14ac:dyDescent="0.2">
      <c r="A753" s="41"/>
      <c r="B753" s="41"/>
      <c r="C753" s="41"/>
      <c r="D753" s="72"/>
      <c r="E753" s="41"/>
      <c r="F753" s="41"/>
      <c r="G753" s="41"/>
      <c r="H753" s="41"/>
      <c r="I753" s="41"/>
      <c r="J753" s="41"/>
      <c r="K753" s="41"/>
      <c r="L753" s="41"/>
      <c r="M753" s="41"/>
      <c r="N753" s="41"/>
      <c r="O753" s="41"/>
      <c r="P753" s="41"/>
      <c r="Q753" s="41"/>
      <c r="R753" s="41"/>
      <c r="S753" s="41"/>
      <c r="T753" s="41"/>
      <c r="U753" s="41"/>
      <c r="V753" s="41"/>
      <c r="W753" s="41"/>
      <c r="X753" s="41"/>
      <c r="Y753" s="41"/>
      <c r="Z753" s="41"/>
      <c r="AA753" s="41"/>
      <c r="AB753" s="41"/>
      <c r="AC753" s="41"/>
      <c r="AD753" s="41"/>
      <c r="AE753" s="41"/>
      <c r="AF753" s="41"/>
      <c r="AG753" s="41"/>
      <c r="AH753" s="41"/>
      <c r="AI753" s="41"/>
    </row>
    <row r="754" spans="1:35" ht="15.75" customHeight="1" x14ac:dyDescent="0.2">
      <c r="A754" s="41"/>
      <c r="B754" s="41"/>
      <c r="C754" s="41"/>
      <c r="D754" s="72"/>
      <c r="E754" s="41"/>
      <c r="F754" s="41"/>
      <c r="G754" s="41"/>
      <c r="H754" s="41"/>
      <c r="I754" s="41"/>
      <c r="J754" s="41"/>
      <c r="K754" s="41"/>
      <c r="L754" s="41"/>
      <c r="M754" s="41"/>
      <c r="N754" s="41"/>
      <c r="O754" s="41"/>
      <c r="P754" s="41"/>
      <c r="Q754" s="41"/>
      <c r="R754" s="41"/>
      <c r="S754" s="41"/>
      <c r="T754" s="41"/>
      <c r="U754" s="41"/>
      <c r="V754" s="41"/>
      <c r="W754" s="41"/>
      <c r="X754" s="41"/>
      <c r="Y754" s="41"/>
      <c r="Z754" s="41"/>
      <c r="AA754" s="41"/>
      <c r="AB754" s="41"/>
      <c r="AC754" s="41"/>
      <c r="AD754" s="41"/>
      <c r="AE754" s="41"/>
      <c r="AF754" s="41"/>
      <c r="AG754" s="41"/>
      <c r="AH754" s="41"/>
      <c r="AI754" s="41"/>
    </row>
    <row r="755" spans="1:35" ht="15.75" customHeight="1" x14ac:dyDescent="0.2">
      <c r="A755" s="41"/>
      <c r="B755" s="41"/>
      <c r="C755" s="41"/>
      <c r="D755" s="72"/>
      <c r="E755" s="41"/>
      <c r="F755" s="41"/>
      <c r="G755" s="41"/>
      <c r="H755" s="41"/>
      <c r="I755" s="41"/>
      <c r="J755" s="41"/>
      <c r="K755" s="41"/>
      <c r="L755" s="41"/>
      <c r="M755" s="41"/>
      <c r="N755" s="41"/>
      <c r="O755" s="41"/>
      <c r="P755" s="41"/>
      <c r="Q755" s="41"/>
      <c r="R755" s="41"/>
      <c r="S755" s="41"/>
      <c r="T755" s="41"/>
      <c r="U755" s="41"/>
      <c r="V755" s="41"/>
      <c r="W755" s="41"/>
      <c r="X755" s="41"/>
      <c r="Y755" s="41"/>
      <c r="Z755" s="41"/>
      <c r="AA755" s="41"/>
      <c r="AB755" s="41"/>
      <c r="AC755" s="41"/>
      <c r="AD755" s="41"/>
      <c r="AE755" s="41"/>
      <c r="AF755" s="41"/>
      <c r="AG755" s="41"/>
      <c r="AH755" s="41"/>
      <c r="AI755" s="41"/>
    </row>
    <row r="756" spans="1:35" ht="15.75" customHeight="1" x14ac:dyDescent="0.2">
      <c r="A756" s="41"/>
      <c r="B756" s="41"/>
      <c r="C756" s="41"/>
      <c r="D756" s="72"/>
      <c r="E756" s="41"/>
      <c r="F756" s="41"/>
      <c r="G756" s="41"/>
      <c r="H756" s="41"/>
      <c r="I756" s="41"/>
      <c r="J756" s="41"/>
      <c r="K756" s="41"/>
      <c r="L756" s="41"/>
      <c r="M756" s="41"/>
      <c r="N756" s="41"/>
      <c r="O756" s="41"/>
      <c r="P756" s="41"/>
      <c r="Q756" s="41"/>
      <c r="R756" s="41"/>
      <c r="S756" s="41"/>
      <c r="T756" s="41"/>
      <c r="U756" s="41"/>
      <c r="V756" s="41"/>
      <c r="W756" s="41"/>
      <c r="X756" s="41"/>
      <c r="Y756" s="41"/>
      <c r="Z756" s="41"/>
      <c r="AA756" s="41"/>
      <c r="AB756" s="41"/>
      <c r="AC756" s="41"/>
      <c r="AD756" s="41"/>
      <c r="AE756" s="41"/>
      <c r="AF756" s="41"/>
      <c r="AG756" s="41"/>
      <c r="AH756" s="41"/>
      <c r="AI756" s="41"/>
    </row>
    <row r="757" spans="1:35" ht="15.75" customHeight="1" x14ac:dyDescent="0.2">
      <c r="A757" s="41"/>
      <c r="B757" s="41"/>
      <c r="C757" s="41"/>
      <c r="D757" s="72"/>
      <c r="E757" s="41"/>
      <c r="F757" s="41"/>
      <c r="G757" s="41"/>
      <c r="H757" s="41"/>
      <c r="I757" s="41"/>
      <c r="J757" s="41"/>
      <c r="K757" s="41"/>
      <c r="L757" s="41"/>
      <c r="M757" s="41"/>
      <c r="N757" s="41"/>
      <c r="O757" s="41"/>
      <c r="P757" s="41"/>
      <c r="Q757" s="41"/>
      <c r="R757" s="41"/>
      <c r="S757" s="41"/>
      <c r="T757" s="41"/>
      <c r="U757" s="41"/>
      <c r="V757" s="41"/>
      <c r="W757" s="41"/>
      <c r="X757" s="41"/>
      <c r="Y757" s="41"/>
      <c r="Z757" s="41"/>
      <c r="AA757" s="41"/>
      <c r="AB757" s="41"/>
      <c r="AC757" s="41"/>
      <c r="AD757" s="41"/>
      <c r="AE757" s="41"/>
      <c r="AF757" s="41"/>
      <c r="AG757" s="41"/>
      <c r="AH757" s="41"/>
      <c r="AI757" s="41"/>
    </row>
    <row r="758" spans="1:35" ht="15.75" customHeight="1" x14ac:dyDescent="0.2">
      <c r="A758" s="41"/>
      <c r="B758" s="41"/>
      <c r="C758" s="41"/>
      <c r="D758" s="72"/>
      <c r="E758" s="41"/>
      <c r="F758" s="41"/>
      <c r="G758" s="41"/>
      <c r="H758" s="41"/>
      <c r="I758" s="41"/>
      <c r="J758" s="41"/>
      <c r="K758" s="41"/>
      <c r="L758" s="41"/>
      <c r="M758" s="41"/>
      <c r="N758" s="41"/>
      <c r="O758" s="41"/>
      <c r="P758" s="41"/>
      <c r="Q758" s="41"/>
      <c r="R758" s="41"/>
      <c r="S758" s="41"/>
      <c r="T758" s="41"/>
      <c r="U758" s="41"/>
      <c r="V758" s="41"/>
      <c r="W758" s="41"/>
      <c r="X758" s="41"/>
      <c r="Y758" s="41"/>
      <c r="Z758" s="41"/>
      <c r="AA758" s="41"/>
      <c r="AB758" s="41"/>
      <c r="AC758" s="41"/>
      <c r="AD758" s="41"/>
      <c r="AE758" s="41"/>
      <c r="AF758" s="41"/>
      <c r="AG758" s="41"/>
      <c r="AH758" s="41"/>
      <c r="AI758" s="41"/>
    </row>
    <row r="759" spans="1:35" ht="15.75" customHeight="1" x14ac:dyDescent="0.2">
      <c r="A759" s="41"/>
      <c r="B759" s="41"/>
      <c r="C759" s="41"/>
      <c r="D759" s="72"/>
      <c r="E759" s="41"/>
      <c r="F759" s="41"/>
      <c r="G759" s="41"/>
      <c r="H759" s="41"/>
      <c r="I759" s="41"/>
      <c r="J759" s="41"/>
      <c r="K759" s="41"/>
      <c r="L759" s="41"/>
      <c r="M759" s="41"/>
      <c r="N759" s="41"/>
      <c r="O759" s="41"/>
      <c r="P759" s="41"/>
      <c r="Q759" s="41"/>
      <c r="R759" s="41"/>
      <c r="S759" s="41"/>
      <c r="T759" s="41"/>
      <c r="U759" s="41"/>
      <c r="V759" s="41"/>
      <c r="W759" s="41"/>
      <c r="X759" s="41"/>
      <c r="Y759" s="41"/>
      <c r="Z759" s="41"/>
      <c r="AA759" s="41"/>
      <c r="AB759" s="41"/>
      <c r="AC759" s="41"/>
      <c r="AD759" s="41"/>
      <c r="AE759" s="41"/>
      <c r="AF759" s="41"/>
      <c r="AG759" s="41"/>
      <c r="AH759" s="41"/>
      <c r="AI759" s="41"/>
    </row>
    <row r="760" spans="1:35" ht="15.75" customHeight="1" x14ac:dyDescent="0.2">
      <c r="A760" s="41"/>
      <c r="B760" s="41"/>
      <c r="C760" s="41"/>
      <c r="D760" s="72"/>
      <c r="E760" s="41"/>
      <c r="F760" s="41"/>
      <c r="G760" s="41"/>
      <c r="H760" s="41"/>
      <c r="I760" s="41"/>
      <c r="J760" s="41"/>
      <c r="K760" s="41"/>
      <c r="L760" s="41"/>
      <c r="M760" s="41"/>
      <c r="N760" s="41"/>
      <c r="O760" s="41"/>
      <c r="P760" s="41"/>
      <c r="Q760" s="41"/>
      <c r="R760" s="41"/>
      <c r="S760" s="41"/>
      <c r="T760" s="41"/>
      <c r="U760" s="41"/>
      <c r="V760" s="41"/>
      <c r="W760" s="41"/>
      <c r="X760" s="41"/>
      <c r="Y760" s="41"/>
      <c r="Z760" s="41"/>
      <c r="AA760" s="41"/>
      <c r="AB760" s="41"/>
      <c r="AC760" s="41"/>
      <c r="AD760" s="41"/>
      <c r="AE760" s="41"/>
      <c r="AF760" s="41"/>
      <c r="AG760" s="41"/>
      <c r="AH760" s="41"/>
      <c r="AI760" s="41"/>
    </row>
    <row r="761" spans="1:35" ht="15.75" customHeight="1" x14ac:dyDescent="0.2">
      <c r="A761" s="41"/>
      <c r="B761" s="41"/>
      <c r="C761" s="41"/>
      <c r="D761" s="72"/>
      <c r="E761" s="41"/>
      <c r="F761" s="41"/>
      <c r="G761" s="41"/>
      <c r="H761" s="41"/>
      <c r="I761" s="41"/>
      <c r="J761" s="41"/>
      <c r="K761" s="41"/>
      <c r="L761" s="41"/>
      <c r="M761" s="41"/>
      <c r="N761" s="41"/>
      <c r="O761" s="41"/>
      <c r="P761" s="41"/>
      <c r="Q761" s="41"/>
      <c r="R761" s="41"/>
      <c r="S761" s="41"/>
      <c r="T761" s="41"/>
      <c r="U761" s="41"/>
      <c r="V761" s="41"/>
      <c r="W761" s="41"/>
      <c r="X761" s="41"/>
      <c r="Y761" s="41"/>
      <c r="Z761" s="41"/>
      <c r="AA761" s="41"/>
      <c r="AB761" s="41"/>
      <c r="AC761" s="41"/>
      <c r="AD761" s="41"/>
      <c r="AE761" s="41"/>
      <c r="AF761" s="41"/>
      <c r="AG761" s="41"/>
      <c r="AH761" s="41"/>
      <c r="AI761" s="41"/>
    </row>
    <row r="762" spans="1:35" ht="15.75" customHeight="1" x14ac:dyDescent="0.2">
      <c r="A762" s="41"/>
      <c r="B762" s="41"/>
      <c r="C762" s="41"/>
      <c r="D762" s="72"/>
      <c r="E762" s="41"/>
      <c r="F762" s="41"/>
      <c r="G762" s="41"/>
      <c r="H762" s="41"/>
      <c r="I762" s="41"/>
      <c r="J762" s="41"/>
      <c r="K762" s="41"/>
      <c r="L762" s="41"/>
      <c r="M762" s="41"/>
      <c r="N762" s="41"/>
      <c r="O762" s="41"/>
      <c r="P762" s="41"/>
      <c r="Q762" s="41"/>
      <c r="R762" s="41"/>
      <c r="S762" s="41"/>
      <c r="T762" s="41"/>
      <c r="U762" s="41"/>
      <c r="V762" s="41"/>
      <c r="W762" s="41"/>
      <c r="X762" s="41"/>
      <c r="Y762" s="41"/>
      <c r="Z762" s="41"/>
      <c r="AA762" s="41"/>
      <c r="AB762" s="41"/>
      <c r="AC762" s="41"/>
      <c r="AD762" s="41"/>
      <c r="AE762" s="41"/>
      <c r="AF762" s="41"/>
      <c r="AG762" s="41"/>
      <c r="AH762" s="41"/>
      <c r="AI762" s="41"/>
    </row>
    <row r="763" spans="1:35" ht="15.75" customHeight="1" x14ac:dyDescent="0.2">
      <c r="A763" s="41"/>
      <c r="B763" s="41"/>
      <c r="C763" s="41"/>
      <c r="D763" s="72"/>
      <c r="E763" s="41"/>
      <c r="F763" s="41"/>
      <c r="G763" s="41"/>
      <c r="H763" s="41"/>
      <c r="I763" s="41"/>
      <c r="J763" s="41"/>
      <c r="K763" s="41"/>
      <c r="L763" s="41"/>
      <c r="M763" s="41"/>
      <c r="N763" s="41"/>
      <c r="O763" s="41"/>
      <c r="P763" s="41"/>
      <c r="Q763" s="41"/>
      <c r="R763" s="41"/>
      <c r="S763" s="41"/>
      <c r="T763" s="41"/>
      <c r="U763" s="41"/>
      <c r="V763" s="41"/>
      <c r="W763" s="41"/>
      <c r="X763" s="41"/>
      <c r="Y763" s="41"/>
      <c r="Z763" s="41"/>
      <c r="AA763" s="41"/>
      <c r="AB763" s="41"/>
      <c r="AC763" s="41"/>
      <c r="AD763" s="41"/>
      <c r="AE763" s="41"/>
      <c r="AF763" s="41"/>
      <c r="AG763" s="41"/>
      <c r="AH763" s="41"/>
      <c r="AI763" s="41"/>
    </row>
    <row r="764" spans="1:35" ht="15.75" customHeight="1" x14ac:dyDescent="0.2">
      <c r="A764" s="41"/>
      <c r="B764" s="41"/>
      <c r="C764" s="41"/>
      <c r="D764" s="72"/>
      <c r="E764" s="41"/>
      <c r="F764" s="41"/>
      <c r="G764" s="41"/>
      <c r="H764" s="41"/>
      <c r="I764" s="41"/>
      <c r="J764" s="41"/>
      <c r="K764" s="41"/>
      <c r="L764" s="41"/>
      <c r="M764" s="41"/>
      <c r="N764" s="41"/>
      <c r="O764" s="41"/>
      <c r="P764" s="41"/>
      <c r="Q764" s="41"/>
      <c r="R764" s="41"/>
      <c r="S764" s="41"/>
      <c r="T764" s="41"/>
      <c r="U764" s="41"/>
      <c r="V764" s="41"/>
      <c r="W764" s="41"/>
      <c r="X764" s="41"/>
      <c r="Y764" s="41"/>
      <c r="Z764" s="41"/>
      <c r="AA764" s="41"/>
      <c r="AB764" s="41"/>
      <c r="AC764" s="41"/>
      <c r="AD764" s="41"/>
      <c r="AE764" s="41"/>
      <c r="AF764" s="41"/>
      <c r="AG764" s="41"/>
      <c r="AH764" s="41"/>
      <c r="AI764" s="41"/>
    </row>
    <row r="765" spans="1:35" ht="15.75" customHeight="1" x14ac:dyDescent="0.2">
      <c r="A765" s="41"/>
      <c r="B765" s="41"/>
      <c r="C765" s="41"/>
      <c r="D765" s="72"/>
      <c r="E765" s="41"/>
      <c r="F765" s="41"/>
      <c r="G765" s="41"/>
      <c r="H765" s="41"/>
      <c r="I765" s="41"/>
      <c r="J765" s="41"/>
      <c r="K765" s="41"/>
      <c r="L765" s="41"/>
      <c r="M765" s="41"/>
      <c r="N765" s="41"/>
      <c r="O765" s="41"/>
      <c r="P765" s="41"/>
      <c r="Q765" s="41"/>
      <c r="R765" s="41"/>
      <c r="S765" s="41"/>
      <c r="T765" s="41"/>
      <c r="U765" s="41"/>
      <c r="V765" s="41"/>
      <c r="W765" s="41"/>
      <c r="X765" s="41"/>
      <c r="Y765" s="41"/>
      <c r="Z765" s="41"/>
      <c r="AA765" s="41"/>
      <c r="AB765" s="41"/>
      <c r="AC765" s="41"/>
      <c r="AD765" s="41"/>
      <c r="AE765" s="41"/>
      <c r="AF765" s="41"/>
      <c r="AG765" s="41"/>
      <c r="AH765" s="41"/>
      <c r="AI765" s="41"/>
    </row>
    <row r="766" spans="1:35" ht="15.75" customHeight="1" x14ac:dyDescent="0.2">
      <c r="A766" s="41"/>
      <c r="B766" s="41"/>
      <c r="C766" s="41"/>
      <c r="D766" s="72"/>
      <c r="E766" s="41"/>
      <c r="F766" s="41"/>
      <c r="G766" s="41"/>
      <c r="H766" s="41"/>
      <c r="I766" s="41"/>
      <c r="J766" s="41"/>
      <c r="K766" s="41"/>
      <c r="L766" s="41"/>
      <c r="M766" s="41"/>
      <c r="N766" s="41"/>
      <c r="O766" s="41"/>
      <c r="P766" s="41"/>
      <c r="Q766" s="41"/>
      <c r="R766" s="41"/>
      <c r="S766" s="41"/>
      <c r="T766" s="41"/>
      <c r="U766" s="41"/>
      <c r="V766" s="41"/>
      <c r="W766" s="41"/>
      <c r="X766" s="41"/>
      <c r="Y766" s="41"/>
      <c r="Z766" s="41"/>
      <c r="AA766" s="41"/>
      <c r="AB766" s="41"/>
      <c r="AC766" s="41"/>
      <c r="AD766" s="41"/>
      <c r="AE766" s="41"/>
      <c r="AF766" s="41"/>
      <c r="AG766" s="41"/>
      <c r="AH766" s="41"/>
      <c r="AI766" s="41"/>
    </row>
    <row r="767" spans="1:35" ht="15.75" customHeight="1" x14ac:dyDescent="0.2">
      <c r="A767" s="41"/>
      <c r="B767" s="41"/>
      <c r="C767" s="41"/>
      <c r="D767" s="72"/>
      <c r="E767" s="41"/>
      <c r="F767" s="41"/>
      <c r="G767" s="41"/>
      <c r="H767" s="41"/>
      <c r="I767" s="41"/>
      <c r="J767" s="41"/>
      <c r="K767" s="41"/>
      <c r="L767" s="41"/>
      <c r="M767" s="41"/>
      <c r="N767" s="41"/>
      <c r="O767" s="41"/>
      <c r="P767" s="41"/>
      <c r="Q767" s="41"/>
      <c r="R767" s="41"/>
      <c r="S767" s="41"/>
      <c r="T767" s="41"/>
      <c r="U767" s="41"/>
      <c r="V767" s="41"/>
      <c r="W767" s="41"/>
      <c r="X767" s="41"/>
      <c r="Y767" s="41"/>
      <c r="Z767" s="41"/>
      <c r="AA767" s="41"/>
      <c r="AB767" s="41"/>
      <c r="AC767" s="41"/>
      <c r="AD767" s="41"/>
      <c r="AE767" s="41"/>
      <c r="AF767" s="41"/>
      <c r="AG767" s="41"/>
      <c r="AH767" s="41"/>
      <c r="AI767" s="41"/>
    </row>
    <row r="768" spans="1:35" ht="15.75" customHeight="1" x14ac:dyDescent="0.2">
      <c r="A768" s="41"/>
      <c r="B768" s="41"/>
      <c r="C768" s="41"/>
      <c r="D768" s="72"/>
      <c r="E768" s="41"/>
      <c r="F768" s="41"/>
      <c r="G768" s="41"/>
      <c r="H768" s="41"/>
      <c r="I768" s="41"/>
      <c r="J768" s="41"/>
      <c r="K768" s="41"/>
      <c r="L768" s="41"/>
      <c r="M768" s="41"/>
      <c r="N768" s="41"/>
      <c r="O768" s="41"/>
      <c r="P768" s="41"/>
      <c r="Q768" s="41"/>
      <c r="R768" s="41"/>
      <c r="S768" s="41"/>
      <c r="T768" s="41"/>
      <c r="U768" s="41"/>
      <c r="V768" s="41"/>
      <c r="W768" s="41"/>
      <c r="X768" s="41"/>
      <c r="Y768" s="41"/>
      <c r="Z768" s="41"/>
      <c r="AA768" s="41"/>
      <c r="AB768" s="41"/>
      <c r="AC768" s="41"/>
      <c r="AD768" s="41"/>
      <c r="AE768" s="41"/>
      <c r="AF768" s="41"/>
      <c r="AG768" s="41"/>
      <c r="AH768" s="41"/>
      <c r="AI768" s="41"/>
    </row>
    <row r="769" spans="1:35" ht="15.75" customHeight="1" x14ac:dyDescent="0.2">
      <c r="A769" s="41"/>
      <c r="B769" s="41"/>
      <c r="C769" s="41"/>
      <c r="D769" s="72"/>
      <c r="E769" s="41"/>
      <c r="F769" s="41"/>
      <c r="G769" s="41"/>
      <c r="H769" s="41"/>
      <c r="I769" s="41"/>
      <c r="J769" s="41"/>
      <c r="K769" s="41"/>
      <c r="L769" s="41"/>
      <c r="M769" s="41"/>
      <c r="N769" s="41"/>
      <c r="O769" s="41"/>
      <c r="P769" s="41"/>
      <c r="Q769" s="41"/>
      <c r="R769" s="41"/>
      <c r="S769" s="41"/>
      <c r="T769" s="41"/>
      <c r="U769" s="41"/>
      <c r="V769" s="41"/>
      <c r="W769" s="41"/>
      <c r="X769" s="41"/>
      <c r="Y769" s="41"/>
      <c r="Z769" s="41"/>
      <c r="AA769" s="41"/>
      <c r="AB769" s="41"/>
      <c r="AC769" s="41"/>
      <c r="AD769" s="41"/>
      <c r="AE769" s="41"/>
      <c r="AF769" s="41"/>
      <c r="AG769" s="41"/>
      <c r="AH769" s="41"/>
      <c r="AI769" s="41"/>
    </row>
    <row r="770" spans="1:35" ht="15.75" customHeight="1" x14ac:dyDescent="0.2">
      <c r="A770" s="41"/>
      <c r="B770" s="41"/>
      <c r="C770" s="41"/>
      <c r="D770" s="72"/>
      <c r="E770" s="41"/>
      <c r="F770" s="41"/>
      <c r="G770" s="41"/>
      <c r="H770" s="41"/>
      <c r="I770" s="41"/>
      <c r="J770" s="41"/>
      <c r="K770" s="41"/>
      <c r="L770" s="41"/>
      <c r="M770" s="41"/>
      <c r="N770" s="41"/>
      <c r="O770" s="41"/>
      <c r="P770" s="41"/>
      <c r="Q770" s="41"/>
      <c r="R770" s="41"/>
      <c r="S770" s="41"/>
      <c r="T770" s="41"/>
      <c r="U770" s="41"/>
      <c r="V770" s="41"/>
      <c r="W770" s="41"/>
      <c r="X770" s="41"/>
      <c r="Y770" s="41"/>
      <c r="Z770" s="41"/>
      <c r="AA770" s="41"/>
      <c r="AB770" s="41"/>
      <c r="AC770" s="41"/>
      <c r="AD770" s="41"/>
      <c r="AE770" s="41"/>
      <c r="AF770" s="41"/>
      <c r="AG770" s="41"/>
      <c r="AH770" s="41"/>
      <c r="AI770" s="41"/>
    </row>
    <row r="771" spans="1:35" ht="15.75" customHeight="1" x14ac:dyDescent="0.2">
      <c r="A771" s="41"/>
      <c r="B771" s="41"/>
      <c r="C771" s="41"/>
      <c r="D771" s="72"/>
      <c r="E771" s="41"/>
      <c r="F771" s="41"/>
      <c r="G771" s="41"/>
      <c r="H771" s="41"/>
      <c r="I771" s="41"/>
      <c r="J771" s="41"/>
      <c r="K771" s="41"/>
      <c r="L771" s="41"/>
      <c r="M771" s="41"/>
      <c r="N771" s="41"/>
      <c r="O771" s="41"/>
      <c r="P771" s="41"/>
      <c r="Q771" s="41"/>
      <c r="R771" s="41"/>
      <c r="S771" s="41"/>
      <c r="T771" s="41"/>
      <c r="U771" s="41"/>
      <c r="V771" s="41"/>
      <c r="W771" s="41"/>
      <c r="X771" s="41"/>
      <c r="Y771" s="41"/>
      <c r="Z771" s="41"/>
      <c r="AA771" s="41"/>
      <c r="AB771" s="41"/>
      <c r="AC771" s="41"/>
      <c r="AD771" s="41"/>
      <c r="AE771" s="41"/>
      <c r="AF771" s="41"/>
      <c r="AG771" s="41"/>
      <c r="AH771" s="41"/>
      <c r="AI771" s="41"/>
    </row>
    <row r="772" spans="1:35" ht="15.75" customHeight="1" x14ac:dyDescent="0.2">
      <c r="A772" s="41"/>
      <c r="B772" s="41"/>
      <c r="C772" s="41"/>
      <c r="D772" s="72"/>
      <c r="E772" s="41"/>
      <c r="F772" s="41"/>
      <c r="G772" s="41"/>
      <c r="H772" s="41"/>
      <c r="I772" s="41"/>
      <c r="J772" s="41"/>
      <c r="K772" s="41"/>
      <c r="L772" s="41"/>
      <c r="M772" s="41"/>
      <c r="N772" s="41"/>
      <c r="O772" s="41"/>
      <c r="P772" s="41"/>
      <c r="Q772" s="41"/>
      <c r="R772" s="41"/>
      <c r="S772" s="41"/>
      <c r="T772" s="41"/>
      <c r="U772" s="41"/>
      <c r="V772" s="41"/>
      <c r="W772" s="41"/>
      <c r="X772" s="41"/>
      <c r="Y772" s="41"/>
      <c r="Z772" s="41"/>
      <c r="AA772" s="41"/>
      <c r="AB772" s="41"/>
      <c r="AC772" s="41"/>
      <c r="AD772" s="41"/>
      <c r="AE772" s="41"/>
      <c r="AF772" s="41"/>
      <c r="AG772" s="41"/>
      <c r="AH772" s="41"/>
      <c r="AI772" s="41"/>
    </row>
    <row r="773" spans="1:35" ht="15.75" customHeight="1" x14ac:dyDescent="0.2">
      <c r="A773" s="41"/>
      <c r="B773" s="41"/>
      <c r="C773" s="41"/>
      <c r="D773" s="72"/>
      <c r="E773" s="41"/>
      <c r="F773" s="41"/>
      <c r="G773" s="41"/>
      <c r="H773" s="41"/>
      <c r="I773" s="41"/>
      <c r="J773" s="41"/>
      <c r="K773" s="41"/>
      <c r="L773" s="41"/>
      <c r="M773" s="41"/>
      <c r="N773" s="41"/>
      <c r="O773" s="41"/>
      <c r="P773" s="41"/>
      <c r="Q773" s="41"/>
      <c r="R773" s="41"/>
      <c r="S773" s="41"/>
      <c r="T773" s="41"/>
      <c r="U773" s="41"/>
      <c r="V773" s="41"/>
      <c r="W773" s="41"/>
      <c r="X773" s="41"/>
      <c r="Y773" s="41"/>
      <c r="Z773" s="41"/>
      <c r="AA773" s="41"/>
      <c r="AB773" s="41"/>
      <c r="AC773" s="41"/>
      <c r="AD773" s="41"/>
      <c r="AE773" s="41"/>
      <c r="AF773" s="41"/>
      <c r="AG773" s="41"/>
      <c r="AH773" s="41"/>
      <c r="AI773" s="41"/>
    </row>
    <row r="774" spans="1:35" ht="15.75" customHeight="1" x14ac:dyDescent="0.2">
      <c r="A774" s="41"/>
      <c r="B774" s="41"/>
      <c r="C774" s="41"/>
      <c r="D774" s="72"/>
      <c r="E774" s="41"/>
      <c r="F774" s="41"/>
      <c r="G774" s="41"/>
      <c r="H774" s="41"/>
      <c r="I774" s="41"/>
      <c r="J774" s="41"/>
      <c r="K774" s="41"/>
      <c r="L774" s="41"/>
      <c r="M774" s="41"/>
      <c r="N774" s="41"/>
      <c r="O774" s="41"/>
      <c r="P774" s="41"/>
      <c r="Q774" s="41"/>
      <c r="R774" s="41"/>
      <c r="S774" s="41"/>
      <c r="T774" s="41"/>
      <c r="U774" s="41"/>
      <c r="V774" s="41"/>
      <c r="W774" s="41"/>
      <c r="X774" s="41"/>
      <c r="Y774" s="41"/>
      <c r="Z774" s="41"/>
      <c r="AA774" s="41"/>
      <c r="AB774" s="41"/>
      <c r="AC774" s="41"/>
      <c r="AD774" s="41"/>
      <c r="AE774" s="41"/>
      <c r="AF774" s="41"/>
      <c r="AG774" s="41"/>
      <c r="AH774" s="41"/>
      <c r="AI774" s="41"/>
    </row>
    <row r="775" spans="1:35" ht="15.75" customHeight="1" x14ac:dyDescent="0.2">
      <c r="A775" s="41"/>
      <c r="B775" s="41"/>
      <c r="C775" s="41"/>
      <c r="D775" s="72"/>
      <c r="E775" s="41"/>
      <c r="F775" s="41"/>
      <c r="G775" s="41"/>
      <c r="H775" s="41"/>
      <c r="I775" s="41"/>
      <c r="J775" s="41"/>
      <c r="K775" s="41"/>
      <c r="L775" s="41"/>
      <c r="M775" s="41"/>
      <c r="N775" s="41"/>
      <c r="O775" s="41"/>
      <c r="P775" s="41"/>
      <c r="Q775" s="41"/>
      <c r="R775" s="41"/>
      <c r="S775" s="41"/>
      <c r="T775" s="41"/>
      <c r="U775" s="41"/>
      <c r="V775" s="41"/>
      <c r="W775" s="41"/>
      <c r="X775" s="41"/>
      <c r="Y775" s="41"/>
      <c r="Z775" s="41"/>
      <c r="AA775" s="41"/>
      <c r="AB775" s="41"/>
      <c r="AC775" s="41"/>
      <c r="AD775" s="41"/>
      <c r="AE775" s="41"/>
      <c r="AF775" s="41"/>
      <c r="AG775" s="41"/>
      <c r="AH775" s="41"/>
      <c r="AI775" s="41"/>
    </row>
    <row r="776" spans="1:35" ht="15.75" customHeight="1" x14ac:dyDescent="0.2">
      <c r="A776" s="41"/>
      <c r="B776" s="41"/>
      <c r="C776" s="41"/>
      <c r="D776" s="72"/>
      <c r="E776" s="41"/>
      <c r="F776" s="41"/>
      <c r="G776" s="41"/>
      <c r="H776" s="41"/>
      <c r="I776" s="41"/>
      <c r="J776" s="41"/>
      <c r="K776" s="41"/>
      <c r="L776" s="41"/>
      <c r="M776" s="41"/>
      <c r="N776" s="41"/>
      <c r="O776" s="41"/>
      <c r="P776" s="41"/>
      <c r="Q776" s="41"/>
      <c r="R776" s="41"/>
      <c r="S776" s="41"/>
      <c r="T776" s="41"/>
      <c r="U776" s="41"/>
      <c r="V776" s="41"/>
      <c r="W776" s="41"/>
      <c r="X776" s="41"/>
      <c r="Y776" s="41"/>
      <c r="Z776" s="41"/>
      <c r="AA776" s="41"/>
      <c r="AB776" s="41"/>
      <c r="AC776" s="41"/>
      <c r="AD776" s="41"/>
      <c r="AE776" s="41"/>
      <c r="AF776" s="41"/>
      <c r="AG776" s="41"/>
      <c r="AH776" s="41"/>
      <c r="AI776" s="41"/>
    </row>
    <row r="777" spans="1:35" ht="15.75" customHeight="1" x14ac:dyDescent="0.2">
      <c r="A777" s="41"/>
      <c r="B777" s="41"/>
      <c r="C777" s="41"/>
      <c r="D777" s="72"/>
      <c r="E777" s="41"/>
      <c r="F777" s="41"/>
      <c r="G777" s="41"/>
      <c r="H777" s="41"/>
      <c r="I777" s="41"/>
      <c r="J777" s="41"/>
      <c r="K777" s="41"/>
      <c r="L777" s="41"/>
      <c r="M777" s="41"/>
      <c r="N777" s="41"/>
      <c r="O777" s="41"/>
      <c r="P777" s="41"/>
      <c r="Q777" s="41"/>
      <c r="R777" s="41"/>
      <c r="S777" s="41"/>
      <c r="T777" s="41"/>
      <c r="U777" s="41"/>
      <c r="V777" s="41"/>
      <c r="W777" s="41"/>
      <c r="X777" s="41"/>
      <c r="Y777" s="41"/>
      <c r="Z777" s="41"/>
      <c r="AA777" s="41"/>
      <c r="AB777" s="41"/>
      <c r="AC777" s="41"/>
      <c r="AD777" s="41"/>
      <c r="AE777" s="41"/>
      <c r="AF777" s="41"/>
      <c r="AG777" s="41"/>
      <c r="AH777" s="41"/>
      <c r="AI777" s="41"/>
    </row>
    <row r="778" spans="1:35" ht="15.75" customHeight="1" x14ac:dyDescent="0.2">
      <c r="A778" s="41"/>
      <c r="B778" s="41"/>
      <c r="C778" s="41"/>
      <c r="D778" s="72"/>
      <c r="E778" s="41"/>
      <c r="F778" s="41"/>
      <c r="G778" s="41"/>
      <c r="H778" s="41"/>
      <c r="I778" s="41"/>
      <c r="J778" s="41"/>
      <c r="K778" s="41"/>
      <c r="L778" s="41"/>
      <c r="M778" s="41"/>
      <c r="N778" s="41"/>
      <c r="O778" s="41"/>
      <c r="P778" s="41"/>
      <c r="Q778" s="41"/>
      <c r="R778" s="41"/>
      <c r="S778" s="41"/>
      <c r="T778" s="41"/>
      <c r="U778" s="41"/>
      <c r="V778" s="41"/>
      <c r="W778" s="41"/>
      <c r="X778" s="41"/>
      <c r="Y778" s="41"/>
      <c r="Z778" s="41"/>
      <c r="AA778" s="41"/>
      <c r="AB778" s="41"/>
      <c r="AC778" s="41"/>
      <c r="AD778" s="41"/>
      <c r="AE778" s="41"/>
      <c r="AF778" s="41"/>
      <c r="AG778" s="41"/>
      <c r="AH778" s="41"/>
      <c r="AI778" s="41"/>
    </row>
    <row r="779" spans="1:35" ht="15.75" customHeight="1" x14ac:dyDescent="0.2">
      <c r="A779" s="41"/>
      <c r="B779" s="41"/>
      <c r="C779" s="41"/>
      <c r="D779" s="72"/>
      <c r="E779" s="41"/>
      <c r="F779" s="41"/>
      <c r="G779" s="41"/>
      <c r="H779" s="41"/>
      <c r="I779" s="41"/>
      <c r="J779" s="41"/>
      <c r="K779" s="41"/>
      <c r="L779" s="41"/>
      <c r="M779" s="41"/>
      <c r="N779" s="41"/>
      <c r="O779" s="41"/>
      <c r="P779" s="41"/>
      <c r="Q779" s="41"/>
      <c r="R779" s="41"/>
      <c r="S779" s="41"/>
      <c r="T779" s="41"/>
      <c r="U779" s="41"/>
      <c r="V779" s="41"/>
      <c r="W779" s="41"/>
      <c r="X779" s="41"/>
      <c r="Y779" s="41"/>
      <c r="Z779" s="41"/>
      <c r="AA779" s="41"/>
      <c r="AB779" s="41"/>
      <c r="AC779" s="41"/>
      <c r="AD779" s="41"/>
      <c r="AE779" s="41"/>
      <c r="AF779" s="41"/>
      <c r="AG779" s="41"/>
      <c r="AH779" s="41"/>
      <c r="AI779" s="41"/>
    </row>
    <row r="780" spans="1:35" ht="15.75" customHeight="1" x14ac:dyDescent="0.2">
      <c r="A780" s="41"/>
      <c r="B780" s="41"/>
      <c r="C780" s="41"/>
      <c r="D780" s="72"/>
      <c r="E780" s="41"/>
      <c r="F780" s="41"/>
      <c r="G780" s="41"/>
      <c r="H780" s="41"/>
      <c r="I780" s="41"/>
      <c r="J780" s="41"/>
      <c r="K780" s="41"/>
      <c r="L780" s="41"/>
      <c r="M780" s="41"/>
      <c r="N780" s="41"/>
      <c r="O780" s="41"/>
      <c r="P780" s="41"/>
      <c r="Q780" s="41"/>
      <c r="R780" s="41"/>
      <c r="S780" s="41"/>
      <c r="T780" s="41"/>
      <c r="U780" s="41"/>
      <c r="V780" s="41"/>
      <c r="W780" s="41"/>
      <c r="X780" s="41"/>
      <c r="Y780" s="41"/>
      <c r="Z780" s="41"/>
      <c r="AA780" s="41"/>
      <c r="AB780" s="41"/>
      <c r="AC780" s="41"/>
      <c r="AD780" s="41"/>
      <c r="AE780" s="41"/>
      <c r="AF780" s="41"/>
      <c r="AG780" s="41"/>
      <c r="AH780" s="41"/>
      <c r="AI780" s="41"/>
    </row>
    <row r="781" spans="1:35" ht="15.75" customHeight="1" x14ac:dyDescent="0.2">
      <c r="A781" s="41"/>
      <c r="B781" s="41"/>
      <c r="C781" s="41"/>
      <c r="D781" s="72"/>
      <c r="E781" s="41"/>
      <c r="F781" s="41"/>
      <c r="G781" s="41"/>
      <c r="H781" s="41"/>
      <c r="I781" s="41"/>
      <c r="J781" s="41"/>
      <c r="K781" s="41"/>
      <c r="L781" s="41"/>
      <c r="M781" s="41"/>
      <c r="N781" s="41"/>
      <c r="O781" s="41"/>
      <c r="P781" s="41"/>
      <c r="Q781" s="41"/>
      <c r="R781" s="41"/>
      <c r="S781" s="41"/>
      <c r="T781" s="41"/>
      <c r="U781" s="41"/>
      <c r="V781" s="41"/>
      <c r="W781" s="41"/>
      <c r="X781" s="41"/>
      <c r="Y781" s="41"/>
      <c r="Z781" s="41"/>
      <c r="AA781" s="41"/>
      <c r="AB781" s="41"/>
      <c r="AC781" s="41"/>
      <c r="AD781" s="41"/>
      <c r="AE781" s="41"/>
      <c r="AF781" s="41"/>
      <c r="AG781" s="41"/>
      <c r="AH781" s="41"/>
      <c r="AI781" s="41"/>
    </row>
    <row r="782" spans="1:35" ht="15.75" customHeight="1" x14ac:dyDescent="0.2">
      <c r="A782" s="41"/>
      <c r="B782" s="41"/>
      <c r="C782" s="41"/>
      <c r="D782" s="72"/>
      <c r="E782" s="41"/>
      <c r="F782" s="41"/>
      <c r="G782" s="41"/>
      <c r="H782" s="41"/>
      <c r="I782" s="41"/>
      <c r="J782" s="41"/>
      <c r="K782" s="41"/>
      <c r="L782" s="41"/>
      <c r="M782" s="41"/>
      <c r="N782" s="41"/>
      <c r="O782" s="41"/>
      <c r="P782" s="41"/>
      <c r="Q782" s="41"/>
      <c r="R782" s="41"/>
      <c r="S782" s="41"/>
      <c r="T782" s="41"/>
      <c r="U782" s="41"/>
      <c r="V782" s="41"/>
      <c r="W782" s="41"/>
      <c r="X782" s="41"/>
      <c r="Y782" s="41"/>
      <c r="Z782" s="41"/>
      <c r="AA782" s="41"/>
      <c r="AB782" s="41"/>
      <c r="AC782" s="41"/>
      <c r="AD782" s="41"/>
      <c r="AE782" s="41"/>
      <c r="AF782" s="41"/>
      <c r="AG782" s="41"/>
      <c r="AH782" s="41"/>
      <c r="AI782" s="41"/>
    </row>
    <row r="783" spans="1:35" ht="15.75" customHeight="1" x14ac:dyDescent="0.2">
      <c r="A783" s="41"/>
      <c r="B783" s="41"/>
      <c r="C783" s="41"/>
      <c r="D783" s="72"/>
      <c r="E783" s="41"/>
      <c r="F783" s="41"/>
      <c r="G783" s="41"/>
      <c r="H783" s="41"/>
      <c r="I783" s="41"/>
      <c r="J783" s="41"/>
      <c r="K783" s="41"/>
      <c r="L783" s="41"/>
      <c r="M783" s="41"/>
      <c r="N783" s="41"/>
      <c r="O783" s="41"/>
      <c r="P783" s="41"/>
      <c r="Q783" s="41"/>
      <c r="R783" s="41"/>
      <c r="S783" s="41"/>
      <c r="T783" s="41"/>
      <c r="U783" s="41"/>
      <c r="V783" s="41"/>
      <c r="W783" s="41"/>
      <c r="X783" s="41"/>
      <c r="Y783" s="41"/>
      <c r="Z783" s="41"/>
      <c r="AA783" s="41"/>
      <c r="AB783" s="41"/>
      <c r="AC783" s="41"/>
      <c r="AD783" s="41"/>
      <c r="AE783" s="41"/>
      <c r="AF783" s="41"/>
      <c r="AG783" s="41"/>
      <c r="AH783" s="41"/>
      <c r="AI783" s="41"/>
    </row>
    <row r="784" spans="1:35" ht="15.75" customHeight="1" x14ac:dyDescent="0.2">
      <c r="A784" s="41"/>
      <c r="B784" s="41"/>
      <c r="C784" s="41"/>
      <c r="D784" s="72"/>
      <c r="E784" s="41"/>
      <c r="F784" s="41"/>
      <c r="G784" s="41"/>
      <c r="H784" s="41"/>
      <c r="I784" s="41"/>
      <c r="J784" s="41"/>
      <c r="K784" s="41"/>
      <c r="L784" s="41"/>
      <c r="M784" s="41"/>
      <c r="N784" s="41"/>
      <c r="O784" s="41"/>
      <c r="P784" s="41"/>
      <c r="Q784" s="41"/>
      <c r="R784" s="41"/>
      <c r="S784" s="41"/>
      <c r="T784" s="41"/>
      <c r="U784" s="41"/>
      <c r="V784" s="41"/>
      <c r="W784" s="41"/>
      <c r="X784" s="41"/>
      <c r="Y784" s="41"/>
      <c r="Z784" s="41"/>
      <c r="AA784" s="41"/>
      <c r="AB784" s="41"/>
      <c r="AC784" s="41"/>
      <c r="AD784" s="41"/>
      <c r="AE784" s="41"/>
      <c r="AF784" s="41"/>
      <c r="AG784" s="41"/>
      <c r="AH784" s="41"/>
      <c r="AI784" s="41"/>
    </row>
    <row r="785" spans="1:35" ht="15.75" customHeight="1" x14ac:dyDescent="0.2">
      <c r="A785" s="41"/>
      <c r="B785" s="41"/>
      <c r="C785" s="41"/>
      <c r="D785" s="72"/>
      <c r="E785" s="41"/>
      <c r="F785" s="41"/>
      <c r="G785" s="41"/>
      <c r="H785" s="41"/>
      <c r="I785" s="41"/>
      <c r="J785" s="41"/>
      <c r="K785" s="41"/>
      <c r="L785" s="41"/>
      <c r="M785" s="41"/>
      <c r="N785" s="41"/>
      <c r="O785" s="41"/>
      <c r="P785" s="41"/>
      <c r="Q785" s="41"/>
      <c r="R785" s="41"/>
      <c r="S785" s="41"/>
      <c r="T785" s="41"/>
      <c r="U785" s="41"/>
      <c r="V785" s="41"/>
      <c r="W785" s="41"/>
      <c r="X785" s="41"/>
      <c r="Y785" s="41"/>
      <c r="Z785" s="41"/>
      <c r="AA785" s="41"/>
      <c r="AB785" s="41"/>
      <c r="AC785" s="41"/>
      <c r="AD785" s="41"/>
      <c r="AE785" s="41"/>
      <c r="AF785" s="41"/>
      <c r="AG785" s="41"/>
      <c r="AH785" s="41"/>
      <c r="AI785" s="41"/>
    </row>
    <row r="786" spans="1:35" ht="15.75" customHeight="1" x14ac:dyDescent="0.2">
      <c r="A786" s="41"/>
      <c r="B786" s="41"/>
      <c r="C786" s="41"/>
      <c r="D786" s="72"/>
      <c r="E786" s="41"/>
      <c r="F786" s="41"/>
      <c r="G786" s="41"/>
      <c r="H786" s="41"/>
      <c r="I786" s="41"/>
      <c r="J786" s="41"/>
      <c r="K786" s="41"/>
      <c r="L786" s="41"/>
      <c r="M786" s="41"/>
      <c r="N786" s="41"/>
      <c r="O786" s="41"/>
      <c r="P786" s="41"/>
      <c r="Q786" s="41"/>
      <c r="R786" s="41"/>
      <c r="S786" s="41"/>
      <c r="T786" s="41"/>
      <c r="U786" s="41"/>
      <c r="V786" s="41"/>
      <c r="W786" s="41"/>
      <c r="X786" s="41"/>
      <c r="Y786" s="41"/>
      <c r="Z786" s="41"/>
      <c r="AA786" s="41"/>
      <c r="AB786" s="41"/>
      <c r="AC786" s="41"/>
      <c r="AD786" s="41"/>
      <c r="AE786" s="41"/>
      <c r="AF786" s="41"/>
      <c r="AG786" s="41"/>
      <c r="AH786" s="41"/>
      <c r="AI786" s="41"/>
    </row>
    <row r="787" spans="1:35" ht="15.75" customHeight="1" x14ac:dyDescent="0.2">
      <c r="A787" s="41"/>
      <c r="B787" s="41"/>
      <c r="C787" s="41"/>
      <c r="D787" s="72"/>
      <c r="E787" s="41"/>
      <c r="F787" s="41"/>
      <c r="G787" s="41"/>
      <c r="H787" s="41"/>
      <c r="I787" s="41"/>
      <c r="J787" s="41"/>
      <c r="K787" s="41"/>
      <c r="L787" s="41"/>
      <c r="M787" s="41"/>
      <c r="N787" s="41"/>
      <c r="O787" s="41"/>
      <c r="P787" s="41"/>
      <c r="Q787" s="41"/>
      <c r="R787" s="41"/>
      <c r="S787" s="41"/>
      <c r="T787" s="41"/>
      <c r="U787" s="41"/>
      <c r="V787" s="41"/>
      <c r="W787" s="41"/>
      <c r="X787" s="41"/>
      <c r="Y787" s="41"/>
      <c r="Z787" s="41"/>
      <c r="AA787" s="41"/>
      <c r="AB787" s="41"/>
      <c r="AC787" s="41"/>
      <c r="AD787" s="41"/>
      <c r="AE787" s="41"/>
      <c r="AF787" s="41"/>
      <c r="AG787" s="41"/>
      <c r="AH787" s="41"/>
      <c r="AI787" s="41"/>
    </row>
    <row r="788" spans="1:35" ht="15.75" customHeight="1" x14ac:dyDescent="0.2">
      <c r="A788" s="41"/>
      <c r="B788" s="41"/>
      <c r="C788" s="41"/>
      <c r="D788" s="72"/>
      <c r="E788" s="41"/>
      <c r="F788" s="41"/>
      <c r="G788" s="41"/>
      <c r="H788" s="41"/>
      <c r="I788" s="41"/>
      <c r="J788" s="41"/>
      <c r="K788" s="41"/>
      <c r="L788" s="41"/>
      <c r="M788" s="41"/>
      <c r="N788" s="41"/>
      <c r="O788" s="41"/>
      <c r="P788" s="41"/>
      <c r="Q788" s="41"/>
      <c r="R788" s="41"/>
      <c r="S788" s="41"/>
      <c r="T788" s="41"/>
      <c r="U788" s="41"/>
      <c r="V788" s="41"/>
      <c r="W788" s="41"/>
      <c r="X788" s="41"/>
      <c r="Y788" s="41"/>
      <c r="Z788" s="41"/>
      <c r="AA788" s="41"/>
      <c r="AB788" s="41"/>
      <c r="AC788" s="41"/>
      <c r="AD788" s="41"/>
      <c r="AE788" s="41"/>
      <c r="AF788" s="41"/>
      <c r="AG788" s="41"/>
      <c r="AH788" s="41"/>
      <c r="AI788" s="41"/>
    </row>
    <row r="789" spans="1:35" ht="15.75" customHeight="1" x14ac:dyDescent="0.2">
      <c r="A789" s="41"/>
      <c r="B789" s="41"/>
      <c r="C789" s="41"/>
      <c r="D789" s="72"/>
      <c r="E789" s="41"/>
      <c r="F789" s="41"/>
      <c r="G789" s="41"/>
      <c r="H789" s="41"/>
      <c r="I789" s="41"/>
      <c r="J789" s="41"/>
      <c r="K789" s="41"/>
      <c r="L789" s="41"/>
      <c r="M789" s="41"/>
      <c r="N789" s="41"/>
      <c r="O789" s="41"/>
      <c r="P789" s="41"/>
      <c r="Q789" s="41"/>
      <c r="R789" s="41"/>
      <c r="S789" s="41"/>
      <c r="T789" s="41"/>
      <c r="U789" s="41"/>
      <c r="V789" s="41"/>
      <c r="W789" s="41"/>
      <c r="X789" s="41"/>
      <c r="Y789" s="41"/>
      <c r="Z789" s="41"/>
      <c r="AA789" s="41"/>
      <c r="AB789" s="41"/>
      <c r="AC789" s="41"/>
      <c r="AD789" s="41"/>
      <c r="AE789" s="41"/>
      <c r="AF789" s="41"/>
      <c r="AG789" s="41"/>
      <c r="AH789" s="41"/>
      <c r="AI789" s="41"/>
    </row>
    <row r="790" spans="1:35" ht="15.75" customHeight="1" x14ac:dyDescent="0.2">
      <c r="A790" s="41"/>
      <c r="B790" s="41"/>
      <c r="C790" s="41"/>
      <c r="D790" s="72"/>
      <c r="E790" s="41"/>
      <c r="F790" s="41"/>
      <c r="G790" s="41"/>
      <c r="H790" s="41"/>
      <c r="I790" s="41"/>
      <c r="J790" s="41"/>
      <c r="K790" s="41"/>
      <c r="L790" s="41"/>
      <c r="M790" s="41"/>
      <c r="N790" s="41"/>
      <c r="O790" s="41"/>
      <c r="P790" s="41"/>
      <c r="Q790" s="41"/>
      <c r="R790" s="41"/>
      <c r="S790" s="41"/>
      <c r="T790" s="41"/>
      <c r="U790" s="41"/>
      <c r="V790" s="41"/>
      <c r="W790" s="41"/>
      <c r="X790" s="41"/>
      <c r="Y790" s="41"/>
      <c r="Z790" s="41"/>
      <c r="AA790" s="41"/>
      <c r="AB790" s="41"/>
      <c r="AC790" s="41"/>
      <c r="AD790" s="41"/>
      <c r="AE790" s="41"/>
      <c r="AF790" s="41"/>
      <c r="AG790" s="41"/>
      <c r="AH790" s="41"/>
      <c r="AI790" s="41"/>
    </row>
    <row r="791" spans="1:35" ht="15.75" customHeight="1" x14ac:dyDescent="0.2">
      <c r="A791" s="41"/>
      <c r="B791" s="41"/>
      <c r="C791" s="41"/>
      <c r="D791" s="72"/>
      <c r="E791" s="41"/>
      <c r="F791" s="41"/>
      <c r="G791" s="41"/>
      <c r="H791" s="41"/>
      <c r="I791" s="41"/>
      <c r="J791" s="41"/>
      <c r="K791" s="41"/>
      <c r="L791" s="41"/>
      <c r="M791" s="41"/>
      <c r="N791" s="41"/>
      <c r="O791" s="41"/>
      <c r="P791" s="41"/>
      <c r="Q791" s="41"/>
      <c r="R791" s="41"/>
      <c r="S791" s="41"/>
      <c r="T791" s="41"/>
      <c r="U791" s="41"/>
      <c r="V791" s="41"/>
      <c r="W791" s="41"/>
      <c r="X791" s="41"/>
      <c r="Y791" s="41"/>
      <c r="Z791" s="41"/>
      <c r="AA791" s="41"/>
      <c r="AB791" s="41"/>
      <c r="AC791" s="41"/>
      <c r="AD791" s="41"/>
      <c r="AE791" s="41"/>
      <c r="AF791" s="41"/>
      <c r="AG791" s="41"/>
      <c r="AH791" s="41"/>
      <c r="AI791" s="41"/>
    </row>
    <row r="792" spans="1:35" ht="15.75" customHeight="1" x14ac:dyDescent="0.2">
      <c r="A792" s="41"/>
      <c r="B792" s="41"/>
      <c r="C792" s="41"/>
      <c r="D792" s="72"/>
      <c r="E792" s="41"/>
      <c r="F792" s="41"/>
      <c r="G792" s="41"/>
      <c r="H792" s="41"/>
      <c r="I792" s="41"/>
      <c r="J792" s="41"/>
      <c r="K792" s="41"/>
      <c r="L792" s="41"/>
      <c r="M792" s="41"/>
      <c r="N792" s="41"/>
      <c r="O792" s="41"/>
      <c r="P792" s="41"/>
      <c r="Q792" s="41"/>
      <c r="R792" s="41"/>
      <c r="S792" s="41"/>
      <c r="T792" s="41"/>
      <c r="U792" s="41"/>
      <c r="V792" s="41"/>
      <c r="W792" s="41"/>
      <c r="X792" s="41"/>
      <c r="Y792" s="41"/>
      <c r="Z792" s="41"/>
      <c r="AA792" s="41"/>
      <c r="AB792" s="41"/>
      <c r="AC792" s="41"/>
      <c r="AD792" s="41"/>
      <c r="AE792" s="41"/>
      <c r="AF792" s="41"/>
      <c r="AG792" s="41"/>
      <c r="AH792" s="41"/>
      <c r="AI792" s="41"/>
    </row>
    <row r="793" spans="1:35" ht="15.75" customHeight="1" x14ac:dyDescent="0.2">
      <c r="A793" s="41"/>
      <c r="B793" s="41"/>
      <c r="C793" s="41"/>
      <c r="D793" s="72"/>
      <c r="E793" s="41"/>
      <c r="F793" s="41"/>
      <c r="G793" s="41"/>
      <c r="H793" s="41"/>
      <c r="I793" s="41"/>
      <c r="J793" s="41"/>
      <c r="K793" s="41"/>
      <c r="L793" s="41"/>
      <c r="M793" s="41"/>
      <c r="N793" s="41"/>
      <c r="O793" s="41"/>
      <c r="P793" s="41"/>
      <c r="Q793" s="41"/>
      <c r="R793" s="41"/>
      <c r="S793" s="41"/>
      <c r="T793" s="41"/>
      <c r="U793" s="41"/>
      <c r="V793" s="41"/>
      <c r="W793" s="41"/>
      <c r="X793" s="41"/>
      <c r="Y793" s="41"/>
      <c r="Z793" s="41"/>
      <c r="AA793" s="41"/>
      <c r="AB793" s="41"/>
      <c r="AC793" s="41"/>
      <c r="AD793" s="41"/>
      <c r="AE793" s="41"/>
      <c r="AF793" s="41"/>
      <c r="AG793" s="41"/>
      <c r="AH793" s="41"/>
      <c r="AI793" s="41"/>
    </row>
    <row r="794" spans="1:35" ht="15.75" customHeight="1" x14ac:dyDescent="0.2">
      <c r="A794" s="41"/>
      <c r="B794" s="41"/>
      <c r="C794" s="41"/>
      <c r="D794" s="72"/>
      <c r="E794" s="41"/>
      <c r="F794" s="41"/>
      <c r="G794" s="41"/>
      <c r="H794" s="41"/>
      <c r="I794" s="41"/>
      <c r="J794" s="41"/>
      <c r="K794" s="41"/>
      <c r="L794" s="41"/>
      <c r="M794" s="41"/>
      <c r="N794" s="41"/>
      <c r="O794" s="41"/>
      <c r="P794" s="41"/>
      <c r="Q794" s="41"/>
      <c r="R794" s="41"/>
      <c r="S794" s="41"/>
      <c r="T794" s="41"/>
      <c r="U794" s="41"/>
      <c r="V794" s="41"/>
      <c r="W794" s="41"/>
      <c r="X794" s="41"/>
      <c r="Y794" s="41"/>
      <c r="Z794" s="41"/>
      <c r="AA794" s="41"/>
      <c r="AB794" s="41"/>
      <c r="AC794" s="41"/>
      <c r="AD794" s="41"/>
      <c r="AE794" s="41"/>
      <c r="AF794" s="41"/>
      <c r="AG794" s="41"/>
      <c r="AH794" s="41"/>
      <c r="AI794" s="41"/>
    </row>
    <row r="795" spans="1:35" ht="15.75" customHeight="1" x14ac:dyDescent="0.2">
      <c r="A795" s="41"/>
      <c r="B795" s="41"/>
      <c r="C795" s="41"/>
      <c r="D795" s="72"/>
      <c r="E795" s="41"/>
      <c r="F795" s="41"/>
      <c r="G795" s="41"/>
      <c r="H795" s="41"/>
      <c r="I795" s="41"/>
      <c r="J795" s="41"/>
      <c r="K795" s="41"/>
      <c r="L795" s="41"/>
      <c r="M795" s="41"/>
      <c r="N795" s="41"/>
      <c r="O795" s="41"/>
      <c r="P795" s="41"/>
      <c r="Q795" s="41"/>
      <c r="R795" s="41"/>
      <c r="S795" s="41"/>
      <c r="T795" s="41"/>
      <c r="U795" s="41"/>
      <c r="V795" s="41"/>
      <c r="W795" s="41"/>
      <c r="X795" s="41"/>
      <c r="Y795" s="41"/>
      <c r="Z795" s="41"/>
      <c r="AA795" s="41"/>
      <c r="AB795" s="41"/>
      <c r="AC795" s="41"/>
      <c r="AD795" s="41"/>
      <c r="AE795" s="41"/>
      <c r="AF795" s="41"/>
      <c r="AG795" s="41"/>
      <c r="AH795" s="41"/>
      <c r="AI795" s="41"/>
    </row>
    <row r="796" spans="1:35" ht="15.75" customHeight="1" x14ac:dyDescent="0.2">
      <c r="A796" s="41"/>
      <c r="B796" s="41"/>
      <c r="C796" s="41"/>
      <c r="D796" s="72"/>
      <c r="E796" s="41"/>
      <c r="F796" s="41"/>
      <c r="G796" s="41"/>
      <c r="H796" s="41"/>
      <c r="I796" s="41"/>
      <c r="J796" s="41"/>
      <c r="K796" s="41"/>
      <c r="L796" s="41"/>
      <c r="M796" s="41"/>
      <c r="N796" s="41"/>
      <c r="O796" s="41"/>
      <c r="P796" s="41"/>
      <c r="Q796" s="41"/>
      <c r="R796" s="41"/>
      <c r="S796" s="41"/>
      <c r="T796" s="41"/>
      <c r="U796" s="41"/>
      <c r="V796" s="41"/>
      <c r="W796" s="41"/>
      <c r="X796" s="41"/>
      <c r="Y796" s="41"/>
      <c r="Z796" s="41"/>
      <c r="AA796" s="41"/>
      <c r="AB796" s="41"/>
      <c r="AC796" s="41"/>
      <c r="AD796" s="41"/>
      <c r="AE796" s="41"/>
      <c r="AF796" s="41"/>
      <c r="AG796" s="41"/>
      <c r="AH796" s="41"/>
      <c r="AI796" s="41"/>
    </row>
    <row r="797" spans="1:35" ht="15.75" customHeight="1" x14ac:dyDescent="0.2">
      <c r="A797" s="41"/>
      <c r="B797" s="41"/>
      <c r="C797" s="41"/>
      <c r="D797" s="72"/>
      <c r="E797" s="41"/>
      <c r="F797" s="41"/>
      <c r="G797" s="41"/>
      <c r="H797" s="41"/>
      <c r="I797" s="41"/>
      <c r="J797" s="41"/>
      <c r="K797" s="41"/>
      <c r="L797" s="41"/>
      <c r="M797" s="41"/>
      <c r="N797" s="41"/>
      <c r="O797" s="41"/>
      <c r="P797" s="41"/>
      <c r="Q797" s="41"/>
      <c r="R797" s="41"/>
      <c r="S797" s="41"/>
      <c r="T797" s="41"/>
      <c r="U797" s="41"/>
      <c r="V797" s="41"/>
      <c r="W797" s="41"/>
      <c r="X797" s="41"/>
      <c r="Y797" s="41"/>
      <c r="Z797" s="41"/>
      <c r="AA797" s="41"/>
      <c r="AB797" s="41"/>
      <c r="AC797" s="41"/>
      <c r="AD797" s="41"/>
      <c r="AE797" s="41"/>
      <c r="AF797" s="41"/>
      <c r="AG797" s="41"/>
      <c r="AH797" s="41"/>
      <c r="AI797" s="41"/>
    </row>
    <row r="798" spans="1:35" ht="15.75" customHeight="1" x14ac:dyDescent="0.2">
      <c r="A798" s="41"/>
      <c r="B798" s="41"/>
      <c r="C798" s="41"/>
      <c r="D798" s="72"/>
      <c r="E798" s="41"/>
      <c r="F798" s="41"/>
      <c r="G798" s="41"/>
      <c r="H798" s="41"/>
      <c r="I798" s="41"/>
      <c r="J798" s="41"/>
      <c r="K798" s="41"/>
      <c r="L798" s="41"/>
      <c r="M798" s="41"/>
      <c r="N798" s="41"/>
      <c r="O798" s="41"/>
      <c r="P798" s="41"/>
      <c r="Q798" s="41"/>
      <c r="R798" s="41"/>
      <c r="S798" s="41"/>
      <c r="T798" s="41"/>
      <c r="U798" s="41"/>
      <c r="V798" s="41"/>
      <c r="W798" s="41"/>
      <c r="X798" s="41"/>
      <c r="Y798" s="41"/>
      <c r="Z798" s="41"/>
      <c r="AA798" s="41"/>
      <c r="AB798" s="41"/>
      <c r="AC798" s="41"/>
      <c r="AD798" s="41"/>
      <c r="AE798" s="41"/>
      <c r="AF798" s="41"/>
      <c r="AG798" s="41"/>
      <c r="AH798" s="41"/>
      <c r="AI798" s="41"/>
    </row>
    <row r="799" spans="1:35" ht="15.75" customHeight="1" x14ac:dyDescent="0.2">
      <c r="A799" s="41"/>
      <c r="B799" s="41"/>
      <c r="C799" s="41"/>
      <c r="D799" s="72"/>
      <c r="E799" s="41"/>
      <c r="F799" s="41"/>
      <c r="G799" s="41"/>
      <c r="H799" s="41"/>
      <c r="I799" s="41"/>
      <c r="J799" s="41"/>
      <c r="K799" s="41"/>
      <c r="L799" s="41"/>
      <c r="M799" s="41"/>
      <c r="N799" s="41"/>
      <c r="O799" s="41"/>
      <c r="P799" s="41"/>
      <c r="Q799" s="41"/>
      <c r="R799" s="41"/>
      <c r="S799" s="41"/>
      <c r="T799" s="41"/>
      <c r="U799" s="41"/>
      <c r="V799" s="41"/>
      <c r="W799" s="41"/>
      <c r="X799" s="41"/>
      <c r="Y799" s="41"/>
      <c r="Z799" s="41"/>
      <c r="AA799" s="41"/>
      <c r="AB799" s="41"/>
      <c r="AC799" s="41"/>
      <c r="AD799" s="41"/>
      <c r="AE799" s="41"/>
      <c r="AF799" s="41"/>
      <c r="AG799" s="41"/>
      <c r="AH799" s="41"/>
      <c r="AI799" s="41"/>
    </row>
    <row r="800" spans="1:35" ht="15.75" customHeight="1" x14ac:dyDescent="0.2">
      <c r="A800" s="41"/>
      <c r="B800" s="41"/>
      <c r="C800" s="41"/>
      <c r="D800" s="72"/>
      <c r="E800" s="41"/>
      <c r="F800" s="41"/>
      <c r="G800" s="41"/>
      <c r="H800" s="41"/>
      <c r="I800" s="41"/>
      <c r="J800" s="41"/>
      <c r="K800" s="41"/>
      <c r="L800" s="41"/>
      <c r="M800" s="41"/>
      <c r="N800" s="41"/>
      <c r="O800" s="41"/>
      <c r="P800" s="41"/>
      <c r="Q800" s="41"/>
      <c r="R800" s="41"/>
      <c r="S800" s="41"/>
      <c r="T800" s="41"/>
      <c r="U800" s="41"/>
      <c r="V800" s="41"/>
      <c r="W800" s="41"/>
      <c r="X800" s="41"/>
      <c r="Y800" s="41"/>
      <c r="Z800" s="41"/>
      <c r="AA800" s="41"/>
      <c r="AB800" s="41"/>
      <c r="AC800" s="41"/>
      <c r="AD800" s="41"/>
      <c r="AE800" s="41"/>
      <c r="AF800" s="41"/>
      <c r="AG800" s="41"/>
      <c r="AH800" s="41"/>
      <c r="AI800" s="41"/>
    </row>
    <row r="801" spans="1:35" ht="15.75" customHeight="1" x14ac:dyDescent="0.2">
      <c r="A801" s="41"/>
      <c r="B801" s="41"/>
      <c r="C801" s="41"/>
      <c r="D801" s="72"/>
      <c r="E801" s="41"/>
      <c r="F801" s="41"/>
      <c r="G801" s="41"/>
      <c r="H801" s="41"/>
      <c r="I801" s="41"/>
      <c r="J801" s="41"/>
      <c r="K801" s="41"/>
      <c r="L801" s="41"/>
      <c r="M801" s="41"/>
      <c r="N801" s="41"/>
      <c r="O801" s="41"/>
      <c r="P801" s="41"/>
      <c r="Q801" s="41"/>
      <c r="R801" s="41"/>
      <c r="S801" s="41"/>
      <c r="T801" s="41"/>
      <c r="U801" s="41"/>
      <c r="V801" s="41"/>
      <c r="W801" s="41"/>
      <c r="X801" s="41"/>
      <c r="Y801" s="41"/>
      <c r="Z801" s="41"/>
      <c r="AA801" s="41"/>
      <c r="AB801" s="41"/>
      <c r="AC801" s="41"/>
      <c r="AD801" s="41"/>
      <c r="AE801" s="41"/>
      <c r="AF801" s="41"/>
      <c r="AG801" s="41"/>
      <c r="AH801" s="41"/>
      <c r="AI801" s="41"/>
    </row>
    <row r="802" spans="1:35" ht="15.75" customHeight="1" x14ac:dyDescent="0.2">
      <c r="A802" s="41"/>
      <c r="B802" s="41"/>
      <c r="C802" s="41"/>
      <c r="D802" s="72"/>
      <c r="E802" s="41"/>
      <c r="F802" s="41"/>
      <c r="G802" s="41"/>
      <c r="H802" s="41"/>
      <c r="I802" s="41"/>
      <c r="J802" s="41"/>
      <c r="K802" s="41"/>
      <c r="L802" s="41"/>
      <c r="M802" s="41"/>
      <c r="N802" s="41"/>
      <c r="O802" s="41"/>
      <c r="P802" s="41"/>
      <c r="Q802" s="41"/>
      <c r="R802" s="41"/>
      <c r="S802" s="41"/>
      <c r="T802" s="41"/>
      <c r="U802" s="41"/>
      <c r="V802" s="41"/>
      <c r="W802" s="41"/>
      <c r="X802" s="41"/>
      <c r="Y802" s="41"/>
      <c r="Z802" s="41"/>
      <c r="AA802" s="41"/>
      <c r="AB802" s="41"/>
      <c r="AC802" s="41"/>
      <c r="AD802" s="41"/>
      <c r="AE802" s="41"/>
      <c r="AF802" s="41"/>
      <c r="AG802" s="41"/>
      <c r="AH802" s="41"/>
      <c r="AI802" s="41"/>
    </row>
    <row r="803" spans="1:35" ht="15.75" customHeight="1" x14ac:dyDescent="0.2">
      <c r="A803" s="41"/>
      <c r="B803" s="41"/>
      <c r="C803" s="41"/>
      <c r="D803" s="72"/>
      <c r="E803" s="41"/>
      <c r="F803" s="41"/>
      <c r="G803" s="41"/>
      <c r="H803" s="41"/>
      <c r="I803" s="41"/>
      <c r="J803" s="41"/>
      <c r="K803" s="41"/>
      <c r="L803" s="41"/>
      <c r="M803" s="41"/>
      <c r="N803" s="41"/>
      <c r="O803" s="41"/>
      <c r="P803" s="41"/>
      <c r="Q803" s="41"/>
      <c r="R803" s="41"/>
      <c r="S803" s="41"/>
      <c r="T803" s="41"/>
      <c r="U803" s="41"/>
      <c r="V803" s="41"/>
      <c r="W803" s="41"/>
      <c r="X803" s="41"/>
      <c r="Y803" s="41"/>
      <c r="Z803" s="41"/>
      <c r="AA803" s="41"/>
      <c r="AB803" s="41"/>
      <c r="AC803" s="41"/>
      <c r="AD803" s="41"/>
      <c r="AE803" s="41"/>
      <c r="AF803" s="41"/>
      <c r="AG803" s="41"/>
      <c r="AH803" s="41"/>
      <c r="AI803" s="41"/>
    </row>
    <row r="804" spans="1:35" ht="15.75" customHeight="1" x14ac:dyDescent="0.2">
      <c r="A804" s="41"/>
      <c r="B804" s="41"/>
      <c r="C804" s="41"/>
      <c r="D804" s="72"/>
      <c r="E804" s="41"/>
      <c r="F804" s="41"/>
      <c r="G804" s="41"/>
      <c r="H804" s="41"/>
      <c r="I804" s="41"/>
      <c r="J804" s="41"/>
      <c r="K804" s="41"/>
      <c r="L804" s="41"/>
      <c r="M804" s="41"/>
      <c r="N804" s="41"/>
      <c r="O804" s="41"/>
      <c r="P804" s="41"/>
      <c r="Q804" s="41"/>
      <c r="R804" s="41"/>
      <c r="S804" s="41"/>
      <c r="T804" s="41"/>
      <c r="U804" s="41"/>
      <c r="V804" s="41"/>
      <c r="W804" s="41"/>
      <c r="X804" s="41"/>
      <c r="Y804" s="41"/>
      <c r="Z804" s="41"/>
      <c r="AA804" s="41"/>
      <c r="AB804" s="41"/>
      <c r="AC804" s="41"/>
      <c r="AD804" s="41"/>
      <c r="AE804" s="41"/>
      <c r="AF804" s="41"/>
      <c r="AG804" s="41"/>
      <c r="AH804" s="41"/>
      <c r="AI804" s="41"/>
    </row>
    <row r="805" spans="1:35" ht="15.75" customHeight="1" x14ac:dyDescent="0.2">
      <c r="A805" s="41"/>
      <c r="B805" s="41"/>
      <c r="C805" s="41"/>
      <c r="D805" s="72"/>
      <c r="E805" s="41"/>
      <c r="F805" s="41"/>
      <c r="G805" s="41"/>
      <c r="H805" s="41"/>
      <c r="I805" s="41"/>
      <c r="J805" s="41"/>
      <c r="K805" s="41"/>
      <c r="L805" s="41"/>
      <c r="M805" s="41"/>
      <c r="N805" s="41"/>
      <c r="O805" s="41"/>
      <c r="P805" s="41"/>
      <c r="Q805" s="41"/>
      <c r="R805" s="41"/>
      <c r="S805" s="41"/>
      <c r="T805" s="41"/>
      <c r="U805" s="41"/>
      <c r="V805" s="41"/>
      <c r="W805" s="41"/>
      <c r="X805" s="41"/>
      <c r="Y805" s="41"/>
      <c r="Z805" s="41"/>
      <c r="AA805" s="41"/>
      <c r="AB805" s="41"/>
      <c r="AC805" s="41"/>
      <c r="AD805" s="41"/>
      <c r="AE805" s="41"/>
      <c r="AF805" s="41"/>
      <c r="AG805" s="41"/>
      <c r="AH805" s="41"/>
      <c r="AI805" s="41"/>
    </row>
    <row r="806" spans="1:35" ht="15.75" customHeight="1" x14ac:dyDescent="0.2">
      <c r="A806" s="41"/>
      <c r="B806" s="41"/>
      <c r="C806" s="41"/>
      <c r="D806" s="72"/>
      <c r="E806" s="41"/>
      <c r="F806" s="41"/>
      <c r="G806" s="41"/>
      <c r="H806" s="41"/>
      <c r="I806" s="41"/>
      <c r="J806" s="41"/>
      <c r="K806" s="41"/>
      <c r="L806" s="41"/>
      <c r="M806" s="41"/>
      <c r="N806" s="41"/>
      <c r="O806" s="41"/>
      <c r="P806" s="41"/>
      <c r="Q806" s="41"/>
      <c r="R806" s="41"/>
      <c r="S806" s="41"/>
      <c r="T806" s="41"/>
      <c r="U806" s="41"/>
      <c r="V806" s="41"/>
      <c r="W806" s="41"/>
      <c r="X806" s="41"/>
      <c r="Y806" s="41"/>
      <c r="Z806" s="41"/>
      <c r="AA806" s="41"/>
      <c r="AB806" s="41"/>
      <c r="AC806" s="41"/>
      <c r="AD806" s="41"/>
      <c r="AE806" s="41"/>
      <c r="AF806" s="41"/>
      <c r="AG806" s="41"/>
      <c r="AH806" s="41"/>
      <c r="AI806" s="41"/>
    </row>
    <row r="807" spans="1:35" ht="15.75" customHeight="1" x14ac:dyDescent="0.2">
      <c r="A807" s="41"/>
      <c r="B807" s="41"/>
      <c r="C807" s="41"/>
      <c r="D807" s="72"/>
      <c r="E807" s="41"/>
      <c r="F807" s="41"/>
      <c r="G807" s="41"/>
      <c r="H807" s="41"/>
      <c r="I807" s="41"/>
      <c r="J807" s="41"/>
      <c r="K807" s="41"/>
      <c r="L807" s="41"/>
      <c r="M807" s="41"/>
      <c r="N807" s="41"/>
      <c r="O807" s="41"/>
      <c r="P807" s="41"/>
      <c r="Q807" s="41"/>
      <c r="R807" s="41"/>
      <c r="S807" s="41"/>
      <c r="T807" s="41"/>
      <c r="U807" s="41"/>
      <c r="V807" s="41"/>
      <c r="W807" s="41"/>
      <c r="X807" s="41"/>
      <c r="Y807" s="41"/>
      <c r="Z807" s="41"/>
      <c r="AA807" s="41"/>
      <c r="AB807" s="41"/>
      <c r="AC807" s="41"/>
      <c r="AD807" s="41"/>
      <c r="AE807" s="41"/>
      <c r="AF807" s="41"/>
      <c r="AG807" s="41"/>
      <c r="AH807" s="41"/>
      <c r="AI807" s="41"/>
    </row>
    <row r="808" spans="1:35" ht="15.75" customHeight="1" x14ac:dyDescent="0.2">
      <c r="A808" s="41"/>
      <c r="B808" s="41"/>
      <c r="C808" s="41"/>
      <c r="D808" s="72"/>
      <c r="E808" s="41"/>
      <c r="F808" s="41"/>
      <c r="G808" s="41"/>
      <c r="H808" s="41"/>
      <c r="I808" s="41"/>
      <c r="J808" s="41"/>
      <c r="K808" s="41"/>
      <c r="L808" s="41"/>
      <c r="M808" s="41"/>
      <c r="N808" s="41"/>
      <c r="O808" s="41"/>
      <c r="P808" s="41"/>
      <c r="Q808" s="41"/>
      <c r="R808" s="41"/>
      <c r="S808" s="41"/>
      <c r="T808" s="41"/>
      <c r="U808" s="41"/>
      <c r="V808" s="41"/>
      <c r="W808" s="41"/>
      <c r="X808" s="41"/>
      <c r="Y808" s="41"/>
      <c r="Z808" s="41"/>
      <c r="AA808" s="41"/>
      <c r="AB808" s="41"/>
      <c r="AC808" s="41"/>
      <c r="AD808" s="41"/>
      <c r="AE808" s="41"/>
      <c r="AF808" s="41"/>
      <c r="AG808" s="41"/>
      <c r="AH808" s="41"/>
      <c r="AI808" s="41"/>
    </row>
    <row r="809" spans="1:35" ht="15.75" customHeight="1" x14ac:dyDescent="0.2">
      <c r="A809" s="41"/>
      <c r="B809" s="41"/>
      <c r="C809" s="41"/>
      <c r="D809" s="72"/>
      <c r="E809" s="41"/>
      <c r="F809" s="41"/>
      <c r="G809" s="41"/>
      <c r="H809" s="41"/>
      <c r="I809" s="41"/>
      <c r="J809" s="41"/>
      <c r="K809" s="41"/>
      <c r="L809" s="41"/>
      <c r="M809" s="41"/>
      <c r="N809" s="41"/>
      <c r="O809" s="41"/>
      <c r="P809" s="41"/>
      <c r="Q809" s="41"/>
      <c r="R809" s="41"/>
      <c r="S809" s="41"/>
      <c r="T809" s="41"/>
      <c r="U809" s="41"/>
      <c r="V809" s="41"/>
      <c r="W809" s="41"/>
      <c r="X809" s="41"/>
      <c r="Y809" s="41"/>
      <c r="Z809" s="41"/>
      <c r="AA809" s="41"/>
      <c r="AB809" s="41"/>
      <c r="AC809" s="41"/>
      <c r="AD809" s="41"/>
      <c r="AE809" s="41"/>
      <c r="AF809" s="41"/>
      <c r="AG809" s="41"/>
      <c r="AH809" s="41"/>
      <c r="AI809" s="41"/>
    </row>
    <row r="810" spans="1:35" ht="15.75" customHeight="1" x14ac:dyDescent="0.2">
      <c r="A810" s="41"/>
      <c r="B810" s="41"/>
      <c r="C810" s="41"/>
      <c r="D810" s="72"/>
      <c r="E810" s="41"/>
      <c r="F810" s="41"/>
      <c r="G810" s="41"/>
      <c r="H810" s="41"/>
      <c r="I810" s="41"/>
      <c r="J810" s="41"/>
      <c r="K810" s="41"/>
      <c r="L810" s="41"/>
      <c r="M810" s="41"/>
      <c r="N810" s="41"/>
      <c r="O810" s="41"/>
      <c r="P810" s="41"/>
      <c r="Q810" s="41"/>
      <c r="R810" s="41"/>
      <c r="S810" s="41"/>
      <c r="T810" s="41"/>
      <c r="U810" s="41"/>
      <c r="V810" s="41"/>
      <c r="W810" s="41"/>
      <c r="X810" s="41"/>
      <c r="Y810" s="41"/>
      <c r="Z810" s="41"/>
      <c r="AA810" s="41"/>
      <c r="AB810" s="41"/>
      <c r="AC810" s="41"/>
      <c r="AD810" s="41"/>
      <c r="AE810" s="41"/>
      <c r="AF810" s="41"/>
      <c r="AG810" s="41"/>
      <c r="AH810" s="41"/>
      <c r="AI810" s="41"/>
    </row>
    <row r="811" spans="1:35" ht="15.75" customHeight="1" x14ac:dyDescent="0.2">
      <c r="A811" s="41"/>
      <c r="B811" s="41"/>
      <c r="C811" s="41"/>
      <c r="D811" s="72"/>
      <c r="E811" s="41"/>
      <c r="F811" s="41"/>
      <c r="G811" s="41"/>
      <c r="H811" s="41"/>
      <c r="I811" s="41"/>
      <c r="J811" s="41"/>
      <c r="K811" s="41"/>
      <c r="L811" s="41"/>
      <c r="M811" s="41"/>
      <c r="N811" s="41"/>
      <c r="O811" s="41"/>
      <c r="P811" s="41"/>
      <c r="Q811" s="41"/>
      <c r="R811" s="41"/>
      <c r="S811" s="41"/>
      <c r="T811" s="41"/>
      <c r="U811" s="41"/>
      <c r="V811" s="41"/>
      <c r="W811" s="41"/>
      <c r="X811" s="41"/>
      <c r="Y811" s="41"/>
      <c r="Z811" s="41"/>
      <c r="AA811" s="41"/>
      <c r="AB811" s="41"/>
      <c r="AC811" s="41"/>
      <c r="AD811" s="41"/>
      <c r="AE811" s="41"/>
      <c r="AF811" s="41"/>
      <c r="AG811" s="41"/>
      <c r="AH811" s="41"/>
      <c r="AI811" s="41"/>
    </row>
    <row r="812" spans="1:35" ht="15.75" customHeight="1" x14ac:dyDescent="0.2">
      <c r="A812" s="41"/>
      <c r="B812" s="41"/>
      <c r="C812" s="41"/>
      <c r="D812" s="72"/>
      <c r="E812" s="41"/>
      <c r="F812" s="41"/>
      <c r="G812" s="41"/>
      <c r="H812" s="41"/>
      <c r="I812" s="41"/>
      <c r="J812" s="41"/>
      <c r="K812" s="41"/>
      <c r="L812" s="41"/>
      <c r="M812" s="41"/>
      <c r="N812" s="41"/>
      <c r="O812" s="41"/>
      <c r="P812" s="41"/>
      <c r="Q812" s="41"/>
      <c r="R812" s="41"/>
      <c r="S812" s="41"/>
      <c r="T812" s="41"/>
      <c r="U812" s="41"/>
      <c r="V812" s="41"/>
      <c r="W812" s="41"/>
      <c r="X812" s="41"/>
      <c r="Y812" s="41"/>
      <c r="Z812" s="41"/>
      <c r="AA812" s="41"/>
      <c r="AB812" s="41"/>
      <c r="AC812" s="41"/>
      <c r="AD812" s="41"/>
      <c r="AE812" s="41"/>
      <c r="AF812" s="41"/>
      <c r="AG812" s="41"/>
      <c r="AH812" s="41"/>
      <c r="AI812" s="41"/>
    </row>
    <row r="813" spans="1:35" ht="15.75" customHeight="1" x14ac:dyDescent="0.2">
      <c r="A813" s="41"/>
      <c r="B813" s="41"/>
      <c r="C813" s="41"/>
      <c r="D813" s="72"/>
      <c r="E813" s="41"/>
      <c r="F813" s="41"/>
      <c r="G813" s="41"/>
      <c r="H813" s="41"/>
      <c r="I813" s="41"/>
      <c r="J813" s="41"/>
      <c r="K813" s="41"/>
      <c r="L813" s="41"/>
      <c r="M813" s="41"/>
      <c r="N813" s="41"/>
      <c r="O813" s="41"/>
      <c r="P813" s="41"/>
      <c r="Q813" s="41"/>
      <c r="R813" s="41"/>
      <c r="S813" s="41"/>
      <c r="T813" s="41"/>
      <c r="U813" s="41"/>
      <c r="V813" s="41"/>
      <c r="W813" s="41"/>
      <c r="X813" s="41"/>
      <c r="Y813" s="41"/>
      <c r="Z813" s="41"/>
      <c r="AA813" s="41"/>
      <c r="AB813" s="41"/>
      <c r="AC813" s="41"/>
      <c r="AD813" s="41"/>
      <c r="AE813" s="41"/>
      <c r="AF813" s="41"/>
      <c r="AG813" s="41"/>
      <c r="AH813" s="41"/>
      <c r="AI813" s="41"/>
    </row>
    <row r="814" spans="1:35" ht="15.75" customHeight="1" x14ac:dyDescent="0.2">
      <c r="A814" s="41"/>
      <c r="B814" s="41"/>
      <c r="C814" s="41"/>
      <c r="D814" s="72"/>
      <c r="E814" s="41"/>
      <c r="F814" s="41"/>
      <c r="G814" s="41"/>
      <c r="H814" s="41"/>
      <c r="I814" s="41"/>
      <c r="J814" s="41"/>
      <c r="K814" s="41"/>
      <c r="L814" s="41"/>
      <c r="M814" s="41"/>
      <c r="N814" s="41"/>
      <c r="O814" s="41"/>
      <c r="P814" s="41"/>
      <c r="Q814" s="41"/>
      <c r="R814" s="41"/>
      <c r="S814" s="41"/>
      <c r="T814" s="41"/>
      <c r="U814" s="41"/>
      <c r="V814" s="41"/>
      <c r="W814" s="41"/>
      <c r="X814" s="41"/>
      <c r="Y814" s="41"/>
      <c r="Z814" s="41"/>
      <c r="AA814" s="41"/>
      <c r="AB814" s="41"/>
      <c r="AC814" s="41"/>
      <c r="AD814" s="41"/>
      <c r="AE814" s="41"/>
      <c r="AF814" s="41"/>
      <c r="AG814" s="41"/>
      <c r="AH814" s="41"/>
      <c r="AI814" s="41"/>
    </row>
    <row r="815" spans="1:35" ht="15.75" customHeight="1" x14ac:dyDescent="0.2">
      <c r="A815" s="41"/>
      <c r="B815" s="41"/>
      <c r="C815" s="41"/>
      <c r="D815" s="72"/>
      <c r="E815" s="41"/>
      <c r="F815" s="41"/>
      <c r="G815" s="41"/>
      <c r="H815" s="41"/>
      <c r="I815" s="41"/>
      <c r="J815" s="41"/>
      <c r="K815" s="41"/>
      <c r="L815" s="41"/>
      <c r="M815" s="41"/>
      <c r="N815" s="41"/>
      <c r="O815" s="41"/>
      <c r="P815" s="41"/>
      <c r="Q815" s="41"/>
      <c r="R815" s="41"/>
      <c r="S815" s="41"/>
      <c r="T815" s="41"/>
      <c r="U815" s="41"/>
      <c r="V815" s="41"/>
      <c r="W815" s="41"/>
      <c r="X815" s="41"/>
      <c r="Y815" s="41"/>
      <c r="Z815" s="41"/>
      <c r="AA815" s="41"/>
      <c r="AB815" s="41"/>
      <c r="AC815" s="41"/>
      <c r="AD815" s="41"/>
      <c r="AE815" s="41"/>
      <c r="AF815" s="41"/>
      <c r="AG815" s="41"/>
      <c r="AH815" s="41"/>
      <c r="AI815" s="41"/>
    </row>
    <row r="816" spans="1:35" ht="15.75" customHeight="1" x14ac:dyDescent="0.2">
      <c r="A816" s="41"/>
      <c r="B816" s="41"/>
      <c r="C816" s="41"/>
      <c r="D816" s="72"/>
      <c r="E816" s="41"/>
      <c r="F816" s="41"/>
      <c r="G816" s="41"/>
      <c r="H816" s="41"/>
      <c r="I816" s="41"/>
      <c r="J816" s="41"/>
      <c r="K816" s="41"/>
      <c r="L816" s="41"/>
      <c r="M816" s="41"/>
      <c r="N816" s="41"/>
      <c r="O816" s="41"/>
      <c r="P816" s="41"/>
      <c r="Q816" s="41"/>
      <c r="R816" s="41"/>
      <c r="S816" s="41"/>
      <c r="T816" s="41"/>
      <c r="U816" s="41"/>
      <c r="V816" s="41"/>
      <c r="W816" s="41"/>
      <c r="X816" s="41"/>
      <c r="Y816" s="41"/>
      <c r="Z816" s="41"/>
      <c r="AA816" s="41"/>
      <c r="AB816" s="41"/>
      <c r="AC816" s="41"/>
      <c r="AD816" s="41"/>
      <c r="AE816" s="41"/>
      <c r="AF816" s="41"/>
      <c r="AG816" s="41"/>
      <c r="AH816" s="41"/>
      <c r="AI816" s="41"/>
    </row>
    <row r="817" spans="1:35" ht="15.75" customHeight="1" x14ac:dyDescent="0.2">
      <c r="A817" s="41"/>
      <c r="B817" s="41"/>
      <c r="C817" s="41"/>
      <c r="D817" s="72"/>
      <c r="E817" s="41"/>
      <c r="F817" s="41"/>
      <c r="G817" s="41"/>
      <c r="H817" s="41"/>
      <c r="I817" s="41"/>
      <c r="J817" s="41"/>
      <c r="K817" s="41"/>
      <c r="L817" s="41"/>
      <c r="M817" s="41"/>
      <c r="N817" s="41"/>
      <c r="O817" s="41"/>
      <c r="P817" s="41"/>
      <c r="Q817" s="41"/>
      <c r="R817" s="41"/>
      <c r="S817" s="41"/>
      <c r="T817" s="41"/>
      <c r="U817" s="41"/>
      <c r="V817" s="41"/>
      <c r="W817" s="41"/>
      <c r="X817" s="41"/>
      <c r="Y817" s="41"/>
      <c r="Z817" s="41"/>
      <c r="AA817" s="41"/>
      <c r="AB817" s="41"/>
      <c r="AC817" s="41"/>
      <c r="AD817" s="41"/>
      <c r="AE817" s="41"/>
      <c r="AF817" s="41"/>
      <c r="AG817" s="41"/>
      <c r="AH817" s="41"/>
      <c r="AI817" s="41"/>
    </row>
    <row r="818" spans="1:35" ht="15.75" customHeight="1" x14ac:dyDescent="0.2">
      <c r="A818" s="41"/>
      <c r="B818" s="41"/>
      <c r="C818" s="41"/>
      <c r="D818" s="72"/>
      <c r="E818" s="41"/>
      <c r="F818" s="41"/>
      <c r="G818" s="41"/>
      <c r="H818" s="41"/>
      <c r="I818" s="41"/>
      <c r="J818" s="41"/>
      <c r="K818" s="41"/>
      <c r="L818" s="41"/>
      <c r="M818" s="41"/>
      <c r="N818" s="41"/>
      <c r="O818" s="41"/>
      <c r="P818" s="41"/>
      <c r="Q818" s="41"/>
      <c r="R818" s="41"/>
      <c r="S818" s="41"/>
      <c r="T818" s="41"/>
      <c r="U818" s="41"/>
      <c r="V818" s="41"/>
      <c r="W818" s="41"/>
      <c r="X818" s="41"/>
      <c r="Y818" s="41"/>
      <c r="Z818" s="41"/>
      <c r="AA818" s="41"/>
      <c r="AB818" s="41"/>
      <c r="AC818" s="41"/>
      <c r="AD818" s="41"/>
      <c r="AE818" s="41"/>
      <c r="AF818" s="41"/>
      <c r="AG818" s="41"/>
      <c r="AH818" s="41"/>
      <c r="AI818" s="41"/>
    </row>
    <row r="819" spans="1:35" ht="15.75" customHeight="1" x14ac:dyDescent="0.2">
      <c r="A819" s="41"/>
      <c r="B819" s="41"/>
      <c r="C819" s="41"/>
      <c r="D819" s="72"/>
      <c r="E819" s="41"/>
      <c r="F819" s="41"/>
      <c r="G819" s="41"/>
      <c r="H819" s="41"/>
      <c r="I819" s="41"/>
      <c r="J819" s="41"/>
      <c r="K819" s="41"/>
      <c r="L819" s="41"/>
      <c r="M819" s="41"/>
      <c r="N819" s="41"/>
      <c r="O819" s="41"/>
      <c r="P819" s="41"/>
      <c r="Q819" s="41"/>
      <c r="R819" s="41"/>
      <c r="S819" s="41"/>
      <c r="T819" s="41"/>
      <c r="U819" s="41"/>
      <c r="V819" s="41"/>
      <c r="W819" s="41"/>
      <c r="X819" s="41"/>
      <c r="Y819" s="41"/>
      <c r="Z819" s="41"/>
      <c r="AA819" s="41"/>
      <c r="AB819" s="41"/>
      <c r="AC819" s="41"/>
      <c r="AD819" s="41"/>
      <c r="AE819" s="41"/>
      <c r="AF819" s="41"/>
      <c r="AG819" s="41"/>
      <c r="AH819" s="41"/>
      <c r="AI819" s="41"/>
    </row>
    <row r="820" spans="1:35" ht="15.75" customHeight="1" x14ac:dyDescent="0.2">
      <c r="A820" s="41"/>
      <c r="B820" s="41"/>
      <c r="C820" s="41"/>
      <c r="D820" s="72"/>
      <c r="E820" s="41"/>
      <c r="F820" s="41"/>
      <c r="G820" s="41"/>
      <c r="H820" s="41"/>
      <c r="I820" s="41"/>
      <c r="J820" s="41"/>
      <c r="K820" s="41"/>
      <c r="L820" s="41"/>
      <c r="M820" s="41"/>
      <c r="N820" s="41"/>
      <c r="O820" s="41"/>
      <c r="P820" s="41"/>
      <c r="Q820" s="41"/>
      <c r="R820" s="41"/>
      <c r="S820" s="41"/>
      <c r="T820" s="41"/>
      <c r="U820" s="41"/>
      <c r="V820" s="41"/>
      <c r="W820" s="41"/>
      <c r="X820" s="41"/>
      <c r="Y820" s="41"/>
      <c r="Z820" s="41"/>
      <c r="AA820" s="41"/>
      <c r="AB820" s="41"/>
      <c r="AC820" s="41"/>
      <c r="AD820" s="41"/>
      <c r="AE820" s="41"/>
      <c r="AF820" s="41"/>
      <c r="AG820" s="41"/>
      <c r="AH820" s="41"/>
      <c r="AI820" s="41"/>
    </row>
    <row r="821" spans="1:35" ht="15.75" customHeight="1" x14ac:dyDescent="0.2">
      <c r="A821" s="41"/>
      <c r="B821" s="41"/>
      <c r="C821" s="41"/>
      <c r="D821" s="72"/>
      <c r="E821" s="41"/>
      <c r="F821" s="41"/>
      <c r="G821" s="41"/>
      <c r="H821" s="41"/>
      <c r="I821" s="41"/>
      <c r="J821" s="41"/>
      <c r="K821" s="41"/>
      <c r="L821" s="41"/>
      <c r="M821" s="41"/>
      <c r="N821" s="41"/>
      <c r="O821" s="41"/>
      <c r="P821" s="41"/>
      <c r="Q821" s="41"/>
      <c r="R821" s="41"/>
      <c r="S821" s="41"/>
      <c r="T821" s="41"/>
      <c r="U821" s="41"/>
      <c r="V821" s="41"/>
      <c r="W821" s="41"/>
      <c r="X821" s="41"/>
      <c r="Y821" s="41"/>
      <c r="Z821" s="41"/>
      <c r="AA821" s="41"/>
      <c r="AB821" s="41"/>
      <c r="AC821" s="41"/>
      <c r="AD821" s="41"/>
      <c r="AE821" s="41"/>
      <c r="AF821" s="41"/>
      <c r="AG821" s="41"/>
      <c r="AH821" s="41"/>
      <c r="AI821" s="41"/>
    </row>
    <row r="822" spans="1:35" ht="15.75" customHeight="1" x14ac:dyDescent="0.2">
      <c r="A822" s="41"/>
      <c r="B822" s="41"/>
      <c r="C822" s="41"/>
      <c r="D822" s="72"/>
      <c r="E822" s="41"/>
      <c r="F822" s="41"/>
      <c r="G822" s="41"/>
      <c r="H822" s="41"/>
      <c r="I822" s="41"/>
      <c r="J822" s="41"/>
      <c r="K822" s="41"/>
      <c r="L822" s="41"/>
      <c r="M822" s="41"/>
      <c r="N822" s="41"/>
      <c r="O822" s="41"/>
      <c r="P822" s="41"/>
      <c r="Q822" s="41"/>
      <c r="R822" s="41"/>
      <c r="S822" s="41"/>
      <c r="T822" s="41"/>
      <c r="U822" s="41"/>
      <c r="V822" s="41"/>
      <c r="W822" s="41"/>
      <c r="X822" s="41"/>
      <c r="Y822" s="41"/>
      <c r="Z822" s="41"/>
      <c r="AA822" s="41"/>
      <c r="AB822" s="41"/>
      <c r="AC822" s="41"/>
      <c r="AD822" s="41"/>
      <c r="AE822" s="41"/>
      <c r="AF822" s="41"/>
      <c r="AG822" s="41"/>
      <c r="AH822" s="41"/>
      <c r="AI822" s="41"/>
    </row>
    <row r="823" spans="1:35" ht="15.75" customHeight="1" x14ac:dyDescent="0.2">
      <c r="A823" s="41"/>
      <c r="B823" s="41"/>
      <c r="C823" s="41"/>
      <c r="D823" s="72"/>
      <c r="E823" s="41"/>
      <c r="F823" s="41"/>
      <c r="G823" s="41"/>
      <c r="H823" s="41"/>
      <c r="I823" s="41"/>
      <c r="J823" s="41"/>
      <c r="K823" s="41"/>
      <c r="L823" s="41"/>
      <c r="M823" s="41"/>
      <c r="N823" s="41"/>
      <c r="O823" s="41"/>
      <c r="P823" s="41"/>
      <c r="Q823" s="41"/>
      <c r="R823" s="41"/>
      <c r="S823" s="41"/>
      <c r="T823" s="41"/>
      <c r="U823" s="41"/>
      <c r="V823" s="41"/>
      <c r="W823" s="41"/>
      <c r="X823" s="41"/>
      <c r="Y823" s="41"/>
      <c r="Z823" s="41"/>
      <c r="AA823" s="41"/>
      <c r="AB823" s="41"/>
      <c r="AC823" s="41"/>
      <c r="AD823" s="41"/>
      <c r="AE823" s="41"/>
      <c r="AF823" s="41"/>
      <c r="AG823" s="41"/>
      <c r="AH823" s="41"/>
      <c r="AI823" s="41"/>
    </row>
    <row r="824" spans="1:35" ht="15.75" customHeight="1" x14ac:dyDescent="0.2">
      <c r="A824" s="41"/>
      <c r="B824" s="41"/>
      <c r="C824" s="41"/>
      <c r="D824" s="72"/>
      <c r="E824" s="41"/>
      <c r="F824" s="41"/>
      <c r="G824" s="41"/>
      <c r="H824" s="41"/>
      <c r="I824" s="41"/>
      <c r="J824" s="41"/>
      <c r="K824" s="41"/>
      <c r="L824" s="41"/>
      <c r="M824" s="41"/>
      <c r="N824" s="41"/>
      <c r="O824" s="41"/>
      <c r="P824" s="41"/>
      <c r="Q824" s="41"/>
      <c r="R824" s="41"/>
      <c r="S824" s="41"/>
      <c r="T824" s="41"/>
      <c r="U824" s="41"/>
      <c r="V824" s="41"/>
      <c r="W824" s="41"/>
      <c r="X824" s="41"/>
      <c r="Y824" s="41"/>
      <c r="Z824" s="41"/>
      <c r="AA824" s="41"/>
      <c r="AB824" s="41"/>
      <c r="AC824" s="41"/>
      <c r="AD824" s="41"/>
      <c r="AE824" s="41"/>
      <c r="AF824" s="41"/>
      <c r="AG824" s="41"/>
      <c r="AH824" s="41"/>
      <c r="AI824" s="41"/>
    </row>
    <row r="825" spans="1:35" ht="15.75" customHeight="1" x14ac:dyDescent="0.2">
      <c r="A825" s="41"/>
      <c r="B825" s="41"/>
      <c r="C825" s="41"/>
      <c r="D825" s="72"/>
      <c r="E825" s="41"/>
      <c r="F825" s="41"/>
      <c r="G825" s="41"/>
      <c r="H825" s="41"/>
      <c r="I825" s="41"/>
      <c r="J825" s="41"/>
      <c r="K825" s="41"/>
      <c r="L825" s="41"/>
      <c r="M825" s="41"/>
      <c r="N825" s="41"/>
      <c r="O825" s="41"/>
      <c r="P825" s="41"/>
      <c r="Q825" s="41"/>
      <c r="R825" s="41"/>
      <c r="S825" s="41"/>
      <c r="T825" s="41"/>
      <c r="U825" s="41"/>
      <c r="V825" s="41"/>
      <c r="W825" s="41"/>
      <c r="X825" s="41"/>
      <c r="Y825" s="41"/>
      <c r="Z825" s="41"/>
      <c r="AA825" s="41"/>
      <c r="AB825" s="41"/>
      <c r="AC825" s="41"/>
      <c r="AD825" s="41"/>
      <c r="AE825" s="41"/>
      <c r="AF825" s="41"/>
      <c r="AG825" s="41"/>
      <c r="AH825" s="41"/>
      <c r="AI825" s="41"/>
    </row>
    <row r="826" spans="1:35" ht="15.75" customHeight="1" x14ac:dyDescent="0.2">
      <c r="A826" s="41"/>
      <c r="B826" s="41"/>
      <c r="C826" s="41"/>
      <c r="D826" s="72"/>
      <c r="E826" s="41"/>
      <c r="F826" s="41"/>
      <c r="G826" s="41"/>
      <c r="H826" s="41"/>
      <c r="I826" s="41"/>
      <c r="J826" s="41"/>
      <c r="K826" s="41"/>
      <c r="L826" s="41"/>
      <c r="M826" s="41"/>
      <c r="N826" s="41"/>
      <c r="O826" s="41"/>
      <c r="P826" s="41"/>
      <c r="Q826" s="41"/>
      <c r="R826" s="41"/>
      <c r="S826" s="41"/>
      <c r="T826" s="41"/>
      <c r="U826" s="41"/>
      <c r="V826" s="41"/>
      <c r="W826" s="41"/>
      <c r="X826" s="41"/>
      <c r="Y826" s="41"/>
      <c r="Z826" s="41"/>
      <c r="AA826" s="41"/>
      <c r="AB826" s="41"/>
      <c r="AC826" s="41"/>
      <c r="AD826" s="41"/>
      <c r="AE826" s="41"/>
      <c r="AF826" s="41"/>
      <c r="AG826" s="41"/>
      <c r="AH826" s="41"/>
      <c r="AI826" s="41"/>
    </row>
    <row r="827" spans="1:35" ht="15.75" customHeight="1" x14ac:dyDescent="0.2">
      <c r="A827" s="41"/>
      <c r="B827" s="41"/>
      <c r="C827" s="41"/>
      <c r="D827" s="72"/>
      <c r="E827" s="41"/>
      <c r="F827" s="41"/>
      <c r="G827" s="41"/>
      <c r="H827" s="41"/>
      <c r="I827" s="41"/>
      <c r="J827" s="41"/>
      <c r="K827" s="41"/>
      <c r="L827" s="41"/>
      <c r="M827" s="41"/>
      <c r="N827" s="41"/>
      <c r="O827" s="41"/>
      <c r="P827" s="41"/>
      <c r="Q827" s="41"/>
      <c r="R827" s="41"/>
      <c r="S827" s="41"/>
      <c r="T827" s="41"/>
      <c r="U827" s="41"/>
      <c r="V827" s="41"/>
      <c r="W827" s="41"/>
      <c r="X827" s="41"/>
      <c r="Y827" s="41"/>
      <c r="Z827" s="41"/>
      <c r="AA827" s="41"/>
      <c r="AB827" s="41"/>
      <c r="AC827" s="41"/>
      <c r="AD827" s="41"/>
      <c r="AE827" s="41"/>
      <c r="AF827" s="41"/>
      <c r="AG827" s="41"/>
      <c r="AH827" s="41"/>
      <c r="AI827" s="41"/>
    </row>
    <row r="828" spans="1:35" ht="15.75" customHeight="1" x14ac:dyDescent="0.2">
      <c r="A828" s="41"/>
      <c r="B828" s="41"/>
      <c r="C828" s="41"/>
      <c r="D828" s="72"/>
      <c r="E828" s="41"/>
      <c r="F828" s="41"/>
      <c r="G828" s="41"/>
      <c r="H828" s="41"/>
      <c r="I828" s="41"/>
      <c r="J828" s="41"/>
      <c r="K828" s="41"/>
      <c r="L828" s="41"/>
      <c r="M828" s="41"/>
      <c r="N828" s="41"/>
      <c r="O828" s="41"/>
      <c r="P828" s="41"/>
      <c r="Q828" s="41"/>
      <c r="R828" s="41"/>
      <c r="S828" s="41"/>
      <c r="T828" s="41"/>
      <c r="U828" s="41"/>
      <c r="V828" s="41"/>
      <c r="W828" s="41"/>
      <c r="X828" s="41"/>
      <c r="Y828" s="41"/>
      <c r="Z828" s="41"/>
      <c r="AA828" s="41"/>
      <c r="AB828" s="41"/>
      <c r="AC828" s="41"/>
      <c r="AD828" s="41"/>
      <c r="AE828" s="41"/>
      <c r="AF828" s="41"/>
      <c r="AG828" s="41"/>
      <c r="AH828" s="41"/>
      <c r="AI828" s="41"/>
    </row>
    <row r="829" spans="1:35" ht="15.75" customHeight="1" x14ac:dyDescent="0.2">
      <c r="A829" s="41"/>
      <c r="B829" s="41"/>
      <c r="C829" s="41"/>
      <c r="D829" s="72"/>
      <c r="E829" s="41"/>
      <c r="F829" s="41"/>
      <c r="G829" s="41"/>
      <c r="H829" s="41"/>
      <c r="I829" s="41"/>
      <c r="J829" s="41"/>
      <c r="K829" s="41"/>
      <c r="L829" s="41"/>
      <c r="M829" s="41"/>
      <c r="N829" s="41"/>
      <c r="O829" s="41"/>
      <c r="P829" s="41"/>
      <c r="Q829" s="41"/>
      <c r="R829" s="41"/>
      <c r="S829" s="41"/>
      <c r="T829" s="41"/>
      <c r="U829" s="41"/>
      <c r="V829" s="41"/>
      <c r="W829" s="41"/>
      <c r="X829" s="41"/>
      <c r="Y829" s="41"/>
      <c r="Z829" s="41"/>
      <c r="AA829" s="41"/>
      <c r="AB829" s="41"/>
      <c r="AC829" s="41"/>
      <c r="AD829" s="41"/>
      <c r="AE829" s="41"/>
      <c r="AF829" s="41"/>
      <c r="AG829" s="41"/>
      <c r="AH829" s="41"/>
      <c r="AI829" s="41"/>
    </row>
    <row r="830" spans="1:35" ht="15.75" customHeight="1" x14ac:dyDescent="0.2">
      <c r="A830" s="41"/>
      <c r="B830" s="41"/>
      <c r="C830" s="41"/>
      <c r="D830" s="72"/>
      <c r="E830" s="41"/>
      <c r="F830" s="41"/>
      <c r="G830" s="41"/>
      <c r="H830" s="41"/>
      <c r="I830" s="41"/>
      <c r="J830" s="41"/>
      <c r="K830" s="41"/>
      <c r="L830" s="41"/>
      <c r="M830" s="41"/>
      <c r="N830" s="41"/>
      <c r="O830" s="41"/>
      <c r="P830" s="41"/>
      <c r="Q830" s="41"/>
      <c r="R830" s="41"/>
      <c r="S830" s="41"/>
      <c r="T830" s="41"/>
      <c r="U830" s="41"/>
      <c r="V830" s="41"/>
      <c r="W830" s="41"/>
      <c r="X830" s="41"/>
      <c r="Y830" s="41"/>
      <c r="Z830" s="41"/>
      <c r="AA830" s="41"/>
      <c r="AB830" s="41"/>
      <c r="AC830" s="41"/>
      <c r="AD830" s="41"/>
      <c r="AE830" s="41"/>
      <c r="AF830" s="41"/>
      <c r="AG830" s="41"/>
      <c r="AH830" s="41"/>
      <c r="AI830" s="41"/>
    </row>
    <row r="831" spans="1:35" ht="15.75" customHeight="1" x14ac:dyDescent="0.2">
      <c r="A831" s="41"/>
      <c r="B831" s="41"/>
      <c r="C831" s="41"/>
      <c r="D831" s="72"/>
      <c r="E831" s="41"/>
      <c r="F831" s="41"/>
      <c r="G831" s="41"/>
      <c r="H831" s="41"/>
      <c r="I831" s="41"/>
      <c r="J831" s="41"/>
      <c r="K831" s="41"/>
      <c r="L831" s="41"/>
      <c r="M831" s="41"/>
      <c r="N831" s="41"/>
      <c r="O831" s="41"/>
      <c r="P831" s="41"/>
      <c r="Q831" s="41"/>
      <c r="R831" s="41"/>
      <c r="S831" s="41"/>
      <c r="T831" s="41"/>
      <c r="U831" s="41"/>
      <c r="V831" s="41"/>
      <c r="W831" s="41"/>
      <c r="X831" s="41"/>
      <c r="Y831" s="41"/>
      <c r="Z831" s="41"/>
      <c r="AA831" s="41"/>
      <c r="AB831" s="41"/>
      <c r="AC831" s="41"/>
      <c r="AD831" s="41"/>
      <c r="AE831" s="41"/>
      <c r="AF831" s="41"/>
      <c r="AG831" s="41"/>
      <c r="AH831" s="41"/>
      <c r="AI831" s="41"/>
    </row>
    <row r="832" spans="1:35" ht="15.75" customHeight="1" x14ac:dyDescent="0.2">
      <c r="A832" s="41"/>
      <c r="B832" s="41"/>
      <c r="C832" s="41"/>
      <c r="D832" s="72"/>
      <c r="E832" s="41"/>
      <c r="F832" s="41"/>
      <c r="G832" s="41"/>
      <c r="H832" s="41"/>
      <c r="I832" s="41"/>
      <c r="J832" s="41"/>
      <c r="K832" s="41"/>
      <c r="L832" s="41"/>
      <c r="M832" s="41"/>
      <c r="N832" s="41"/>
      <c r="O832" s="41"/>
      <c r="P832" s="41"/>
      <c r="Q832" s="41"/>
      <c r="R832" s="41"/>
      <c r="S832" s="41"/>
      <c r="T832" s="41"/>
      <c r="U832" s="41"/>
      <c r="V832" s="41"/>
      <c r="W832" s="41"/>
      <c r="X832" s="41"/>
      <c r="Y832" s="41"/>
      <c r="Z832" s="41"/>
      <c r="AA832" s="41"/>
      <c r="AB832" s="41"/>
      <c r="AC832" s="41"/>
      <c r="AD832" s="41"/>
      <c r="AE832" s="41"/>
      <c r="AF832" s="41"/>
      <c r="AG832" s="41"/>
      <c r="AH832" s="41"/>
      <c r="AI832" s="41"/>
    </row>
    <row r="833" spans="1:35" ht="15.75" customHeight="1" x14ac:dyDescent="0.2">
      <c r="A833" s="41"/>
      <c r="B833" s="41"/>
      <c r="C833" s="41"/>
      <c r="D833" s="72"/>
      <c r="E833" s="41"/>
      <c r="F833" s="41"/>
      <c r="G833" s="41"/>
      <c r="H833" s="41"/>
      <c r="I833" s="41"/>
      <c r="J833" s="41"/>
      <c r="K833" s="41"/>
      <c r="L833" s="41"/>
      <c r="M833" s="41"/>
      <c r="N833" s="41"/>
      <c r="O833" s="41"/>
      <c r="P833" s="41"/>
      <c r="Q833" s="41"/>
      <c r="R833" s="41"/>
      <c r="S833" s="41"/>
      <c r="T833" s="41"/>
      <c r="U833" s="41"/>
      <c r="V833" s="41"/>
      <c r="W833" s="41"/>
      <c r="X833" s="41"/>
      <c r="Y833" s="41"/>
      <c r="Z833" s="41"/>
      <c r="AA833" s="41"/>
      <c r="AB833" s="41"/>
      <c r="AC833" s="41"/>
      <c r="AD833" s="41"/>
      <c r="AE833" s="41"/>
      <c r="AF833" s="41"/>
      <c r="AG833" s="41"/>
      <c r="AH833" s="41"/>
      <c r="AI833" s="41"/>
    </row>
    <row r="834" spans="1:35" ht="15.75" customHeight="1" x14ac:dyDescent="0.2">
      <c r="A834" s="41"/>
      <c r="B834" s="41"/>
      <c r="C834" s="41"/>
      <c r="D834" s="72"/>
      <c r="E834" s="41"/>
      <c r="F834" s="41"/>
      <c r="G834" s="41"/>
      <c r="H834" s="41"/>
      <c r="I834" s="41"/>
      <c r="J834" s="41"/>
      <c r="K834" s="41"/>
      <c r="L834" s="41"/>
      <c r="M834" s="41"/>
      <c r="N834" s="41"/>
      <c r="O834" s="41"/>
      <c r="P834" s="41"/>
      <c r="Q834" s="41"/>
      <c r="R834" s="41"/>
      <c r="S834" s="41"/>
      <c r="T834" s="41"/>
      <c r="U834" s="41"/>
      <c r="V834" s="41"/>
      <c r="W834" s="41"/>
      <c r="X834" s="41"/>
      <c r="Y834" s="41"/>
      <c r="Z834" s="41"/>
      <c r="AA834" s="41"/>
      <c r="AB834" s="41"/>
      <c r="AC834" s="41"/>
      <c r="AD834" s="41"/>
      <c r="AE834" s="41"/>
      <c r="AF834" s="41"/>
      <c r="AG834" s="41"/>
      <c r="AH834" s="41"/>
      <c r="AI834" s="41"/>
    </row>
    <row r="835" spans="1:35" ht="15.75" customHeight="1" x14ac:dyDescent="0.2">
      <c r="A835" s="41"/>
      <c r="B835" s="41"/>
      <c r="C835" s="41"/>
      <c r="D835" s="72"/>
      <c r="E835" s="41"/>
      <c r="F835" s="41"/>
      <c r="G835" s="41"/>
      <c r="H835" s="41"/>
      <c r="I835" s="41"/>
      <c r="J835" s="41"/>
      <c r="K835" s="41"/>
      <c r="L835" s="41"/>
      <c r="M835" s="41"/>
      <c r="N835" s="41"/>
      <c r="O835" s="41"/>
      <c r="P835" s="41"/>
      <c r="Q835" s="41"/>
      <c r="R835" s="41"/>
      <c r="S835" s="41"/>
      <c r="T835" s="41"/>
      <c r="U835" s="41"/>
      <c r="V835" s="41"/>
      <c r="W835" s="41"/>
      <c r="X835" s="41"/>
      <c r="Y835" s="41"/>
      <c r="Z835" s="41"/>
      <c r="AA835" s="41"/>
      <c r="AB835" s="41"/>
      <c r="AC835" s="41"/>
      <c r="AD835" s="41"/>
      <c r="AE835" s="41"/>
      <c r="AF835" s="41"/>
      <c r="AG835" s="41"/>
      <c r="AH835" s="41"/>
      <c r="AI835" s="41"/>
    </row>
    <row r="836" spans="1:35" ht="15.75" customHeight="1" x14ac:dyDescent="0.2">
      <c r="A836" s="41"/>
      <c r="B836" s="41"/>
      <c r="C836" s="41"/>
      <c r="D836" s="72"/>
      <c r="E836" s="41"/>
      <c r="F836" s="41"/>
      <c r="G836" s="41"/>
      <c r="H836" s="41"/>
      <c r="I836" s="41"/>
      <c r="J836" s="41"/>
      <c r="K836" s="41"/>
      <c r="L836" s="41"/>
      <c r="M836" s="41"/>
      <c r="N836" s="41"/>
      <c r="O836" s="41"/>
      <c r="P836" s="41"/>
      <c r="Q836" s="41"/>
      <c r="R836" s="41"/>
      <c r="S836" s="41"/>
      <c r="T836" s="41"/>
      <c r="U836" s="41"/>
      <c r="V836" s="41"/>
      <c r="W836" s="41"/>
      <c r="X836" s="41"/>
      <c r="Y836" s="41"/>
      <c r="Z836" s="41"/>
      <c r="AA836" s="41"/>
      <c r="AB836" s="41"/>
      <c r="AC836" s="41"/>
      <c r="AD836" s="41"/>
      <c r="AE836" s="41"/>
      <c r="AF836" s="41"/>
      <c r="AG836" s="41"/>
      <c r="AH836" s="41"/>
      <c r="AI836" s="41"/>
    </row>
    <row r="837" spans="1:35" ht="15.75" customHeight="1" x14ac:dyDescent="0.2">
      <c r="A837" s="41"/>
      <c r="B837" s="41"/>
      <c r="C837" s="41"/>
      <c r="D837" s="72"/>
      <c r="E837" s="41"/>
      <c r="F837" s="41"/>
      <c r="G837" s="41"/>
      <c r="H837" s="41"/>
      <c r="I837" s="41"/>
      <c r="J837" s="41"/>
      <c r="K837" s="41"/>
      <c r="L837" s="41"/>
      <c r="M837" s="41"/>
      <c r="N837" s="41"/>
      <c r="O837" s="41"/>
      <c r="P837" s="41"/>
      <c r="Q837" s="41"/>
      <c r="R837" s="41"/>
      <c r="S837" s="41"/>
      <c r="T837" s="41"/>
      <c r="U837" s="41"/>
      <c r="V837" s="41"/>
      <c r="W837" s="41"/>
      <c r="X837" s="41"/>
      <c r="Y837" s="41"/>
      <c r="Z837" s="41"/>
      <c r="AA837" s="41"/>
      <c r="AB837" s="41"/>
      <c r="AC837" s="41"/>
      <c r="AD837" s="41"/>
      <c r="AE837" s="41"/>
      <c r="AF837" s="41"/>
      <c r="AG837" s="41"/>
      <c r="AH837" s="41"/>
      <c r="AI837" s="41"/>
    </row>
    <row r="838" spans="1:35" ht="15.75" customHeight="1" x14ac:dyDescent="0.2">
      <c r="A838" s="41"/>
      <c r="B838" s="41"/>
      <c r="C838" s="41"/>
      <c r="D838" s="72"/>
      <c r="E838" s="41"/>
      <c r="F838" s="41"/>
      <c r="G838" s="41"/>
      <c r="H838" s="41"/>
      <c r="I838" s="41"/>
      <c r="J838" s="41"/>
      <c r="K838" s="41"/>
      <c r="L838" s="41"/>
      <c r="M838" s="41"/>
      <c r="N838" s="41"/>
      <c r="O838" s="41"/>
      <c r="P838" s="41"/>
      <c r="Q838" s="41"/>
      <c r="R838" s="41"/>
      <c r="S838" s="41"/>
      <c r="T838" s="41"/>
      <c r="U838" s="41"/>
      <c r="V838" s="41"/>
      <c r="W838" s="41"/>
      <c r="X838" s="41"/>
      <c r="Y838" s="41"/>
      <c r="Z838" s="41"/>
      <c r="AA838" s="41"/>
      <c r="AB838" s="41"/>
      <c r="AC838" s="41"/>
      <c r="AD838" s="41"/>
      <c r="AE838" s="41"/>
      <c r="AF838" s="41"/>
      <c r="AG838" s="41"/>
      <c r="AH838" s="41"/>
      <c r="AI838" s="41"/>
    </row>
    <row r="839" spans="1:35" ht="15.75" customHeight="1" x14ac:dyDescent="0.2">
      <c r="A839" s="41"/>
      <c r="B839" s="41"/>
      <c r="C839" s="41"/>
      <c r="D839" s="72"/>
      <c r="E839" s="41"/>
      <c r="F839" s="41"/>
      <c r="G839" s="41"/>
      <c r="H839" s="41"/>
      <c r="I839" s="41"/>
      <c r="J839" s="41"/>
      <c r="K839" s="41"/>
      <c r="L839" s="41"/>
      <c r="M839" s="41"/>
      <c r="N839" s="41"/>
      <c r="O839" s="41"/>
      <c r="P839" s="41"/>
      <c r="Q839" s="41"/>
      <c r="R839" s="41"/>
      <c r="S839" s="41"/>
      <c r="T839" s="41"/>
      <c r="U839" s="41"/>
      <c r="V839" s="41"/>
      <c r="W839" s="41"/>
      <c r="X839" s="41"/>
      <c r="Y839" s="41"/>
      <c r="Z839" s="41"/>
      <c r="AA839" s="41"/>
      <c r="AB839" s="41"/>
      <c r="AC839" s="41"/>
      <c r="AD839" s="41"/>
      <c r="AE839" s="41"/>
      <c r="AF839" s="41"/>
      <c r="AG839" s="41"/>
      <c r="AH839" s="41"/>
      <c r="AI839" s="41"/>
    </row>
    <row r="840" spans="1:35" ht="15.75" customHeight="1" x14ac:dyDescent="0.2">
      <c r="A840" s="41"/>
      <c r="B840" s="41"/>
      <c r="C840" s="41"/>
      <c r="D840" s="72"/>
      <c r="E840" s="41"/>
      <c r="F840" s="41"/>
      <c r="G840" s="41"/>
      <c r="H840" s="41"/>
      <c r="I840" s="41"/>
      <c r="J840" s="41"/>
      <c r="K840" s="41"/>
      <c r="L840" s="41"/>
      <c r="M840" s="41"/>
      <c r="N840" s="41"/>
      <c r="O840" s="41"/>
      <c r="P840" s="41"/>
      <c r="Q840" s="41"/>
      <c r="R840" s="41"/>
      <c r="S840" s="41"/>
      <c r="T840" s="41"/>
      <c r="U840" s="41"/>
      <c r="V840" s="41"/>
      <c r="W840" s="41"/>
      <c r="X840" s="41"/>
      <c r="Y840" s="41"/>
      <c r="Z840" s="41"/>
      <c r="AA840" s="41"/>
      <c r="AB840" s="41"/>
      <c r="AC840" s="41"/>
      <c r="AD840" s="41"/>
      <c r="AE840" s="41"/>
      <c r="AF840" s="41"/>
      <c r="AG840" s="41"/>
      <c r="AH840" s="41"/>
      <c r="AI840" s="41"/>
    </row>
    <row r="841" spans="1:35" ht="15.75" customHeight="1" x14ac:dyDescent="0.2">
      <c r="A841" s="41"/>
      <c r="B841" s="41"/>
      <c r="C841" s="41"/>
      <c r="D841" s="72"/>
      <c r="E841" s="41"/>
      <c r="F841" s="41"/>
      <c r="G841" s="41"/>
      <c r="H841" s="41"/>
      <c r="I841" s="41"/>
      <c r="J841" s="41"/>
      <c r="K841" s="41"/>
      <c r="L841" s="41"/>
      <c r="M841" s="41"/>
      <c r="N841" s="41"/>
      <c r="O841" s="41"/>
      <c r="P841" s="41"/>
      <c r="Q841" s="41"/>
      <c r="R841" s="41"/>
      <c r="S841" s="41"/>
      <c r="T841" s="41"/>
      <c r="U841" s="41"/>
      <c r="V841" s="41"/>
      <c r="W841" s="41"/>
      <c r="X841" s="41"/>
      <c r="Y841" s="41"/>
      <c r="Z841" s="41"/>
      <c r="AA841" s="41"/>
      <c r="AB841" s="41"/>
      <c r="AC841" s="41"/>
      <c r="AD841" s="41"/>
      <c r="AE841" s="41"/>
      <c r="AF841" s="41"/>
      <c r="AG841" s="41"/>
      <c r="AH841" s="41"/>
      <c r="AI841" s="41"/>
    </row>
    <row r="842" spans="1:35" ht="15.75" customHeight="1" x14ac:dyDescent="0.2">
      <c r="A842" s="41"/>
      <c r="B842" s="41"/>
      <c r="C842" s="41"/>
      <c r="D842" s="72"/>
      <c r="E842" s="41"/>
      <c r="F842" s="41"/>
      <c r="G842" s="41"/>
      <c r="H842" s="41"/>
      <c r="I842" s="41"/>
      <c r="J842" s="41"/>
      <c r="K842" s="41"/>
      <c r="L842" s="41"/>
      <c r="M842" s="41"/>
      <c r="N842" s="41"/>
      <c r="O842" s="41"/>
      <c r="P842" s="41"/>
      <c r="Q842" s="41"/>
      <c r="R842" s="41"/>
      <c r="S842" s="41"/>
      <c r="T842" s="41"/>
      <c r="U842" s="41"/>
      <c r="V842" s="41"/>
      <c r="W842" s="41"/>
      <c r="X842" s="41"/>
      <c r="Y842" s="41"/>
      <c r="Z842" s="41"/>
      <c r="AA842" s="41"/>
      <c r="AB842" s="41"/>
      <c r="AC842" s="41"/>
      <c r="AD842" s="41"/>
      <c r="AE842" s="41"/>
      <c r="AF842" s="41"/>
      <c r="AG842" s="41"/>
      <c r="AH842" s="41"/>
      <c r="AI842" s="41"/>
    </row>
    <row r="843" spans="1:35" ht="15.75" customHeight="1" x14ac:dyDescent="0.2">
      <c r="A843" s="41"/>
      <c r="B843" s="41"/>
      <c r="C843" s="41"/>
      <c r="D843" s="72"/>
      <c r="E843" s="41"/>
      <c r="F843" s="41"/>
      <c r="G843" s="41"/>
      <c r="H843" s="41"/>
      <c r="I843" s="41"/>
      <c r="J843" s="41"/>
      <c r="K843" s="41"/>
      <c r="L843" s="41"/>
      <c r="M843" s="41"/>
      <c r="N843" s="41"/>
      <c r="O843" s="41"/>
      <c r="P843" s="41"/>
      <c r="Q843" s="41"/>
      <c r="R843" s="41"/>
      <c r="S843" s="41"/>
      <c r="T843" s="41"/>
      <c r="U843" s="41"/>
      <c r="V843" s="41"/>
      <c r="W843" s="41"/>
      <c r="X843" s="41"/>
      <c r="Y843" s="41"/>
      <c r="Z843" s="41"/>
      <c r="AA843" s="41"/>
      <c r="AB843" s="41"/>
      <c r="AC843" s="41"/>
      <c r="AD843" s="41"/>
      <c r="AE843" s="41"/>
      <c r="AF843" s="41"/>
      <c r="AG843" s="41"/>
      <c r="AH843" s="41"/>
      <c r="AI843" s="41"/>
    </row>
    <row r="844" spans="1:35" ht="15.75" customHeight="1" x14ac:dyDescent="0.2">
      <c r="A844" s="41"/>
      <c r="B844" s="41"/>
      <c r="C844" s="41"/>
      <c r="D844" s="72"/>
      <c r="E844" s="41"/>
      <c r="F844" s="41"/>
      <c r="G844" s="41"/>
      <c r="H844" s="41"/>
      <c r="I844" s="41"/>
      <c r="J844" s="41"/>
      <c r="K844" s="41"/>
      <c r="L844" s="41"/>
      <c r="M844" s="41"/>
      <c r="N844" s="41"/>
      <c r="O844" s="41"/>
      <c r="P844" s="41"/>
      <c r="Q844" s="41"/>
      <c r="R844" s="41"/>
      <c r="S844" s="41"/>
      <c r="T844" s="41"/>
      <c r="U844" s="41"/>
      <c r="V844" s="41"/>
      <c r="W844" s="41"/>
      <c r="X844" s="41"/>
      <c r="Y844" s="41"/>
      <c r="Z844" s="41"/>
      <c r="AA844" s="41"/>
      <c r="AB844" s="41"/>
      <c r="AC844" s="41"/>
      <c r="AD844" s="41"/>
      <c r="AE844" s="41"/>
      <c r="AF844" s="41"/>
      <c r="AG844" s="41"/>
      <c r="AH844" s="41"/>
      <c r="AI844" s="41"/>
    </row>
    <row r="845" spans="1:35" ht="15.75" customHeight="1" x14ac:dyDescent="0.2">
      <c r="A845" s="41"/>
      <c r="B845" s="41"/>
      <c r="C845" s="41"/>
      <c r="D845" s="72"/>
      <c r="E845" s="41"/>
      <c r="F845" s="41"/>
      <c r="G845" s="41"/>
      <c r="H845" s="41"/>
      <c r="I845" s="41"/>
      <c r="J845" s="41"/>
      <c r="K845" s="41"/>
      <c r="L845" s="41"/>
      <c r="M845" s="41"/>
      <c r="N845" s="41"/>
      <c r="O845" s="41"/>
      <c r="P845" s="41"/>
      <c r="Q845" s="41"/>
      <c r="R845" s="41"/>
      <c r="S845" s="41"/>
      <c r="T845" s="41"/>
      <c r="U845" s="41"/>
      <c r="V845" s="41"/>
      <c r="W845" s="41"/>
      <c r="X845" s="41"/>
      <c r="Y845" s="41"/>
      <c r="Z845" s="41"/>
      <c r="AA845" s="41"/>
      <c r="AB845" s="41"/>
      <c r="AC845" s="41"/>
      <c r="AD845" s="41"/>
      <c r="AE845" s="41"/>
      <c r="AF845" s="41"/>
      <c r="AG845" s="41"/>
      <c r="AH845" s="41"/>
      <c r="AI845" s="41"/>
    </row>
    <row r="846" spans="1:35" ht="15.75" customHeight="1" x14ac:dyDescent="0.2">
      <c r="A846" s="41"/>
      <c r="B846" s="41"/>
      <c r="C846" s="41"/>
      <c r="D846" s="72"/>
      <c r="E846" s="41"/>
      <c r="F846" s="41"/>
      <c r="G846" s="41"/>
      <c r="H846" s="41"/>
      <c r="I846" s="41"/>
      <c r="J846" s="41"/>
      <c r="K846" s="41"/>
      <c r="L846" s="41"/>
      <c r="M846" s="41"/>
      <c r="N846" s="41"/>
      <c r="O846" s="41"/>
      <c r="P846" s="41"/>
      <c r="Q846" s="41"/>
      <c r="R846" s="41"/>
      <c r="S846" s="41"/>
      <c r="T846" s="41"/>
      <c r="U846" s="41"/>
      <c r="V846" s="41"/>
      <c r="W846" s="41"/>
      <c r="X846" s="41"/>
      <c r="Y846" s="41"/>
      <c r="Z846" s="41"/>
      <c r="AA846" s="41"/>
      <c r="AB846" s="41"/>
      <c r="AC846" s="41"/>
      <c r="AD846" s="41"/>
      <c r="AE846" s="41"/>
      <c r="AF846" s="41"/>
      <c r="AG846" s="41"/>
      <c r="AH846" s="41"/>
      <c r="AI846" s="41"/>
    </row>
    <row r="847" spans="1:35" ht="15.75" customHeight="1" x14ac:dyDescent="0.2">
      <c r="A847" s="41"/>
      <c r="B847" s="41"/>
      <c r="C847" s="41"/>
      <c r="D847" s="72"/>
      <c r="E847" s="41"/>
      <c r="F847" s="41"/>
      <c r="G847" s="41"/>
      <c r="H847" s="41"/>
      <c r="I847" s="41"/>
      <c r="J847" s="41"/>
      <c r="K847" s="41"/>
      <c r="L847" s="41"/>
      <c r="M847" s="41"/>
      <c r="N847" s="41"/>
      <c r="O847" s="41"/>
      <c r="P847" s="41"/>
      <c r="Q847" s="41"/>
      <c r="R847" s="41"/>
      <c r="S847" s="41"/>
      <c r="T847" s="41"/>
      <c r="U847" s="41"/>
      <c r="V847" s="41"/>
      <c r="W847" s="41"/>
      <c r="X847" s="41"/>
      <c r="Y847" s="41"/>
      <c r="Z847" s="41"/>
      <c r="AA847" s="41"/>
      <c r="AB847" s="41"/>
      <c r="AC847" s="41"/>
      <c r="AD847" s="41"/>
      <c r="AE847" s="41"/>
      <c r="AF847" s="41"/>
      <c r="AG847" s="41"/>
      <c r="AH847" s="41"/>
      <c r="AI847" s="41"/>
    </row>
    <row r="848" spans="1:35" ht="15.75" customHeight="1" x14ac:dyDescent="0.2">
      <c r="A848" s="41"/>
      <c r="B848" s="41"/>
      <c r="C848" s="41"/>
      <c r="D848" s="72"/>
      <c r="E848" s="41"/>
      <c r="F848" s="41"/>
      <c r="G848" s="41"/>
      <c r="H848" s="41"/>
      <c r="I848" s="41"/>
      <c r="J848" s="41"/>
      <c r="K848" s="41"/>
      <c r="L848" s="41"/>
      <c r="M848" s="41"/>
      <c r="N848" s="41"/>
      <c r="O848" s="41"/>
      <c r="P848" s="41"/>
      <c r="Q848" s="41"/>
      <c r="R848" s="41"/>
      <c r="S848" s="41"/>
      <c r="T848" s="41"/>
      <c r="U848" s="41"/>
      <c r="V848" s="41"/>
      <c r="W848" s="41"/>
      <c r="X848" s="41"/>
      <c r="Y848" s="41"/>
      <c r="Z848" s="41"/>
      <c r="AA848" s="41"/>
      <c r="AB848" s="41"/>
      <c r="AC848" s="41"/>
      <c r="AD848" s="41"/>
      <c r="AE848" s="41"/>
      <c r="AF848" s="41"/>
      <c r="AG848" s="41"/>
      <c r="AH848" s="41"/>
      <c r="AI848" s="41"/>
    </row>
    <row r="849" spans="1:35" ht="15.75" customHeight="1" x14ac:dyDescent="0.2">
      <c r="A849" s="41"/>
      <c r="B849" s="41"/>
      <c r="C849" s="41"/>
      <c r="D849" s="72"/>
      <c r="E849" s="41"/>
      <c r="F849" s="41"/>
      <c r="G849" s="41"/>
      <c r="H849" s="41"/>
      <c r="I849" s="41"/>
      <c r="J849" s="41"/>
      <c r="K849" s="41"/>
      <c r="L849" s="41"/>
      <c r="M849" s="41"/>
      <c r="N849" s="41"/>
      <c r="O849" s="41"/>
      <c r="P849" s="41"/>
      <c r="Q849" s="41"/>
      <c r="R849" s="41"/>
      <c r="S849" s="41"/>
      <c r="T849" s="41"/>
      <c r="U849" s="41"/>
      <c r="V849" s="41"/>
      <c r="W849" s="41"/>
      <c r="X849" s="41"/>
      <c r="Y849" s="41"/>
      <c r="Z849" s="41"/>
      <c r="AA849" s="41"/>
      <c r="AB849" s="41"/>
      <c r="AC849" s="41"/>
      <c r="AD849" s="41"/>
      <c r="AE849" s="41"/>
      <c r="AF849" s="41"/>
      <c r="AG849" s="41"/>
      <c r="AH849" s="41"/>
      <c r="AI849" s="41"/>
    </row>
    <row r="850" spans="1:35" ht="15.75" customHeight="1" x14ac:dyDescent="0.2">
      <c r="A850" s="41"/>
      <c r="B850" s="41"/>
      <c r="C850" s="41"/>
      <c r="D850" s="72"/>
      <c r="E850" s="41"/>
      <c r="F850" s="41"/>
      <c r="G850" s="41"/>
      <c r="H850" s="41"/>
      <c r="I850" s="41"/>
      <c r="J850" s="41"/>
      <c r="K850" s="41"/>
      <c r="L850" s="41"/>
      <c r="M850" s="41"/>
      <c r="N850" s="41"/>
      <c r="O850" s="41"/>
      <c r="P850" s="41"/>
      <c r="Q850" s="41"/>
      <c r="R850" s="41"/>
      <c r="S850" s="41"/>
      <c r="T850" s="41"/>
      <c r="U850" s="41"/>
      <c r="V850" s="41"/>
      <c r="W850" s="41"/>
      <c r="X850" s="41"/>
      <c r="Y850" s="41"/>
      <c r="Z850" s="41"/>
      <c r="AA850" s="41"/>
      <c r="AB850" s="41"/>
      <c r="AC850" s="41"/>
      <c r="AD850" s="41"/>
      <c r="AE850" s="41"/>
      <c r="AF850" s="41"/>
      <c r="AG850" s="41"/>
      <c r="AH850" s="41"/>
      <c r="AI850" s="41"/>
    </row>
    <row r="851" spans="1:35" ht="15.75" customHeight="1" x14ac:dyDescent="0.2">
      <c r="A851" s="41"/>
      <c r="B851" s="41"/>
      <c r="C851" s="41"/>
      <c r="D851" s="72"/>
      <c r="E851" s="41"/>
      <c r="F851" s="41"/>
      <c r="G851" s="41"/>
      <c r="H851" s="41"/>
      <c r="I851" s="41"/>
      <c r="J851" s="41"/>
      <c r="K851" s="41"/>
      <c r="L851" s="41"/>
      <c r="M851" s="41"/>
      <c r="N851" s="41"/>
      <c r="O851" s="41"/>
      <c r="P851" s="41"/>
      <c r="Q851" s="41"/>
      <c r="R851" s="41"/>
      <c r="S851" s="41"/>
      <c r="T851" s="41"/>
      <c r="U851" s="41"/>
      <c r="V851" s="41"/>
      <c r="W851" s="41"/>
      <c r="X851" s="41"/>
      <c r="Y851" s="41"/>
      <c r="Z851" s="41"/>
      <c r="AA851" s="41"/>
      <c r="AB851" s="41"/>
      <c r="AC851" s="41"/>
      <c r="AD851" s="41"/>
      <c r="AE851" s="41"/>
      <c r="AF851" s="41"/>
      <c r="AG851" s="41"/>
      <c r="AH851" s="41"/>
      <c r="AI851" s="41"/>
    </row>
    <row r="852" spans="1:35" ht="15.75" customHeight="1" x14ac:dyDescent="0.2">
      <c r="A852" s="41"/>
      <c r="B852" s="41"/>
      <c r="C852" s="41"/>
      <c r="D852" s="72"/>
      <c r="E852" s="41"/>
      <c r="F852" s="41"/>
      <c r="G852" s="41"/>
      <c r="H852" s="41"/>
      <c r="I852" s="41"/>
      <c r="J852" s="41"/>
      <c r="K852" s="41"/>
      <c r="L852" s="41"/>
      <c r="M852" s="41"/>
      <c r="N852" s="41"/>
      <c r="O852" s="41"/>
      <c r="P852" s="41"/>
      <c r="Q852" s="41"/>
      <c r="R852" s="41"/>
      <c r="S852" s="41"/>
      <c r="T852" s="41"/>
      <c r="U852" s="41"/>
      <c r="V852" s="41"/>
      <c r="W852" s="41"/>
      <c r="X852" s="41"/>
      <c r="Y852" s="41"/>
      <c r="Z852" s="41"/>
      <c r="AA852" s="41"/>
      <c r="AB852" s="41"/>
      <c r="AC852" s="41"/>
      <c r="AD852" s="41"/>
      <c r="AE852" s="41"/>
      <c r="AF852" s="41"/>
      <c r="AG852" s="41"/>
      <c r="AH852" s="41"/>
      <c r="AI852" s="41"/>
    </row>
    <row r="853" spans="1:35" ht="15.75" customHeight="1" x14ac:dyDescent="0.2">
      <c r="A853" s="41"/>
      <c r="B853" s="41"/>
      <c r="C853" s="41"/>
      <c r="D853" s="72"/>
      <c r="E853" s="41"/>
      <c r="F853" s="41"/>
      <c r="G853" s="41"/>
      <c r="H853" s="41"/>
      <c r="I853" s="41"/>
      <c r="J853" s="41"/>
      <c r="K853" s="41"/>
      <c r="L853" s="41"/>
      <c r="M853" s="41"/>
      <c r="N853" s="41"/>
      <c r="O853" s="41"/>
      <c r="P853" s="41"/>
      <c r="Q853" s="41"/>
      <c r="R853" s="41"/>
      <c r="S853" s="41"/>
      <c r="T853" s="41"/>
      <c r="U853" s="41"/>
      <c r="V853" s="41"/>
      <c r="W853" s="41"/>
      <c r="X853" s="41"/>
      <c r="Y853" s="41"/>
      <c r="Z853" s="41"/>
      <c r="AA853" s="41"/>
      <c r="AB853" s="41"/>
      <c r="AC853" s="41"/>
      <c r="AD853" s="41"/>
      <c r="AE853" s="41"/>
      <c r="AF853" s="41"/>
      <c r="AG853" s="41"/>
      <c r="AH853" s="41"/>
      <c r="AI853" s="41"/>
    </row>
    <row r="854" spans="1:35" ht="15.75" customHeight="1" x14ac:dyDescent="0.2">
      <c r="A854" s="41"/>
      <c r="B854" s="41"/>
      <c r="C854" s="41"/>
      <c r="D854" s="72"/>
      <c r="E854" s="41"/>
      <c r="F854" s="41"/>
      <c r="G854" s="41"/>
      <c r="H854" s="41"/>
      <c r="I854" s="41"/>
      <c r="J854" s="41"/>
      <c r="K854" s="41"/>
      <c r="L854" s="41"/>
      <c r="M854" s="41"/>
      <c r="N854" s="41"/>
      <c r="O854" s="41"/>
      <c r="P854" s="41"/>
      <c r="Q854" s="41"/>
      <c r="R854" s="41"/>
      <c r="S854" s="41"/>
      <c r="T854" s="41"/>
      <c r="U854" s="41"/>
      <c r="V854" s="41"/>
      <c r="W854" s="41"/>
      <c r="X854" s="41"/>
      <c r="Y854" s="41"/>
      <c r="Z854" s="41"/>
      <c r="AA854" s="41"/>
      <c r="AB854" s="41"/>
      <c r="AC854" s="41"/>
      <c r="AD854" s="41"/>
      <c r="AE854" s="41"/>
      <c r="AF854" s="41"/>
      <c r="AG854" s="41"/>
      <c r="AH854" s="41"/>
      <c r="AI854" s="41"/>
    </row>
    <row r="855" spans="1:35" ht="15.75" customHeight="1" x14ac:dyDescent="0.2">
      <c r="A855" s="41"/>
      <c r="B855" s="41"/>
      <c r="C855" s="41"/>
      <c r="D855" s="72"/>
      <c r="E855" s="41"/>
      <c r="F855" s="41"/>
      <c r="G855" s="41"/>
      <c r="H855" s="41"/>
      <c r="I855" s="41"/>
      <c r="J855" s="41"/>
      <c r="K855" s="41"/>
      <c r="L855" s="41"/>
      <c r="M855" s="41"/>
      <c r="N855" s="41"/>
      <c r="O855" s="41"/>
      <c r="P855" s="41"/>
      <c r="Q855" s="41"/>
      <c r="R855" s="41"/>
      <c r="S855" s="41"/>
      <c r="T855" s="41"/>
      <c r="U855" s="41"/>
      <c r="V855" s="41"/>
      <c r="W855" s="41"/>
      <c r="X855" s="41"/>
      <c r="Y855" s="41"/>
      <c r="Z855" s="41"/>
      <c r="AA855" s="41"/>
      <c r="AB855" s="41"/>
      <c r="AC855" s="41"/>
      <c r="AD855" s="41"/>
      <c r="AE855" s="41"/>
      <c r="AF855" s="41"/>
      <c r="AG855" s="41"/>
      <c r="AH855" s="41"/>
      <c r="AI855" s="41"/>
    </row>
    <row r="856" spans="1:35" ht="15.75" customHeight="1" x14ac:dyDescent="0.2">
      <c r="A856" s="41"/>
      <c r="B856" s="41"/>
      <c r="C856" s="41"/>
      <c r="D856" s="72"/>
      <c r="E856" s="41"/>
      <c r="F856" s="41"/>
      <c r="G856" s="41"/>
      <c r="H856" s="41"/>
      <c r="I856" s="41"/>
      <c r="J856" s="41"/>
      <c r="K856" s="41"/>
      <c r="L856" s="41"/>
      <c r="M856" s="41"/>
      <c r="N856" s="41"/>
      <c r="O856" s="41"/>
      <c r="P856" s="41"/>
      <c r="Q856" s="41"/>
      <c r="R856" s="41"/>
      <c r="S856" s="41"/>
      <c r="T856" s="41"/>
      <c r="U856" s="41"/>
      <c r="V856" s="41"/>
      <c r="W856" s="41"/>
      <c r="X856" s="41"/>
      <c r="Y856" s="41"/>
      <c r="Z856" s="41"/>
      <c r="AA856" s="41"/>
      <c r="AB856" s="41"/>
      <c r="AC856" s="41"/>
      <c r="AD856" s="41"/>
      <c r="AE856" s="41"/>
      <c r="AF856" s="41"/>
      <c r="AG856" s="41"/>
      <c r="AH856" s="41"/>
      <c r="AI856" s="41"/>
    </row>
    <row r="857" spans="1:35" ht="15.75" customHeight="1" x14ac:dyDescent="0.2">
      <c r="A857" s="41"/>
      <c r="B857" s="41"/>
      <c r="C857" s="41"/>
      <c r="D857" s="72"/>
      <c r="E857" s="41"/>
      <c r="F857" s="41"/>
      <c r="G857" s="41"/>
      <c r="H857" s="41"/>
      <c r="I857" s="41"/>
      <c r="J857" s="41"/>
      <c r="K857" s="41"/>
      <c r="L857" s="41"/>
      <c r="M857" s="41"/>
      <c r="N857" s="41"/>
      <c r="O857" s="41"/>
      <c r="P857" s="41"/>
      <c r="Q857" s="41"/>
      <c r="R857" s="41"/>
      <c r="S857" s="41"/>
      <c r="T857" s="41"/>
      <c r="U857" s="41"/>
      <c r="V857" s="41"/>
      <c r="W857" s="41"/>
      <c r="X857" s="41"/>
      <c r="Y857" s="41"/>
      <c r="Z857" s="41"/>
      <c r="AA857" s="41"/>
      <c r="AB857" s="41"/>
      <c r="AC857" s="41"/>
      <c r="AD857" s="41"/>
      <c r="AE857" s="41"/>
      <c r="AF857" s="41"/>
      <c r="AG857" s="41"/>
      <c r="AH857" s="41"/>
      <c r="AI857" s="41"/>
    </row>
    <row r="858" spans="1:35" ht="15.75" customHeight="1" x14ac:dyDescent="0.2">
      <c r="A858" s="41"/>
      <c r="B858" s="41"/>
      <c r="C858" s="41"/>
      <c r="D858" s="72"/>
      <c r="E858" s="41"/>
      <c r="F858" s="41"/>
      <c r="G858" s="41"/>
      <c r="H858" s="41"/>
      <c r="I858" s="41"/>
      <c r="J858" s="41"/>
      <c r="K858" s="41"/>
      <c r="L858" s="41"/>
      <c r="M858" s="41"/>
      <c r="N858" s="41"/>
      <c r="O858" s="41"/>
      <c r="P858" s="41"/>
      <c r="Q858" s="41"/>
      <c r="R858" s="41"/>
      <c r="S858" s="41"/>
      <c r="T858" s="41"/>
      <c r="U858" s="41"/>
      <c r="V858" s="41"/>
      <c r="W858" s="41"/>
      <c r="X858" s="41"/>
      <c r="Y858" s="41"/>
      <c r="Z858" s="41"/>
      <c r="AA858" s="41"/>
      <c r="AB858" s="41"/>
      <c r="AC858" s="41"/>
      <c r="AD858" s="41"/>
      <c r="AE858" s="41"/>
      <c r="AF858" s="41"/>
      <c r="AG858" s="41"/>
      <c r="AH858" s="41"/>
      <c r="AI858" s="41"/>
    </row>
    <row r="859" spans="1:35" ht="15.75" customHeight="1" x14ac:dyDescent="0.2">
      <c r="A859" s="41"/>
      <c r="B859" s="41"/>
      <c r="C859" s="41"/>
      <c r="D859" s="72"/>
      <c r="E859" s="41"/>
      <c r="F859" s="41"/>
      <c r="G859" s="41"/>
      <c r="H859" s="41"/>
      <c r="I859" s="41"/>
      <c r="J859" s="41"/>
      <c r="K859" s="41"/>
      <c r="L859" s="41"/>
      <c r="M859" s="41"/>
      <c r="N859" s="41"/>
      <c r="O859" s="41"/>
      <c r="P859" s="41"/>
      <c r="Q859" s="41"/>
      <c r="R859" s="41"/>
      <c r="S859" s="41"/>
      <c r="T859" s="41"/>
      <c r="U859" s="41"/>
      <c r="V859" s="41"/>
      <c r="W859" s="41"/>
      <c r="X859" s="41"/>
      <c r="Y859" s="41"/>
      <c r="Z859" s="41"/>
      <c r="AA859" s="41"/>
      <c r="AB859" s="41"/>
      <c r="AC859" s="41"/>
      <c r="AD859" s="41"/>
      <c r="AE859" s="41"/>
      <c r="AF859" s="41"/>
      <c r="AG859" s="41"/>
      <c r="AH859" s="41"/>
      <c r="AI859" s="41"/>
    </row>
    <row r="860" spans="1:35" ht="15.75" customHeight="1" x14ac:dyDescent="0.2">
      <c r="A860" s="41"/>
      <c r="B860" s="41"/>
      <c r="C860" s="41"/>
      <c r="D860" s="72"/>
      <c r="E860" s="41"/>
      <c r="F860" s="41"/>
      <c r="G860" s="41"/>
      <c r="H860" s="41"/>
      <c r="I860" s="41"/>
      <c r="J860" s="41"/>
      <c r="K860" s="41"/>
      <c r="L860" s="41"/>
      <c r="M860" s="41"/>
      <c r="N860" s="41"/>
      <c r="O860" s="41"/>
      <c r="P860" s="41"/>
      <c r="Q860" s="41"/>
      <c r="R860" s="41"/>
      <c r="S860" s="41"/>
      <c r="T860" s="41"/>
      <c r="U860" s="41"/>
      <c r="V860" s="41"/>
      <c r="W860" s="41"/>
      <c r="X860" s="41"/>
      <c r="Y860" s="41"/>
      <c r="Z860" s="41"/>
      <c r="AA860" s="41"/>
      <c r="AB860" s="41"/>
      <c r="AC860" s="41"/>
      <c r="AD860" s="41"/>
      <c r="AE860" s="41"/>
      <c r="AF860" s="41"/>
      <c r="AG860" s="41"/>
      <c r="AH860" s="41"/>
      <c r="AI860" s="41"/>
    </row>
    <row r="861" spans="1:35" ht="15.75" customHeight="1" x14ac:dyDescent="0.2">
      <c r="A861" s="41"/>
      <c r="B861" s="41"/>
      <c r="C861" s="41"/>
      <c r="D861" s="72"/>
      <c r="E861" s="41"/>
      <c r="F861" s="41"/>
      <c r="G861" s="41"/>
      <c r="H861" s="41"/>
      <c r="I861" s="41"/>
      <c r="J861" s="41"/>
      <c r="K861" s="41"/>
      <c r="L861" s="41"/>
      <c r="M861" s="41"/>
      <c r="N861" s="41"/>
      <c r="O861" s="41"/>
      <c r="P861" s="41"/>
      <c r="Q861" s="41"/>
      <c r="R861" s="41"/>
      <c r="S861" s="41"/>
      <c r="T861" s="41"/>
      <c r="U861" s="41"/>
      <c r="V861" s="41"/>
      <c r="W861" s="41"/>
      <c r="X861" s="41"/>
      <c r="Y861" s="41"/>
      <c r="Z861" s="41"/>
      <c r="AA861" s="41"/>
      <c r="AB861" s="41"/>
      <c r="AC861" s="41"/>
      <c r="AD861" s="41"/>
      <c r="AE861" s="41"/>
      <c r="AF861" s="41"/>
      <c r="AG861" s="41"/>
      <c r="AH861" s="41"/>
      <c r="AI861" s="41"/>
    </row>
    <row r="862" spans="1:35" ht="15.75" customHeight="1" x14ac:dyDescent="0.2">
      <c r="A862" s="41"/>
      <c r="B862" s="41"/>
      <c r="C862" s="41"/>
      <c r="D862" s="72"/>
      <c r="E862" s="41"/>
      <c r="F862" s="41"/>
      <c r="G862" s="41"/>
      <c r="H862" s="41"/>
      <c r="I862" s="41"/>
      <c r="J862" s="41"/>
      <c r="K862" s="41"/>
      <c r="L862" s="41"/>
      <c r="M862" s="41"/>
      <c r="N862" s="41"/>
      <c r="O862" s="41"/>
      <c r="P862" s="41"/>
      <c r="Q862" s="41"/>
      <c r="R862" s="41"/>
      <c r="S862" s="41"/>
      <c r="T862" s="41"/>
      <c r="U862" s="41"/>
      <c r="V862" s="41"/>
      <c r="W862" s="41"/>
      <c r="X862" s="41"/>
      <c r="Y862" s="41"/>
      <c r="Z862" s="41"/>
      <c r="AA862" s="41"/>
      <c r="AB862" s="41"/>
      <c r="AC862" s="41"/>
      <c r="AD862" s="41"/>
      <c r="AE862" s="41"/>
      <c r="AF862" s="41"/>
      <c r="AG862" s="41"/>
      <c r="AH862" s="41"/>
      <c r="AI862" s="41"/>
    </row>
    <row r="863" spans="1:35" ht="15.75" customHeight="1" x14ac:dyDescent="0.2">
      <c r="A863" s="41"/>
      <c r="B863" s="41"/>
      <c r="C863" s="41"/>
      <c r="D863" s="72"/>
      <c r="E863" s="41"/>
      <c r="F863" s="41"/>
      <c r="G863" s="41"/>
      <c r="H863" s="41"/>
      <c r="I863" s="41"/>
      <c r="J863" s="41"/>
      <c r="K863" s="41"/>
      <c r="L863" s="41"/>
      <c r="M863" s="41"/>
      <c r="N863" s="41"/>
      <c r="O863" s="41"/>
      <c r="P863" s="41"/>
      <c r="Q863" s="41"/>
      <c r="R863" s="41"/>
      <c r="S863" s="41"/>
      <c r="T863" s="41"/>
      <c r="U863" s="41"/>
      <c r="V863" s="41"/>
      <c r="W863" s="41"/>
      <c r="X863" s="41"/>
      <c r="Y863" s="41"/>
      <c r="Z863" s="41"/>
      <c r="AA863" s="41"/>
      <c r="AB863" s="41"/>
      <c r="AC863" s="41"/>
      <c r="AD863" s="41"/>
      <c r="AE863" s="41"/>
      <c r="AF863" s="41"/>
      <c r="AG863" s="41"/>
      <c r="AH863" s="41"/>
      <c r="AI863" s="41"/>
    </row>
    <row r="864" spans="1:35" ht="15.75" customHeight="1" x14ac:dyDescent="0.2">
      <c r="A864" s="41"/>
      <c r="B864" s="41"/>
      <c r="C864" s="41"/>
      <c r="D864" s="72"/>
      <c r="E864" s="41"/>
      <c r="F864" s="41"/>
      <c r="G864" s="41"/>
      <c r="H864" s="41"/>
      <c r="I864" s="41"/>
      <c r="J864" s="41"/>
      <c r="K864" s="41"/>
      <c r="L864" s="41"/>
      <c r="M864" s="41"/>
      <c r="N864" s="41"/>
      <c r="O864" s="41"/>
      <c r="P864" s="41"/>
      <c r="Q864" s="41"/>
      <c r="R864" s="41"/>
      <c r="S864" s="41"/>
      <c r="T864" s="41"/>
      <c r="U864" s="41"/>
      <c r="V864" s="41"/>
      <c r="W864" s="41"/>
      <c r="X864" s="41"/>
      <c r="Y864" s="41"/>
      <c r="Z864" s="41"/>
      <c r="AA864" s="41"/>
      <c r="AB864" s="41"/>
      <c r="AC864" s="41"/>
      <c r="AD864" s="41"/>
      <c r="AE864" s="41"/>
      <c r="AF864" s="41"/>
      <c r="AG864" s="41"/>
      <c r="AH864" s="41"/>
      <c r="AI864" s="41"/>
    </row>
    <row r="865" spans="1:35" ht="15.75" customHeight="1" x14ac:dyDescent="0.2">
      <c r="A865" s="41"/>
      <c r="B865" s="41"/>
      <c r="C865" s="41"/>
      <c r="D865" s="72"/>
      <c r="E865" s="41"/>
      <c r="F865" s="41"/>
      <c r="G865" s="41"/>
      <c r="H865" s="41"/>
      <c r="I865" s="41"/>
      <c r="J865" s="41"/>
      <c r="K865" s="41"/>
      <c r="L865" s="41"/>
      <c r="M865" s="41"/>
      <c r="N865" s="41"/>
      <c r="O865" s="41"/>
      <c r="P865" s="41"/>
      <c r="Q865" s="41"/>
      <c r="R865" s="41"/>
      <c r="S865" s="41"/>
      <c r="T865" s="41"/>
      <c r="U865" s="41"/>
      <c r="V865" s="41"/>
      <c r="W865" s="41"/>
      <c r="X865" s="41"/>
      <c r="Y865" s="41"/>
      <c r="Z865" s="41"/>
      <c r="AA865" s="41"/>
      <c r="AB865" s="41"/>
      <c r="AC865" s="41"/>
      <c r="AD865" s="41"/>
      <c r="AE865" s="41"/>
      <c r="AF865" s="41"/>
      <c r="AG865" s="41"/>
      <c r="AH865" s="41"/>
      <c r="AI865" s="41"/>
    </row>
    <row r="866" spans="1:35" ht="15.75" customHeight="1" x14ac:dyDescent="0.2">
      <c r="A866" s="41"/>
      <c r="B866" s="41"/>
      <c r="C866" s="41"/>
      <c r="D866" s="72"/>
      <c r="E866" s="41"/>
      <c r="F866" s="41"/>
      <c r="G866" s="41"/>
      <c r="H866" s="41"/>
      <c r="I866" s="41"/>
      <c r="J866" s="41"/>
      <c r="K866" s="41"/>
      <c r="L866" s="41"/>
      <c r="M866" s="41"/>
      <c r="N866" s="41"/>
      <c r="O866" s="41"/>
      <c r="P866" s="41"/>
      <c r="Q866" s="41"/>
      <c r="R866" s="41"/>
      <c r="S866" s="41"/>
      <c r="T866" s="41"/>
      <c r="U866" s="41"/>
      <c r="V866" s="41"/>
      <c r="W866" s="41"/>
      <c r="X866" s="41"/>
      <c r="Y866" s="41"/>
      <c r="Z866" s="41"/>
      <c r="AA866" s="41"/>
      <c r="AB866" s="41"/>
      <c r="AC866" s="41"/>
      <c r="AD866" s="41"/>
      <c r="AE866" s="41"/>
      <c r="AF866" s="41"/>
      <c r="AG866" s="41"/>
      <c r="AH866" s="41"/>
      <c r="AI866" s="41"/>
    </row>
    <row r="867" spans="1:35" ht="15.75" customHeight="1" x14ac:dyDescent="0.2">
      <c r="A867" s="41"/>
      <c r="B867" s="41"/>
      <c r="C867" s="41"/>
      <c r="D867" s="72"/>
      <c r="E867" s="41"/>
      <c r="F867" s="41"/>
      <c r="G867" s="41"/>
      <c r="H867" s="41"/>
      <c r="I867" s="41"/>
      <c r="J867" s="41"/>
      <c r="K867" s="41"/>
      <c r="L867" s="41"/>
      <c r="M867" s="41"/>
      <c r="N867" s="41"/>
      <c r="O867" s="41"/>
      <c r="P867" s="41"/>
      <c r="Q867" s="41"/>
      <c r="R867" s="41"/>
      <c r="S867" s="41"/>
      <c r="T867" s="41"/>
      <c r="U867" s="41"/>
      <c r="V867" s="41"/>
      <c r="W867" s="41"/>
      <c r="X867" s="41"/>
      <c r="Y867" s="41"/>
      <c r="Z867" s="41"/>
      <c r="AA867" s="41"/>
      <c r="AB867" s="41"/>
      <c r="AC867" s="41"/>
      <c r="AD867" s="41"/>
      <c r="AE867" s="41"/>
      <c r="AF867" s="41"/>
      <c r="AG867" s="41"/>
      <c r="AH867" s="41"/>
      <c r="AI867" s="41"/>
    </row>
    <row r="868" spans="1:35" ht="15.75" customHeight="1" x14ac:dyDescent="0.2">
      <c r="A868" s="41"/>
      <c r="B868" s="41"/>
      <c r="C868" s="41"/>
      <c r="D868" s="72"/>
      <c r="E868" s="41"/>
      <c r="F868" s="41"/>
      <c r="G868" s="41"/>
      <c r="H868" s="41"/>
      <c r="I868" s="41"/>
      <c r="J868" s="41"/>
      <c r="K868" s="41"/>
      <c r="L868" s="41"/>
      <c r="M868" s="41"/>
      <c r="N868" s="41"/>
      <c r="O868" s="41"/>
      <c r="P868" s="41"/>
      <c r="Q868" s="41"/>
      <c r="R868" s="41"/>
      <c r="S868" s="41"/>
      <c r="T868" s="41"/>
      <c r="U868" s="41"/>
      <c r="V868" s="41"/>
      <c r="W868" s="41"/>
      <c r="X868" s="41"/>
      <c r="Y868" s="41"/>
      <c r="Z868" s="41"/>
      <c r="AA868" s="41"/>
      <c r="AB868" s="41"/>
      <c r="AC868" s="41"/>
      <c r="AD868" s="41"/>
      <c r="AE868" s="41"/>
      <c r="AF868" s="41"/>
      <c r="AG868" s="41"/>
      <c r="AH868" s="41"/>
      <c r="AI868" s="41"/>
    </row>
    <row r="869" spans="1:35" ht="15.75" customHeight="1" x14ac:dyDescent="0.2">
      <c r="A869" s="41"/>
      <c r="B869" s="41"/>
      <c r="C869" s="41"/>
      <c r="D869" s="72"/>
      <c r="E869" s="41"/>
      <c r="F869" s="41"/>
      <c r="G869" s="41"/>
      <c r="H869" s="41"/>
      <c r="I869" s="41"/>
      <c r="J869" s="41"/>
      <c r="K869" s="41"/>
      <c r="L869" s="41"/>
      <c r="M869" s="41"/>
      <c r="N869" s="41"/>
      <c r="O869" s="41"/>
      <c r="P869" s="41"/>
      <c r="Q869" s="41"/>
      <c r="R869" s="41"/>
      <c r="S869" s="41"/>
      <c r="T869" s="41"/>
      <c r="U869" s="41"/>
      <c r="V869" s="41"/>
      <c r="W869" s="41"/>
      <c r="X869" s="41"/>
      <c r="Y869" s="41"/>
      <c r="Z869" s="41"/>
      <c r="AA869" s="41"/>
      <c r="AB869" s="41"/>
      <c r="AC869" s="41"/>
      <c r="AD869" s="41"/>
      <c r="AE869" s="41"/>
      <c r="AF869" s="41"/>
      <c r="AG869" s="41"/>
      <c r="AH869" s="41"/>
      <c r="AI869" s="41"/>
    </row>
    <row r="870" spans="1:35" ht="15.75" customHeight="1" x14ac:dyDescent="0.2">
      <c r="A870" s="41"/>
      <c r="B870" s="41"/>
      <c r="C870" s="41"/>
      <c r="D870" s="72"/>
      <c r="E870" s="41"/>
      <c r="F870" s="41"/>
      <c r="G870" s="41"/>
      <c r="H870" s="41"/>
      <c r="I870" s="41"/>
      <c r="J870" s="41"/>
      <c r="K870" s="41"/>
      <c r="L870" s="41"/>
      <c r="M870" s="41"/>
      <c r="N870" s="41"/>
      <c r="O870" s="41"/>
      <c r="P870" s="41"/>
      <c r="Q870" s="41"/>
      <c r="R870" s="41"/>
      <c r="S870" s="41"/>
      <c r="T870" s="41"/>
      <c r="U870" s="41"/>
      <c r="V870" s="41"/>
      <c r="W870" s="41"/>
      <c r="X870" s="41"/>
      <c r="Y870" s="41"/>
      <c r="Z870" s="41"/>
      <c r="AA870" s="41"/>
      <c r="AB870" s="41"/>
      <c r="AC870" s="41"/>
      <c r="AD870" s="41"/>
      <c r="AE870" s="41"/>
      <c r="AF870" s="41"/>
      <c r="AG870" s="41"/>
      <c r="AH870" s="41"/>
      <c r="AI870" s="41"/>
    </row>
    <row r="871" spans="1:35" ht="15.75" customHeight="1" x14ac:dyDescent="0.2">
      <c r="A871" s="41"/>
      <c r="B871" s="41"/>
      <c r="C871" s="41"/>
      <c r="D871" s="72"/>
      <c r="E871" s="41"/>
      <c r="F871" s="41"/>
      <c r="G871" s="41"/>
      <c r="H871" s="41"/>
      <c r="I871" s="41"/>
      <c r="J871" s="41"/>
      <c r="K871" s="41"/>
      <c r="L871" s="41"/>
      <c r="M871" s="41"/>
      <c r="N871" s="41"/>
      <c r="O871" s="41"/>
      <c r="P871" s="41"/>
      <c r="Q871" s="41"/>
      <c r="R871" s="41"/>
      <c r="S871" s="41"/>
      <c r="T871" s="41"/>
      <c r="U871" s="41"/>
      <c r="V871" s="41"/>
      <c r="W871" s="41"/>
      <c r="X871" s="41"/>
      <c r="Y871" s="41"/>
      <c r="Z871" s="41"/>
      <c r="AA871" s="41"/>
      <c r="AB871" s="41"/>
      <c r="AC871" s="41"/>
      <c r="AD871" s="41"/>
      <c r="AE871" s="41"/>
      <c r="AF871" s="41"/>
      <c r="AG871" s="41"/>
      <c r="AH871" s="41"/>
      <c r="AI871" s="41"/>
    </row>
    <row r="872" spans="1:35" ht="15.75" customHeight="1" x14ac:dyDescent="0.2">
      <c r="A872" s="41"/>
      <c r="B872" s="41"/>
      <c r="C872" s="41"/>
      <c r="D872" s="72"/>
      <c r="E872" s="41"/>
      <c r="F872" s="41"/>
      <c r="G872" s="41"/>
      <c r="H872" s="41"/>
      <c r="I872" s="41"/>
      <c r="J872" s="41"/>
      <c r="K872" s="41"/>
      <c r="L872" s="41"/>
      <c r="M872" s="41"/>
      <c r="N872" s="41"/>
      <c r="O872" s="41"/>
      <c r="P872" s="41"/>
      <c r="Q872" s="41"/>
      <c r="R872" s="41"/>
      <c r="S872" s="41"/>
      <c r="T872" s="41"/>
      <c r="U872" s="41"/>
      <c r="V872" s="41"/>
      <c r="W872" s="41"/>
      <c r="X872" s="41"/>
      <c r="Y872" s="41"/>
      <c r="Z872" s="41"/>
      <c r="AA872" s="41"/>
      <c r="AB872" s="41"/>
      <c r="AC872" s="41"/>
      <c r="AD872" s="41"/>
      <c r="AE872" s="41"/>
      <c r="AF872" s="41"/>
      <c r="AG872" s="41"/>
      <c r="AH872" s="41"/>
      <c r="AI872" s="41"/>
    </row>
    <row r="873" spans="1:35" ht="15.75" customHeight="1" x14ac:dyDescent="0.2">
      <c r="A873" s="41"/>
      <c r="B873" s="41"/>
      <c r="C873" s="41"/>
      <c r="D873" s="72"/>
      <c r="E873" s="41"/>
      <c r="F873" s="41"/>
      <c r="G873" s="41"/>
      <c r="H873" s="41"/>
      <c r="I873" s="41"/>
      <c r="J873" s="41"/>
      <c r="K873" s="41"/>
      <c r="L873" s="41"/>
      <c r="M873" s="41"/>
      <c r="N873" s="41"/>
      <c r="O873" s="41"/>
      <c r="P873" s="41"/>
      <c r="Q873" s="41"/>
      <c r="R873" s="41"/>
      <c r="S873" s="41"/>
      <c r="T873" s="41"/>
      <c r="U873" s="41"/>
      <c r="V873" s="41"/>
      <c r="W873" s="41"/>
      <c r="X873" s="41"/>
      <c r="Y873" s="41"/>
      <c r="Z873" s="41"/>
      <c r="AA873" s="41"/>
      <c r="AB873" s="41"/>
      <c r="AC873" s="41"/>
      <c r="AD873" s="41"/>
      <c r="AE873" s="41"/>
      <c r="AF873" s="41"/>
      <c r="AG873" s="41"/>
      <c r="AH873" s="41"/>
      <c r="AI873" s="41"/>
    </row>
    <row r="874" spans="1:35" ht="15.75" customHeight="1" x14ac:dyDescent="0.2">
      <c r="A874" s="41"/>
      <c r="B874" s="41"/>
      <c r="C874" s="41"/>
      <c r="D874" s="72"/>
      <c r="E874" s="41"/>
      <c r="F874" s="41"/>
      <c r="G874" s="41"/>
      <c r="H874" s="41"/>
      <c r="I874" s="41"/>
      <c r="J874" s="41"/>
      <c r="K874" s="41"/>
      <c r="L874" s="41"/>
      <c r="M874" s="41"/>
      <c r="N874" s="41"/>
      <c r="O874" s="41"/>
      <c r="P874" s="41"/>
      <c r="Q874" s="41"/>
      <c r="R874" s="41"/>
      <c r="S874" s="41"/>
      <c r="T874" s="41"/>
      <c r="U874" s="41"/>
      <c r="V874" s="41"/>
      <c r="W874" s="41"/>
      <c r="X874" s="41"/>
      <c r="Y874" s="41"/>
      <c r="Z874" s="41"/>
      <c r="AA874" s="41"/>
      <c r="AB874" s="41"/>
      <c r="AC874" s="41"/>
      <c r="AD874" s="41"/>
      <c r="AE874" s="41"/>
      <c r="AF874" s="41"/>
      <c r="AG874" s="41"/>
      <c r="AH874" s="41"/>
      <c r="AI874" s="41"/>
    </row>
    <row r="875" spans="1:35" ht="15.75" customHeight="1" x14ac:dyDescent="0.2">
      <c r="A875" s="41"/>
      <c r="B875" s="41"/>
      <c r="C875" s="41"/>
      <c r="D875" s="72"/>
      <c r="E875" s="41"/>
      <c r="F875" s="41"/>
      <c r="G875" s="41"/>
      <c r="H875" s="41"/>
      <c r="I875" s="41"/>
      <c r="J875" s="41"/>
      <c r="K875" s="41"/>
      <c r="L875" s="41"/>
      <c r="M875" s="41"/>
      <c r="N875" s="41"/>
      <c r="O875" s="41"/>
      <c r="P875" s="41"/>
      <c r="Q875" s="41"/>
      <c r="R875" s="41"/>
      <c r="S875" s="41"/>
      <c r="T875" s="41"/>
      <c r="U875" s="41"/>
      <c r="V875" s="41"/>
      <c r="W875" s="41"/>
      <c r="X875" s="41"/>
      <c r="Y875" s="41"/>
      <c r="Z875" s="41"/>
      <c r="AA875" s="41"/>
      <c r="AB875" s="41"/>
      <c r="AC875" s="41"/>
      <c r="AD875" s="41"/>
      <c r="AE875" s="41"/>
      <c r="AF875" s="41"/>
      <c r="AG875" s="41"/>
      <c r="AH875" s="41"/>
      <c r="AI875" s="41"/>
    </row>
    <row r="876" spans="1:35" ht="15.75" customHeight="1" x14ac:dyDescent="0.2">
      <c r="A876" s="41"/>
      <c r="B876" s="41"/>
      <c r="C876" s="41"/>
      <c r="D876" s="72"/>
      <c r="E876" s="41"/>
      <c r="F876" s="41"/>
      <c r="G876" s="41"/>
      <c r="H876" s="41"/>
      <c r="I876" s="41"/>
      <c r="J876" s="41"/>
      <c r="K876" s="41"/>
      <c r="L876" s="41"/>
      <c r="M876" s="41"/>
      <c r="N876" s="41"/>
      <c r="O876" s="41"/>
      <c r="P876" s="41"/>
      <c r="Q876" s="41"/>
      <c r="R876" s="41"/>
      <c r="S876" s="41"/>
      <c r="T876" s="41"/>
      <c r="U876" s="41"/>
      <c r="V876" s="41"/>
      <c r="W876" s="41"/>
      <c r="X876" s="41"/>
      <c r="Y876" s="41"/>
      <c r="Z876" s="41"/>
      <c r="AA876" s="41"/>
      <c r="AB876" s="41"/>
      <c r="AC876" s="41"/>
      <c r="AD876" s="41"/>
      <c r="AE876" s="41"/>
      <c r="AF876" s="41"/>
      <c r="AG876" s="41"/>
      <c r="AH876" s="41"/>
      <c r="AI876" s="41"/>
    </row>
    <row r="877" spans="1:35" ht="15.75" customHeight="1" x14ac:dyDescent="0.2">
      <c r="A877" s="41"/>
      <c r="B877" s="41"/>
      <c r="C877" s="41"/>
      <c r="D877" s="72"/>
      <c r="E877" s="41"/>
      <c r="F877" s="41"/>
      <c r="G877" s="41"/>
      <c r="H877" s="41"/>
      <c r="I877" s="41"/>
      <c r="J877" s="41"/>
      <c r="K877" s="41"/>
      <c r="L877" s="41"/>
      <c r="M877" s="41"/>
      <c r="N877" s="41"/>
      <c r="O877" s="41"/>
      <c r="P877" s="41"/>
      <c r="Q877" s="41"/>
      <c r="R877" s="41"/>
      <c r="S877" s="41"/>
      <c r="T877" s="41"/>
      <c r="U877" s="41"/>
      <c r="V877" s="41"/>
      <c r="W877" s="41"/>
      <c r="X877" s="41"/>
      <c r="Y877" s="41"/>
      <c r="Z877" s="41"/>
      <c r="AA877" s="41"/>
      <c r="AB877" s="41"/>
      <c r="AC877" s="41"/>
      <c r="AD877" s="41"/>
      <c r="AE877" s="41"/>
      <c r="AF877" s="41"/>
      <c r="AG877" s="41"/>
      <c r="AH877" s="41"/>
      <c r="AI877" s="41"/>
    </row>
    <row r="878" spans="1:35" ht="15.75" customHeight="1" x14ac:dyDescent="0.2">
      <c r="A878" s="41"/>
      <c r="B878" s="41"/>
      <c r="C878" s="41"/>
      <c r="D878" s="72"/>
      <c r="E878" s="41"/>
      <c r="F878" s="41"/>
      <c r="G878" s="41"/>
      <c r="H878" s="41"/>
      <c r="I878" s="41"/>
      <c r="J878" s="41"/>
      <c r="K878" s="41"/>
      <c r="L878" s="41"/>
      <c r="M878" s="41"/>
      <c r="N878" s="41"/>
      <c r="O878" s="41"/>
      <c r="P878" s="41"/>
      <c r="Q878" s="41"/>
      <c r="R878" s="41"/>
      <c r="S878" s="41"/>
      <c r="T878" s="41"/>
      <c r="U878" s="41"/>
      <c r="V878" s="41"/>
      <c r="W878" s="41"/>
      <c r="X878" s="41"/>
      <c r="Y878" s="41"/>
      <c r="Z878" s="41"/>
      <c r="AA878" s="41"/>
      <c r="AB878" s="41"/>
      <c r="AC878" s="41"/>
      <c r="AD878" s="41"/>
      <c r="AE878" s="41"/>
      <c r="AF878" s="41"/>
      <c r="AG878" s="41"/>
      <c r="AH878" s="41"/>
      <c r="AI878" s="41"/>
    </row>
    <row r="879" spans="1:35" ht="15.75" customHeight="1" x14ac:dyDescent="0.2">
      <c r="A879" s="41"/>
      <c r="B879" s="41"/>
      <c r="C879" s="41"/>
      <c r="D879" s="72"/>
      <c r="E879" s="41"/>
      <c r="F879" s="41"/>
      <c r="G879" s="41"/>
      <c r="H879" s="41"/>
      <c r="I879" s="41"/>
      <c r="J879" s="41"/>
      <c r="K879" s="41"/>
      <c r="L879" s="41"/>
      <c r="M879" s="41"/>
      <c r="N879" s="41"/>
      <c r="O879" s="41"/>
      <c r="P879" s="41"/>
      <c r="Q879" s="41"/>
      <c r="R879" s="41"/>
      <c r="S879" s="41"/>
      <c r="T879" s="41"/>
      <c r="U879" s="41"/>
      <c r="V879" s="41"/>
      <c r="W879" s="41"/>
      <c r="X879" s="41"/>
      <c r="Y879" s="41"/>
      <c r="Z879" s="41"/>
      <c r="AA879" s="41"/>
      <c r="AB879" s="41"/>
      <c r="AC879" s="41"/>
      <c r="AD879" s="41"/>
      <c r="AE879" s="41"/>
      <c r="AF879" s="41"/>
      <c r="AG879" s="41"/>
      <c r="AH879" s="41"/>
      <c r="AI879" s="41"/>
    </row>
    <row r="880" spans="1:35" ht="15.75" customHeight="1" x14ac:dyDescent="0.2">
      <c r="A880" s="41"/>
      <c r="B880" s="41"/>
      <c r="C880" s="41"/>
      <c r="D880" s="72"/>
      <c r="E880" s="41"/>
      <c r="F880" s="41"/>
      <c r="G880" s="41"/>
      <c r="H880" s="41"/>
      <c r="I880" s="41"/>
      <c r="J880" s="41"/>
      <c r="K880" s="41"/>
      <c r="L880" s="41"/>
      <c r="M880" s="41"/>
      <c r="N880" s="41"/>
      <c r="O880" s="41"/>
      <c r="P880" s="41"/>
      <c r="Q880" s="41"/>
      <c r="R880" s="41"/>
      <c r="S880" s="41"/>
      <c r="T880" s="41"/>
      <c r="U880" s="41"/>
      <c r="V880" s="41"/>
      <c r="W880" s="41"/>
      <c r="X880" s="41"/>
      <c r="Y880" s="41"/>
      <c r="Z880" s="41"/>
      <c r="AA880" s="41"/>
      <c r="AB880" s="41"/>
      <c r="AC880" s="41"/>
      <c r="AD880" s="41"/>
      <c r="AE880" s="41"/>
      <c r="AF880" s="41"/>
      <c r="AG880" s="41"/>
      <c r="AH880" s="41"/>
      <c r="AI880" s="41"/>
    </row>
    <row r="881" spans="1:35" ht="15.75" customHeight="1" x14ac:dyDescent="0.2">
      <c r="A881" s="41"/>
      <c r="B881" s="41"/>
      <c r="C881" s="41"/>
      <c r="D881" s="72"/>
      <c r="E881" s="41"/>
      <c r="F881" s="41"/>
      <c r="G881" s="41"/>
      <c r="H881" s="41"/>
      <c r="I881" s="41"/>
      <c r="J881" s="41"/>
      <c r="K881" s="41"/>
      <c r="L881" s="41"/>
      <c r="M881" s="41"/>
      <c r="N881" s="41"/>
      <c r="O881" s="41"/>
      <c r="P881" s="41"/>
      <c r="Q881" s="41"/>
      <c r="R881" s="41"/>
      <c r="S881" s="41"/>
      <c r="T881" s="41"/>
      <c r="U881" s="41"/>
      <c r="V881" s="41"/>
      <c r="W881" s="41"/>
      <c r="X881" s="41"/>
      <c r="Y881" s="41"/>
      <c r="Z881" s="41"/>
      <c r="AA881" s="41"/>
      <c r="AB881" s="41"/>
      <c r="AC881" s="41"/>
      <c r="AD881" s="41"/>
      <c r="AE881" s="41"/>
      <c r="AF881" s="41"/>
      <c r="AG881" s="41"/>
      <c r="AH881" s="41"/>
      <c r="AI881" s="41"/>
    </row>
    <row r="882" spans="1:35" ht="15.75" customHeight="1" x14ac:dyDescent="0.2">
      <c r="A882" s="41"/>
      <c r="B882" s="41"/>
      <c r="C882" s="41"/>
      <c r="D882" s="72"/>
      <c r="E882" s="41"/>
      <c r="F882" s="41"/>
      <c r="G882" s="41"/>
      <c r="H882" s="41"/>
      <c r="I882" s="41"/>
      <c r="J882" s="41"/>
      <c r="K882" s="41"/>
      <c r="L882" s="41"/>
      <c r="M882" s="41"/>
      <c r="N882" s="41"/>
      <c r="O882" s="41"/>
      <c r="P882" s="41"/>
      <c r="Q882" s="41"/>
      <c r="R882" s="41"/>
      <c r="S882" s="41"/>
      <c r="T882" s="41"/>
      <c r="U882" s="41"/>
      <c r="V882" s="41"/>
      <c r="W882" s="41"/>
      <c r="X882" s="41"/>
      <c r="Y882" s="41"/>
      <c r="Z882" s="41"/>
      <c r="AA882" s="41"/>
      <c r="AB882" s="41"/>
      <c r="AC882" s="41"/>
      <c r="AD882" s="41"/>
      <c r="AE882" s="41"/>
      <c r="AF882" s="41"/>
      <c r="AG882" s="41"/>
      <c r="AH882" s="41"/>
      <c r="AI882" s="41"/>
    </row>
    <row r="883" spans="1:35" ht="15.75" customHeight="1" x14ac:dyDescent="0.2">
      <c r="A883" s="41"/>
      <c r="B883" s="41"/>
      <c r="C883" s="41"/>
      <c r="D883" s="72"/>
      <c r="E883" s="41"/>
      <c r="F883" s="41"/>
      <c r="G883" s="41"/>
      <c r="H883" s="41"/>
      <c r="I883" s="41"/>
      <c r="J883" s="41"/>
      <c r="K883" s="41"/>
      <c r="L883" s="41"/>
      <c r="M883" s="41"/>
      <c r="N883" s="41"/>
      <c r="O883" s="41"/>
      <c r="P883" s="41"/>
      <c r="Q883" s="41"/>
      <c r="R883" s="41"/>
      <c r="S883" s="41"/>
      <c r="T883" s="41"/>
      <c r="U883" s="41"/>
      <c r="V883" s="41"/>
      <c r="W883" s="41"/>
      <c r="X883" s="41"/>
      <c r="Y883" s="41"/>
      <c r="Z883" s="41"/>
      <c r="AA883" s="41"/>
      <c r="AB883" s="41"/>
      <c r="AC883" s="41"/>
      <c r="AD883" s="41"/>
      <c r="AE883" s="41"/>
      <c r="AF883" s="41"/>
      <c r="AG883" s="41"/>
      <c r="AH883" s="41"/>
      <c r="AI883" s="41"/>
    </row>
    <row r="884" spans="1:35" ht="15.75" customHeight="1" x14ac:dyDescent="0.2">
      <c r="A884" s="41"/>
      <c r="B884" s="41"/>
      <c r="C884" s="41"/>
      <c r="D884" s="72"/>
      <c r="E884" s="41"/>
      <c r="F884" s="41"/>
      <c r="G884" s="41"/>
      <c r="H884" s="41"/>
      <c r="I884" s="41"/>
      <c r="J884" s="41"/>
      <c r="K884" s="41"/>
      <c r="L884" s="41"/>
      <c r="M884" s="41"/>
      <c r="N884" s="41"/>
      <c r="O884" s="41"/>
      <c r="P884" s="41"/>
      <c r="Q884" s="41"/>
      <c r="R884" s="41"/>
      <c r="S884" s="41"/>
      <c r="T884" s="41"/>
      <c r="U884" s="41"/>
      <c r="V884" s="41"/>
      <c r="W884" s="41"/>
      <c r="X884" s="41"/>
      <c r="Y884" s="41"/>
      <c r="Z884" s="41"/>
      <c r="AA884" s="41"/>
      <c r="AB884" s="41"/>
      <c r="AC884" s="41"/>
      <c r="AD884" s="41"/>
      <c r="AE884" s="41"/>
      <c r="AF884" s="41"/>
      <c r="AG884" s="41"/>
      <c r="AH884" s="41"/>
      <c r="AI884" s="41"/>
    </row>
    <row r="885" spans="1:35" ht="15.75" customHeight="1" x14ac:dyDescent="0.2">
      <c r="A885" s="41"/>
      <c r="B885" s="41"/>
      <c r="C885" s="41"/>
      <c r="D885" s="72"/>
      <c r="E885" s="41"/>
      <c r="F885" s="41"/>
      <c r="G885" s="41"/>
      <c r="H885" s="41"/>
      <c r="I885" s="41"/>
      <c r="J885" s="41"/>
      <c r="K885" s="41"/>
      <c r="L885" s="41"/>
      <c r="M885" s="41"/>
      <c r="N885" s="41"/>
      <c r="O885" s="41"/>
      <c r="P885" s="41"/>
      <c r="Q885" s="41"/>
      <c r="R885" s="41"/>
      <c r="S885" s="41"/>
      <c r="T885" s="41"/>
      <c r="U885" s="41"/>
      <c r="V885" s="41"/>
      <c r="W885" s="41"/>
      <c r="X885" s="41"/>
      <c r="Y885" s="41"/>
      <c r="Z885" s="41"/>
      <c r="AA885" s="41"/>
      <c r="AB885" s="41"/>
      <c r="AC885" s="41"/>
      <c r="AD885" s="41"/>
      <c r="AE885" s="41"/>
      <c r="AF885" s="41"/>
      <c r="AG885" s="41"/>
      <c r="AH885" s="41"/>
      <c r="AI885" s="41"/>
    </row>
    <row r="886" spans="1:35" ht="15.75" customHeight="1" x14ac:dyDescent="0.2">
      <c r="A886" s="41"/>
      <c r="B886" s="41"/>
      <c r="C886" s="41"/>
      <c r="D886" s="72"/>
      <c r="E886" s="41"/>
      <c r="F886" s="41"/>
      <c r="G886" s="41"/>
      <c r="H886" s="41"/>
      <c r="I886" s="41"/>
      <c r="J886" s="41"/>
      <c r="K886" s="41"/>
      <c r="L886" s="41"/>
      <c r="M886" s="41"/>
      <c r="N886" s="41"/>
      <c r="O886" s="41"/>
      <c r="P886" s="41"/>
      <c r="Q886" s="41"/>
      <c r="R886" s="41"/>
      <c r="S886" s="41"/>
      <c r="T886" s="41"/>
      <c r="U886" s="41"/>
      <c r="V886" s="41"/>
      <c r="W886" s="41"/>
      <c r="X886" s="41"/>
      <c r="Y886" s="41"/>
      <c r="Z886" s="41"/>
      <c r="AA886" s="41"/>
      <c r="AB886" s="41"/>
      <c r="AC886" s="41"/>
      <c r="AD886" s="41"/>
      <c r="AE886" s="41"/>
      <c r="AF886" s="41"/>
      <c r="AG886" s="41"/>
      <c r="AH886" s="41"/>
      <c r="AI886" s="41"/>
    </row>
    <row r="887" spans="1:35" ht="15.75" customHeight="1" x14ac:dyDescent="0.2">
      <c r="A887" s="41"/>
      <c r="B887" s="41"/>
      <c r="C887" s="41"/>
      <c r="D887" s="72"/>
      <c r="E887" s="41"/>
      <c r="F887" s="41"/>
      <c r="G887" s="41"/>
      <c r="H887" s="41"/>
      <c r="I887" s="41"/>
      <c r="J887" s="41"/>
      <c r="K887" s="41"/>
      <c r="L887" s="41"/>
      <c r="M887" s="41"/>
      <c r="N887" s="41"/>
      <c r="O887" s="41"/>
      <c r="P887" s="41"/>
      <c r="Q887" s="41"/>
      <c r="R887" s="41"/>
      <c r="S887" s="41"/>
      <c r="T887" s="41"/>
      <c r="U887" s="41"/>
      <c r="V887" s="41"/>
      <c r="W887" s="41"/>
      <c r="X887" s="41"/>
      <c r="Y887" s="41"/>
      <c r="Z887" s="41"/>
      <c r="AA887" s="41"/>
      <c r="AB887" s="41"/>
      <c r="AC887" s="41"/>
      <c r="AD887" s="41"/>
      <c r="AE887" s="41"/>
      <c r="AF887" s="41"/>
      <c r="AG887" s="41"/>
      <c r="AH887" s="41"/>
      <c r="AI887" s="41"/>
    </row>
    <row r="888" spans="1:35" ht="15.75" customHeight="1" x14ac:dyDescent="0.2">
      <c r="A888" s="41"/>
      <c r="B888" s="41"/>
      <c r="C888" s="41"/>
      <c r="D888" s="72"/>
      <c r="E888" s="41"/>
      <c r="F888" s="41"/>
      <c r="G888" s="41"/>
      <c r="H888" s="41"/>
      <c r="I888" s="41"/>
      <c r="J888" s="41"/>
      <c r="K888" s="41"/>
      <c r="L888" s="41"/>
      <c r="M888" s="41"/>
      <c r="N888" s="41"/>
      <c r="O888" s="41"/>
      <c r="P888" s="41"/>
      <c r="Q888" s="41"/>
      <c r="R888" s="41"/>
      <c r="S888" s="41"/>
      <c r="T888" s="41"/>
      <c r="U888" s="41"/>
      <c r="V888" s="41"/>
      <c r="W888" s="41"/>
      <c r="X888" s="41"/>
      <c r="Y888" s="41"/>
      <c r="Z888" s="41"/>
      <c r="AA888" s="41"/>
      <c r="AB888" s="41"/>
      <c r="AC888" s="41"/>
      <c r="AD888" s="41"/>
      <c r="AE888" s="41"/>
      <c r="AF888" s="41"/>
      <c r="AG888" s="41"/>
      <c r="AH888" s="41"/>
      <c r="AI888" s="41"/>
    </row>
    <row r="889" spans="1:35" ht="15.75" customHeight="1" x14ac:dyDescent="0.2">
      <c r="A889" s="41"/>
      <c r="B889" s="41"/>
      <c r="C889" s="41"/>
      <c r="D889" s="72"/>
      <c r="E889" s="41"/>
      <c r="F889" s="41"/>
      <c r="G889" s="41"/>
      <c r="H889" s="41"/>
      <c r="I889" s="41"/>
      <c r="J889" s="41"/>
      <c r="K889" s="41"/>
      <c r="L889" s="41"/>
      <c r="M889" s="41"/>
      <c r="N889" s="41"/>
      <c r="O889" s="41"/>
      <c r="P889" s="41"/>
      <c r="Q889" s="41"/>
      <c r="R889" s="41"/>
      <c r="S889" s="41"/>
      <c r="T889" s="41"/>
      <c r="U889" s="41"/>
      <c r="V889" s="41"/>
      <c r="W889" s="41"/>
      <c r="X889" s="41"/>
      <c r="Y889" s="41"/>
      <c r="Z889" s="41"/>
      <c r="AA889" s="41"/>
      <c r="AB889" s="41"/>
      <c r="AC889" s="41"/>
      <c r="AD889" s="41"/>
      <c r="AE889" s="41"/>
      <c r="AF889" s="41"/>
      <c r="AG889" s="41"/>
      <c r="AH889" s="41"/>
      <c r="AI889" s="41"/>
    </row>
    <row r="890" spans="1:35" ht="15.75" customHeight="1" x14ac:dyDescent="0.2">
      <c r="A890" s="41"/>
      <c r="B890" s="41"/>
      <c r="C890" s="41"/>
      <c r="D890" s="72"/>
      <c r="E890" s="41"/>
      <c r="F890" s="41"/>
      <c r="G890" s="41"/>
      <c r="H890" s="41"/>
      <c r="I890" s="41"/>
      <c r="J890" s="41"/>
      <c r="K890" s="41"/>
      <c r="L890" s="41"/>
      <c r="M890" s="41"/>
      <c r="N890" s="41"/>
      <c r="O890" s="41"/>
      <c r="P890" s="41"/>
      <c r="Q890" s="41"/>
      <c r="R890" s="41"/>
      <c r="S890" s="41"/>
      <c r="T890" s="41"/>
      <c r="U890" s="41"/>
      <c r="V890" s="41"/>
      <c r="W890" s="41"/>
      <c r="X890" s="41"/>
      <c r="Y890" s="41"/>
      <c r="Z890" s="41"/>
      <c r="AA890" s="41"/>
      <c r="AB890" s="41"/>
      <c r="AC890" s="41"/>
      <c r="AD890" s="41"/>
      <c r="AE890" s="41"/>
      <c r="AF890" s="41"/>
      <c r="AG890" s="41"/>
      <c r="AH890" s="41"/>
      <c r="AI890" s="41"/>
    </row>
    <row r="891" spans="1:35" ht="15.75" customHeight="1" x14ac:dyDescent="0.2">
      <c r="A891" s="41"/>
      <c r="B891" s="41"/>
      <c r="C891" s="41"/>
      <c r="D891" s="72"/>
      <c r="E891" s="41"/>
      <c r="F891" s="41"/>
      <c r="G891" s="41"/>
      <c r="H891" s="41"/>
      <c r="I891" s="41"/>
      <c r="J891" s="41"/>
      <c r="K891" s="41"/>
      <c r="L891" s="41"/>
      <c r="M891" s="41"/>
      <c r="N891" s="41"/>
      <c r="O891" s="41"/>
      <c r="P891" s="41"/>
      <c r="Q891" s="41"/>
      <c r="R891" s="41"/>
      <c r="S891" s="41"/>
      <c r="T891" s="41"/>
      <c r="U891" s="41"/>
      <c r="V891" s="41"/>
      <c r="W891" s="41"/>
      <c r="X891" s="41"/>
      <c r="Y891" s="41"/>
      <c r="Z891" s="41"/>
      <c r="AA891" s="41"/>
      <c r="AB891" s="41"/>
      <c r="AC891" s="41"/>
      <c r="AD891" s="41"/>
      <c r="AE891" s="41"/>
      <c r="AF891" s="41"/>
      <c r="AG891" s="41"/>
      <c r="AH891" s="41"/>
      <c r="AI891" s="41"/>
    </row>
    <row r="892" spans="1:35" ht="15.75" customHeight="1" x14ac:dyDescent="0.2">
      <c r="A892" s="41"/>
      <c r="B892" s="41"/>
      <c r="C892" s="41"/>
      <c r="D892" s="72"/>
      <c r="E892" s="41"/>
      <c r="F892" s="41"/>
      <c r="G892" s="41"/>
      <c r="H892" s="41"/>
      <c r="I892" s="41"/>
      <c r="J892" s="41"/>
      <c r="K892" s="41"/>
      <c r="L892" s="41"/>
      <c r="M892" s="41"/>
      <c r="N892" s="41"/>
      <c r="O892" s="41"/>
      <c r="P892" s="41"/>
      <c r="Q892" s="41"/>
      <c r="R892" s="41"/>
      <c r="S892" s="41"/>
      <c r="T892" s="41"/>
      <c r="U892" s="41"/>
      <c r="V892" s="41"/>
      <c r="W892" s="41"/>
      <c r="X892" s="41"/>
      <c r="Y892" s="41"/>
      <c r="Z892" s="41"/>
      <c r="AA892" s="41"/>
      <c r="AB892" s="41"/>
      <c r="AC892" s="41"/>
      <c r="AD892" s="41"/>
      <c r="AE892" s="41"/>
      <c r="AF892" s="41"/>
      <c r="AG892" s="41"/>
      <c r="AH892" s="41"/>
      <c r="AI892" s="41"/>
    </row>
    <row r="893" spans="1:35" ht="15.75" customHeight="1" x14ac:dyDescent="0.2">
      <c r="A893" s="41"/>
      <c r="B893" s="41"/>
      <c r="C893" s="41"/>
      <c r="D893" s="72"/>
      <c r="E893" s="41"/>
      <c r="F893" s="41"/>
      <c r="G893" s="41"/>
      <c r="H893" s="41"/>
      <c r="I893" s="41"/>
      <c r="J893" s="41"/>
      <c r="K893" s="41"/>
      <c r="L893" s="41"/>
      <c r="M893" s="41"/>
      <c r="N893" s="41"/>
      <c r="O893" s="41"/>
      <c r="P893" s="41"/>
      <c r="Q893" s="41"/>
      <c r="R893" s="41"/>
      <c r="S893" s="41"/>
      <c r="T893" s="41"/>
      <c r="U893" s="41"/>
      <c r="V893" s="41"/>
      <c r="W893" s="41"/>
      <c r="X893" s="41"/>
      <c r="Y893" s="41"/>
      <c r="Z893" s="41"/>
      <c r="AA893" s="41"/>
      <c r="AB893" s="41"/>
      <c r="AC893" s="41"/>
      <c r="AD893" s="41"/>
      <c r="AE893" s="41"/>
      <c r="AF893" s="41"/>
      <c r="AG893" s="41"/>
      <c r="AH893" s="41"/>
      <c r="AI893" s="41"/>
    </row>
    <row r="894" spans="1:35" ht="15.75" customHeight="1" x14ac:dyDescent="0.2">
      <c r="A894" s="41"/>
      <c r="B894" s="41"/>
      <c r="C894" s="41"/>
      <c r="D894" s="72"/>
      <c r="E894" s="41"/>
      <c r="F894" s="41"/>
      <c r="G894" s="41"/>
      <c r="H894" s="41"/>
      <c r="I894" s="41"/>
      <c r="J894" s="41"/>
      <c r="K894" s="41"/>
      <c r="L894" s="41"/>
      <c r="M894" s="41"/>
      <c r="N894" s="41"/>
      <c r="O894" s="41"/>
      <c r="P894" s="41"/>
      <c r="Q894" s="41"/>
      <c r="R894" s="41"/>
      <c r="S894" s="41"/>
      <c r="T894" s="41"/>
      <c r="U894" s="41"/>
      <c r="V894" s="41"/>
      <c r="W894" s="41"/>
      <c r="X894" s="41"/>
      <c r="Y894" s="41"/>
      <c r="Z894" s="41"/>
      <c r="AA894" s="41"/>
      <c r="AB894" s="41"/>
      <c r="AC894" s="41"/>
      <c r="AD894" s="41"/>
      <c r="AE894" s="41"/>
      <c r="AF894" s="41"/>
      <c r="AG894" s="41"/>
      <c r="AH894" s="41"/>
      <c r="AI894" s="41"/>
    </row>
    <row r="895" spans="1:35" ht="15.75" customHeight="1" x14ac:dyDescent="0.2">
      <c r="A895" s="41"/>
      <c r="B895" s="41"/>
      <c r="C895" s="41"/>
      <c r="D895" s="72"/>
      <c r="E895" s="41"/>
      <c r="F895" s="41"/>
      <c r="G895" s="41"/>
      <c r="H895" s="41"/>
      <c r="I895" s="41"/>
      <c r="J895" s="41"/>
      <c r="K895" s="41"/>
      <c r="L895" s="41"/>
      <c r="M895" s="41"/>
      <c r="N895" s="41"/>
      <c r="O895" s="41"/>
      <c r="P895" s="41"/>
      <c r="Q895" s="41"/>
      <c r="R895" s="41"/>
      <c r="S895" s="41"/>
      <c r="T895" s="41"/>
      <c r="U895" s="41"/>
      <c r="V895" s="41"/>
      <c r="W895" s="41"/>
      <c r="X895" s="41"/>
      <c r="Y895" s="41"/>
      <c r="Z895" s="41"/>
      <c r="AA895" s="41"/>
      <c r="AB895" s="41"/>
      <c r="AC895" s="41"/>
      <c r="AD895" s="41"/>
      <c r="AE895" s="41"/>
      <c r="AF895" s="41"/>
      <c r="AG895" s="41"/>
      <c r="AH895" s="41"/>
      <c r="AI895" s="41"/>
    </row>
    <row r="896" spans="1:35" ht="15.75" customHeight="1" x14ac:dyDescent="0.2">
      <c r="A896" s="41"/>
      <c r="B896" s="41"/>
      <c r="C896" s="41"/>
      <c r="D896" s="72"/>
      <c r="E896" s="41"/>
      <c r="F896" s="41"/>
      <c r="G896" s="41"/>
      <c r="H896" s="41"/>
      <c r="I896" s="41"/>
      <c r="J896" s="41"/>
      <c r="K896" s="41"/>
      <c r="L896" s="41"/>
      <c r="M896" s="41"/>
      <c r="N896" s="41"/>
      <c r="O896" s="41"/>
      <c r="P896" s="41"/>
      <c r="Q896" s="41"/>
      <c r="R896" s="41"/>
      <c r="S896" s="41"/>
      <c r="T896" s="41"/>
      <c r="U896" s="41"/>
      <c r="V896" s="41"/>
      <c r="W896" s="41"/>
      <c r="X896" s="41"/>
      <c r="Y896" s="41"/>
      <c r="Z896" s="41"/>
      <c r="AA896" s="41"/>
      <c r="AB896" s="41"/>
      <c r="AC896" s="41"/>
      <c r="AD896" s="41"/>
      <c r="AE896" s="41"/>
      <c r="AF896" s="41"/>
      <c r="AG896" s="41"/>
      <c r="AH896" s="41"/>
      <c r="AI896" s="41"/>
    </row>
    <row r="897" spans="1:35" ht="15.75" customHeight="1" x14ac:dyDescent="0.2">
      <c r="A897" s="41"/>
      <c r="B897" s="41"/>
      <c r="C897" s="41"/>
      <c r="D897" s="72"/>
      <c r="E897" s="41"/>
      <c r="F897" s="41"/>
      <c r="G897" s="41"/>
      <c r="H897" s="41"/>
      <c r="I897" s="41"/>
      <c r="J897" s="41"/>
      <c r="K897" s="41"/>
      <c r="L897" s="41"/>
      <c r="M897" s="41"/>
      <c r="N897" s="41"/>
      <c r="O897" s="41"/>
      <c r="P897" s="41"/>
      <c r="Q897" s="41"/>
      <c r="R897" s="41"/>
      <c r="S897" s="41"/>
      <c r="T897" s="41"/>
      <c r="U897" s="41"/>
      <c r="V897" s="41"/>
      <c r="W897" s="41"/>
      <c r="X897" s="41"/>
      <c r="Y897" s="41"/>
      <c r="Z897" s="41"/>
      <c r="AA897" s="41"/>
      <c r="AB897" s="41"/>
      <c r="AC897" s="41"/>
      <c r="AD897" s="41"/>
      <c r="AE897" s="41"/>
      <c r="AF897" s="41"/>
      <c r="AG897" s="41"/>
      <c r="AH897" s="41"/>
      <c r="AI897" s="41"/>
    </row>
    <row r="898" spans="1:35" ht="15.75" customHeight="1" x14ac:dyDescent="0.2">
      <c r="A898" s="41"/>
      <c r="B898" s="41"/>
      <c r="C898" s="41"/>
      <c r="D898" s="72"/>
      <c r="E898" s="41"/>
      <c r="F898" s="41"/>
      <c r="G898" s="41"/>
      <c r="H898" s="41"/>
      <c r="I898" s="41"/>
      <c r="J898" s="41"/>
      <c r="K898" s="41"/>
      <c r="L898" s="41"/>
      <c r="M898" s="41"/>
      <c r="N898" s="41"/>
      <c r="O898" s="41"/>
      <c r="P898" s="41"/>
      <c r="Q898" s="41"/>
      <c r="R898" s="41"/>
      <c r="S898" s="41"/>
      <c r="T898" s="41"/>
      <c r="U898" s="41"/>
      <c r="V898" s="41"/>
      <c r="W898" s="41"/>
      <c r="X898" s="41"/>
      <c r="Y898" s="41"/>
      <c r="Z898" s="41"/>
      <c r="AA898" s="41"/>
      <c r="AB898" s="41"/>
      <c r="AC898" s="41"/>
      <c r="AD898" s="41"/>
      <c r="AE898" s="41"/>
      <c r="AF898" s="41"/>
      <c r="AG898" s="41"/>
      <c r="AH898" s="41"/>
      <c r="AI898" s="41"/>
    </row>
    <row r="899" spans="1:35" ht="15.75" customHeight="1" x14ac:dyDescent="0.2">
      <c r="A899" s="41"/>
      <c r="B899" s="41"/>
      <c r="C899" s="41"/>
      <c r="D899" s="72"/>
      <c r="E899" s="41"/>
      <c r="F899" s="41"/>
      <c r="G899" s="41"/>
      <c r="H899" s="41"/>
      <c r="I899" s="41"/>
      <c r="J899" s="41"/>
      <c r="K899" s="41"/>
      <c r="L899" s="41"/>
      <c r="M899" s="41"/>
      <c r="N899" s="41"/>
      <c r="O899" s="41"/>
      <c r="P899" s="41"/>
      <c r="Q899" s="41"/>
      <c r="R899" s="41"/>
      <c r="S899" s="41"/>
      <c r="T899" s="41"/>
      <c r="U899" s="41"/>
      <c r="V899" s="41"/>
      <c r="W899" s="41"/>
      <c r="X899" s="41"/>
      <c r="Y899" s="41"/>
      <c r="Z899" s="41"/>
      <c r="AA899" s="41"/>
      <c r="AB899" s="41"/>
      <c r="AC899" s="41"/>
      <c r="AD899" s="41"/>
      <c r="AE899" s="41"/>
      <c r="AF899" s="41"/>
      <c r="AG899" s="41"/>
      <c r="AH899" s="41"/>
      <c r="AI899" s="41"/>
    </row>
    <row r="900" spans="1:35" ht="15.75" customHeight="1" x14ac:dyDescent="0.2">
      <c r="A900" s="41"/>
      <c r="B900" s="41"/>
      <c r="C900" s="41"/>
      <c r="D900" s="72"/>
      <c r="E900" s="41"/>
      <c r="F900" s="41"/>
      <c r="G900" s="41"/>
      <c r="H900" s="41"/>
      <c r="I900" s="41"/>
      <c r="J900" s="41"/>
      <c r="K900" s="41"/>
      <c r="L900" s="41"/>
      <c r="M900" s="41"/>
      <c r="N900" s="41"/>
      <c r="O900" s="41"/>
      <c r="P900" s="41"/>
      <c r="Q900" s="41"/>
      <c r="R900" s="41"/>
      <c r="S900" s="41"/>
      <c r="T900" s="41"/>
      <c r="U900" s="41"/>
      <c r="V900" s="41"/>
      <c r="W900" s="41"/>
      <c r="X900" s="41"/>
      <c r="Y900" s="41"/>
      <c r="Z900" s="41"/>
      <c r="AA900" s="41"/>
      <c r="AB900" s="41"/>
      <c r="AC900" s="41"/>
      <c r="AD900" s="41"/>
      <c r="AE900" s="41"/>
      <c r="AF900" s="41"/>
      <c r="AG900" s="41"/>
      <c r="AH900" s="41"/>
      <c r="AI900" s="41"/>
    </row>
    <row r="901" spans="1:35" ht="15.75" customHeight="1" x14ac:dyDescent="0.2">
      <c r="A901" s="41"/>
      <c r="B901" s="41"/>
      <c r="C901" s="41"/>
      <c r="D901" s="72"/>
      <c r="E901" s="41"/>
      <c r="F901" s="41"/>
      <c r="G901" s="41"/>
      <c r="H901" s="41"/>
      <c r="I901" s="41"/>
      <c r="J901" s="41"/>
      <c r="K901" s="41"/>
      <c r="L901" s="41"/>
      <c r="M901" s="41"/>
      <c r="N901" s="41"/>
      <c r="O901" s="41"/>
      <c r="P901" s="41"/>
      <c r="Q901" s="41"/>
      <c r="R901" s="41"/>
      <c r="S901" s="41"/>
      <c r="T901" s="41"/>
      <c r="U901" s="41"/>
      <c r="V901" s="41"/>
      <c r="W901" s="41"/>
      <c r="X901" s="41"/>
      <c r="Y901" s="41"/>
      <c r="Z901" s="41"/>
      <c r="AA901" s="41"/>
      <c r="AB901" s="41"/>
      <c r="AC901" s="41"/>
      <c r="AD901" s="41"/>
      <c r="AE901" s="41"/>
      <c r="AF901" s="41"/>
      <c r="AG901" s="41"/>
      <c r="AH901" s="41"/>
      <c r="AI901" s="41"/>
    </row>
    <row r="902" spans="1:35" ht="15.75" customHeight="1" x14ac:dyDescent="0.2">
      <c r="A902" s="41"/>
      <c r="B902" s="41"/>
      <c r="C902" s="41"/>
      <c r="D902" s="72"/>
      <c r="E902" s="41"/>
      <c r="F902" s="41"/>
      <c r="G902" s="41"/>
      <c r="H902" s="41"/>
      <c r="I902" s="41"/>
      <c r="J902" s="41"/>
      <c r="K902" s="41"/>
      <c r="L902" s="41"/>
      <c r="M902" s="41"/>
      <c r="N902" s="41"/>
      <c r="O902" s="41"/>
      <c r="P902" s="41"/>
      <c r="Q902" s="41"/>
      <c r="R902" s="41"/>
      <c r="S902" s="41"/>
      <c r="T902" s="41"/>
      <c r="U902" s="41"/>
      <c r="V902" s="41"/>
      <c r="W902" s="41"/>
      <c r="X902" s="41"/>
      <c r="Y902" s="41"/>
      <c r="Z902" s="41"/>
      <c r="AA902" s="41"/>
      <c r="AB902" s="41"/>
      <c r="AC902" s="41"/>
      <c r="AD902" s="41"/>
      <c r="AE902" s="41"/>
      <c r="AF902" s="41"/>
      <c r="AG902" s="41"/>
      <c r="AH902" s="41"/>
      <c r="AI902" s="41"/>
    </row>
    <row r="903" spans="1:35" ht="15.75" customHeight="1" x14ac:dyDescent="0.2">
      <c r="A903" s="41"/>
      <c r="B903" s="41"/>
      <c r="C903" s="41"/>
      <c r="D903" s="72"/>
      <c r="E903" s="41"/>
      <c r="F903" s="41"/>
      <c r="G903" s="41"/>
      <c r="H903" s="41"/>
      <c r="I903" s="41"/>
      <c r="J903" s="41"/>
      <c r="K903" s="41"/>
      <c r="L903" s="41"/>
      <c r="M903" s="41"/>
      <c r="N903" s="41"/>
      <c r="O903" s="41"/>
      <c r="P903" s="41"/>
      <c r="Q903" s="41"/>
      <c r="R903" s="41"/>
      <c r="S903" s="41"/>
      <c r="T903" s="41"/>
      <c r="U903" s="41"/>
      <c r="V903" s="41"/>
      <c r="W903" s="41"/>
      <c r="X903" s="41"/>
      <c r="Y903" s="41"/>
      <c r="Z903" s="41"/>
      <c r="AA903" s="41"/>
      <c r="AB903" s="41"/>
      <c r="AC903" s="41"/>
      <c r="AD903" s="41"/>
      <c r="AE903" s="41"/>
      <c r="AF903" s="41"/>
      <c r="AG903" s="41"/>
      <c r="AH903" s="41"/>
      <c r="AI903" s="41"/>
    </row>
    <row r="904" spans="1:35" ht="15.75" customHeight="1" x14ac:dyDescent="0.2">
      <c r="A904" s="41"/>
      <c r="B904" s="41"/>
      <c r="C904" s="41"/>
      <c r="D904" s="72"/>
      <c r="E904" s="41"/>
      <c r="F904" s="41"/>
      <c r="G904" s="41"/>
      <c r="H904" s="41"/>
      <c r="I904" s="41"/>
      <c r="J904" s="41"/>
      <c r="K904" s="41"/>
      <c r="L904" s="41"/>
      <c r="M904" s="41"/>
      <c r="N904" s="41"/>
      <c r="O904" s="41"/>
      <c r="P904" s="41"/>
      <c r="Q904" s="41"/>
      <c r="R904" s="41"/>
      <c r="S904" s="41"/>
      <c r="T904" s="41"/>
      <c r="U904" s="41"/>
      <c r="V904" s="41"/>
      <c r="W904" s="41"/>
      <c r="X904" s="41"/>
      <c r="Y904" s="41"/>
      <c r="Z904" s="41"/>
      <c r="AA904" s="41"/>
      <c r="AB904" s="41"/>
      <c r="AC904" s="41"/>
      <c r="AD904" s="41"/>
      <c r="AE904" s="41"/>
      <c r="AF904" s="41"/>
      <c r="AG904" s="41"/>
      <c r="AH904" s="41"/>
      <c r="AI904" s="41"/>
    </row>
    <row r="905" spans="1:35" ht="15.75" customHeight="1" x14ac:dyDescent="0.2">
      <c r="A905" s="41"/>
      <c r="B905" s="41"/>
      <c r="C905" s="41"/>
      <c r="D905" s="72"/>
      <c r="E905" s="41"/>
      <c r="F905" s="41"/>
      <c r="G905" s="41"/>
      <c r="H905" s="41"/>
      <c r="I905" s="41"/>
      <c r="J905" s="41"/>
      <c r="K905" s="41"/>
      <c r="L905" s="41"/>
      <c r="M905" s="41"/>
      <c r="N905" s="41"/>
      <c r="O905" s="41"/>
      <c r="P905" s="41"/>
      <c r="Q905" s="41"/>
      <c r="R905" s="41"/>
      <c r="S905" s="41"/>
      <c r="T905" s="41"/>
      <c r="U905" s="41"/>
      <c r="V905" s="41"/>
      <c r="W905" s="41"/>
      <c r="X905" s="41"/>
      <c r="Y905" s="41"/>
      <c r="Z905" s="41"/>
      <c r="AA905" s="41"/>
      <c r="AB905" s="41"/>
      <c r="AC905" s="41"/>
      <c r="AD905" s="41"/>
      <c r="AE905" s="41"/>
      <c r="AF905" s="41"/>
      <c r="AG905" s="41"/>
      <c r="AH905" s="41"/>
      <c r="AI905" s="41"/>
    </row>
    <row r="906" spans="1:35" ht="15.75" customHeight="1" x14ac:dyDescent="0.2">
      <c r="A906" s="41"/>
      <c r="B906" s="41"/>
      <c r="C906" s="41"/>
      <c r="D906" s="72"/>
      <c r="E906" s="41"/>
      <c r="F906" s="41"/>
      <c r="G906" s="41"/>
      <c r="H906" s="41"/>
      <c r="I906" s="41"/>
      <c r="J906" s="41"/>
      <c r="K906" s="41"/>
      <c r="L906" s="41"/>
      <c r="M906" s="41"/>
      <c r="N906" s="41"/>
      <c r="O906" s="41"/>
      <c r="P906" s="41"/>
      <c r="Q906" s="41"/>
      <c r="R906" s="41"/>
      <c r="S906" s="41"/>
      <c r="T906" s="41"/>
      <c r="U906" s="41"/>
      <c r="V906" s="41"/>
      <c r="W906" s="41"/>
      <c r="X906" s="41"/>
      <c r="Y906" s="41"/>
      <c r="Z906" s="41"/>
      <c r="AA906" s="41"/>
      <c r="AB906" s="41"/>
      <c r="AC906" s="41"/>
      <c r="AD906" s="41"/>
      <c r="AE906" s="41"/>
      <c r="AF906" s="41"/>
      <c r="AG906" s="41"/>
      <c r="AH906" s="41"/>
      <c r="AI906" s="41"/>
    </row>
    <row r="907" spans="1:35" ht="15.75" customHeight="1" x14ac:dyDescent="0.2">
      <c r="A907" s="41"/>
      <c r="B907" s="41"/>
      <c r="C907" s="41"/>
      <c r="D907" s="72"/>
      <c r="E907" s="41"/>
      <c r="F907" s="41"/>
      <c r="G907" s="41"/>
      <c r="H907" s="41"/>
      <c r="I907" s="41"/>
      <c r="J907" s="41"/>
      <c r="K907" s="41"/>
      <c r="L907" s="41"/>
      <c r="M907" s="41"/>
      <c r="N907" s="41"/>
      <c r="O907" s="41"/>
      <c r="P907" s="41"/>
      <c r="Q907" s="41"/>
      <c r="R907" s="41"/>
      <c r="S907" s="41"/>
      <c r="T907" s="41"/>
      <c r="U907" s="41"/>
      <c r="V907" s="41"/>
      <c r="W907" s="41"/>
      <c r="X907" s="41"/>
      <c r="Y907" s="41"/>
      <c r="Z907" s="41"/>
      <c r="AA907" s="41"/>
      <c r="AB907" s="41"/>
      <c r="AC907" s="41"/>
      <c r="AD907" s="41"/>
      <c r="AE907" s="41"/>
      <c r="AF907" s="41"/>
      <c r="AG907" s="41"/>
      <c r="AH907" s="41"/>
      <c r="AI907" s="41"/>
    </row>
    <row r="908" spans="1:35" ht="15.75" customHeight="1" x14ac:dyDescent="0.2">
      <c r="A908" s="41"/>
      <c r="B908" s="41"/>
      <c r="C908" s="41"/>
      <c r="D908" s="72"/>
      <c r="E908" s="41"/>
      <c r="F908" s="41"/>
      <c r="G908" s="41"/>
      <c r="H908" s="41"/>
      <c r="I908" s="41"/>
      <c r="J908" s="41"/>
      <c r="K908" s="41"/>
      <c r="L908" s="41"/>
      <c r="M908" s="41"/>
      <c r="N908" s="41"/>
      <c r="O908" s="41"/>
      <c r="P908" s="41"/>
      <c r="Q908" s="41"/>
      <c r="R908" s="41"/>
      <c r="S908" s="41"/>
      <c r="T908" s="41"/>
      <c r="U908" s="41"/>
      <c r="V908" s="41"/>
      <c r="W908" s="41"/>
      <c r="X908" s="41"/>
      <c r="Y908" s="41"/>
      <c r="Z908" s="41"/>
      <c r="AA908" s="41"/>
      <c r="AB908" s="41"/>
      <c r="AC908" s="41"/>
      <c r="AD908" s="41"/>
      <c r="AE908" s="41"/>
      <c r="AF908" s="41"/>
      <c r="AG908" s="41"/>
      <c r="AH908" s="41"/>
      <c r="AI908" s="41"/>
    </row>
    <row r="909" spans="1:35" ht="15.75" customHeight="1" x14ac:dyDescent="0.2">
      <c r="A909" s="41"/>
      <c r="B909" s="41"/>
      <c r="C909" s="41"/>
      <c r="D909" s="72"/>
      <c r="E909" s="41"/>
      <c r="F909" s="41"/>
      <c r="G909" s="41"/>
      <c r="H909" s="41"/>
      <c r="I909" s="41"/>
      <c r="J909" s="41"/>
      <c r="K909" s="41"/>
      <c r="L909" s="41"/>
      <c r="M909" s="41"/>
      <c r="N909" s="41"/>
      <c r="O909" s="41"/>
      <c r="P909" s="41"/>
      <c r="Q909" s="41"/>
      <c r="R909" s="41"/>
      <c r="S909" s="41"/>
      <c r="T909" s="41"/>
      <c r="U909" s="41"/>
      <c r="V909" s="41"/>
      <c r="W909" s="41"/>
      <c r="X909" s="41"/>
      <c r="Y909" s="41"/>
      <c r="Z909" s="41"/>
      <c r="AA909" s="41"/>
      <c r="AB909" s="41"/>
      <c r="AC909" s="41"/>
      <c r="AD909" s="41"/>
      <c r="AE909" s="41"/>
      <c r="AF909" s="41"/>
      <c r="AG909" s="41"/>
      <c r="AH909" s="41"/>
      <c r="AI909" s="41"/>
    </row>
    <row r="910" spans="1:35" ht="15.75" customHeight="1" x14ac:dyDescent="0.2">
      <c r="A910" s="41"/>
      <c r="B910" s="41"/>
      <c r="C910" s="41"/>
      <c r="D910" s="72"/>
      <c r="E910" s="41"/>
      <c r="F910" s="41"/>
      <c r="G910" s="41"/>
      <c r="H910" s="41"/>
      <c r="I910" s="41"/>
      <c r="J910" s="41"/>
      <c r="K910" s="41"/>
      <c r="L910" s="41"/>
      <c r="M910" s="41"/>
      <c r="N910" s="41"/>
      <c r="O910" s="41"/>
      <c r="P910" s="41"/>
      <c r="Q910" s="41"/>
      <c r="R910" s="41"/>
      <c r="S910" s="41"/>
      <c r="T910" s="41"/>
      <c r="U910" s="41"/>
      <c r="V910" s="41"/>
      <c r="W910" s="41"/>
      <c r="X910" s="41"/>
      <c r="Y910" s="41"/>
      <c r="Z910" s="41"/>
      <c r="AA910" s="41"/>
      <c r="AB910" s="41"/>
      <c r="AC910" s="41"/>
      <c r="AD910" s="41"/>
      <c r="AE910" s="41"/>
      <c r="AF910" s="41"/>
      <c r="AG910" s="41"/>
      <c r="AH910" s="41"/>
      <c r="AI910" s="41"/>
    </row>
    <row r="911" spans="1:35" ht="15.75" customHeight="1" x14ac:dyDescent="0.2">
      <c r="A911" s="41"/>
      <c r="B911" s="41"/>
      <c r="C911" s="41"/>
      <c r="D911" s="72"/>
      <c r="E911" s="41"/>
      <c r="F911" s="41"/>
      <c r="G911" s="41"/>
      <c r="H911" s="41"/>
      <c r="I911" s="41"/>
      <c r="J911" s="41"/>
      <c r="K911" s="41"/>
      <c r="L911" s="41"/>
      <c r="M911" s="41"/>
      <c r="N911" s="41"/>
      <c r="O911" s="41"/>
      <c r="P911" s="41"/>
      <c r="Q911" s="41"/>
      <c r="R911" s="41"/>
      <c r="S911" s="41"/>
      <c r="T911" s="41"/>
      <c r="U911" s="41"/>
      <c r="V911" s="41"/>
      <c r="W911" s="41"/>
      <c r="X911" s="41"/>
      <c r="Y911" s="41"/>
      <c r="Z911" s="41"/>
      <c r="AA911" s="41"/>
      <c r="AB911" s="41"/>
      <c r="AC911" s="41"/>
      <c r="AD911" s="41"/>
      <c r="AE911" s="41"/>
      <c r="AF911" s="41"/>
      <c r="AG911" s="41"/>
      <c r="AH911" s="41"/>
      <c r="AI911" s="41"/>
    </row>
    <row r="912" spans="1:35" ht="15.75" customHeight="1" x14ac:dyDescent="0.2">
      <c r="A912" s="41"/>
      <c r="B912" s="41"/>
      <c r="C912" s="41"/>
      <c r="D912" s="72"/>
      <c r="E912" s="41"/>
      <c r="F912" s="41"/>
      <c r="G912" s="41"/>
      <c r="H912" s="41"/>
      <c r="I912" s="41"/>
      <c r="J912" s="41"/>
      <c r="K912" s="41"/>
      <c r="L912" s="41"/>
      <c r="M912" s="41"/>
      <c r="N912" s="41"/>
      <c r="O912" s="41"/>
      <c r="P912" s="41"/>
      <c r="Q912" s="41"/>
      <c r="R912" s="41"/>
      <c r="S912" s="41"/>
      <c r="T912" s="41"/>
      <c r="U912" s="41"/>
      <c r="V912" s="41"/>
      <c r="W912" s="41"/>
      <c r="X912" s="41"/>
      <c r="Y912" s="41"/>
      <c r="Z912" s="41"/>
      <c r="AA912" s="41"/>
      <c r="AB912" s="41"/>
      <c r="AC912" s="41"/>
      <c r="AD912" s="41"/>
      <c r="AE912" s="41"/>
      <c r="AF912" s="41"/>
      <c r="AG912" s="41"/>
      <c r="AH912" s="41"/>
      <c r="AI912" s="41"/>
    </row>
    <row r="913" spans="1:35" ht="15.75" customHeight="1" x14ac:dyDescent="0.2">
      <c r="A913" s="41"/>
      <c r="B913" s="41"/>
      <c r="C913" s="41"/>
      <c r="D913" s="72"/>
      <c r="E913" s="41"/>
      <c r="F913" s="41"/>
      <c r="G913" s="41"/>
      <c r="H913" s="41"/>
      <c r="I913" s="41"/>
      <c r="J913" s="41"/>
      <c r="K913" s="41"/>
      <c r="L913" s="41"/>
      <c r="M913" s="41"/>
      <c r="N913" s="41"/>
      <c r="O913" s="41"/>
      <c r="P913" s="41"/>
      <c r="Q913" s="41"/>
      <c r="R913" s="41"/>
      <c r="S913" s="41"/>
      <c r="T913" s="41"/>
      <c r="U913" s="41"/>
      <c r="V913" s="41"/>
      <c r="W913" s="41"/>
      <c r="X913" s="41"/>
      <c r="Y913" s="41"/>
      <c r="Z913" s="41"/>
      <c r="AA913" s="41"/>
      <c r="AB913" s="41"/>
      <c r="AC913" s="41"/>
      <c r="AD913" s="41"/>
      <c r="AE913" s="41"/>
      <c r="AF913" s="41"/>
      <c r="AG913" s="41"/>
      <c r="AH913" s="41"/>
      <c r="AI913" s="41"/>
    </row>
    <row r="914" spans="1:35" ht="15.75" customHeight="1" x14ac:dyDescent="0.2">
      <c r="A914" s="41"/>
      <c r="B914" s="41"/>
      <c r="C914" s="41"/>
      <c r="D914" s="72"/>
      <c r="E914" s="41"/>
      <c r="F914" s="41"/>
      <c r="G914" s="41"/>
      <c r="H914" s="41"/>
      <c r="I914" s="41"/>
      <c r="J914" s="41"/>
      <c r="K914" s="41"/>
      <c r="L914" s="41"/>
      <c r="M914" s="41"/>
      <c r="N914" s="41"/>
      <c r="O914" s="41"/>
      <c r="P914" s="41"/>
      <c r="Q914" s="41"/>
      <c r="R914" s="41"/>
      <c r="S914" s="41"/>
      <c r="T914" s="41"/>
      <c r="U914" s="41"/>
      <c r="V914" s="41"/>
      <c r="W914" s="41"/>
      <c r="X914" s="41"/>
      <c r="Y914" s="41"/>
      <c r="Z914" s="41"/>
      <c r="AA914" s="41"/>
      <c r="AB914" s="41"/>
      <c r="AC914" s="41"/>
      <c r="AD914" s="41"/>
      <c r="AE914" s="41"/>
      <c r="AF914" s="41"/>
      <c r="AG914" s="41"/>
      <c r="AH914" s="41"/>
      <c r="AI914" s="41"/>
    </row>
    <row r="915" spans="1:35" ht="15.75" customHeight="1" x14ac:dyDescent="0.2">
      <c r="A915" s="41"/>
      <c r="B915" s="41"/>
      <c r="C915" s="41"/>
      <c r="D915" s="72"/>
      <c r="E915" s="41"/>
      <c r="F915" s="41"/>
      <c r="G915" s="41"/>
      <c r="H915" s="41"/>
      <c r="I915" s="41"/>
      <c r="J915" s="41"/>
      <c r="K915" s="41"/>
      <c r="L915" s="41"/>
      <c r="M915" s="41"/>
      <c r="N915" s="41"/>
      <c r="O915" s="41"/>
      <c r="P915" s="41"/>
      <c r="Q915" s="41"/>
      <c r="R915" s="41"/>
      <c r="S915" s="41"/>
      <c r="T915" s="41"/>
      <c r="U915" s="41"/>
      <c r="V915" s="41"/>
      <c r="W915" s="41"/>
      <c r="X915" s="41"/>
      <c r="Y915" s="41"/>
      <c r="Z915" s="41"/>
      <c r="AA915" s="41"/>
      <c r="AB915" s="41"/>
      <c r="AC915" s="41"/>
      <c r="AD915" s="41"/>
      <c r="AE915" s="41"/>
      <c r="AF915" s="41"/>
      <c r="AG915" s="41"/>
      <c r="AH915" s="41"/>
      <c r="AI915" s="41"/>
    </row>
    <row r="916" spans="1:35" ht="15.75" customHeight="1" x14ac:dyDescent="0.2">
      <c r="A916" s="41"/>
      <c r="B916" s="41"/>
      <c r="C916" s="41"/>
      <c r="D916" s="72"/>
      <c r="E916" s="41"/>
      <c r="F916" s="41"/>
      <c r="G916" s="41"/>
      <c r="H916" s="41"/>
      <c r="I916" s="41"/>
      <c r="J916" s="41"/>
      <c r="K916" s="41"/>
      <c r="L916" s="41"/>
      <c r="M916" s="41"/>
      <c r="N916" s="41"/>
      <c r="O916" s="41"/>
      <c r="P916" s="41"/>
      <c r="Q916" s="41"/>
      <c r="R916" s="41"/>
      <c r="S916" s="41"/>
      <c r="T916" s="41"/>
      <c r="U916" s="41"/>
      <c r="V916" s="41"/>
      <c r="W916" s="41"/>
      <c r="X916" s="41"/>
      <c r="Y916" s="41"/>
      <c r="Z916" s="41"/>
      <c r="AA916" s="41"/>
      <c r="AB916" s="41"/>
      <c r="AC916" s="41"/>
      <c r="AD916" s="41"/>
      <c r="AE916" s="41"/>
      <c r="AF916" s="41"/>
      <c r="AG916" s="41"/>
      <c r="AH916" s="41"/>
      <c r="AI916" s="41"/>
    </row>
    <row r="917" spans="1:35" ht="15.75" customHeight="1" x14ac:dyDescent="0.2">
      <c r="A917" s="41"/>
      <c r="B917" s="41"/>
      <c r="C917" s="41"/>
      <c r="D917" s="72"/>
      <c r="E917" s="41"/>
      <c r="F917" s="41"/>
      <c r="G917" s="41"/>
      <c r="H917" s="41"/>
      <c r="I917" s="41"/>
      <c r="J917" s="41"/>
      <c r="K917" s="41"/>
      <c r="L917" s="41"/>
      <c r="M917" s="41"/>
      <c r="N917" s="41"/>
      <c r="O917" s="41"/>
      <c r="P917" s="41"/>
      <c r="Q917" s="41"/>
      <c r="R917" s="41"/>
      <c r="S917" s="41"/>
      <c r="T917" s="41"/>
      <c r="U917" s="41"/>
      <c r="V917" s="41"/>
      <c r="W917" s="41"/>
      <c r="X917" s="41"/>
      <c r="Y917" s="41"/>
      <c r="Z917" s="41"/>
      <c r="AA917" s="41"/>
      <c r="AB917" s="41"/>
      <c r="AC917" s="41"/>
      <c r="AD917" s="41"/>
      <c r="AE917" s="41"/>
      <c r="AF917" s="41"/>
      <c r="AG917" s="41"/>
      <c r="AH917" s="41"/>
      <c r="AI917" s="41"/>
    </row>
    <row r="918" spans="1:35" ht="15.75" customHeight="1" x14ac:dyDescent="0.2">
      <c r="A918" s="41"/>
      <c r="B918" s="41"/>
      <c r="C918" s="41"/>
      <c r="D918" s="72"/>
      <c r="E918" s="41"/>
      <c r="F918" s="41"/>
      <c r="G918" s="41"/>
      <c r="H918" s="41"/>
      <c r="I918" s="41"/>
      <c r="J918" s="41"/>
      <c r="K918" s="41"/>
      <c r="L918" s="41"/>
      <c r="M918" s="41"/>
      <c r="N918" s="41"/>
      <c r="O918" s="41"/>
      <c r="P918" s="41"/>
      <c r="Q918" s="41"/>
      <c r="R918" s="41"/>
      <c r="S918" s="41"/>
      <c r="T918" s="41"/>
      <c r="U918" s="41"/>
      <c r="V918" s="41"/>
      <c r="W918" s="41"/>
      <c r="X918" s="41"/>
      <c r="Y918" s="41"/>
      <c r="Z918" s="41"/>
      <c r="AA918" s="41"/>
      <c r="AB918" s="41"/>
      <c r="AC918" s="41"/>
      <c r="AD918" s="41"/>
      <c r="AE918" s="41"/>
      <c r="AF918" s="41"/>
      <c r="AG918" s="41"/>
      <c r="AH918" s="41"/>
      <c r="AI918" s="41"/>
    </row>
    <row r="919" spans="1:35" ht="15.75" customHeight="1" x14ac:dyDescent="0.2">
      <c r="A919" s="41"/>
      <c r="B919" s="41"/>
      <c r="C919" s="41"/>
      <c r="D919" s="72"/>
      <c r="E919" s="41"/>
      <c r="F919" s="41"/>
      <c r="G919" s="41"/>
      <c r="H919" s="41"/>
      <c r="I919" s="41"/>
      <c r="J919" s="41"/>
      <c r="K919" s="41"/>
      <c r="L919" s="41"/>
      <c r="M919" s="41"/>
      <c r="N919" s="41"/>
      <c r="O919" s="41"/>
      <c r="P919" s="41"/>
      <c r="Q919" s="41"/>
      <c r="R919" s="41"/>
      <c r="S919" s="41"/>
      <c r="T919" s="41"/>
      <c r="U919" s="41"/>
      <c r="V919" s="41"/>
      <c r="W919" s="41"/>
      <c r="X919" s="41"/>
      <c r="Y919" s="41"/>
      <c r="Z919" s="41"/>
      <c r="AA919" s="41"/>
      <c r="AB919" s="41"/>
      <c r="AC919" s="41"/>
      <c r="AD919" s="41"/>
      <c r="AE919" s="41"/>
      <c r="AF919" s="41"/>
      <c r="AG919" s="41"/>
      <c r="AH919" s="41"/>
      <c r="AI919" s="41"/>
    </row>
    <row r="920" spans="1:35" ht="15.75" customHeight="1" x14ac:dyDescent="0.2">
      <c r="A920" s="41"/>
      <c r="B920" s="41"/>
      <c r="C920" s="41"/>
      <c r="D920" s="72"/>
      <c r="E920" s="41"/>
      <c r="F920" s="41"/>
      <c r="G920" s="41"/>
      <c r="H920" s="41"/>
      <c r="I920" s="41"/>
      <c r="J920" s="41"/>
      <c r="K920" s="41"/>
      <c r="L920" s="41"/>
      <c r="M920" s="41"/>
      <c r="N920" s="41"/>
      <c r="O920" s="41"/>
      <c r="P920" s="41"/>
      <c r="Q920" s="41"/>
      <c r="R920" s="41"/>
      <c r="S920" s="41"/>
      <c r="T920" s="41"/>
      <c r="U920" s="41"/>
      <c r="V920" s="41"/>
      <c r="W920" s="41"/>
      <c r="X920" s="41"/>
      <c r="Y920" s="41"/>
      <c r="Z920" s="41"/>
      <c r="AA920" s="41"/>
      <c r="AB920" s="41"/>
      <c r="AC920" s="41"/>
      <c r="AD920" s="41"/>
      <c r="AE920" s="41"/>
      <c r="AF920" s="41"/>
      <c r="AG920" s="41"/>
      <c r="AH920" s="41"/>
      <c r="AI920" s="41"/>
    </row>
    <row r="921" spans="1:35" ht="15.75" customHeight="1" x14ac:dyDescent="0.2">
      <c r="A921" s="41"/>
      <c r="B921" s="41"/>
      <c r="C921" s="41"/>
      <c r="D921" s="72"/>
      <c r="E921" s="41"/>
      <c r="F921" s="41"/>
      <c r="G921" s="41"/>
      <c r="H921" s="41"/>
      <c r="I921" s="41"/>
      <c r="J921" s="41"/>
      <c r="K921" s="41"/>
      <c r="L921" s="41"/>
      <c r="M921" s="41"/>
      <c r="N921" s="41"/>
      <c r="O921" s="41"/>
      <c r="P921" s="41"/>
      <c r="Q921" s="41"/>
      <c r="R921" s="41"/>
      <c r="S921" s="41"/>
      <c r="T921" s="41"/>
      <c r="U921" s="41"/>
      <c r="V921" s="41"/>
      <c r="W921" s="41"/>
      <c r="X921" s="41"/>
      <c r="Y921" s="41"/>
      <c r="Z921" s="41"/>
      <c r="AA921" s="41"/>
      <c r="AB921" s="41"/>
      <c r="AC921" s="41"/>
      <c r="AD921" s="41"/>
      <c r="AE921" s="41"/>
      <c r="AF921" s="41"/>
      <c r="AG921" s="41"/>
      <c r="AH921" s="41"/>
      <c r="AI921" s="41"/>
    </row>
    <row r="922" spans="1:35" ht="15.75" customHeight="1" x14ac:dyDescent="0.2">
      <c r="A922" s="41"/>
      <c r="B922" s="41"/>
      <c r="C922" s="41"/>
      <c r="D922" s="72"/>
      <c r="E922" s="41"/>
      <c r="F922" s="41"/>
      <c r="G922" s="41"/>
      <c r="H922" s="41"/>
      <c r="I922" s="41"/>
      <c r="J922" s="41"/>
      <c r="K922" s="41"/>
      <c r="L922" s="41"/>
      <c r="M922" s="41"/>
      <c r="N922" s="41"/>
      <c r="O922" s="41"/>
      <c r="P922" s="41"/>
      <c r="Q922" s="41"/>
      <c r="R922" s="41"/>
      <c r="S922" s="41"/>
      <c r="T922" s="41"/>
      <c r="U922" s="41"/>
      <c r="V922" s="41"/>
      <c r="W922" s="41"/>
      <c r="X922" s="41"/>
      <c r="Y922" s="41"/>
      <c r="Z922" s="41"/>
      <c r="AA922" s="41"/>
      <c r="AB922" s="41"/>
      <c r="AC922" s="41"/>
      <c r="AD922" s="41"/>
      <c r="AE922" s="41"/>
      <c r="AF922" s="41"/>
      <c r="AG922" s="41"/>
      <c r="AH922" s="41"/>
      <c r="AI922" s="41"/>
    </row>
    <row r="923" spans="1:35" ht="15.75" customHeight="1" x14ac:dyDescent="0.2">
      <c r="A923" s="41"/>
      <c r="B923" s="41"/>
      <c r="C923" s="41"/>
      <c r="D923" s="72"/>
      <c r="E923" s="41"/>
      <c r="F923" s="41"/>
      <c r="G923" s="41"/>
      <c r="H923" s="41"/>
      <c r="I923" s="41"/>
      <c r="J923" s="41"/>
      <c r="K923" s="41"/>
      <c r="L923" s="41"/>
      <c r="M923" s="41"/>
      <c r="N923" s="41"/>
      <c r="O923" s="41"/>
      <c r="P923" s="41"/>
      <c r="Q923" s="41"/>
      <c r="R923" s="41"/>
      <c r="S923" s="41"/>
      <c r="T923" s="41"/>
      <c r="U923" s="41"/>
      <c r="V923" s="41"/>
      <c r="W923" s="41"/>
      <c r="X923" s="41"/>
      <c r="Y923" s="41"/>
      <c r="Z923" s="41"/>
      <c r="AA923" s="41"/>
      <c r="AB923" s="41"/>
      <c r="AC923" s="41"/>
      <c r="AD923" s="41"/>
      <c r="AE923" s="41"/>
      <c r="AF923" s="41"/>
      <c r="AG923" s="41"/>
      <c r="AH923" s="41"/>
      <c r="AI923" s="41"/>
    </row>
    <row r="924" spans="1:35" ht="15.75" customHeight="1" x14ac:dyDescent="0.2">
      <c r="A924" s="41"/>
      <c r="B924" s="41"/>
      <c r="C924" s="41"/>
      <c r="D924" s="72"/>
      <c r="E924" s="41"/>
      <c r="F924" s="41"/>
      <c r="G924" s="41"/>
      <c r="H924" s="41"/>
      <c r="I924" s="41"/>
      <c r="J924" s="41"/>
      <c r="K924" s="41"/>
      <c r="L924" s="41"/>
      <c r="M924" s="41"/>
      <c r="N924" s="41"/>
      <c r="O924" s="41"/>
      <c r="P924" s="41"/>
      <c r="Q924" s="41"/>
      <c r="R924" s="41"/>
      <c r="S924" s="41"/>
      <c r="T924" s="41"/>
      <c r="U924" s="41"/>
      <c r="V924" s="41"/>
      <c r="W924" s="41"/>
      <c r="X924" s="41"/>
      <c r="Y924" s="41"/>
      <c r="Z924" s="41"/>
      <c r="AA924" s="41"/>
      <c r="AB924" s="41"/>
      <c r="AC924" s="41"/>
      <c r="AD924" s="41"/>
      <c r="AE924" s="41"/>
      <c r="AF924" s="41"/>
      <c r="AG924" s="41"/>
      <c r="AH924" s="41"/>
      <c r="AI924" s="41"/>
    </row>
    <row r="925" spans="1:35" ht="15.75" customHeight="1" x14ac:dyDescent="0.2">
      <c r="A925" s="41"/>
      <c r="B925" s="41"/>
      <c r="C925" s="41"/>
      <c r="D925" s="72"/>
      <c r="E925" s="41"/>
      <c r="F925" s="41"/>
      <c r="G925" s="41"/>
      <c r="H925" s="41"/>
      <c r="I925" s="41"/>
      <c r="J925" s="41"/>
      <c r="K925" s="41"/>
      <c r="L925" s="41"/>
      <c r="M925" s="41"/>
      <c r="N925" s="41"/>
      <c r="O925" s="41"/>
      <c r="P925" s="41"/>
      <c r="Q925" s="41"/>
      <c r="R925" s="41"/>
      <c r="S925" s="41"/>
      <c r="T925" s="41"/>
      <c r="U925" s="41"/>
      <c r="V925" s="41"/>
      <c r="W925" s="41"/>
      <c r="X925" s="41"/>
      <c r="Y925" s="41"/>
      <c r="Z925" s="41"/>
      <c r="AA925" s="41"/>
      <c r="AB925" s="41"/>
      <c r="AC925" s="41"/>
      <c r="AD925" s="41"/>
      <c r="AE925" s="41"/>
      <c r="AF925" s="41"/>
      <c r="AG925" s="41"/>
      <c r="AH925" s="41"/>
      <c r="AI925" s="41"/>
    </row>
    <row r="926" spans="1:35" ht="15.75" customHeight="1" x14ac:dyDescent="0.2">
      <c r="A926" s="41"/>
      <c r="B926" s="41"/>
      <c r="C926" s="41"/>
      <c r="D926" s="72"/>
      <c r="E926" s="41"/>
      <c r="F926" s="41"/>
      <c r="G926" s="41"/>
      <c r="H926" s="41"/>
      <c r="I926" s="41"/>
      <c r="J926" s="41"/>
      <c r="K926" s="41"/>
      <c r="L926" s="41"/>
      <c r="M926" s="41"/>
      <c r="N926" s="41"/>
      <c r="O926" s="41"/>
      <c r="P926" s="41"/>
      <c r="Q926" s="41"/>
      <c r="R926" s="41"/>
      <c r="S926" s="41"/>
      <c r="T926" s="41"/>
      <c r="U926" s="41"/>
      <c r="V926" s="41"/>
      <c r="W926" s="41"/>
      <c r="X926" s="41"/>
      <c r="Y926" s="41"/>
      <c r="Z926" s="41"/>
      <c r="AA926" s="41"/>
      <c r="AB926" s="41"/>
      <c r="AC926" s="41"/>
      <c r="AD926" s="41"/>
      <c r="AE926" s="41"/>
      <c r="AF926" s="41"/>
      <c r="AG926" s="41"/>
      <c r="AH926" s="41"/>
      <c r="AI926" s="41"/>
    </row>
    <row r="927" spans="1:35" ht="15.75" customHeight="1" x14ac:dyDescent="0.2">
      <c r="A927" s="41"/>
      <c r="B927" s="41"/>
      <c r="C927" s="41"/>
      <c r="D927" s="72"/>
      <c r="E927" s="41"/>
      <c r="F927" s="41"/>
      <c r="G927" s="41"/>
      <c r="H927" s="41"/>
      <c r="I927" s="41"/>
      <c r="J927" s="41"/>
      <c r="K927" s="41"/>
      <c r="L927" s="41"/>
      <c r="M927" s="41"/>
      <c r="N927" s="41"/>
      <c r="O927" s="41"/>
      <c r="P927" s="41"/>
      <c r="Q927" s="41"/>
      <c r="R927" s="41"/>
      <c r="S927" s="41"/>
      <c r="T927" s="41"/>
      <c r="U927" s="41"/>
      <c r="V927" s="41"/>
      <c r="W927" s="41"/>
      <c r="X927" s="41"/>
      <c r="Y927" s="41"/>
      <c r="Z927" s="41"/>
      <c r="AA927" s="41"/>
      <c r="AB927" s="41"/>
      <c r="AC927" s="41"/>
      <c r="AD927" s="41"/>
      <c r="AE927" s="41"/>
      <c r="AF927" s="41"/>
      <c r="AG927" s="41"/>
      <c r="AH927" s="41"/>
      <c r="AI927" s="41"/>
    </row>
    <row r="928" spans="1:35" ht="15.75" customHeight="1" x14ac:dyDescent="0.2">
      <c r="A928" s="41"/>
      <c r="B928" s="41"/>
      <c r="C928" s="41"/>
      <c r="D928" s="72"/>
      <c r="E928" s="41"/>
      <c r="F928" s="41"/>
      <c r="G928" s="41"/>
      <c r="H928" s="41"/>
      <c r="I928" s="41"/>
      <c r="J928" s="41"/>
      <c r="K928" s="41"/>
      <c r="L928" s="41"/>
      <c r="M928" s="41"/>
      <c r="N928" s="41"/>
      <c r="O928" s="41"/>
      <c r="P928" s="41"/>
      <c r="Q928" s="41"/>
      <c r="R928" s="41"/>
      <c r="S928" s="41"/>
      <c r="T928" s="41"/>
      <c r="U928" s="41"/>
      <c r="V928" s="41"/>
      <c r="W928" s="41"/>
      <c r="X928" s="41"/>
      <c r="Y928" s="41"/>
      <c r="Z928" s="41"/>
      <c r="AA928" s="41"/>
      <c r="AB928" s="41"/>
      <c r="AC928" s="41"/>
      <c r="AD928" s="41"/>
      <c r="AE928" s="41"/>
      <c r="AF928" s="41"/>
      <c r="AG928" s="41"/>
      <c r="AH928" s="41"/>
      <c r="AI928" s="41"/>
    </row>
    <row r="929" spans="1:35" ht="15.75" customHeight="1" x14ac:dyDescent="0.2">
      <c r="A929" s="41"/>
      <c r="B929" s="41"/>
      <c r="C929" s="41"/>
      <c r="D929" s="72"/>
      <c r="E929" s="41"/>
      <c r="F929" s="41"/>
      <c r="G929" s="41"/>
      <c r="H929" s="41"/>
      <c r="I929" s="41"/>
      <c r="J929" s="41"/>
      <c r="K929" s="41"/>
      <c r="L929" s="41"/>
      <c r="M929" s="41"/>
      <c r="N929" s="41"/>
      <c r="O929" s="41"/>
      <c r="P929" s="41"/>
      <c r="Q929" s="41"/>
      <c r="R929" s="41"/>
      <c r="S929" s="41"/>
      <c r="T929" s="41"/>
      <c r="U929" s="41"/>
      <c r="V929" s="41"/>
      <c r="W929" s="41"/>
      <c r="X929" s="41"/>
      <c r="Y929" s="41"/>
      <c r="Z929" s="41"/>
      <c r="AA929" s="41"/>
      <c r="AB929" s="41"/>
      <c r="AC929" s="41"/>
      <c r="AD929" s="41"/>
      <c r="AE929" s="41"/>
      <c r="AF929" s="41"/>
      <c r="AG929" s="41"/>
      <c r="AH929" s="41"/>
      <c r="AI929" s="41"/>
    </row>
    <row r="930" spans="1:35" ht="15.75" customHeight="1" x14ac:dyDescent="0.2">
      <c r="A930" s="41"/>
      <c r="B930" s="41"/>
      <c r="C930" s="41"/>
      <c r="D930" s="72"/>
      <c r="E930" s="41"/>
      <c r="F930" s="41"/>
      <c r="G930" s="41"/>
      <c r="H930" s="41"/>
      <c r="I930" s="41"/>
      <c r="J930" s="41"/>
      <c r="K930" s="41"/>
      <c r="L930" s="41"/>
      <c r="M930" s="41"/>
      <c r="N930" s="41"/>
      <c r="O930" s="41"/>
      <c r="P930" s="41"/>
      <c r="Q930" s="41"/>
      <c r="R930" s="41"/>
      <c r="S930" s="41"/>
      <c r="T930" s="41"/>
      <c r="U930" s="41"/>
      <c r="V930" s="41"/>
      <c r="W930" s="41"/>
      <c r="X930" s="41"/>
      <c r="Y930" s="41"/>
      <c r="Z930" s="41"/>
      <c r="AA930" s="41"/>
      <c r="AB930" s="41"/>
      <c r="AC930" s="41"/>
      <c r="AD930" s="41"/>
      <c r="AE930" s="41"/>
      <c r="AF930" s="41"/>
      <c r="AG930" s="41"/>
      <c r="AH930" s="41"/>
      <c r="AI930" s="41"/>
    </row>
    <row r="931" spans="1:35" ht="15.75" customHeight="1" x14ac:dyDescent="0.2">
      <c r="A931" s="41"/>
      <c r="B931" s="41"/>
      <c r="C931" s="41"/>
      <c r="D931" s="72"/>
      <c r="E931" s="41"/>
      <c r="F931" s="41"/>
      <c r="G931" s="41"/>
      <c r="H931" s="41"/>
      <c r="I931" s="41"/>
      <c r="J931" s="41"/>
      <c r="K931" s="41"/>
      <c r="L931" s="41"/>
      <c r="M931" s="41"/>
      <c r="N931" s="41"/>
      <c r="O931" s="41"/>
      <c r="P931" s="41"/>
      <c r="Q931" s="41"/>
      <c r="R931" s="41"/>
      <c r="S931" s="41"/>
      <c r="T931" s="41"/>
      <c r="U931" s="41"/>
      <c r="V931" s="41"/>
      <c r="W931" s="41"/>
      <c r="X931" s="41"/>
      <c r="Y931" s="41"/>
      <c r="Z931" s="41"/>
      <c r="AA931" s="41"/>
      <c r="AB931" s="41"/>
      <c r="AC931" s="41"/>
      <c r="AD931" s="41"/>
      <c r="AE931" s="41"/>
      <c r="AF931" s="41"/>
      <c r="AG931" s="41"/>
      <c r="AH931" s="41"/>
      <c r="AI931" s="41"/>
    </row>
    <row r="932" spans="1:35" ht="15.75" customHeight="1" x14ac:dyDescent="0.2">
      <c r="A932" s="41"/>
      <c r="B932" s="41"/>
      <c r="C932" s="41"/>
      <c r="D932" s="72"/>
      <c r="E932" s="41"/>
      <c r="F932" s="41"/>
      <c r="G932" s="41"/>
      <c r="H932" s="41"/>
      <c r="I932" s="41"/>
      <c r="J932" s="41"/>
      <c r="K932" s="41"/>
      <c r="L932" s="41"/>
      <c r="M932" s="41"/>
      <c r="N932" s="41"/>
      <c r="O932" s="41"/>
      <c r="P932" s="41"/>
      <c r="Q932" s="41"/>
      <c r="R932" s="41"/>
      <c r="S932" s="41"/>
      <c r="T932" s="41"/>
      <c r="U932" s="41"/>
      <c r="V932" s="41"/>
      <c r="W932" s="41"/>
      <c r="X932" s="41"/>
      <c r="Y932" s="41"/>
      <c r="Z932" s="41"/>
      <c r="AA932" s="41"/>
      <c r="AB932" s="41"/>
      <c r="AC932" s="41"/>
      <c r="AD932" s="41"/>
      <c r="AE932" s="41"/>
      <c r="AF932" s="41"/>
      <c r="AG932" s="41"/>
      <c r="AH932" s="41"/>
      <c r="AI932" s="41"/>
    </row>
    <row r="933" spans="1:35" ht="15.75" customHeight="1" x14ac:dyDescent="0.2">
      <c r="A933" s="41"/>
      <c r="B933" s="41"/>
      <c r="C933" s="41"/>
      <c r="D933" s="72"/>
      <c r="E933" s="41"/>
      <c r="F933" s="41"/>
      <c r="G933" s="41"/>
      <c r="H933" s="41"/>
      <c r="I933" s="41"/>
      <c r="J933" s="41"/>
      <c r="K933" s="41"/>
      <c r="L933" s="41"/>
      <c r="M933" s="41"/>
      <c r="N933" s="41"/>
      <c r="O933" s="41"/>
      <c r="P933" s="41"/>
      <c r="Q933" s="41"/>
      <c r="R933" s="41"/>
      <c r="S933" s="41"/>
      <c r="T933" s="41"/>
      <c r="U933" s="41"/>
      <c r="V933" s="41"/>
      <c r="W933" s="41"/>
      <c r="X933" s="41"/>
      <c r="Y933" s="41"/>
      <c r="Z933" s="41"/>
      <c r="AA933" s="41"/>
      <c r="AB933" s="41"/>
      <c r="AC933" s="41"/>
      <c r="AD933" s="41"/>
      <c r="AE933" s="41"/>
      <c r="AF933" s="41"/>
      <c r="AG933" s="41"/>
      <c r="AH933" s="41"/>
      <c r="AI933" s="41"/>
    </row>
    <row r="934" spans="1:35" ht="15.75" customHeight="1" x14ac:dyDescent="0.2">
      <c r="A934" s="41"/>
      <c r="B934" s="41"/>
      <c r="C934" s="41"/>
      <c r="D934" s="72"/>
      <c r="E934" s="41"/>
      <c r="F934" s="41"/>
      <c r="G934" s="41"/>
      <c r="H934" s="41"/>
      <c r="I934" s="41"/>
      <c r="J934" s="41"/>
      <c r="K934" s="41"/>
      <c r="L934" s="41"/>
      <c r="M934" s="41"/>
      <c r="N934" s="41"/>
      <c r="O934" s="41"/>
      <c r="P934" s="41"/>
      <c r="Q934" s="41"/>
      <c r="R934" s="41"/>
      <c r="S934" s="41"/>
      <c r="T934" s="41"/>
      <c r="U934" s="41"/>
      <c r="V934" s="41"/>
      <c r="W934" s="41"/>
      <c r="X934" s="41"/>
      <c r="Y934" s="41"/>
      <c r="Z934" s="41"/>
      <c r="AA934" s="41"/>
      <c r="AB934" s="41"/>
      <c r="AC934" s="41"/>
      <c r="AD934" s="41"/>
      <c r="AE934" s="41"/>
      <c r="AF934" s="41"/>
      <c r="AG934" s="41"/>
      <c r="AH934" s="41"/>
      <c r="AI934" s="41"/>
    </row>
    <row r="935" spans="1:35" ht="15.75" customHeight="1" x14ac:dyDescent="0.2">
      <c r="A935" s="41"/>
      <c r="B935" s="41"/>
      <c r="C935" s="41"/>
      <c r="D935" s="72"/>
      <c r="E935" s="41"/>
      <c r="F935" s="41"/>
      <c r="G935" s="41"/>
      <c r="H935" s="41"/>
      <c r="I935" s="41"/>
      <c r="J935" s="41"/>
      <c r="K935" s="41"/>
      <c r="L935" s="41"/>
      <c r="M935" s="41"/>
      <c r="N935" s="41"/>
      <c r="O935" s="41"/>
      <c r="P935" s="41"/>
      <c r="Q935" s="41"/>
      <c r="R935" s="41"/>
      <c r="S935" s="41"/>
      <c r="T935" s="41"/>
      <c r="U935" s="41"/>
      <c r="V935" s="41"/>
      <c r="W935" s="41"/>
      <c r="X935" s="41"/>
      <c r="Y935" s="41"/>
      <c r="Z935" s="41"/>
      <c r="AA935" s="41"/>
      <c r="AB935" s="41"/>
      <c r="AC935" s="41"/>
      <c r="AD935" s="41"/>
      <c r="AE935" s="41"/>
      <c r="AF935" s="41"/>
      <c r="AG935" s="41"/>
      <c r="AH935" s="41"/>
      <c r="AI935" s="41"/>
    </row>
    <row r="936" spans="1:35" ht="15.75" customHeight="1" x14ac:dyDescent="0.2">
      <c r="A936" s="41"/>
      <c r="B936" s="41"/>
      <c r="C936" s="41"/>
      <c r="D936" s="72"/>
      <c r="E936" s="41"/>
      <c r="F936" s="41"/>
      <c r="G936" s="41"/>
      <c r="H936" s="41"/>
      <c r="I936" s="41"/>
      <c r="J936" s="41"/>
      <c r="K936" s="41"/>
      <c r="L936" s="41"/>
      <c r="M936" s="41"/>
      <c r="N936" s="41"/>
      <c r="O936" s="41"/>
      <c r="P936" s="41"/>
      <c r="Q936" s="41"/>
      <c r="R936" s="41"/>
      <c r="S936" s="41"/>
      <c r="T936" s="41"/>
      <c r="U936" s="41"/>
      <c r="V936" s="41"/>
      <c r="W936" s="41"/>
      <c r="X936" s="41"/>
      <c r="Y936" s="41"/>
      <c r="Z936" s="41"/>
      <c r="AA936" s="41"/>
      <c r="AB936" s="41"/>
      <c r="AC936" s="41"/>
      <c r="AD936" s="41"/>
      <c r="AE936" s="41"/>
      <c r="AF936" s="41"/>
      <c r="AG936" s="41"/>
      <c r="AH936" s="41"/>
      <c r="AI936" s="41"/>
    </row>
    <row r="937" spans="1:35" ht="15.75" customHeight="1" x14ac:dyDescent="0.2">
      <c r="A937" s="41"/>
      <c r="B937" s="41"/>
      <c r="C937" s="41"/>
      <c r="D937" s="72"/>
      <c r="E937" s="41"/>
      <c r="F937" s="41"/>
      <c r="G937" s="41"/>
      <c r="H937" s="41"/>
      <c r="I937" s="41"/>
      <c r="J937" s="41"/>
      <c r="K937" s="41"/>
      <c r="L937" s="41"/>
      <c r="M937" s="41"/>
      <c r="N937" s="41"/>
      <c r="O937" s="41"/>
      <c r="P937" s="41"/>
      <c r="Q937" s="41"/>
      <c r="R937" s="41"/>
      <c r="S937" s="41"/>
      <c r="T937" s="41"/>
      <c r="U937" s="41"/>
      <c r="V937" s="41"/>
      <c r="W937" s="41"/>
      <c r="X937" s="41"/>
      <c r="Y937" s="41"/>
      <c r="Z937" s="41"/>
      <c r="AA937" s="41"/>
      <c r="AB937" s="41"/>
      <c r="AC937" s="41"/>
      <c r="AD937" s="41"/>
      <c r="AE937" s="41"/>
      <c r="AF937" s="41"/>
      <c r="AG937" s="41"/>
      <c r="AH937" s="41"/>
      <c r="AI937" s="41"/>
    </row>
    <row r="938" spans="1:35" ht="15.75" customHeight="1" x14ac:dyDescent="0.2">
      <c r="A938" s="41"/>
      <c r="B938" s="41"/>
      <c r="C938" s="41"/>
      <c r="D938" s="72"/>
      <c r="E938" s="41"/>
      <c r="F938" s="41"/>
      <c r="G938" s="41"/>
      <c r="H938" s="41"/>
      <c r="I938" s="41"/>
      <c r="J938" s="41"/>
      <c r="K938" s="41"/>
      <c r="L938" s="41"/>
      <c r="M938" s="41"/>
      <c r="N938" s="41"/>
      <c r="O938" s="41"/>
      <c r="P938" s="41"/>
      <c r="Q938" s="41"/>
      <c r="R938" s="41"/>
      <c r="S938" s="41"/>
      <c r="T938" s="41"/>
      <c r="U938" s="41"/>
      <c r="V938" s="41"/>
      <c r="W938" s="41"/>
      <c r="X938" s="41"/>
      <c r="Y938" s="41"/>
      <c r="Z938" s="41"/>
      <c r="AA938" s="41"/>
      <c r="AB938" s="41"/>
      <c r="AC938" s="41"/>
      <c r="AD938" s="41"/>
      <c r="AE938" s="41"/>
      <c r="AF938" s="41"/>
      <c r="AG938" s="41"/>
      <c r="AH938" s="41"/>
      <c r="AI938" s="41"/>
    </row>
    <row r="939" spans="1:35" ht="15.75" customHeight="1" x14ac:dyDescent="0.2">
      <c r="A939" s="41"/>
      <c r="B939" s="41"/>
      <c r="C939" s="41"/>
      <c r="D939" s="72"/>
      <c r="E939" s="41"/>
      <c r="F939" s="41"/>
      <c r="G939" s="41"/>
      <c r="H939" s="41"/>
      <c r="I939" s="41"/>
      <c r="J939" s="41"/>
      <c r="K939" s="41"/>
      <c r="L939" s="41"/>
      <c r="M939" s="41"/>
      <c r="N939" s="41"/>
      <c r="O939" s="41"/>
      <c r="P939" s="41"/>
      <c r="Q939" s="41"/>
      <c r="R939" s="41"/>
      <c r="S939" s="41"/>
      <c r="T939" s="41"/>
      <c r="U939" s="41"/>
      <c r="V939" s="41"/>
      <c r="W939" s="41"/>
      <c r="X939" s="41"/>
      <c r="Y939" s="41"/>
      <c r="Z939" s="41"/>
      <c r="AA939" s="41"/>
      <c r="AB939" s="41"/>
      <c r="AC939" s="41"/>
      <c r="AD939" s="41"/>
      <c r="AE939" s="41"/>
      <c r="AF939" s="41"/>
      <c r="AG939" s="41"/>
      <c r="AH939" s="41"/>
      <c r="AI939" s="41"/>
    </row>
    <row r="940" spans="1:35" ht="15.75" customHeight="1" x14ac:dyDescent="0.2">
      <c r="A940" s="41"/>
      <c r="B940" s="41"/>
      <c r="C940" s="41"/>
      <c r="D940" s="72"/>
      <c r="E940" s="41"/>
      <c r="F940" s="41"/>
      <c r="G940" s="41"/>
      <c r="H940" s="41"/>
      <c r="I940" s="41"/>
      <c r="J940" s="41"/>
      <c r="K940" s="41"/>
      <c r="L940" s="41"/>
      <c r="M940" s="41"/>
      <c r="N940" s="41"/>
      <c r="O940" s="41"/>
      <c r="P940" s="41"/>
      <c r="Q940" s="41"/>
      <c r="R940" s="41"/>
      <c r="S940" s="41"/>
      <c r="T940" s="41"/>
      <c r="U940" s="41"/>
      <c r="V940" s="41"/>
      <c r="W940" s="41"/>
      <c r="X940" s="41"/>
      <c r="Y940" s="41"/>
      <c r="Z940" s="41"/>
      <c r="AA940" s="41"/>
      <c r="AB940" s="41"/>
      <c r="AC940" s="41"/>
      <c r="AD940" s="41"/>
      <c r="AE940" s="41"/>
      <c r="AF940" s="41"/>
      <c r="AG940" s="41"/>
      <c r="AH940" s="41"/>
      <c r="AI940" s="41"/>
    </row>
    <row r="941" spans="1:35" ht="15.75" customHeight="1" x14ac:dyDescent="0.2">
      <c r="A941" s="41"/>
      <c r="B941" s="41"/>
      <c r="C941" s="41"/>
      <c r="D941" s="72"/>
      <c r="E941" s="41"/>
      <c r="F941" s="41"/>
      <c r="G941" s="41"/>
      <c r="H941" s="41"/>
      <c r="I941" s="41"/>
      <c r="J941" s="41"/>
      <c r="K941" s="41"/>
      <c r="L941" s="41"/>
      <c r="M941" s="41"/>
      <c r="N941" s="41"/>
      <c r="O941" s="41"/>
      <c r="P941" s="41"/>
      <c r="Q941" s="41"/>
      <c r="R941" s="41"/>
      <c r="S941" s="41"/>
      <c r="T941" s="41"/>
      <c r="U941" s="41"/>
      <c r="V941" s="41"/>
      <c r="W941" s="41"/>
      <c r="X941" s="41"/>
      <c r="Y941" s="41"/>
      <c r="Z941" s="41"/>
      <c r="AA941" s="41"/>
      <c r="AB941" s="41"/>
      <c r="AC941" s="41"/>
      <c r="AD941" s="41"/>
      <c r="AE941" s="41"/>
      <c r="AF941" s="41"/>
      <c r="AG941" s="41"/>
      <c r="AH941" s="41"/>
      <c r="AI941" s="41"/>
    </row>
    <row r="942" spans="1:35" ht="15.75" customHeight="1" x14ac:dyDescent="0.2">
      <c r="A942" s="41"/>
      <c r="B942" s="41"/>
      <c r="C942" s="41"/>
      <c r="D942" s="72"/>
      <c r="E942" s="41"/>
      <c r="F942" s="41"/>
      <c r="G942" s="41"/>
      <c r="H942" s="41"/>
      <c r="I942" s="41"/>
      <c r="J942" s="41"/>
      <c r="K942" s="41"/>
      <c r="L942" s="41"/>
      <c r="M942" s="41"/>
      <c r="N942" s="41"/>
      <c r="O942" s="41"/>
      <c r="P942" s="41"/>
      <c r="Q942" s="41"/>
      <c r="R942" s="41"/>
      <c r="S942" s="41"/>
      <c r="T942" s="41"/>
      <c r="U942" s="41"/>
      <c r="V942" s="41"/>
      <c r="W942" s="41"/>
      <c r="X942" s="41"/>
      <c r="Y942" s="41"/>
      <c r="Z942" s="41"/>
      <c r="AA942" s="41"/>
      <c r="AB942" s="41"/>
      <c r="AC942" s="41"/>
      <c r="AD942" s="41"/>
      <c r="AE942" s="41"/>
      <c r="AF942" s="41"/>
      <c r="AG942" s="41"/>
      <c r="AH942" s="41"/>
      <c r="AI942" s="41"/>
    </row>
    <row r="943" spans="1:35" ht="15.75" customHeight="1" x14ac:dyDescent="0.2">
      <c r="A943" s="41"/>
      <c r="B943" s="41"/>
      <c r="C943" s="41"/>
      <c r="D943" s="72"/>
      <c r="E943" s="41"/>
      <c r="F943" s="41"/>
      <c r="G943" s="41"/>
      <c r="H943" s="41"/>
      <c r="I943" s="41"/>
      <c r="J943" s="41"/>
      <c r="K943" s="41"/>
      <c r="L943" s="41"/>
      <c r="M943" s="41"/>
      <c r="N943" s="41"/>
      <c r="O943" s="41"/>
      <c r="P943" s="41"/>
      <c r="Q943" s="41"/>
      <c r="R943" s="41"/>
      <c r="S943" s="41"/>
      <c r="T943" s="41"/>
      <c r="U943" s="41"/>
      <c r="V943" s="41"/>
      <c r="W943" s="41"/>
      <c r="X943" s="41"/>
      <c r="Y943" s="41"/>
      <c r="Z943" s="41"/>
      <c r="AA943" s="41"/>
      <c r="AB943" s="41"/>
      <c r="AC943" s="41"/>
      <c r="AD943" s="41"/>
      <c r="AE943" s="41"/>
      <c r="AF943" s="41"/>
      <c r="AG943" s="41"/>
      <c r="AH943" s="41"/>
      <c r="AI943" s="41"/>
    </row>
    <row r="944" spans="1:35" ht="15.75" customHeight="1" x14ac:dyDescent="0.2">
      <c r="A944" s="41"/>
      <c r="B944" s="41"/>
      <c r="C944" s="41"/>
      <c r="D944" s="72"/>
      <c r="E944" s="41"/>
      <c r="F944" s="41"/>
      <c r="G944" s="41"/>
      <c r="H944" s="41"/>
      <c r="I944" s="41"/>
      <c r="J944" s="41"/>
      <c r="K944" s="41"/>
      <c r="L944" s="41"/>
      <c r="M944" s="41"/>
      <c r="N944" s="41"/>
      <c r="O944" s="41"/>
      <c r="P944" s="41"/>
      <c r="Q944" s="41"/>
      <c r="R944" s="41"/>
      <c r="S944" s="41"/>
      <c r="T944" s="41"/>
      <c r="U944" s="41"/>
      <c r="V944" s="41"/>
      <c r="W944" s="41"/>
      <c r="X944" s="41"/>
      <c r="Y944" s="41"/>
      <c r="Z944" s="41"/>
      <c r="AA944" s="41"/>
      <c r="AB944" s="41"/>
      <c r="AC944" s="41"/>
      <c r="AD944" s="41"/>
      <c r="AE944" s="41"/>
      <c r="AF944" s="41"/>
      <c r="AG944" s="41"/>
      <c r="AH944" s="41"/>
      <c r="AI944" s="41"/>
    </row>
    <row r="945" spans="1:35" ht="15.75" customHeight="1" x14ac:dyDescent="0.2">
      <c r="A945" s="41"/>
      <c r="B945" s="41"/>
      <c r="C945" s="41"/>
      <c r="D945" s="72"/>
      <c r="E945" s="41"/>
      <c r="F945" s="41"/>
      <c r="G945" s="41"/>
      <c r="H945" s="41"/>
      <c r="I945" s="41"/>
      <c r="J945" s="41"/>
      <c r="K945" s="41"/>
      <c r="L945" s="41"/>
      <c r="M945" s="41"/>
      <c r="N945" s="41"/>
      <c r="O945" s="41"/>
      <c r="P945" s="41"/>
      <c r="Q945" s="41"/>
      <c r="R945" s="41"/>
      <c r="S945" s="41"/>
      <c r="T945" s="41"/>
      <c r="U945" s="41"/>
      <c r="V945" s="41"/>
      <c r="W945" s="41"/>
      <c r="X945" s="41"/>
      <c r="Y945" s="41"/>
      <c r="Z945" s="41"/>
      <c r="AA945" s="41"/>
      <c r="AB945" s="41"/>
      <c r="AC945" s="41"/>
      <c r="AD945" s="41"/>
      <c r="AE945" s="41"/>
      <c r="AF945" s="41"/>
      <c r="AG945" s="41"/>
      <c r="AH945" s="41"/>
      <c r="AI945" s="41"/>
    </row>
    <row r="946" spans="1:35" ht="15.75" customHeight="1" x14ac:dyDescent="0.2">
      <c r="A946" s="41"/>
      <c r="B946" s="41"/>
      <c r="C946" s="41"/>
      <c r="D946" s="72"/>
      <c r="E946" s="41"/>
      <c r="F946" s="41"/>
      <c r="G946" s="41"/>
      <c r="H946" s="41"/>
      <c r="I946" s="41"/>
      <c r="J946" s="41"/>
      <c r="K946" s="41"/>
      <c r="L946" s="41"/>
      <c r="M946" s="41"/>
      <c r="N946" s="41"/>
      <c r="O946" s="41"/>
      <c r="P946" s="41"/>
      <c r="Q946" s="41"/>
      <c r="R946" s="41"/>
      <c r="S946" s="41"/>
      <c r="T946" s="41"/>
      <c r="U946" s="41"/>
      <c r="V946" s="41"/>
      <c r="W946" s="41"/>
      <c r="X946" s="41"/>
      <c r="Y946" s="41"/>
      <c r="Z946" s="41"/>
      <c r="AA946" s="41"/>
      <c r="AB946" s="41"/>
      <c r="AC946" s="41"/>
      <c r="AD946" s="41"/>
      <c r="AE946" s="41"/>
      <c r="AF946" s="41"/>
      <c r="AG946" s="41"/>
      <c r="AH946" s="41"/>
      <c r="AI946" s="41"/>
    </row>
    <row r="947" spans="1:35" ht="15.75" customHeight="1" x14ac:dyDescent="0.2">
      <c r="A947" s="41"/>
      <c r="B947" s="41"/>
      <c r="C947" s="41"/>
      <c r="D947" s="72"/>
      <c r="E947" s="41"/>
      <c r="F947" s="41"/>
      <c r="G947" s="41"/>
      <c r="H947" s="41"/>
      <c r="I947" s="41"/>
      <c r="J947" s="41"/>
      <c r="K947" s="41"/>
      <c r="L947" s="41"/>
      <c r="M947" s="41"/>
      <c r="N947" s="41"/>
      <c r="O947" s="41"/>
      <c r="P947" s="41"/>
      <c r="Q947" s="41"/>
      <c r="R947" s="41"/>
      <c r="S947" s="41"/>
      <c r="T947" s="41"/>
      <c r="U947" s="41"/>
      <c r="V947" s="41"/>
      <c r="W947" s="41"/>
      <c r="X947" s="41"/>
      <c r="Y947" s="41"/>
      <c r="Z947" s="41"/>
      <c r="AA947" s="41"/>
      <c r="AB947" s="41"/>
      <c r="AC947" s="41"/>
      <c r="AD947" s="41"/>
      <c r="AE947" s="41"/>
      <c r="AF947" s="41"/>
      <c r="AG947" s="41"/>
      <c r="AH947" s="41"/>
      <c r="AI947" s="41"/>
    </row>
    <row r="948" spans="1:35" ht="15.75" customHeight="1" x14ac:dyDescent="0.2">
      <c r="A948" s="41"/>
      <c r="B948" s="41"/>
      <c r="C948" s="41"/>
      <c r="D948" s="72"/>
      <c r="E948" s="41"/>
      <c r="F948" s="41"/>
      <c r="G948" s="41"/>
      <c r="H948" s="41"/>
      <c r="I948" s="41"/>
      <c r="J948" s="41"/>
      <c r="K948" s="41"/>
      <c r="L948" s="41"/>
      <c r="M948" s="41"/>
      <c r="N948" s="41"/>
      <c r="O948" s="41"/>
      <c r="P948" s="41"/>
      <c r="Q948" s="41"/>
      <c r="R948" s="41"/>
      <c r="S948" s="41"/>
      <c r="T948" s="41"/>
      <c r="U948" s="41"/>
      <c r="V948" s="41"/>
      <c r="W948" s="41"/>
      <c r="X948" s="41"/>
      <c r="Y948" s="41"/>
      <c r="Z948" s="41"/>
      <c r="AA948" s="41"/>
      <c r="AB948" s="41"/>
      <c r="AC948" s="41"/>
      <c r="AD948" s="41"/>
      <c r="AE948" s="41"/>
      <c r="AF948" s="41"/>
      <c r="AG948" s="41"/>
      <c r="AH948" s="41"/>
      <c r="AI948" s="41"/>
    </row>
    <row r="949" spans="1:35" ht="15.75" customHeight="1" x14ac:dyDescent="0.2">
      <c r="A949" s="41"/>
      <c r="B949" s="41"/>
      <c r="C949" s="41"/>
      <c r="D949" s="72"/>
      <c r="E949" s="41"/>
      <c r="F949" s="41"/>
      <c r="G949" s="41"/>
      <c r="H949" s="41"/>
      <c r="I949" s="41"/>
      <c r="J949" s="41"/>
      <c r="K949" s="41"/>
      <c r="L949" s="41"/>
      <c r="M949" s="41"/>
      <c r="N949" s="41"/>
      <c r="O949" s="41"/>
      <c r="P949" s="41"/>
      <c r="Q949" s="41"/>
      <c r="R949" s="41"/>
      <c r="S949" s="41"/>
      <c r="T949" s="41"/>
      <c r="U949" s="41"/>
      <c r="V949" s="41"/>
      <c r="W949" s="41"/>
      <c r="X949" s="41"/>
      <c r="Y949" s="41"/>
      <c r="Z949" s="41"/>
      <c r="AA949" s="41"/>
      <c r="AB949" s="41"/>
      <c r="AC949" s="41"/>
      <c r="AD949" s="41"/>
      <c r="AE949" s="41"/>
      <c r="AF949" s="41"/>
      <c r="AG949" s="41"/>
      <c r="AH949" s="41"/>
      <c r="AI949" s="41"/>
    </row>
    <row r="950" spans="1:35" ht="15.75" customHeight="1" x14ac:dyDescent="0.2">
      <c r="A950" s="41"/>
      <c r="B950" s="41"/>
      <c r="C950" s="41"/>
      <c r="D950" s="72"/>
      <c r="E950" s="41"/>
      <c r="F950" s="41"/>
      <c r="G950" s="41"/>
      <c r="H950" s="41"/>
      <c r="I950" s="41"/>
      <c r="J950" s="41"/>
      <c r="K950" s="41"/>
      <c r="L950" s="41"/>
      <c r="M950" s="41"/>
      <c r="N950" s="41"/>
      <c r="O950" s="41"/>
      <c r="P950" s="41"/>
      <c r="Q950" s="41"/>
      <c r="R950" s="41"/>
      <c r="S950" s="41"/>
      <c r="T950" s="41"/>
      <c r="U950" s="41"/>
      <c r="V950" s="41"/>
      <c r="W950" s="41"/>
      <c r="X950" s="41"/>
      <c r="Y950" s="41"/>
      <c r="Z950" s="41"/>
      <c r="AA950" s="41"/>
      <c r="AB950" s="41"/>
      <c r="AC950" s="41"/>
      <c r="AD950" s="41"/>
      <c r="AE950" s="41"/>
      <c r="AF950" s="41"/>
      <c r="AG950" s="41"/>
      <c r="AH950" s="41"/>
      <c r="AI950" s="41"/>
    </row>
    <row r="951" spans="1:35" ht="15.75" customHeight="1" x14ac:dyDescent="0.2">
      <c r="A951" s="41"/>
      <c r="B951" s="41"/>
      <c r="C951" s="41"/>
      <c r="D951" s="72"/>
      <c r="E951" s="41"/>
      <c r="F951" s="41"/>
      <c r="G951" s="41"/>
      <c r="H951" s="41"/>
      <c r="I951" s="41"/>
      <c r="J951" s="41"/>
      <c r="K951" s="41"/>
      <c r="L951" s="41"/>
      <c r="M951" s="41"/>
      <c r="N951" s="41"/>
      <c r="O951" s="41"/>
      <c r="P951" s="41"/>
      <c r="Q951" s="41"/>
      <c r="R951" s="41"/>
      <c r="S951" s="41"/>
      <c r="T951" s="41"/>
      <c r="U951" s="41"/>
      <c r="V951" s="41"/>
      <c r="W951" s="41"/>
      <c r="X951" s="41"/>
      <c r="Y951" s="41"/>
      <c r="Z951" s="41"/>
      <c r="AA951" s="41"/>
      <c r="AB951" s="41"/>
      <c r="AC951" s="41"/>
      <c r="AD951" s="41"/>
      <c r="AE951" s="41"/>
      <c r="AF951" s="41"/>
      <c r="AG951" s="41"/>
      <c r="AH951" s="41"/>
      <c r="AI951" s="41"/>
    </row>
    <row r="952" spans="1:35" ht="15.75" customHeight="1" x14ac:dyDescent="0.2">
      <c r="A952" s="41"/>
      <c r="B952" s="41"/>
      <c r="C952" s="41"/>
      <c r="D952" s="72"/>
      <c r="E952" s="41"/>
      <c r="F952" s="41"/>
      <c r="G952" s="41"/>
      <c r="H952" s="41"/>
      <c r="I952" s="41"/>
      <c r="J952" s="41"/>
      <c r="K952" s="41"/>
      <c r="L952" s="41"/>
      <c r="M952" s="41"/>
      <c r="N952" s="41"/>
      <c r="O952" s="41"/>
      <c r="P952" s="41"/>
      <c r="Q952" s="41"/>
      <c r="R952" s="41"/>
      <c r="S952" s="41"/>
      <c r="T952" s="41"/>
      <c r="U952" s="41"/>
      <c r="V952" s="41"/>
      <c r="W952" s="41"/>
      <c r="X952" s="41"/>
      <c r="Y952" s="41"/>
      <c r="Z952" s="41"/>
      <c r="AA952" s="41"/>
      <c r="AB952" s="41"/>
      <c r="AC952" s="41"/>
      <c r="AD952" s="41"/>
      <c r="AE952" s="41"/>
      <c r="AF952" s="41"/>
      <c r="AG952" s="41"/>
      <c r="AH952" s="41"/>
      <c r="AI952" s="41"/>
    </row>
    <row r="953" spans="1:35" ht="15.75" customHeight="1" x14ac:dyDescent="0.2">
      <c r="A953" s="41"/>
      <c r="B953" s="41"/>
      <c r="C953" s="41"/>
      <c r="D953" s="72"/>
      <c r="E953" s="41"/>
      <c r="F953" s="41"/>
      <c r="G953" s="41"/>
      <c r="H953" s="41"/>
      <c r="I953" s="41"/>
      <c r="J953" s="41"/>
      <c r="K953" s="41"/>
      <c r="L953" s="41"/>
      <c r="M953" s="41"/>
      <c r="N953" s="41"/>
      <c r="O953" s="41"/>
      <c r="P953" s="41"/>
      <c r="Q953" s="41"/>
      <c r="R953" s="41"/>
      <c r="S953" s="41"/>
      <c r="T953" s="41"/>
      <c r="U953" s="41"/>
      <c r="V953" s="41"/>
      <c r="W953" s="41"/>
      <c r="X953" s="41"/>
      <c r="Y953" s="41"/>
      <c r="Z953" s="41"/>
      <c r="AA953" s="41"/>
      <c r="AB953" s="41"/>
      <c r="AC953" s="41"/>
      <c r="AD953" s="41"/>
      <c r="AE953" s="41"/>
      <c r="AF953" s="41"/>
      <c r="AG953" s="41"/>
      <c r="AH953" s="41"/>
      <c r="AI953" s="41"/>
    </row>
    <row r="954" spans="1:35" ht="15.75" customHeight="1" x14ac:dyDescent="0.2">
      <c r="A954" s="41"/>
      <c r="B954" s="41"/>
      <c r="C954" s="41"/>
      <c r="D954" s="72"/>
      <c r="E954" s="41"/>
      <c r="F954" s="41"/>
      <c r="G954" s="41"/>
      <c r="H954" s="41"/>
      <c r="I954" s="41"/>
      <c r="J954" s="41"/>
      <c r="K954" s="41"/>
      <c r="L954" s="41"/>
      <c r="M954" s="41"/>
      <c r="N954" s="41"/>
      <c r="O954" s="41"/>
      <c r="P954" s="41"/>
      <c r="Q954" s="41"/>
      <c r="R954" s="41"/>
      <c r="S954" s="41"/>
      <c r="T954" s="41"/>
      <c r="U954" s="41"/>
      <c r="V954" s="41"/>
      <c r="W954" s="41"/>
      <c r="X954" s="41"/>
      <c r="Y954" s="41"/>
      <c r="Z954" s="41"/>
      <c r="AA954" s="41"/>
      <c r="AB954" s="41"/>
      <c r="AC954" s="41"/>
      <c r="AD954" s="41"/>
      <c r="AE954" s="41"/>
      <c r="AF954" s="41"/>
      <c r="AG954" s="41"/>
      <c r="AH954" s="41"/>
      <c r="AI954" s="41"/>
    </row>
    <row r="955" spans="1:35" ht="15.75" customHeight="1" x14ac:dyDescent="0.2">
      <c r="A955" s="41"/>
      <c r="B955" s="41"/>
      <c r="C955" s="41"/>
      <c r="D955" s="72"/>
      <c r="E955" s="41"/>
      <c r="F955" s="41"/>
      <c r="G955" s="41"/>
      <c r="H955" s="41"/>
      <c r="I955" s="41"/>
      <c r="J955" s="41"/>
      <c r="K955" s="41"/>
      <c r="L955" s="41"/>
      <c r="M955" s="41"/>
      <c r="N955" s="41"/>
      <c r="O955" s="41"/>
      <c r="P955" s="41"/>
      <c r="Q955" s="41"/>
      <c r="R955" s="41"/>
      <c r="S955" s="41"/>
      <c r="T955" s="41"/>
      <c r="U955" s="41"/>
      <c r="V955" s="41"/>
      <c r="W955" s="41"/>
      <c r="X955" s="41"/>
      <c r="Y955" s="41"/>
      <c r="Z955" s="41"/>
      <c r="AA955" s="41"/>
      <c r="AB955" s="41"/>
      <c r="AC955" s="41"/>
      <c r="AD955" s="41"/>
      <c r="AE955" s="41"/>
      <c r="AF955" s="41"/>
      <c r="AG955" s="41"/>
      <c r="AH955" s="41"/>
      <c r="AI955" s="41"/>
    </row>
    <row r="956" spans="1:35" ht="15.75" customHeight="1" x14ac:dyDescent="0.2">
      <c r="A956" s="41"/>
      <c r="B956" s="41"/>
      <c r="C956" s="41"/>
      <c r="D956" s="72"/>
      <c r="E956" s="41"/>
      <c r="F956" s="41"/>
      <c r="G956" s="41"/>
      <c r="H956" s="41"/>
      <c r="I956" s="41"/>
      <c r="J956" s="41"/>
      <c r="K956" s="41"/>
      <c r="L956" s="41"/>
      <c r="M956" s="41"/>
      <c r="N956" s="41"/>
      <c r="O956" s="41"/>
      <c r="P956" s="41"/>
      <c r="Q956" s="41"/>
      <c r="R956" s="41"/>
      <c r="S956" s="41"/>
      <c r="T956" s="41"/>
      <c r="U956" s="41"/>
      <c r="V956" s="41"/>
      <c r="W956" s="41"/>
      <c r="X956" s="41"/>
      <c r="Y956" s="41"/>
      <c r="Z956" s="41"/>
      <c r="AA956" s="41"/>
      <c r="AB956" s="41"/>
      <c r="AC956" s="41"/>
      <c r="AD956" s="41"/>
      <c r="AE956" s="41"/>
      <c r="AF956" s="41"/>
      <c r="AG956" s="41"/>
      <c r="AH956" s="41"/>
      <c r="AI956" s="41"/>
    </row>
    <row r="957" spans="1:35" ht="15.75" customHeight="1" x14ac:dyDescent="0.2">
      <c r="A957" s="41"/>
      <c r="B957" s="41"/>
      <c r="C957" s="41"/>
      <c r="D957" s="72"/>
      <c r="E957" s="41"/>
      <c r="F957" s="41"/>
      <c r="G957" s="41"/>
      <c r="H957" s="41"/>
      <c r="I957" s="41"/>
      <c r="J957" s="41"/>
      <c r="K957" s="41"/>
      <c r="L957" s="41"/>
      <c r="M957" s="41"/>
      <c r="N957" s="41"/>
      <c r="O957" s="41"/>
      <c r="P957" s="41"/>
      <c r="Q957" s="41"/>
      <c r="R957" s="41"/>
      <c r="S957" s="41"/>
      <c r="T957" s="41"/>
      <c r="U957" s="41"/>
      <c r="V957" s="41"/>
      <c r="W957" s="41"/>
      <c r="X957" s="41"/>
      <c r="Y957" s="41"/>
      <c r="Z957" s="41"/>
      <c r="AA957" s="41"/>
      <c r="AB957" s="41"/>
      <c r="AC957" s="41"/>
      <c r="AD957" s="41"/>
      <c r="AE957" s="41"/>
      <c r="AF957" s="41"/>
      <c r="AG957" s="41"/>
      <c r="AH957" s="41"/>
      <c r="AI957" s="41"/>
    </row>
    <row r="958" spans="1:35" ht="15.75" customHeight="1" x14ac:dyDescent="0.2">
      <c r="A958" s="41"/>
      <c r="B958" s="41"/>
      <c r="C958" s="41"/>
      <c r="D958" s="72"/>
      <c r="E958" s="41"/>
      <c r="F958" s="41"/>
      <c r="G958" s="41"/>
      <c r="H958" s="41"/>
      <c r="I958" s="41"/>
      <c r="J958" s="41"/>
      <c r="K958" s="41"/>
      <c r="L958" s="41"/>
      <c r="M958" s="41"/>
      <c r="N958" s="41"/>
      <c r="O958" s="41"/>
      <c r="P958" s="41"/>
      <c r="Q958" s="41"/>
      <c r="R958" s="41"/>
      <c r="S958" s="41"/>
      <c r="T958" s="41"/>
      <c r="U958" s="41"/>
      <c r="V958" s="41"/>
      <c r="W958" s="41"/>
      <c r="X958" s="41"/>
      <c r="Y958" s="41"/>
      <c r="Z958" s="41"/>
      <c r="AA958" s="41"/>
      <c r="AB958" s="41"/>
      <c r="AC958" s="41"/>
      <c r="AD958" s="41"/>
      <c r="AE958" s="41"/>
      <c r="AF958" s="41"/>
      <c r="AG958" s="41"/>
      <c r="AH958" s="41"/>
      <c r="AI958" s="41"/>
    </row>
    <row r="959" spans="1:35" ht="15.75" customHeight="1" x14ac:dyDescent="0.2">
      <c r="A959" s="41"/>
      <c r="B959" s="41"/>
      <c r="C959" s="41"/>
      <c r="D959" s="72"/>
      <c r="E959" s="41"/>
      <c r="F959" s="41"/>
      <c r="G959" s="41"/>
      <c r="H959" s="41"/>
      <c r="I959" s="41"/>
      <c r="J959" s="41"/>
      <c r="K959" s="41"/>
      <c r="L959" s="41"/>
      <c r="M959" s="41"/>
      <c r="N959" s="41"/>
      <c r="O959" s="41"/>
      <c r="P959" s="41"/>
      <c r="Q959" s="41"/>
      <c r="R959" s="41"/>
      <c r="S959" s="41"/>
      <c r="T959" s="41"/>
      <c r="U959" s="41"/>
      <c r="V959" s="41"/>
      <c r="W959" s="41"/>
      <c r="X959" s="41"/>
      <c r="Y959" s="41"/>
      <c r="Z959" s="41"/>
      <c r="AA959" s="41"/>
      <c r="AB959" s="41"/>
      <c r="AC959" s="41"/>
      <c r="AD959" s="41"/>
      <c r="AE959" s="41"/>
      <c r="AF959" s="41"/>
      <c r="AG959" s="41"/>
      <c r="AH959" s="41"/>
      <c r="AI959" s="41"/>
    </row>
    <row r="960" spans="1:35" ht="15.75" customHeight="1" x14ac:dyDescent="0.2">
      <c r="A960" s="41"/>
      <c r="B960" s="41"/>
      <c r="C960" s="41"/>
      <c r="D960" s="72"/>
      <c r="E960" s="41"/>
      <c r="F960" s="41"/>
      <c r="G960" s="41"/>
      <c r="H960" s="41"/>
      <c r="I960" s="41"/>
      <c r="J960" s="41"/>
      <c r="K960" s="41"/>
      <c r="L960" s="41"/>
      <c r="M960" s="41"/>
      <c r="N960" s="41"/>
      <c r="O960" s="41"/>
      <c r="P960" s="41"/>
      <c r="Q960" s="41"/>
      <c r="R960" s="41"/>
      <c r="S960" s="41"/>
      <c r="T960" s="41"/>
      <c r="U960" s="41"/>
      <c r="V960" s="41"/>
      <c r="W960" s="41"/>
      <c r="X960" s="41"/>
      <c r="Y960" s="41"/>
      <c r="Z960" s="41"/>
      <c r="AA960" s="41"/>
      <c r="AB960" s="41"/>
      <c r="AC960" s="41"/>
      <c r="AD960" s="41"/>
      <c r="AE960" s="41"/>
      <c r="AF960" s="41"/>
      <c r="AG960" s="41"/>
      <c r="AH960" s="41"/>
      <c r="AI960" s="41"/>
    </row>
    <row r="961" spans="1:35" ht="15.75" customHeight="1" x14ac:dyDescent="0.2">
      <c r="A961" s="41"/>
      <c r="B961" s="41"/>
      <c r="C961" s="41"/>
      <c r="D961" s="72"/>
      <c r="E961" s="41"/>
      <c r="F961" s="41"/>
      <c r="G961" s="41"/>
      <c r="H961" s="41"/>
      <c r="I961" s="41"/>
      <c r="J961" s="41"/>
      <c r="K961" s="41"/>
      <c r="L961" s="41"/>
      <c r="M961" s="41"/>
      <c r="N961" s="41"/>
      <c r="O961" s="41"/>
      <c r="P961" s="41"/>
      <c r="Q961" s="41"/>
      <c r="R961" s="41"/>
      <c r="S961" s="41"/>
      <c r="T961" s="41"/>
      <c r="U961" s="41"/>
      <c r="V961" s="41"/>
      <c r="W961" s="41"/>
      <c r="X961" s="41"/>
      <c r="Y961" s="41"/>
      <c r="Z961" s="41"/>
      <c r="AA961" s="41"/>
      <c r="AB961" s="41"/>
      <c r="AC961" s="41"/>
      <c r="AD961" s="41"/>
      <c r="AE961" s="41"/>
      <c r="AF961" s="41"/>
      <c r="AG961" s="41"/>
      <c r="AH961" s="41"/>
      <c r="AI961" s="41"/>
    </row>
    <row r="962" spans="1:35" ht="15.75" customHeight="1" x14ac:dyDescent="0.2">
      <c r="A962" s="41"/>
      <c r="B962" s="41"/>
      <c r="C962" s="41"/>
      <c r="D962" s="72"/>
      <c r="E962" s="41"/>
      <c r="F962" s="41"/>
      <c r="G962" s="41"/>
      <c r="H962" s="41"/>
      <c r="I962" s="41"/>
      <c r="J962" s="41"/>
      <c r="K962" s="41"/>
      <c r="L962" s="41"/>
      <c r="M962" s="41"/>
      <c r="N962" s="41"/>
      <c r="O962" s="41"/>
      <c r="P962" s="41"/>
      <c r="Q962" s="41"/>
      <c r="R962" s="41"/>
      <c r="S962" s="41"/>
      <c r="T962" s="41"/>
      <c r="U962" s="41"/>
      <c r="V962" s="41"/>
      <c r="W962" s="41"/>
      <c r="X962" s="41"/>
      <c r="Y962" s="41"/>
      <c r="Z962" s="41"/>
      <c r="AA962" s="41"/>
      <c r="AB962" s="41"/>
      <c r="AC962" s="41"/>
      <c r="AD962" s="41"/>
      <c r="AE962" s="41"/>
      <c r="AF962" s="41"/>
      <c r="AG962" s="41"/>
      <c r="AH962" s="41"/>
      <c r="AI962" s="41"/>
    </row>
    <row r="963" spans="1:35" ht="15.75" customHeight="1" x14ac:dyDescent="0.2">
      <c r="A963" s="41"/>
      <c r="B963" s="41"/>
      <c r="C963" s="41"/>
      <c r="D963" s="72"/>
      <c r="E963" s="41"/>
      <c r="F963" s="41"/>
      <c r="G963" s="41"/>
      <c r="H963" s="41"/>
      <c r="I963" s="41"/>
      <c r="J963" s="41"/>
      <c r="K963" s="41"/>
      <c r="L963" s="41"/>
      <c r="M963" s="41"/>
      <c r="N963" s="41"/>
      <c r="O963" s="41"/>
      <c r="P963" s="41"/>
      <c r="Q963" s="41"/>
      <c r="R963" s="41"/>
      <c r="S963" s="41"/>
      <c r="T963" s="41"/>
      <c r="U963" s="41"/>
      <c r="V963" s="41"/>
      <c r="W963" s="41"/>
      <c r="X963" s="41"/>
      <c r="Y963" s="41"/>
      <c r="Z963" s="41"/>
      <c r="AA963" s="41"/>
      <c r="AB963" s="41"/>
      <c r="AC963" s="41"/>
      <c r="AD963" s="41"/>
      <c r="AE963" s="41"/>
      <c r="AF963" s="41"/>
      <c r="AG963" s="41"/>
      <c r="AH963" s="41"/>
      <c r="AI963" s="41"/>
    </row>
    <row r="964" spans="1:35" ht="15.75" customHeight="1" x14ac:dyDescent="0.2">
      <c r="A964" s="41"/>
      <c r="B964" s="41"/>
      <c r="C964" s="41"/>
      <c r="D964" s="72"/>
      <c r="E964" s="41"/>
      <c r="F964" s="41"/>
      <c r="G964" s="41"/>
      <c r="H964" s="41"/>
      <c r="I964" s="41"/>
      <c r="J964" s="41"/>
      <c r="K964" s="41"/>
      <c r="L964" s="41"/>
      <c r="M964" s="41"/>
      <c r="N964" s="41"/>
      <c r="O964" s="41"/>
      <c r="P964" s="41"/>
      <c r="Q964" s="41"/>
      <c r="R964" s="41"/>
      <c r="S964" s="41"/>
      <c r="T964" s="41"/>
      <c r="U964" s="41"/>
      <c r="V964" s="41"/>
      <c r="W964" s="41"/>
      <c r="X964" s="41"/>
      <c r="Y964" s="41"/>
      <c r="Z964" s="41"/>
      <c r="AA964" s="41"/>
      <c r="AB964" s="41"/>
      <c r="AC964" s="41"/>
      <c r="AD964" s="41"/>
      <c r="AE964" s="41"/>
      <c r="AF964" s="41"/>
      <c r="AG964" s="41"/>
      <c r="AH964" s="41"/>
      <c r="AI964" s="41"/>
    </row>
    <row r="965" spans="1:35" ht="15.75" customHeight="1" x14ac:dyDescent="0.2">
      <c r="A965" s="41"/>
      <c r="B965" s="41"/>
      <c r="C965" s="41"/>
      <c r="D965" s="72"/>
      <c r="E965" s="41"/>
      <c r="F965" s="41"/>
      <c r="G965" s="41"/>
      <c r="H965" s="41"/>
      <c r="I965" s="41"/>
      <c r="J965" s="41"/>
      <c r="K965" s="41"/>
      <c r="L965" s="41"/>
      <c r="M965" s="41"/>
      <c r="N965" s="41"/>
      <c r="O965" s="41"/>
      <c r="P965" s="41"/>
      <c r="Q965" s="41"/>
      <c r="R965" s="41"/>
      <c r="S965" s="41"/>
      <c r="T965" s="41"/>
      <c r="U965" s="41"/>
      <c r="V965" s="41"/>
      <c r="W965" s="41"/>
      <c r="X965" s="41"/>
      <c r="Y965" s="41"/>
      <c r="Z965" s="41"/>
      <c r="AA965" s="41"/>
      <c r="AB965" s="41"/>
      <c r="AC965" s="41"/>
      <c r="AD965" s="41"/>
      <c r="AE965" s="41"/>
      <c r="AF965" s="41"/>
      <c r="AG965" s="41"/>
      <c r="AH965" s="41"/>
      <c r="AI965" s="41"/>
    </row>
    <row r="966" spans="1:35" ht="15.75" customHeight="1" x14ac:dyDescent="0.2">
      <c r="A966" s="41"/>
      <c r="B966" s="41"/>
      <c r="C966" s="41"/>
      <c r="D966" s="72"/>
      <c r="E966" s="41"/>
      <c r="F966" s="41"/>
      <c r="G966" s="41"/>
      <c r="H966" s="41"/>
      <c r="I966" s="41"/>
      <c r="J966" s="41"/>
      <c r="K966" s="41"/>
      <c r="L966" s="41"/>
      <c r="M966" s="41"/>
      <c r="N966" s="41"/>
      <c r="O966" s="41"/>
      <c r="P966" s="41"/>
      <c r="Q966" s="41"/>
      <c r="R966" s="41"/>
      <c r="S966" s="41"/>
      <c r="T966" s="41"/>
      <c r="U966" s="41"/>
      <c r="V966" s="41"/>
      <c r="W966" s="41"/>
      <c r="X966" s="41"/>
      <c r="Y966" s="41"/>
      <c r="Z966" s="41"/>
      <c r="AA966" s="41"/>
      <c r="AB966" s="41"/>
      <c r="AC966" s="41"/>
      <c r="AD966" s="41"/>
      <c r="AE966" s="41"/>
      <c r="AF966" s="41"/>
      <c r="AG966" s="41"/>
      <c r="AH966" s="41"/>
      <c r="AI966" s="41"/>
    </row>
    <row r="967" spans="1:35" ht="15.75" customHeight="1" x14ac:dyDescent="0.2">
      <c r="A967" s="41"/>
      <c r="B967" s="41"/>
      <c r="C967" s="41"/>
      <c r="D967" s="72"/>
      <c r="E967" s="41"/>
      <c r="F967" s="41"/>
      <c r="G967" s="41"/>
      <c r="H967" s="41"/>
      <c r="I967" s="41"/>
      <c r="J967" s="41"/>
      <c r="K967" s="41"/>
      <c r="L967" s="41"/>
      <c r="M967" s="41"/>
      <c r="N967" s="41"/>
      <c r="O967" s="41"/>
      <c r="P967" s="41"/>
      <c r="Q967" s="41"/>
      <c r="R967" s="41"/>
      <c r="S967" s="41"/>
      <c r="T967" s="41"/>
      <c r="U967" s="41"/>
      <c r="V967" s="41"/>
      <c r="W967" s="41"/>
      <c r="X967" s="41"/>
      <c r="Y967" s="41"/>
      <c r="Z967" s="41"/>
      <c r="AA967" s="41"/>
      <c r="AB967" s="41"/>
      <c r="AC967" s="41"/>
      <c r="AD967" s="41"/>
      <c r="AE967" s="41"/>
      <c r="AF967" s="41"/>
      <c r="AG967" s="41"/>
      <c r="AH967" s="41"/>
      <c r="AI967" s="41"/>
    </row>
    <row r="968" spans="1:35" ht="15.75" customHeight="1" x14ac:dyDescent="0.2">
      <c r="A968" s="41"/>
      <c r="B968" s="41"/>
      <c r="C968" s="41"/>
      <c r="D968" s="72"/>
      <c r="E968" s="41"/>
      <c r="F968" s="41"/>
      <c r="G968" s="41"/>
      <c r="H968" s="41"/>
      <c r="I968" s="41"/>
      <c r="J968" s="41"/>
      <c r="K968" s="41"/>
      <c r="L968" s="41"/>
      <c r="M968" s="41"/>
      <c r="N968" s="41"/>
      <c r="O968" s="41"/>
      <c r="P968" s="41"/>
      <c r="Q968" s="41"/>
      <c r="R968" s="41"/>
      <c r="S968" s="41"/>
      <c r="T968" s="41"/>
      <c r="U968" s="41"/>
      <c r="V968" s="41"/>
      <c r="W968" s="41"/>
      <c r="X968" s="41"/>
      <c r="Y968" s="41"/>
      <c r="Z968" s="41"/>
      <c r="AA968" s="41"/>
      <c r="AB968" s="41"/>
      <c r="AC968" s="41"/>
      <c r="AD968" s="41"/>
      <c r="AE968" s="41"/>
      <c r="AF968" s="41"/>
      <c r="AG968" s="41"/>
      <c r="AH968" s="41"/>
      <c r="AI968" s="41"/>
    </row>
    <row r="969" spans="1:35" ht="15.75" customHeight="1" x14ac:dyDescent="0.2">
      <c r="A969" s="41"/>
      <c r="B969" s="41"/>
      <c r="C969" s="41"/>
      <c r="D969" s="72"/>
      <c r="E969" s="41"/>
      <c r="F969" s="41"/>
      <c r="G969" s="41"/>
      <c r="H969" s="41"/>
      <c r="I969" s="41"/>
      <c r="J969" s="41"/>
      <c r="K969" s="41"/>
      <c r="L969" s="41"/>
      <c r="M969" s="41"/>
      <c r="N969" s="41"/>
      <c r="O969" s="41"/>
      <c r="P969" s="41"/>
      <c r="Q969" s="41"/>
      <c r="R969" s="41"/>
      <c r="S969" s="41"/>
      <c r="T969" s="41"/>
      <c r="U969" s="41"/>
      <c r="V969" s="41"/>
      <c r="W969" s="41"/>
      <c r="X969" s="41"/>
      <c r="Y969" s="41"/>
      <c r="Z969" s="41"/>
      <c r="AA969" s="41"/>
      <c r="AB969" s="41"/>
      <c r="AC969" s="41"/>
      <c r="AD969" s="41"/>
      <c r="AE969" s="41"/>
      <c r="AF969" s="41"/>
      <c r="AG969" s="41"/>
      <c r="AH969" s="41"/>
      <c r="AI969" s="41"/>
    </row>
    <row r="970" spans="1:35" ht="15.75" customHeight="1" x14ac:dyDescent="0.2">
      <c r="A970" s="41"/>
      <c r="B970" s="41"/>
      <c r="C970" s="41"/>
      <c r="D970" s="72"/>
      <c r="E970" s="41"/>
      <c r="F970" s="41"/>
      <c r="G970" s="41"/>
      <c r="H970" s="41"/>
      <c r="I970" s="41"/>
      <c r="J970" s="41"/>
      <c r="K970" s="41"/>
      <c r="L970" s="41"/>
      <c r="M970" s="41"/>
      <c r="N970" s="41"/>
      <c r="O970" s="41"/>
      <c r="P970" s="41"/>
      <c r="Q970" s="41"/>
      <c r="R970" s="41"/>
      <c r="S970" s="41"/>
      <c r="T970" s="41"/>
      <c r="U970" s="41"/>
      <c r="V970" s="41"/>
      <c r="W970" s="41"/>
      <c r="X970" s="41"/>
      <c r="Y970" s="41"/>
      <c r="Z970" s="41"/>
      <c r="AA970" s="41"/>
      <c r="AB970" s="41"/>
      <c r="AC970" s="41"/>
      <c r="AD970" s="41"/>
      <c r="AE970" s="41"/>
      <c r="AF970" s="41"/>
      <c r="AG970" s="41"/>
      <c r="AH970" s="41"/>
      <c r="AI970" s="41"/>
    </row>
    <row r="971" spans="1:35" ht="15.75" customHeight="1" x14ac:dyDescent="0.2">
      <c r="A971" s="41"/>
      <c r="B971" s="41"/>
      <c r="C971" s="41"/>
      <c r="D971" s="72"/>
      <c r="E971" s="41"/>
      <c r="F971" s="41"/>
      <c r="G971" s="41"/>
      <c r="H971" s="41"/>
      <c r="I971" s="41"/>
      <c r="J971" s="41"/>
      <c r="K971" s="41"/>
      <c r="L971" s="41"/>
      <c r="M971" s="41"/>
      <c r="N971" s="41"/>
      <c r="O971" s="41"/>
      <c r="P971" s="41"/>
      <c r="Q971" s="41"/>
      <c r="R971" s="41"/>
      <c r="S971" s="41"/>
      <c r="T971" s="41"/>
      <c r="U971" s="41"/>
      <c r="V971" s="41"/>
      <c r="W971" s="41"/>
      <c r="X971" s="41"/>
      <c r="Y971" s="41"/>
      <c r="Z971" s="41"/>
      <c r="AA971" s="41"/>
      <c r="AB971" s="41"/>
      <c r="AC971" s="41"/>
      <c r="AD971" s="41"/>
      <c r="AE971" s="41"/>
      <c r="AF971" s="41"/>
      <c r="AG971" s="41"/>
      <c r="AH971" s="41"/>
      <c r="AI971" s="41"/>
    </row>
    <row r="972" spans="1:35" ht="15.75" customHeight="1" x14ac:dyDescent="0.2">
      <c r="A972" s="41"/>
      <c r="B972" s="41"/>
      <c r="C972" s="41"/>
      <c r="D972" s="72"/>
      <c r="E972" s="41"/>
      <c r="F972" s="41"/>
      <c r="G972" s="41"/>
      <c r="H972" s="41"/>
      <c r="I972" s="41"/>
      <c r="J972" s="41"/>
      <c r="K972" s="41"/>
      <c r="L972" s="41"/>
      <c r="M972" s="41"/>
      <c r="N972" s="41"/>
      <c r="O972" s="41"/>
      <c r="P972" s="41"/>
      <c r="Q972" s="41"/>
      <c r="R972" s="41"/>
      <c r="S972" s="41"/>
      <c r="T972" s="41"/>
      <c r="U972" s="41"/>
      <c r="V972" s="41"/>
      <c r="W972" s="41"/>
      <c r="X972" s="41"/>
      <c r="Y972" s="41"/>
      <c r="Z972" s="41"/>
      <c r="AA972" s="41"/>
      <c r="AB972" s="41"/>
      <c r="AC972" s="41"/>
      <c r="AD972" s="41"/>
      <c r="AE972" s="41"/>
      <c r="AF972" s="41"/>
      <c r="AG972" s="41"/>
      <c r="AH972" s="41"/>
      <c r="AI972" s="41"/>
    </row>
    <row r="973" spans="1:35" ht="15.75" customHeight="1" x14ac:dyDescent="0.2">
      <c r="A973" s="41"/>
      <c r="B973" s="41"/>
      <c r="C973" s="41"/>
      <c r="D973" s="72"/>
      <c r="E973" s="41"/>
      <c r="F973" s="41"/>
      <c r="G973" s="41"/>
      <c r="H973" s="41"/>
      <c r="I973" s="41"/>
      <c r="J973" s="41"/>
      <c r="K973" s="41"/>
      <c r="L973" s="41"/>
      <c r="M973" s="41"/>
      <c r="N973" s="41"/>
      <c r="O973" s="41"/>
      <c r="P973" s="41"/>
      <c r="Q973" s="41"/>
      <c r="R973" s="41"/>
      <c r="S973" s="41"/>
      <c r="T973" s="41"/>
      <c r="U973" s="41"/>
      <c r="V973" s="41"/>
      <c r="W973" s="41"/>
      <c r="X973" s="41"/>
      <c r="Y973" s="41"/>
      <c r="Z973" s="41"/>
      <c r="AA973" s="41"/>
      <c r="AB973" s="41"/>
      <c r="AC973" s="41"/>
      <c r="AD973" s="41"/>
      <c r="AE973" s="41"/>
      <c r="AF973" s="41"/>
      <c r="AG973" s="41"/>
      <c r="AH973" s="41"/>
      <c r="AI973" s="41"/>
    </row>
    <row r="974" spans="1:35" ht="15.75" customHeight="1" x14ac:dyDescent="0.2">
      <c r="A974" s="41"/>
      <c r="B974" s="41"/>
      <c r="C974" s="41"/>
      <c r="D974" s="72"/>
      <c r="E974" s="41"/>
      <c r="F974" s="41"/>
      <c r="G974" s="41"/>
      <c r="H974" s="41"/>
      <c r="I974" s="41"/>
      <c r="J974" s="41"/>
      <c r="K974" s="41"/>
      <c r="L974" s="41"/>
      <c r="M974" s="41"/>
      <c r="N974" s="41"/>
      <c r="O974" s="41"/>
      <c r="P974" s="41"/>
      <c r="Q974" s="41"/>
      <c r="R974" s="41"/>
      <c r="S974" s="41"/>
      <c r="T974" s="41"/>
      <c r="U974" s="41"/>
      <c r="V974" s="41"/>
      <c r="W974" s="41"/>
      <c r="X974" s="41"/>
      <c r="Y974" s="41"/>
      <c r="Z974" s="41"/>
      <c r="AA974" s="41"/>
      <c r="AB974" s="41"/>
      <c r="AC974" s="41"/>
      <c r="AD974" s="41"/>
      <c r="AE974" s="41"/>
      <c r="AF974" s="41"/>
      <c r="AG974" s="41"/>
      <c r="AH974" s="41"/>
      <c r="AI974" s="41"/>
    </row>
    <row r="975" spans="1:35" ht="15.75" customHeight="1" x14ac:dyDescent="0.2">
      <c r="A975" s="41"/>
      <c r="B975" s="41"/>
      <c r="C975" s="41"/>
      <c r="D975" s="72"/>
      <c r="E975" s="41"/>
      <c r="F975" s="41"/>
      <c r="G975" s="41"/>
      <c r="H975" s="41"/>
      <c r="I975" s="41"/>
      <c r="J975" s="41"/>
      <c r="K975" s="41"/>
      <c r="L975" s="41"/>
      <c r="M975" s="41"/>
      <c r="N975" s="41"/>
      <c r="O975" s="41"/>
      <c r="P975" s="41"/>
      <c r="Q975" s="41"/>
      <c r="R975" s="41"/>
      <c r="S975" s="41"/>
      <c r="T975" s="41"/>
      <c r="U975" s="41"/>
      <c r="V975" s="41"/>
      <c r="W975" s="41"/>
      <c r="X975" s="41"/>
      <c r="Y975" s="41"/>
      <c r="Z975" s="41"/>
      <c r="AA975" s="41"/>
      <c r="AB975" s="41"/>
      <c r="AC975" s="41"/>
      <c r="AD975" s="41"/>
      <c r="AE975" s="41"/>
      <c r="AF975" s="41"/>
      <c r="AG975" s="41"/>
      <c r="AH975" s="41"/>
      <c r="AI975" s="41"/>
    </row>
    <row r="976" spans="1:35" ht="15.75" customHeight="1" x14ac:dyDescent="0.2">
      <c r="A976" s="41"/>
      <c r="B976" s="41"/>
      <c r="C976" s="41"/>
      <c r="D976" s="72"/>
      <c r="E976" s="41"/>
      <c r="F976" s="41"/>
      <c r="G976" s="41"/>
      <c r="H976" s="41"/>
      <c r="I976" s="41"/>
      <c r="J976" s="41"/>
      <c r="K976" s="41"/>
      <c r="L976" s="41"/>
      <c r="M976" s="41"/>
      <c r="N976" s="41"/>
      <c r="O976" s="41"/>
      <c r="P976" s="41"/>
      <c r="Q976" s="41"/>
      <c r="R976" s="41"/>
      <c r="S976" s="41"/>
      <c r="T976" s="41"/>
      <c r="U976" s="41"/>
      <c r="V976" s="41"/>
      <c r="W976" s="41"/>
      <c r="X976" s="41"/>
      <c r="Y976" s="41"/>
      <c r="Z976" s="41"/>
      <c r="AA976" s="41"/>
      <c r="AB976" s="41"/>
      <c r="AC976" s="41"/>
      <c r="AD976" s="41"/>
      <c r="AE976" s="41"/>
      <c r="AF976" s="41"/>
      <c r="AG976" s="41"/>
      <c r="AH976" s="41"/>
      <c r="AI976" s="41"/>
    </row>
    <row r="977" spans="1:35" ht="15.75" customHeight="1" x14ac:dyDescent="0.2">
      <c r="A977" s="41"/>
      <c r="B977" s="41"/>
      <c r="C977" s="41"/>
      <c r="D977" s="72"/>
      <c r="E977" s="41"/>
      <c r="F977" s="41"/>
      <c r="G977" s="41"/>
      <c r="H977" s="41"/>
      <c r="I977" s="41"/>
      <c r="J977" s="41"/>
      <c r="K977" s="41"/>
      <c r="L977" s="41"/>
      <c r="M977" s="41"/>
      <c r="N977" s="41"/>
      <c r="O977" s="41"/>
      <c r="P977" s="41"/>
      <c r="Q977" s="41"/>
      <c r="R977" s="41"/>
      <c r="S977" s="41"/>
      <c r="T977" s="41"/>
      <c r="U977" s="41"/>
      <c r="V977" s="41"/>
      <c r="W977" s="41"/>
      <c r="X977" s="41"/>
      <c r="Y977" s="41"/>
      <c r="Z977" s="41"/>
      <c r="AA977" s="41"/>
      <c r="AB977" s="41"/>
      <c r="AC977" s="41"/>
      <c r="AD977" s="41"/>
      <c r="AE977" s="41"/>
      <c r="AF977" s="41"/>
      <c r="AG977" s="41"/>
      <c r="AH977" s="41"/>
      <c r="AI977" s="41"/>
    </row>
    <row r="978" spans="1:35" ht="15.75" customHeight="1" x14ac:dyDescent="0.2">
      <c r="A978" s="41"/>
      <c r="B978" s="41"/>
      <c r="C978" s="41"/>
      <c r="D978" s="72"/>
      <c r="E978" s="41"/>
      <c r="F978" s="41"/>
      <c r="G978" s="41"/>
      <c r="H978" s="41"/>
      <c r="I978" s="41"/>
      <c r="J978" s="41"/>
      <c r="K978" s="41"/>
      <c r="L978" s="41"/>
      <c r="M978" s="41"/>
      <c r="N978" s="41"/>
      <c r="O978" s="41"/>
      <c r="P978" s="41"/>
      <c r="Q978" s="41"/>
      <c r="R978" s="41"/>
      <c r="S978" s="41"/>
      <c r="T978" s="41"/>
      <c r="U978" s="41"/>
      <c r="V978" s="41"/>
      <c r="W978" s="41"/>
      <c r="X978" s="41"/>
      <c r="Y978" s="41"/>
      <c r="Z978" s="41"/>
      <c r="AA978" s="41"/>
      <c r="AB978" s="41"/>
      <c r="AC978" s="41"/>
      <c r="AD978" s="41"/>
      <c r="AE978" s="41"/>
      <c r="AF978" s="41"/>
      <c r="AG978" s="41"/>
      <c r="AH978" s="41"/>
      <c r="AI978" s="41"/>
    </row>
    <row r="979" spans="1:35" ht="15.75" customHeight="1" x14ac:dyDescent="0.2">
      <c r="A979" s="41"/>
      <c r="B979" s="41"/>
      <c r="C979" s="41"/>
      <c r="D979" s="72"/>
      <c r="E979" s="41"/>
      <c r="F979" s="41"/>
      <c r="G979" s="41"/>
      <c r="H979" s="41"/>
      <c r="I979" s="41"/>
      <c r="J979" s="41"/>
      <c r="K979" s="41"/>
      <c r="L979" s="41"/>
      <c r="M979" s="41"/>
      <c r="N979" s="41"/>
      <c r="O979" s="41"/>
      <c r="P979" s="41"/>
      <c r="Q979" s="41"/>
      <c r="R979" s="41"/>
      <c r="S979" s="41"/>
      <c r="T979" s="41"/>
      <c r="U979" s="41"/>
      <c r="V979" s="41"/>
      <c r="W979" s="41"/>
      <c r="X979" s="41"/>
      <c r="Y979" s="41"/>
      <c r="Z979" s="41"/>
      <c r="AA979" s="41"/>
      <c r="AB979" s="41"/>
      <c r="AC979" s="41"/>
      <c r="AD979" s="41"/>
      <c r="AE979" s="41"/>
      <c r="AF979" s="41"/>
      <c r="AG979" s="41"/>
      <c r="AH979" s="41"/>
      <c r="AI979" s="41"/>
    </row>
    <row r="980" spans="1:35" ht="15.75" customHeight="1" x14ac:dyDescent="0.2">
      <c r="A980" s="41"/>
      <c r="B980" s="41"/>
      <c r="C980" s="41"/>
      <c r="D980" s="72"/>
      <c r="E980" s="41"/>
      <c r="F980" s="41"/>
      <c r="G980" s="41"/>
      <c r="H980" s="41"/>
      <c r="I980" s="41"/>
      <c r="J980" s="41"/>
      <c r="K980" s="41"/>
      <c r="L980" s="41"/>
      <c r="M980" s="41"/>
      <c r="N980" s="41"/>
      <c r="O980" s="41"/>
      <c r="P980" s="41"/>
      <c r="Q980" s="41"/>
      <c r="R980" s="41"/>
      <c r="S980" s="41"/>
      <c r="T980" s="41"/>
      <c r="U980" s="41"/>
      <c r="V980" s="41"/>
      <c r="W980" s="41"/>
      <c r="X980" s="41"/>
      <c r="Y980" s="41"/>
      <c r="Z980" s="41"/>
      <c r="AA980" s="41"/>
      <c r="AB980" s="41"/>
      <c r="AC980" s="41"/>
      <c r="AD980" s="41"/>
      <c r="AE980" s="41"/>
      <c r="AF980" s="41"/>
      <c r="AG980" s="41"/>
      <c r="AH980" s="41"/>
      <c r="AI980" s="41"/>
    </row>
    <row r="981" spans="1:35" ht="15.75" customHeight="1" x14ac:dyDescent="0.2">
      <c r="A981" s="41"/>
      <c r="B981" s="41"/>
      <c r="C981" s="41"/>
      <c r="D981" s="72"/>
      <c r="E981" s="41"/>
      <c r="F981" s="41"/>
      <c r="G981" s="41"/>
      <c r="H981" s="41"/>
      <c r="I981" s="41"/>
      <c r="J981" s="41"/>
      <c r="K981" s="41"/>
      <c r="L981" s="41"/>
      <c r="M981" s="41"/>
      <c r="N981" s="41"/>
      <c r="O981" s="41"/>
      <c r="P981" s="41"/>
      <c r="Q981" s="41"/>
      <c r="R981" s="41"/>
      <c r="S981" s="41"/>
      <c r="T981" s="41"/>
      <c r="U981" s="41"/>
      <c r="V981" s="41"/>
      <c r="W981" s="41"/>
      <c r="X981" s="41"/>
      <c r="Y981" s="41"/>
      <c r="Z981" s="41"/>
      <c r="AA981" s="41"/>
      <c r="AB981" s="41"/>
      <c r="AC981" s="41"/>
      <c r="AD981" s="41"/>
      <c r="AE981" s="41"/>
      <c r="AF981" s="41"/>
      <c r="AG981" s="41"/>
      <c r="AH981" s="41"/>
      <c r="AI981" s="41"/>
    </row>
    <row r="982" spans="1:35" ht="15.75" customHeight="1" x14ac:dyDescent="0.2">
      <c r="A982" s="41"/>
      <c r="B982" s="41"/>
      <c r="C982" s="41"/>
      <c r="D982" s="72"/>
      <c r="E982" s="41"/>
      <c r="F982" s="41"/>
      <c r="G982" s="41"/>
      <c r="H982" s="41"/>
      <c r="I982" s="41"/>
      <c r="J982" s="41"/>
      <c r="K982" s="41"/>
      <c r="L982" s="41"/>
      <c r="M982" s="41"/>
      <c r="N982" s="41"/>
      <c r="O982" s="41"/>
      <c r="P982" s="41"/>
      <c r="Q982" s="41"/>
      <c r="R982" s="41"/>
      <c r="S982" s="41"/>
      <c r="T982" s="41"/>
      <c r="U982" s="41"/>
      <c r="V982" s="41"/>
      <c r="W982" s="41"/>
      <c r="X982" s="41"/>
      <c r="Y982" s="41"/>
      <c r="Z982" s="41"/>
      <c r="AA982" s="41"/>
      <c r="AB982" s="41"/>
      <c r="AC982" s="41"/>
      <c r="AD982" s="41"/>
      <c r="AE982" s="41"/>
      <c r="AF982" s="41"/>
      <c r="AG982" s="41"/>
      <c r="AH982" s="41"/>
      <c r="AI982" s="41"/>
    </row>
    <row r="983" spans="1:35" ht="15.75" customHeight="1" x14ac:dyDescent="0.2">
      <c r="A983" s="41"/>
      <c r="B983" s="41"/>
      <c r="C983" s="41"/>
      <c r="D983" s="72"/>
      <c r="E983" s="41"/>
      <c r="F983" s="41"/>
      <c r="G983" s="41"/>
      <c r="H983" s="41"/>
      <c r="I983" s="41"/>
      <c r="J983" s="41"/>
      <c r="K983" s="41"/>
      <c r="L983" s="41"/>
      <c r="M983" s="41"/>
      <c r="N983" s="41"/>
      <c r="O983" s="41"/>
      <c r="P983" s="41"/>
      <c r="Q983" s="41"/>
      <c r="R983" s="41"/>
      <c r="S983" s="41"/>
      <c r="T983" s="41"/>
      <c r="U983" s="41"/>
      <c r="V983" s="41"/>
      <c r="W983" s="41"/>
      <c r="X983" s="41"/>
      <c r="Y983" s="41"/>
      <c r="Z983" s="41"/>
      <c r="AA983" s="41"/>
      <c r="AB983" s="41"/>
      <c r="AC983" s="41"/>
      <c r="AD983" s="41"/>
      <c r="AE983" s="41"/>
      <c r="AF983" s="41"/>
      <c r="AG983" s="41"/>
      <c r="AH983" s="41"/>
      <c r="AI983" s="41"/>
    </row>
    <row r="984" spans="1:35" ht="15.75" customHeight="1" x14ac:dyDescent="0.2">
      <c r="A984" s="41"/>
      <c r="B984" s="41"/>
      <c r="C984" s="41"/>
      <c r="D984" s="72"/>
      <c r="E984" s="41"/>
      <c r="F984" s="41"/>
      <c r="G984" s="41"/>
      <c r="H984" s="41"/>
      <c r="I984" s="41"/>
      <c r="J984" s="41"/>
      <c r="K984" s="41"/>
      <c r="L984" s="41"/>
      <c r="M984" s="41"/>
      <c r="N984" s="41"/>
      <c r="O984" s="41"/>
      <c r="P984" s="41"/>
      <c r="Q984" s="41"/>
      <c r="R984" s="41"/>
      <c r="S984" s="41"/>
      <c r="T984" s="41"/>
      <c r="U984" s="41"/>
      <c r="V984" s="41"/>
      <c r="W984" s="41"/>
      <c r="X984" s="41"/>
      <c r="Y984" s="41"/>
      <c r="Z984" s="41"/>
      <c r="AA984" s="41"/>
      <c r="AB984" s="41"/>
      <c r="AC984" s="41"/>
      <c r="AD984" s="41"/>
      <c r="AE984" s="41"/>
      <c r="AF984" s="41"/>
      <c r="AG984" s="41"/>
      <c r="AH984" s="41"/>
      <c r="AI984" s="41"/>
    </row>
    <row r="985" spans="1:35" ht="15.75" customHeight="1" x14ac:dyDescent="0.2">
      <c r="A985" s="41"/>
      <c r="B985" s="41"/>
      <c r="C985" s="41"/>
      <c r="D985" s="72"/>
      <c r="E985" s="41"/>
      <c r="F985" s="41"/>
      <c r="G985" s="41"/>
      <c r="H985" s="41"/>
      <c r="I985" s="41"/>
      <c r="J985" s="41"/>
      <c r="K985" s="41"/>
      <c r="L985" s="41"/>
      <c r="M985" s="41"/>
      <c r="N985" s="41"/>
      <c r="O985" s="41"/>
      <c r="P985" s="41"/>
      <c r="Q985" s="41"/>
      <c r="R985" s="41"/>
      <c r="S985" s="41"/>
      <c r="T985" s="41"/>
      <c r="U985" s="41"/>
      <c r="V985" s="41"/>
      <c r="W985" s="41"/>
      <c r="X985" s="41"/>
      <c r="Y985" s="41"/>
      <c r="Z985" s="41"/>
      <c r="AA985" s="41"/>
      <c r="AB985" s="41"/>
      <c r="AC985" s="41"/>
      <c r="AD985" s="41"/>
      <c r="AE985" s="41"/>
      <c r="AF985" s="41"/>
      <c r="AG985" s="41"/>
      <c r="AH985" s="41"/>
      <c r="AI985" s="41"/>
    </row>
    <row r="986" spans="1:35" ht="15.75" customHeight="1" x14ac:dyDescent="0.2">
      <c r="A986" s="41"/>
      <c r="B986" s="41"/>
      <c r="C986" s="41"/>
      <c r="D986" s="72"/>
      <c r="E986" s="41"/>
      <c r="F986" s="41"/>
      <c r="G986" s="41"/>
      <c r="H986" s="41"/>
      <c r="I986" s="41"/>
      <c r="J986" s="41"/>
      <c r="K986" s="41"/>
      <c r="L986" s="41"/>
      <c r="M986" s="41"/>
      <c r="N986" s="41"/>
      <c r="O986" s="41"/>
      <c r="P986" s="41"/>
      <c r="Q986" s="41"/>
      <c r="R986" s="41"/>
      <c r="S986" s="41"/>
      <c r="T986" s="41"/>
      <c r="U986" s="41"/>
      <c r="V986" s="41"/>
      <c r="W986" s="41"/>
      <c r="X986" s="41"/>
      <c r="Y986" s="41"/>
      <c r="Z986" s="41"/>
      <c r="AA986" s="41"/>
      <c r="AB986" s="41"/>
      <c r="AC986" s="41"/>
      <c r="AD986" s="41"/>
      <c r="AE986" s="41"/>
      <c r="AF986" s="41"/>
      <c r="AG986" s="41"/>
      <c r="AH986" s="41"/>
      <c r="AI986" s="41"/>
    </row>
    <row r="987" spans="1:35" ht="15.75" customHeight="1" x14ac:dyDescent="0.2">
      <c r="A987" s="41"/>
      <c r="B987" s="41"/>
      <c r="C987" s="41"/>
      <c r="D987" s="72"/>
      <c r="E987" s="41"/>
      <c r="F987" s="41"/>
      <c r="G987" s="41"/>
      <c r="H987" s="41"/>
      <c r="I987" s="41"/>
      <c r="J987" s="41"/>
      <c r="K987" s="41"/>
      <c r="L987" s="41"/>
      <c r="M987" s="41"/>
      <c r="N987" s="41"/>
      <c r="O987" s="41"/>
      <c r="P987" s="41"/>
      <c r="Q987" s="41"/>
      <c r="R987" s="41"/>
      <c r="S987" s="41"/>
      <c r="T987" s="41"/>
      <c r="U987" s="41"/>
      <c r="V987" s="41"/>
      <c r="W987" s="41"/>
      <c r="X987" s="41"/>
      <c r="Y987" s="41"/>
      <c r="Z987" s="41"/>
      <c r="AA987" s="41"/>
      <c r="AB987" s="41"/>
      <c r="AC987" s="41"/>
      <c r="AD987" s="41"/>
      <c r="AE987" s="41"/>
      <c r="AF987" s="41"/>
      <c r="AG987" s="41"/>
      <c r="AH987" s="41"/>
      <c r="AI987" s="41"/>
    </row>
    <row r="988" spans="1:35" ht="15.75" customHeight="1" x14ac:dyDescent="0.2">
      <c r="A988" s="41"/>
      <c r="B988" s="41"/>
      <c r="C988" s="41"/>
      <c r="D988" s="72"/>
      <c r="E988" s="41"/>
      <c r="F988" s="41"/>
      <c r="G988" s="41"/>
      <c r="H988" s="41"/>
      <c r="I988" s="41"/>
      <c r="J988" s="41"/>
      <c r="K988" s="41"/>
      <c r="L988" s="41"/>
      <c r="M988" s="41"/>
      <c r="N988" s="41"/>
      <c r="O988" s="41"/>
      <c r="P988" s="41"/>
      <c r="Q988" s="41"/>
      <c r="R988" s="41"/>
      <c r="S988" s="41"/>
      <c r="T988" s="41"/>
      <c r="U988" s="41"/>
      <c r="V988" s="41"/>
      <c r="W988" s="41"/>
      <c r="X988" s="41"/>
      <c r="Y988" s="41"/>
      <c r="Z988" s="41"/>
      <c r="AA988" s="41"/>
      <c r="AB988" s="41"/>
      <c r="AC988" s="41"/>
      <c r="AD988" s="41"/>
      <c r="AE988" s="41"/>
      <c r="AF988" s="41"/>
      <c r="AG988" s="41"/>
      <c r="AH988" s="41"/>
      <c r="AI988" s="41"/>
    </row>
    <row r="989" spans="1:35" ht="15.75" customHeight="1" x14ac:dyDescent="0.2">
      <c r="A989" s="41"/>
      <c r="B989" s="41"/>
      <c r="C989" s="41"/>
      <c r="D989" s="72"/>
      <c r="E989" s="41"/>
      <c r="F989" s="41"/>
      <c r="G989" s="41"/>
      <c r="H989" s="41"/>
      <c r="I989" s="41"/>
      <c r="J989" s="41"/>
      <c r="K989" s="41"/>
      <c r="L989" s="41"/>
      <c r="M989" s="41"/>
      <c r="N989" s="41"/>
      <c r="O989" s="41"/>
      <c r="P989" s="41"/>
      <c r="Q989" s="41"/>
      <c r="R989" s="41"/>
      <c r="S989" s="41"/>
      <c r="T989" s="41"/>
      <c r="U989" s="41"/>
      <c r="V989" s="41"/>
      <c r="W989" s="41"/>
      <c r="X989" s="41"/>
      <c r="Y989" s="41"/>
      <c r="Z989" s="41"/>
      <c r="AA989" s="41"/>
      <c r="AB989" s="41"/>
      <c r="AC989" s="41"/>
      <c r="AD989" s="41"/>
      <c r="AE989" s="41"/>
      <c r="AF989" s="41"/>
      <c r="AG989" s="41"/>
      <c r="AH989" s="41"/>
      <c r="AI989" s="41"/>
    </row>
    <row r="990" spans="1:35" ht="15.75" customHeight="1" x14ac:dyDescent="0.2">
      <c r="A990" s="41"/>
      <c r="B990" s="41"/>
      <c r="C990" s="41"/>
      <c r="D990" s="72"/>
      <c r="E990" s="41"/>
      <c r="F990" s="41"/>
      <c r="G990" s="41"/>
      <c r="H990" s="41"/>
      <c r="I990" s="41"/>
      <c r="J990" s="41"/>
      <c r="K990" s="41"/>
      <c r="L990" s="41"/>
      <c r="M990" s="41"/>
      <c r="N990" s="41"/>
      <c r="O990" s="41"/>
      <c r="P990" s="41"/>
      <c r="Q990" s="41"/>
      <c r="R990" s="41"/>
      <c r="S990" s="41"/>
      <c r="T990" s="41"/>
      <c r="U990" s="41"/>
      <c r="V990" s="41"/>
      <c r="W990" s="41"/>
      <c r="X990" s="41"/>
      <c r="Y990" s="41"/>
      <c r="Z990" s="41"/>
      <c r="AA990" s="41"/>
      <c r="AB990" s="41"/>
      <c r="AC990" s="41"/>
      <c r="AD990" s="41"/>
      <c r="AE990" s="41"/>
      <c r="AF990" s="41"/>
      <c r="AG990" s="41"/>
      <c r="AH990" s="41"/>
      <c r="AI990" s="41"/>
    </row>
    <row r="991" spans="1:35" ht="15.75" customHeight="1" x14ac:dyDescent="0.2">
      <c r="A991" s="41"/>
      <c r="B991" s="41"/>
      <c r="C991" s="41"/>
      <c r="D991" s="72"/>
      <c r="E991" s="41"/>
      <c r="F991" s="41"/>
      <c r="G991" s="41"/>
      <c r="H991" s="41"/>
      <c r="I991" s="41"/>
      <c r="J991" s="41"/>
      <c r="K991" s="41"/>
      <c r="L991" s="41"/>
      <c r="M991" s="41"/>
      <c r="N991" s="41"/>
      <c r="O991" s="41"/>
      <c r="P991" s="41"/>
      <c r="Q991" s="41"/>
      <c r="R991" s="41"/>
      <c r="S991" s="41"/>
      <c r="T991" s="41"/>
      <c r="U991" s="41"/>
      <c r="V991" s="41"/>
      <c r="W991" s="41"/>
      <c r="X991" s="41"/>
      <c r="Y991" s="41"/>
      <c r="Z991" s="41"/>
      <c r="AA991" s="41"/>
      <c r="AB991" s="41"/>
      <c r="AC991" s="41"/>
      <c r="AD991" s="41"/>
      <c r="AE991" s="41"/>
      <c r="AF991" s="41"/>
      <c r="AG991" s="41"/>
      <c r="AH991" s="41"/>
      <c r="AI991" s="41"/>
    </row>
    <row r="992" spans="1:35" ht="15.75" customHeight="1" x14ac:dyDescent="0.2">
      <c r="A992" s="41"/>
      <c r="B992" s="41"/>
      <c r="C992" s="41"/>
      <c r="D992" s="72"/>
      <c r="E992" s="41"/>
      <c r="F992" s="41"/>
      <c r="G992" s="41"/>
      <c r="H992" s="41"/>
      <c r="I992" s="41"/>
      <c r="J992" s="41"/>
      <c r="K992" s="41"/>
      <c r="L992" s="41"/>
      <c r="M992" s="41"/>
      <c r="N992" s="41"/>
      <c r="O992" s="41"/>
      <c r="P992" s="41"/>
      <c r="Q992" s="41"/>
      <c r="R992" s="41"/>
      <c r="S992" s="41"/>
      <c r="T992" s="41"/>
      <c r="U992" s="41"/>
      <c r="V992" s="41"/>
      <c r="W992" s="41"/>
      <c r="X992" s="41"/>
      <c r="Y992" s="41"/>
      <c r="Z992" s="41"/>
      <c r="AA992" s="41"/>
      <c r="AB992" s="41"/>
      <c r="AC992" s="41"/>
      <c r="AD992" s="41"/>
      <c r="AE992" s="41"/>
      <c r="AF992" s="41"/>
      <c r="AG992" s="41"/>
      <c r="AH992" s="41"/>
      <c r="AI992" s="41"/>
    </row>
    <row r="993" spans="1:35" ht="15.75" customHeight="1" x14ac:dyDescent="0.2">
      <c r="A993" s="41"/>
      <c r="B993" s="41"/>
      <c r="C993" s="41"/>
      <c r="D993" s="72"/>
      <c r="E993" s="41"/>
      <c r="F993" s="41"/>
      <c r="G993" s="41"/>
      <c r="H993" s="41"/>
      <c r="I993" s="41"/>
      <c r="J993" s="41"/>
      <c r="K993" s="41"/>
      <c r="L993" s="41"/>
      <c r="M993" s="41"/>
      <c r="N993" s="41"/>
      <c r="O993" s="41"/>
      <c r="P993" s="41"/>
      <c r="Q993" s="41"/>
      <c r="R993" s="41"/>
      <c r="S993" s="41"/>
      <c r="T993" s="41"/>
      <c r="U993" s="41"/>
      <c r="V993" s="41"/>
      <c r="W993" s="41"/>
      <c r="X993" s="41"/>
      <c r="Y993" s="41"/>
      <c r="Z993" s="41"/>
      <c r="AA993" s="41"/>
      <c r="AB993" s="41"/>
      <c r="AC993" s="41"/>
      <c r="AD993" s="41"/>
      <c r="AE993" s="41"/>
      <c r="AF993" s="41"/>
      <c r="AG993" s="41"/>
      <c r="AH993" s="41"/>
      <c r="AI993" s="41"/>
    </row>
    <row r="994" spans="1:35" ht="15.75" customHeight="1" x14ac:dyDescent="0.2">
      <c r="A994" s="41"/>
      <c r="B994" s="41"/>
      <c r="C994" s="41"/>
      <c r="D994" s="72"/>
      <c r="E994" s="41"/>
      <c r="F994" s="41"/>
      <c r="G994" s="41"/>
      <c r="H994" s="41"/>
      <c r="I994" s="41"/>
      <c r="J994" s="41"/>
      <c r="K994" s="41"/>
      <c r="L994" s="41"/>
      <c r="M994" s="41"/>
      <c r="N994" s="41"/>
      <c r="O994" s="41"/>
      <c r="P994" s="41"/>
      <c r="Q994" s="41"/>
      <c r="R994" s="41"/>
      <c r="S994" s="41"/>
      <c r="T994" s="41"/>
      <c r="U994" s="41"/>
      <c r="V994" s="41"/>
      <c r="W994" s="41"/>
      <c r="X994" s="41"/>
      <c r="Y994" s="41"/>
      <c r="Z994" s="41"/>
      <c r="AA994" s="41"/>
      <c r="AB994" s="41"/>
      <c r="AC994" s="41"/>
      <c r="AD994" s="41"/>
      <c r="AE994" s="41"/>
      <c r="AF994" s="41"/>
      <c r="AG994" s="41"/>
      <c r="AH994" s="41"/>
      <c r="AI994" s="41"/>
    </row>
    <row r="995" spans="1:35" ht="15.75" customHeight="1" x14ac:dyDescent="0.2">
      <c r="A995" s="41"/>
      <c r="B995" s="41"/>
      <c r="C995" s="41"/>
      <c r="D995" s="72"/>
      <c r="E995" s="41"/>
      <c r="F995" s="41"/>
      <c r="G995" s="41"/>
      <c r="H995" s="41"/>
      <c r="I995" s="41"/>
      <c r="J995" s="41"/>
      <c r="K995" s="41"/>
      <c r="L995" s="41"/>
      <c r="M995" s="41"/>
      <c r="N995" s="41"/>
      <c r="O995" s="41"/>
      <c r="P995" s="41"/>
      <c r="Q995" s="41"/>
      <c r="R995" s="41"/>
      <c r="S995" s="41"/>
      <c r="T995" s="41"/>
      <c r="U995" s="41"/>
      <c r="V995" s="41"/>
      <c r="W995" s="41"/>
      <c r="X995" s="41"/>
      <c r="Y995" s="41"/>
      <c r="Z995" s="41"/>
      <c r="AA995" s="41"/>
      <c r="AB995" s="41"/>
      <c r="AC995" s="41"/>
      <c r="AD995" s="41"/>
      <c r="AE995" s="41"/>
      <c r="AF995" s="41"/>
      <c r="AG995" s="41"/>
      <c r="AH995" s="41"/>
      <c r="AI995" s="41"/>
    </row>
    <row r="996" spans="1:35" ht="15.75" customHeight="1" x14ac:dyDescent="0.2">
      <c r="A996" s="41"/>
      <c r="B996" s="41"/>
      <c r="C996" s="41"/>
      <c r="D996" s="72"/>
      <c r="E996" s="41"/>
      <c r="F996" s="41"/>
      <c r="G996" s="41"/>
      <c r="H996" s="41"/>
      <c r="I996" s="41"/>
      <c r="J996" s="41"/>
      <c r="K996" s="41"/>
      <c r="L996" s="41"/>
      <c r="M996" s="41"/>
      <c r="N996" s="41"/>
      <c r="O996" s="41"/>
      <c r="P996" s="41"/>
      <c r="Q996" s="41"/>
      <c r="R996" s="41"/>
      <c r="S996" s="41"/>
      <c r="T996" s="41"/>
      <c r="U996" s="41"/>
      <c r="V996" s="41"/>
      <c r="W996" s="41"/>
      <c r="X996" s="41"/>
      <c r="Y996" s="41"/>
      <c r="Z996" s="41"/>
      <c r="AA996" s="41"/>
      <c r="AB996" s="41"/>
      <c r="AC996" s="41"/>
      <c r="AD996" s="41"/>
      <c r="AE996" s="41"/>
      <c r="AF996" s="41"/>
      <c r="AG996" s="41"/>
      <c r="AH996" s="41"/>
      <c r="AI996" s="41"/>
    </row>
    <row r="997" spans="1:35" ht="15.75" customHeight="1" x14ac:dyDescent="0.2">
      <c r="A997" s="41"/>
      <c r="B997" s="41"/>
      <c r="C997" s="41"/>
      <c r="D997" s="72"/>
      <c r="E997" s="41"/>
      <c r="F997" s="41"/>
      <c r="G997" s="41"/>
      <c r="H997" s="41"/>
      <c r="I997" s="41"/>
      <c r="J997" s="41"/>
      <c r="K997" s="41"/>
      <c r="L997" s="41"/>
      <c r="M997" s="41"/>
      <c r="N997" s="41"/>
      <c r="O997" s="41"/>
      <c r="P997" s="41"/>
      <c r="Q997" s="41"/>
      <c r="R997" s="41"/>
      <c r="S997" s="41"/>
      <c r="T997" s="41"/>
      <c r="U997" s="41"/>
      <c r="V997" s="41"/>
      <c r="W997" s="41"/>
      <c r="X997" s="41"/>
      <c r="Y997" s="41"/>
      <c r="Z997" s="41"/>
      <c r="AA997" s="41"/>
      <c r="AB997" s="41"/>
      <c r="AC997" s="41"/>
      <c r="AD997" s="41"/>
      <c r="AE997" s="41"/>
      <c r="AF997" s="41"/>
      <c r="AG997" s="41"/>
      <c r="AH997" s="41"/>
      <c r="AI997" s="41"/>
    </row>
    <row r="998" spans="1:35" ht="15.75" customHeight="1" x14ac:dyDescent="0.2">
      <c r="A998" s="41"/>
      <c r="B998" s="41"/>
      <c r="C998" s="41"/>
      <c r="D998" s="72"/>
      <c r="E998" s="41"/>
      <c r="F998" s="41"/>
      <c r="G998" s="41"/>
      <c r="H998" s="41"/>
      <c r="I998" s="41"/>
      <c r="J998" s="41"/>
      <c r="K998" s="41"/>
      <c r="L998" s="41"/>
      <c r="M998" s="41"/>
      <c r="N998" s="41"/>
      <c r="O998" s="41"/>
      <c r="P998" s="41"/>
      <c r="Q998" s="41"/>
      <c r="R998" s="41"/>
      <c r="S998" s="41"/>
      <c r="T998" s="41"/>
      <c r="U998" s="41"/>
      <c r="V998" s="41"/>
      <c r="W998" s="41"/>
      <c r="X998" s="41"/>
      <c r="Y998" s="41"/>
      <c r="Z998" s="41"/>
      <c r="AA998" s="41"/>
      <c r="AB998" s="41"/>
      <c r="AC998" s="41"/>
      <c r="AD998" s="41"/>
      <c r="AE998" s="41"/>
      <c r="AF998" s="41"/>
      <c r="AG998" s="41"/>
      <c r="AH998" s="41"/>
      <c r="AI998" s="41"/>
    </row>
    <row r="999" spans="1:35" ht="15.75" customHeight="1" x14ac:dyDescent="0.2">
      <c r="A999" s="41"/>
      <c r="B999" s="41"/>
      <c r="C999" s="41"/>
      <c r="D999" s="72"/>
      <c r="E999" s="41"/>
      <c r="F999" s="41"/>
      <c r="G999" s="41"/>
      <c r="H999" s="41"/>
      <c r="I999" s="41"/>
      <c r="J999" s="41"/>
      <c r="K999" s="41"/>
      <c r="L999" s="41"/>
      <c r="M999" s="41"/>
      <c r="N999" s="41"/>
      <c r="O999" s="41"/>
      <c r="P999" s="41"/>
      <c r="Q999" s="41"/>
      <c r="R999" s="41"/>
      <c r="S999" s="41"/>
      <c r="T999" s="41"/>
      <c r="U999" s="41"/>
      <c r="V999" s="41"/>
      <c r="W999" s="41"/>
      <c r="X999" s="41"/>
      <c r="Y999" s="41"/>
      <c r="Z999" s="41"/>
      <c r="AA999" s="41"/>
      <c r="AB999" s="41"/>
      <c r="AC999" s="41"/>
      <c r="AD999" s="41"/>
      <c r="AE999" s="41"/>
      <c r="AF999" s="41"/>
      <c r="AG999" s="41"/>
      <c r="AH999" s="41"/>
      <c r="AI999" s="41"/>
    </row>
    <row r="1000" spans="1:35" ht="15.75" customHeight="1" x14ac:dyDescent="0.2">
      <c r="A1000" s="41"/>
      <c r="B1000" s="41"/>
      <c r="C1000" s="41"/>
      <c r="D1000" s="72"/>
      <c r="E1000" s="41"/>
      <c r="F1000" s="41"/>
      <c r="G1000" s="41"/>
      <c r="H1000" s="41"/>
      <c r="I1000" s="41"/>
      <c r="J1000" s="41"/>
      <c r="K1000" s="41"/>
      <c r="L1000" s="41"/>
      <c r="M1000" s="41"/>
      <c r="N1000" s="41"/>
      <c r="O1000" s="41"/>
      <c r="P1000" s="41"/>
      <c r="Q1000" s="41"/>
      <c r="R1000" s="41"/>
      <c r="S1000" s="41"/>
      <c r="T1000" s="41"/>
      <c r="U1000" s="41"/>
      <c r="V1000" s="41"/>
      <c r="W1000" s="41"/>
      <c r="X1000" s="41"/>
      <c r="Y1000" s="41"/>
      <c r="Z1000" s="41"/>
      <c r="AA1000" s="41"/>
      <c r="AB1000" s="41"/>
      <c r="AC1000" s="41"/>
      <c r="AD1000" s="41"/>
      <c r="AE1000" s="41"/>
      <c r="AF1000" s="41"/>
      <c r="AG1000" s="41"/>
      <c r="AH1000" s="41"/>
      <c r="AI1000" s="41"/>
    </row>
  </sheetData>
  <autoFilter ref="A1:AI21" xr:uid="{00000000-0009-0000-0000-000005000000}"/>
  <hyperlinks>
    <hyperlink ref="E2" r:id="rId1" xr:uid="{00000000-0004-0000-0500-000000000000}"/>
    <hyperlink ref="E3" r:id="rId2" xr:uid="{00000000-0004-0000-0500-000001000000}"/>
    <hyperlink ref="E6" r:id="rId3" xr:uid="{00000000-0004-0000-0500-000002000000}"/>
    <hyperlink ref="F6" r:id="rId4" xr:uid="{00000000-0004-0000-0500-000003000000}"/>
    <hyperlink ref="G6" r:id="rId5" xr:uid="{00000000-0004-0000-0500-000004000000}"/>
    <hyperlink ref="E7" r:id="rId6" xr:uid="{00000000-0004-0000-0500-000005000000}"/>
    <hyperlink ref="E8" r:id="rId7" xr:uid="{00000000-0004-0000-0500-000006000000}"/>
    <hyperlink ref="F8" r:id="rId8" xr:uid="{00000000-0004-0000-0500-000007000000}"/>
    <hyperlink ref="E9" r:id="rId9" xr:uid="{00000000-0004-0000-0500-000008000000}"/>
    <hyperlink ref="F9" r:id="rId10" xr:uid="{00000000-0004-0000-0500-000009000000}"/>
    <hyperlink ref="G9" r:id="rId11" xr:uid="{00000000-0004-0000-0500-00000A000000}"/>
  </hyperlinks>
  <pageMargins left="0.7" right="0.7" top="0.75" bottom="0.75" header="0" footer="0"/>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1:B1000"/>
  <sheetViews>
    <sheetView workbookViewId="0">
      <selection activeCell="D17" sqref="D17"/>
    </sheetView>
  </sheetViews>
  <sheetFormatPr baseColWidth="10" defaultColWidth="11.1640625" defaultRowHeight="15" customHeight="1" x14ac:dyDescent="0.2"/>
  <cols>
    <col min="1" max="1" width="10.5" customWidth="1"/>
    <col min="2" max="2" width="102.5" customWidth="1"/>
    <col min="3" max="26" width="10.5" customWidth="1"/>
  </cols>
  <sheetData>
    <row r="1" spans="2:2" ht="15.75" customHeight="1" x14ac:dyDescent="0.2"/>
    <row r="2" spans="2:2" ht="15.75" customHeight="1" x14ac:dyDescent="0.2">
      <c r="B2" s="81" t="s">
        <v>1022</v>
      </c>
    </row>
    <row r="3" spans="2:2" ht="15.75" customHeight="1" x14ac:dyDescent="0.2">
      <c r="B3" s="41" t="s">
        <v>1023</v>
      </c>
    </row>
    <row r="4" spans="2:2" ht="15.75" customHeight="1" x14ac:dyDescent="0.2"/>
    <row r="5" spans="2:2" ht="15.75" customHeight="1" x14ac:dyDescent="0.2"/>
    <row r="6" spans="2:2" ht="15.75" customHeight="1" x14ac:dyDescent="0.2"/>
    <row r="7" spans="2:2" ht="15.75" customHeight="1" x14ac:dyDescent="0.2"/>
    <row r="8" spans="2:2" ht="15.75" customHeight="1" x14ac:dyDescent="0.2"/>
    <row r="9" spans="2:2" ht="15.75" customHeight="1" x14ac:dyDescent="0.2">
      <c r="B9" s="82" t="s">
        <v>1177</v>
      </c>
    </row>
    <row r="10" spans="2:2" ht="15.75" customHeight="1" x14ac:dyDescent="0.2">
      <c r="B10" s="83" t="s">
        <v>1024</v>
      </c>
    </row>
    <row r="11" spans="2:2" ht="64" customHeight="1" x14ac:dyDescent="0.2">
      <c r="B11" s="83" t="s">
        <v>1025</v>
      </c>
    </row>
    <row r="12" spans="2:2" ht="15.75" customHeight="1" x14ac:dyDescent="0.2">
      <c r="B12" s="41" t="s">
        <v>1026</v>
      </c>
    </row>
    <row r="13" spans="2:2" ht="15.75" customHeight="1" x14ac:dyDescent="0.2"/>
    <row r="14" spans="2:2" ht="15.75" customHeight="1" x14ac:dyDescent="0.2">
      <c r="B14" s="41"/>
    </row>
    <row r="15" spans="2:2" ht="15.75" customHeight="1" x14ac:dyDescent="0.2"/>
    <row r="16" spans="2:2" ht="15.75" customHeight="1" x14ac:dyDescent="0.2"/>
    <row r="17" spans="2:2" ht="87" customHeight="1" x14ac:dyDescent="0.2">
      <c r="B17" s="83" t="s">
        <v>1027</v>
      </c>
    </row>
    <row r="18" spans="2:2" ht="15.75" customHeight="1" x14ac:dyDescent="0.2">
      <c r="B18" s="97" t="s">
        <v>1178</v>
      </c>
    </row>
    <row r="19" spans="2:2" ht="15.75" customHeight="1" x14ac:dyDescent="0.2"/>
    <row r="20" spans="2:2" ht="15.75" customHeight="1" x14ac:dyDescent="0.2">
      <c r="B20" s="41" t="s">
        <v>1179</v>
      </c>
    </row>
    <row r="21" spans="2:2" ht="15.75" customHeight="1" x14ac:dyDescent="0.2">
      <c r="B21" s="41" t="s">
        <v>1028</v>
      </c>
    </row>
    <row r="22" spans="2:2" ht="15.75" customHeight="1" x14ac:dyDescent="0.2">
      <c r="B22" s="41" t="s">
        <v>1029</v>
      </c>
    </row>
    <row r="23" spans="2:2" ht="15.75" customHeight="1" x14ac:dyDescent="0.2"/>
    <row r="24" spans="2:2" ht="15.75" customHeight="1" x14ac:dyDescent="0.2"/>
    <row r="25" spans="2:2" ht="15.75" customHeight="1" x14ac:dyDescent="0.2"/>
    <row r="26" spans="2:2" ht="15.75" customHeight="1" x14ac:dyDescent="0.2"/>
    <row r="27" spans="2:2" ht="15.75" customHeight="1" x14ac:dyDescent="0.2"/>
    <row r="28" spans="2:2" ht="15.75" customHeight="1" x14ac:dyDescent="0.2"/>
    <row r="29" spans="2:2" ht="15.75" customHeight="1" x14ac:dyDescent="0.2"/>
    <row r="30" spans="2:2" ht="15.75" customHeight="1" x14ac:dyDescent="0.2"/>
    <row r="31" spans="2:2" ht="15.75" customHeight="1" x14ac:dyDescent="0.2"/>
    <row r="32" spans="2: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7216E02-2D0C-3A43-9E55-730DDBCFB5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Master Sheet</vt:lpstr>
      <vt:lpstr>Analysis &amp; Graphs</vt:lpstr>
      <vt:lpstr>Dropdowns</vt:lpstr>
      <vt:lpstr>Threatened, Not Imposed</vt:lpstr>
      <vt:lpstr>Non-Sanction Measures</vt:lpstr>
      <vt:lpstr>Laws and Regulations</vt:lpstr>
      <vt:lpstr>Regulatory Updates</vt:lpstr>
      <vt:lpstr>Notes on Collection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Bohman,V (pgt)</dc:creator>
  <cp:lastModifiedBy>Viking Bohman</cp:lastModifiedBy>
  <dcterms:created xsi:type="dcterms:W3CDTF">2021-06-11T12:31:23Z</dcterms:created>
  <dcterms:modified xsi:type="dcterms:W3CDTF">2025-03-25T09:20:35Z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rder">
    <vt:r8>2300</vt:r8>
  </property>
  <property fmtid="{D5CDD505-2E9C-101B-9397-08002B2CF9AE}" pid="3" name="ContentTypeId">
    <vt:lpwstr>0x010100ADF12A98CE157D40998FA5CEE40DA767</vt:lpwstr>
  </property>
  <property fmtid="{D5CDD505-2E9C-101B-9397-08002B2CF9AE}" pid="4" name="ComplianceAssetId">
    <vt:lpwstr/>
  </property>
  <property fmtid="{D5CDD505-2E9C-101B-9397-08002B2CF9AE}" pid="5" name="_ExtendedDescription">
    <vt:lpwstr/>
  </property>
  <property fmtid="{D5CDD505-2E9C-101B-9397-08002B2CF9AE}" pid="6" name="MediaServiceImageTags">
    <vt:lpwstr/>
  </property>
</Properties>
</file>